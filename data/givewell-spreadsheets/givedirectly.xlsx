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tart here" sheetId="1" r:id="rId3"/>
    <sheet state="visible" name="Index" sheetId="2" r:id="rId4"/>
    <sheet state="visible" name="New CEA" sheetId="3" r:id="rId5"/>
    <sheet state="visible" name="Analysis" sheetId="4" r:id="rId6"/>
    <sheet state="visible" name="Baseline" sheetId="5" r:id="rId7"/>
    <sheet state="visible" name="Consumption" sheetId="6" r:id="rId8"/>
    <sheet state="visible" name="GE" sheetId="7" r:id="rId9"/>
    <sheet state="visible" name="Spillover" sheetId="8" r:id="rId10"/>
    <sheet state="visible" name="Mortality" sheetId="9" r:id="rId11"/>
    <sheet state="visible" name="Development" sheetId="10" r:id="rId12"/>
    <sheet state="visible" name="RFMF" sheetId="11" r:id="rId13"/>
    <sheet state="visible" name="Uncertainty" sheetId="12" r:id="rId14"/>
    <sheet state="visible" name="Inputs" sheetId="13" r:id="rId15"/>
    <sheet state="visible" name="Sims" sheetId="14" r:id="rId16"/>
    <sheet state="visible" name="Raw" sheetId="15" r:id="rId17"/>
    <sheet state="visible" name="WB" sheetId="16" r:id="rId18"/>
    <sheet state="visible" name="IHME" sheetId="17" r:id="rId19"/>
    <sheet state="visible" name="UNICEF" sheetId="18" r:id="rId20"/>
    <sheet state="visible" name="Equivalence" sheetId="19" r:id="rId21"/>
    <sheet state="visible" name="Papers" sheetId="20" r:id="rId22"/>
    <sheet state="visible" name="u5m papers" sheetId="21" r:id="rId23"/>
    <sheet state="visible" name="GD data" sheetId="22" r:id="rId24"/>
    <sheet state="visible" name="Summ" sheetId="23" r:id="rId25"/>
    <sheet state="visible" name="Historic" sheetId="24" r:id="rId26"/>
    <sheet state="visible" name="Flex" sheetId="25" r:id="rId27"/>
    <sheet state="visible" name="Country" sheetId="26" r:id="rId28"/>
  </sheets>
  <definedNames>
    <definedName name="BDT_to_USD_2017">#REF!</definedName>
    <definedName name="BDT_to_USD_2014">#REF!</definedName>
    <definedName name="lesser_lean_season_duration">#REF!</definedName>
    <definedName name="nls_household_size">#REF!</definedName>
    <definedName name="primary_lean_season_duration">#REF!</definedName>
    <definedName hidden="1" localSheetId="23" name="_xlnm._FilterDatabase">Historic!$A$1:$K$151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The Kenya transfer size has always been 110,000 Ksh. This has historically been ~$1,000, but is currently closer to ~$865 due to exchange rate fluctuations.</t>
      </text>
    </comment>
    <comment authorId="0" ref="C5">
      <text>
        <t xml:space="preserve">"MW [Malawi] is ~$550 per [adult] person.” GiveDirectly, comments on a draft of the associated write-up, October 2, 2024.
For a two-person household this figure would then be ~$1,100. We deflate this to $1,000 to account for single person households.</t>
      </text>
    </comment>
    <comment authorId="0" ref="D5">
      <text>
        <t xml:space="preserve">Source: GiveDirectly, GiveWell Questions for GiveDirectly, 2024 (unpublished)</t>
      </text>
    </comment>
    <comment authorId="0" ref="E5">
      <text>
        <t xml:space="preserve">"RW [Rwanda] transfer design is ~$1,100 per household even if it's a single-headed HH." GiveDirectly, comments on a draft of the associated write-up, October 2, 2024.</t>
      </text>
    </comment>
    <comment authorId="0" ref="A6">
      <text>
        <t xml:space="preserve">Source: GiveDirectly, GiveWell Questions for GiveDirectly, 2024 (unpublished)</t>
      </text>
    </comment>
    <comment authorId="0" ref="A15">
      <text>
        <t xml:space="preserve">“Households invest part of the transfers: the value of nonland assets increased by $302 PPP on average; this represents 61% of the control group mean of $495 PPP and 43% of the average transfer.” Haushofer and Shapiro (2016), page 26.
https://academic.oup.com/qje/article-abstract/131/4/1973/2468874</t>
      </text>
    </comment>
    <comment authorId="0" ref="A20">
      <text>
        <t xml:space="preserve">See https://docs.google.com/spreadsheets/d/18ROI6dRdKsNfXg5gIyBa1_7eYOjowfbw5n65zkrLnvc/edit?gid=1362437801#gid=1362437801&amp;range=A22:B22</t>
      </text>
    </comment>
    <comment authorId="0" ref="A25">
      <text>
        <t xml:space="preserve">See https://www.givewell.org/international/technical/programs/givedirectly-cash-for-poverty-relief-program#Do_richer_households_see_larger_consumption_gains</t>
      </text>
    </comment>
    <comment authorId="0" ref="A28">
      <text>
        <t xml:space="preserve">See https://docs.google.com/spreadsheets/d/18ROI6dRdKsNfXg5gIyBa1_7eYOjowfbw5n65zkrLnvc/edit?gid=1680005064#gid=1680005064&amp;range=A87:B87</t>
      </text>
    </comment>
    <comment authorId="0" ref="A31">
      <text>
        <t xml:space="preserve">“We estimate a local transfer multiplier of 2.5." Egger et al. (2022), page 1
https://www.econometricsociety.org/publications/econometrica/2022/11/01/General-Equilibrium-Effects-of-Cash-Transfers-Experimental-Evidence-From-Kenya
</t>
      </text>
    </comment>
    <comment authorId="0" ref="A33">
      <text>
        <t xml:space="preserve">See https://www.givewell.org/international/technical/programs/givedirectly-cash-for-poverty-relief-program#spillover_IV_adjustment</t>
      </text>
    </comment>
    <comment authorId="0" ref="A34">
      <text>
        <t xml:space="preserve">See https://www.givewell.org/international/technical/programs/givedirectly-cash-for-poverty-relief-program#spillovers_EV_adjustment</t>
      </text>
    </comment>
    <comment authorId="0" ref="A35">
      <text>
        <t xml:space="preserve">See https://www.givewell.org/international/technical/programs/givedirectly-cash-for-poverty-relief-program#Distributional_adjustment</t>
      </text>
    </comment>
    <comment authorId="0" ref="A44">
      <text>
        <t xml:space="preserve">Preliminary results shared with GiveWell (unpublished)</t>
      </text>
    </comment>
    <comment authorId="0" ref="A45">
      <text>
        <t xml:space="preserve">See "UNICEF" tab. We use UNICEF's Kenya under-5 mortality rate as our comparison figure because the Egger et al. study was conducted in Kenya.</t>
      </text>
    </comment>
    <comment authorId="0" ref="A48">
      <text>
        <t xml:space="preserve">“For U5MR, we estimate a decline of 26.7 deaths per 1000 births during 2015-17, representing a substantial 46% fall in U5MR relative to the control mean.” Egger et al. (2024), preliminary mortality results, page 8</t>
      </text>
    </comment>
    <comment authorId="0" ref="A49">
      <text>
        <t xml:space="preserve">See https://www.givewell.org/international/technical/programs/givedirectly-cash-for-poverty-relief-program#Internal_validity_adjustment</t>
      </text>
    </comment>
    <comment authorId="0" ref="A52">
      <text>
        <t xml:space="preserve">See https://docs.google.com/spreadsheets/d/18ROI6dRdKsNfXg5gIyBa1_7eYOjowfbw5n65zkrLnvc/edit?gid=1362437801#gid=1362437801&amp;range=A11:C11</t>
      </text>
    </comment>
    <comment authorId="0" ref="A54">
      <text>
        <t xml:space="preserve">See https://www.givewell.org/international/technical/programs/givedirectly-cash-for-poverty-relief-program#Adult_mortality</t>
      </text>
    </comment>
    <comment authorId="0" ref="A58">
      <text>
        <t xml:space="preserve">See https://www.givewell.org/international/technical/programs/givedirectly-cash-for-poverty-relief-program#Additional_benefits_and_downsides</t>
      </text>
    </comment>
    <comment authorId="0" ref="A67">
      <text>
        <t xml:space="preserve">See https://www.givewell.org/international/technical/programs/givedirectly-cash-for-poverty-relief-program#How_are_donations_allocated_across_countries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From the 2021/22 Kenya DHS Survey. Table 2.7 p33. Specific to rural households. https://dhsprogram.com/pubs/pdf/FR380/FR380bis.pdf</t>
      </text>
    </comment>
    <comment authorId="0" ref="C4">
      <text>
        <t xml:space="preserve">From the 2015/16 DHS report. Table 2.9 p23. Specific to rural households. http://www.nsomalawi.mw/images/stories/data_on_line/demography/mdhs2015_16/MDHS%202015-16%20Final%20Report.pdf</t>
      </text>
    </comment>
    <comment authorId="0" ref="D4">
      <text>
        <t xml:space="preserve">"Nationally, the average household size is 4.4 people per household."
https://hub.arcgis.com/maps/28dc47d0e37a4bea9592f808de511861/about
</t>
      </text>
    </comment>
    <comment authorId="0" ref="E4">
      <text>
        <t xml:space="preserve">From the 2019/20 Rwanda DHS Survey. Table 2.8 p29. Specific to rural households. https://dhsprogram.com/pubs/pdf/FR380/FR380bis.pdf</t>
      </text>
    </comment>
    <comment authorId="0" ref="F4">
      <text>
        <t xml:space="preserve">From the 2016 DHS survey. Table 2.9 p27. Specific to rural households. https://dhsprogram.com/pubs/pdf/FR333/FR333.pdf</t>
      </text>
    </comment>
    <comment authorId="0" ref="A6">
      <text>
        <t xml:space="preserve">Note: we expect there's some variability in definitions of consumption across these sources (e.g. some may include durables, others may not), which could make cross-country comparisons less reliable.</t>
      </text>
    </comment>
    <comment authorId="0" ref="B7">
      <text>
        <t xml:space="preserve">We think the figure cited by GiveDirectly to estimate this (3398 ksh/month/adult equivalent) is the threshold for the bottom quintile, not the average for the quintile. We therefore think it is not comparable to other countries' estimates. (See table 3.3 here: https://www.knbs.or.ke/download/the-kenya-poverty-report-2021/)
We roughly adjust this figure to estimate the quintile mean. We multiply by the ratio between the first and second consumption decile in the Uganda National Household Survey 2019/20 (which is the only survey from the list we see with consumption broken down by decile). This conversion assumes (i) the distribution of consumption within the bottom quintile is the same in Kenya and Uganda and (ii) the ratio between the ~5th and ~15th percentile is the same as between the ~10th and ~20th percentile. Both of these assumptions are probably wrong, but we would guess that they're unlikely to be meaningfully wrong.</t>
      </text>
    </comment>
    <comment authorId="0" ref="C7">
      <text>
        <t xml:space="preserve">Doesn't report in adult equivalents</t>
      </text>
    </comment>
    <comment authorId="0" ref="D7">
      <text>
        <t xml:space="preserve">Doesn't report in adult equivalents</t>
      </text>
    </comment>
    <comment authorId="0" ref="E7">
      <text>
        <t xml:space="preserve">“The principal indicator of welfare used in this report is annual consumption per adult equivalent (“real consumption”), expressed in the prices of January 2014” (pg. 13). https://ccoaib.rw/documents/EICV5_Rwanda_Poverty_Profile-1.pdf</t>
      </text>
    </comment>
    <comment authorId="0" ref="F7">
      <text>
        <t xml:space="preserve">We think the 366,372 figure cited by GiveDirectly is an error. This refers to consumption for the lowest rural consumption decile in the survey cited, not the lowest overall consumption quintile. (We think we should use this for comparability). 
We've roughly estimated this by taking the mean of overall deciles 1 and 2 (32,088 and 41,428 Uganda shillings per month respectively), and multiplying by 12 to get annual consumption.
See page 116 https://www.ubos.org/wp-content/uploads/publications/09_2021Uganda-National-Survey-Report-2019-2020.pdf</t>
      </text>
    </comment>
    <comment authorId="0" ref="C10">
      <text>
        <t xml:space="preserve">This is adjusted for inflation over the 1-year survey period: "At the end of this exercise, consumption in IHS5 is adjusted to prices of April/May 2019." http://www.nsomalawi.mw/images/stories/data_on_line/economics/ihs/IHS5/Malawi_Poverty_Report_Final.pdf p.6</t>
      </text>
    </comment>
    <comment authorId="0" ref="D10">
      <text>
        <t xml:space="preserve">See Grafico 4.4 here: https://mozdata.ine.gov.mz/index.php/catalog/88/related-materials</t>
      </text>
    </comment>
    <comment authorId="0" ref="B11">
      <text>
        <t xml:space="preserve">"This report provides the latest information on household demographic characteristics,
education, consumption expenditure, labour force, housing conditions and amenities based
on data collected in 2021 on a monthly basis."</t>
      </text>
    </comment>
    <comment authorId="0" ref="C11">
      <text>
        <t xml:space="preserve">"The estimates have been generated from the results of the Fifth Integrated
Household Survey (IHS5) conducted by the National Statistical Office
(NSO) over a period of one year, from April 2019 to April 2020"</t>
      </text>
    </comment>
    <comment authorId="0" ref="E11">
      <text>
        <t xml:space="preserve">"The Fifth Integrated Household Living Conditions Survey was conducted from October 2016 to October 2017"</t>
      </text>
    </comment>
    <comment authorId="0" ref="F11">
      <text>
        <t xml:space="preserve">"These field trips were conducted
in the period of June 2019 to November 2020."</t>
      </text>
    </comment>
    <comment authorId="0" ref="B12">
      <text>
        <t xml:space="preserve">Assumption; we don't find explicit mention of this in the report</t>
      </text>
    </comment>
    <comment authorId="0" ref="C12">
      <text>
        <t xml:space="preserve">"At the end of this exercise, consumption in IHS5 is adjusted to
prices of April/May 2019."</t>
      </text>
    </comment>
    <comment authorId="0" ref="D12">
      <text>
        <t xml:space="preserve">Grafico 4.4 is expressed in current prices</t>
      </text>
    </comment>
    <comment authorId="0" ref="E12">
      <text>
        <t xml:space="preserve">"This measure is then adjusted for regional and monthly differences in prices, and expressed in the prices of January 2014"</t>
      </text>
    </comment>
    <comment authorId="0" ref="F12">
      <text>
        <t xml:space="preserve">"Both per adult consumption
expenditure and poverty lines are expressed in 2009/2010 prices"</t>
      </text>
    </comment>
    <comment authorId="0" ref="A15">
      <text>
        <t xml:space="preserve">This is generally lower than the GDP growth rates in some of these countries (e.g. Kenyan GDP growth was 5% in 2022). In general, we’d expect consumption in the lowest quintile to grow more slowly than aggregate GDP, because we’d expect gains from economic growth in low-income countries to be disproportionately captured by richer households (e.g. city dwellers, factory workers). This is based on Simon Kuznets’ inverted U-shaped hypothesis on the relationship between economic growth and inequality.</t>
      </text>
    </comment>
    <comment authorId="0" ref="G18">
      <text>
        <t xml:space="preserve">"Official exchange rate refers to the exchange rate determined by national authorities or to the rate determined in the legally sanctioned exchange market.
An alternative exchange rate - the purchasing power parity (PPP) conversion factor - is preferred because it reflects differences in price levels for both tradable and nontradable goods and services and therefore provides a more meaningful comparison of real output"</t>
      </text>
    </comment>
    <comment authorId="0" ref="C25">
      <text>
        <t xml:space="preserve">USAID Benchmarking Study (2020) - https://dshpark.com/files/dynamic_effects.pdf
Table 1, column 4. Added up food and non-food expenditures and divided this by average HH size, as authors do not provide a single HH expenditure. Authors do not specify if this value is nominal or PPP, so assuming it is nominal.
AS note: not clear whether this reports individual consumption or household consumption. May follow up with authors</t>
      </text>
    </comment>
    <comment authorId="0" ref="E25">
      <text>
        <t xml:space="preserve">Gikuriro Benchmarking Study (2018) - https://pdf.usaid.gov/pdf_docs/PA00T9T3.pdf
Table 4 Panel A. Multiplied by 12 to get annual consumption. Authors do not specify if this is nominal or PPP. Assuming it's probably nominal.</t>
      </text>
    </comment>
    <comment authorId="0" ref="B26">
      <text>
        <t xml:space="preserve">"We conducted a total of 7,848 baseline household surveys between September 2014 and
August 2015"</t>
      </text>
    </comment>
    <comment authorId="0" ref="C26">
      <text>
        <t xml:space="preserve">"The NGO GiveDirectly (henceforth, GD) implemented the cash transfer program in Liberia and Malawi in 2019-2021"</t>
      </text>
    </comment>
    <comment authorId="0" ref="E26">
      <text>
        <t xml:space="preserve">"The study timeline was 13 months long, from Aug. 2016-Sept. 2017"</t>
      </text>
    </comment>
    <comment authorId="0" ref="F26">
      <text>
        <t xml:space="preserve">"This is the core question that, in
2016, motivated a partnership between Benckiser Stiftung Zukunft (BSZ) and GiveDirectly in Eastern Uganda
"</t>
      </text>
    </comment>
    <comment authorId="0" ref="B27">
      <text>
        <t xml:space="preserve">Baseline household expenditure = 2536 USD PPP
Table 1, Column 4. in PPP. Since this was at the HH level, divided by average HH size in Kenya.</t>
      </text>
    </comment>
    <comment authorId="0" ref="F27">
      <text>
        <t xml:space="preserve">"All eligible households received a transfer of 3,400,000 UGX, the equivalent of approximately $1,000 in nominal terms ($2,828 PPP)"</t>
      </text>
    </comment>
    <comment authorId="0" ref="A34">
      <text>
        <t xml:space="preserve">See "GiveWell estimates" in our Methodology section here https://www.givewell.org/international/technical/programs/givedirectly-cash-for-poverty-relief-program#GiveWell_estimates</t>
      </text>
    </comment>
    <comment authorId="0" ref="A44">
      <text>
        <t xml:space="preserve">Based on the World Bank. Source: https://www.worldbank.org/en/news/factsheet/2022/05/02/fact-sheet-an-adjustment-to-global-poverty-lines</t>
      </text>
    </comment>
    <comment authorId="0" ref="A45">
      <text>
        <t xml:space="preserve">Source: https://www.nationalacademies.org/documents/embed/link/LF2255DA3DD1C41C0A42D3BEF0989ACAECE3053A6A9B/file/D5E77E093D96605015845463F8FBB30DDF15001F15B0?noSaveAs=1</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"Households invest part of the transfers: the value of nonland assets increased by $302
PPP on average; this represents 61% of the control group mean of
$495 PPP and 43% of the average transfer", Haushofer and Shapiro (2016)"
"The pattern of expenditure effects by category is broadly consistent with earlier work
(Haushofer and Shapiro (2016)).", Egger er al. (2022)</t>
      </text>
    </comment>
    <comment authorId="0" ref="B87">
      <text>
        <t xml:space="preserve">"We thus augment the analysis by making use of data collected as part of the closely related Haushofer and Shapiro study... The MPC of non-durable goods among recipients in the first three quarters following the transfer there was 0.35"
"The total transfer is large, corresponding to 75 percent of mean annual household expenditure in recipient households" Egger er al. (2022)</t>
      </text>
    </comment>
    <comment authorId="0" ref="C87">
      <text>
        <t xml:space="preserve">"As expected, recipient households report significantly higher total expenditure: USD PPP 294 more expenditure than eligible households in control villages (Table I, column 1), an 11.6% increase over the control village in low-saturation area mean of USD PPP 2536"
"The median survey was conducted 19 months after the experimental start month</t>
      </text>
    </comment>
    <comment authorId="0" ref="B88">
      <text>
        <t xml:space="preserve">"Household consumption of nondurable goods is significantly higher in the treatment group than in the control group ($36 PPP a month, or 23% of the control group consumption)", 
"Nine months after the start of the program, we observe an
increase in monthly nondurable expenditure of $36 PPP relative
to the spillover group mean of $158 PPP
Haushofer and Shapiro, 2016</t>
      </text>
    </comment>
    <comment authorId="0" ref="D88">
      <text>
        <t xml:space="preserve">See column 3, table 5. Note this is an across-village ITT -- we think this is the fairer comparison, even if it means it's not really comparable with HS16</t>
      </text>
    </comment>
    <comment authorId="0" ref="E89">
      <text>
        <t xml:space="preserve">"Four years after the grants, YOP recipients reported 17 percent greater work hours, 38 percent greater earnings, and 11 percent greater consumption than controls"</t>
      </text>
    </comment>
    <comment authorId="0" ref="J89">
      <text>
        <t xml:space="preserve">"After nine years, work hours are nearly identical, earnings are less than 5 percent greater, and consumption is less than 2 percent greater than controls"</t>
      </text>
    </comment>
    <comment authorId="0" ref="B90">
      <text>
        <t xml:space="preserve">"Income increases 0.16 standard deviations after one year (including a one third increase in reported earnings and a nearly 10% increase in consumption), but there is virtually no income effect after 5 years"</t>
      </text>
    </comment>
    <comment authorId="0" ref="F90">
      <text>
        <t xml:space="preserve">"In any case, we see no sustained
effect of cash on income or consumption"</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Source for comparator per-capita annual consumption data: World Bank. See WB data tab.</t>
      </text>
    </comment>
    <comment authorId="0" ref="D17">
      <text>
        <t xml:space="preserve">Source for comparator under-5 mortality data: UNICEF. See UNICEF data tab.</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Source: GiveDirectly data. See Country tab in GD data section.</t>
      </text>
    </comment>
    <comment authorId="0" ref="A8">
      <text>
        <t xml:space="preserve">Source: GiveDirectly data. See Country tab in GD data section.</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Source: https://documents1.worldbank.org/curated/en/099452507272341291/pdf/IDU03fcef4630f1c60401209a260398108681817.pdf
Table 4, Summary of Multiplier Effects. pp 22-25</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Source: https://static-content.springer.com/esm/art%3A10.1038%2Fs41586-023-06116-2/MediaObjects/41586_2023_6116_MOESM1_ESM.pdf
Supplementary Table 2. Descriptions of cash transfer programs in intervention countries with available mortality data
during their cash transfer period. pp 3-6</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Note some budgets are built on a multi- vs. single-year basis so you’ll notice some spikiness in single years that seems weird in isolation.
e.g. $11M in fundraising / salary budget in 2021 was carried over into 2022 where only $900K shows in budget.</t>
      </text>
    </comment>
    <comment authorId="0" ref="F1">
      <text>
        <t xml:space="preserve">Only includes funds received with specific program-level restrictions.
We generally consider country-level restrictions to be flexible funds as we're deciding which programs to allocate to.</t>
      </text>
    </comment>
    <comment authorId="0" ref="I1">
      <text>
        <t xml:space="preserve">Same budget note re: multi-year considerations applies to these estimates, e.g. a $1M GD seed allocation in 2021 could be unlocking $6M in that year + subsequent years we ran the program.
You may also notice that some recent levered funds aren't showing up in the overall country allocations as they may be contracted but not yet received.</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Global Data Lab estimate (2022) - https://globaldatalab.org/areadata/profiles/KENt/</t>
      </text>
    </comment>
    <comment authorId="0" ref="C2">
      <text>
        <t xml:space="preserve">Global Data Lab estimate (2020) - https://globaldatalab.org/areadata/profiles/MWIt/</t>
      </text>
    </comment>
    <comment authorId="0" ref="E2">
      <text>
        <t xml:space="preserve">Global Data Lab estimate (2020) - https://globaldatalab.org/areadata/profiles/RWAt/</t>
      </text>
    </comment>
    <comment authorId="0" ref="F2">
      <text>
        <t xml:space="preserve">Global Data Lab estimate (2016) - https://globaldatalab.org/areadata/profiles/UGAt/</t>
      </text>
    </comment>
    <comment authorId="0" ref="B4">
      <text>
        <t xml:space="preserve">From the 2021/22 Kenya DHS Survey. Table 2.7 p33. Specific to rural households. https://dhsprogram.com/pubs/pdf/FR380/FR380bis.pdf</t>
      </text>
    </comment>
    <comment authorId="0" ref="C4">
      <text>
        <t xml:space="preserve">From the 2015/16 DHS report. Table 2.9 p23. Specific to rural households. http://www.nsomalawi.mw/images/stories/data_on_line/demography/mdhs2015_16/MDHS%202015-16%20Final%20Report.pdf</t>
      </text>
    </comment>
    <comment authorId="0" ref="D4">
      <text>
        <t xml:space="preserve">https://dhsprogram.com/publications/publication-FR389-DHS-Final-Reports.cfm</t>
      </text>
    </comment>
    <comment authorId="0" ref="E4">
      <text>
        <t xml:space="preserve">From the 2019/20 Rwanda DHS Survey. Table 2.8 p29. Specific to rural households. https://dhsprogram.com/pubs/pdf/FR380/FR380bis.pdf</t>
      </text>
    </comment>
    <comment authorId="0" ref="F4">
      <text>
        <t xml:space="preserve">From the 2016 DHS survey. Table 2.9 p27. Specific to rural households. https://dhsprogram.com/pubs/pdf/FR333/FR333.pdf</t>
      </text>
    </comment>
    <comment authorId="0" ref="B5">
      <text>
        <t xml:space="preserve">From the 2021/22 Kenya DHS Survey. Table 5.2 p160. Specific to rural households. https://dhsprogram.com/pubs/pdf/FR380/FR380bis.pdf</t>
      </text>
    </comment>
    <comment authorId="0" ref="C5">
      <text>
        <t xml:space="preserve">From the 2015/16 DHS report. Table 5.2 p 76. Specific to rural households. http://www.nsomalawi.mw/images/stories/data_on_line/demography/mdhs2015_16/MDHS%202015-16%20Final%20Report.pdf</t>
      </text>
    </comment>
    <comment authorId="0" ref="E5">
      <text>
        <t xml:space="preserve">From the 2019/20 Rwanda DHS Survey. Table 5.2 p79. Specific to rural households. https://dhsprogram.com/pubs/pdf/FR380/FR380bis.pdf</t>
      </text>
    </comment>
    <comment authorId="0" ref="F5">
      <text>
        <t xml:space="preserve">From the 2016 DHS survey. Table 5.2 p91. Specific to rural households. https://dhsprogram.com/pubs/pdf/FR333/FR333.pdf</t>
      </text>
    </comment>
    <comment authorId="0" ref="B6">
      <text>
        <t xml:space="preserve">From the 2021/22 Kenya DHS Survey. Table 2.7
 p33. Specific to rural households. https://dhsprogram.com/pubs/pdf/FR380/FR380bis.pdf</t>
      </text>
    </comment>
    <comment authorId="0" ref="C6">
      <text>
        <t xml:space="preserve">From the 2015/16 DHS report. Table 2.8 p22. Specific to rural households. http://www.nsomalawi.mw/images/stories/data_on_line/demography/mdhs2015_16/MDHS%202015-16%20Final%20Report.pdf</t>
      </text>
    </comment>
    <comment authorId="0" ref="E6">
      <text>
        <t xml:space="preserve">From the 2019/20 Rwanda DHS Survey. Table 2.7 p28. Specific to rural households. https://dhsprogram.com/pubs/pdf/FR380/FR380bis.pdf</t>
      </text>
    </comment>
    <comment authorId="0" ref="F6">
      <text>
        <t xml:space="preserve">From the 2016 DHS survey. Table 2.9 p26. Specific to rural households. https://dhsprogram.com/pubs/pdf/FR333/FR333.pdf</t>
      </text>
    </comment>
    <comment authorId="0" ref="B9">
      <text>
        <t xml:space="preserve">General Equilibrium Study (2019) - https://www.givedirectly.org/wp-content/uploads/2019/11/General-Equilibrium-Effects-of-Cash-Transfers.pdf
Table 1, Column 4. In PPP. Since this was at the HH level, divided by average HH size in Kenya.
Replicating GW's methodology for deriving a PPP multiplier. Derived using the fact that the GE authors equate $1,000 US (nominal) with $1871 PPP</t>
      </text>
    </comment>
    <comment authorId="0" ref="C9">
      <text>
        <t xml:space="preserve">USAID Benchmarking Study (2020) - https://dshpark.com/files/dynamic_effects.pdf
Table 1, column 4. Added up food and non-food expenditures and divided this by average HH size, as authors do not provide a single HH expenditure. Authors do not specify if this value is nominal or PPP, so assuming it is nominal.</t>
      </text>
    </comment>
    <comment authorId="0" ref="E9">
      <text>
        <t xml:space="preserve">Gikuriro Benchmarking Study (2018) - https://pdf.usaid.gov/pdf_docs/PA00T9T3.pdf
Table 4 Panel A. Multiplied by 12 to get annual consumption. Authors do not specify if this is nominal or PPP. Assuming it's probably nominal.</t>
      </text>
    </comment>
    <comment authorId="0" ref="F9">
      <text>
        <t xml:space="preserve">IDInsight Coffee Study (2019) - https://www.givedirectly.org/wp-content/uploads/2019/06/Cash_Crop_Ugandan_CoffeeRCT.pdf 
p7. Multiplied by 12 to get annual consumption, then divided by average HH size in Uganda to derive per capita amount.
Replicating GW's methodology for deriving a PPP multiplier. Derived using the fact that the authors equate $1,000 US (nominal) with $2828 PPP</t>
      </text>
    </comment>
    <comment authorId="0" ref="A11">
      <text>
        <t xml:space="preserve">Note: we expect there's some variability in definitions of consumption across these sources (e.g. some may include durables, others may not), which could make cross-country comparisons less reliable.</t>
      </text>
    </comment>
    <comment authorId="0" ref="B13">
      <text>
        <t xml:space="preserve">Source: https://www.knbs.or.ke/download/the-kenya-poverty-report-2021/
Table 3.3, p31. Household consumption expenditure threshold for HHs in the lowest quintile (3398 ksh/month/adult equivalent). Report doesn't state if these are real/nominal prices, so assuming these are nominal 2021 prices.
A description of the components of the consumption measure are detailed on pages 15-17.
Converted to 2021 USD using average exchange rate in 2021 of 109.7 Ksh/USD. Source: https://www.exchangerates.org.uk/USD-KES-spot-exchange-rates-history-2021.html</t>
      </text>
    </comment>
    <comment authorId="0" ref="C13">
      <text>
        <t xml:space="preserve">Source: http://www.nsomalawi.mw/images/stories/data_on_line/economics/ihs/IHS5/Malawi_Poverty_Report_Final.pdf 
Table A-6, p30. Mean annual consumption per capita for HHs in the lowest consumption quintile. Data is reported for surveys from IHS4 (2016-2017) and IHS5 (2019-2020). The report doesn't state if these are in nominal or constant dollars, so assuming they are in nominal 2020 dollars.
Consumption includes both food and non-food items. The report describes in detail all of the components that fed into this consumption aggregate on pages 2-5</t>
      </text>
    </comment>
    <comment authorId="0" ref="E13">
      <text>
        <t xml:space="preserve">Source: https://www.statistics.gov.rw/publication/eicv-5-rwanda-poverty-profile-report-201617
Table 7, p14. Average annual HH consumption per adult equivalent for households in Q1 (the poorest income quintile). Prices are in real terms (Jan 2014 Rwf).
The report notes that these consumption values are derived by "adding up the amounts spent on a large range of items, including the value of goods produced and consumed at home. The total household consumption is then divided by the number of adult equivalents - adults aged 20-39 get a weight of 1, children under 1 year old are given a weight of 0.41, and so on - to arrive at a measure of consumption per adult equivalent" (p v)
Converted to 2014 USD using average RWF/USD exchange rate in 2014 of 685 Rwf/USD (Source: https://www.exchangerates.org.uk/USD-RWF-spot-exchange-rates-history-2014.html)</t>
      </text>
    </comment>
    <comment authorId="0" ref="F13">
      <text>
        <t xml:space="preserve">Source: https://www.ubos.org/wp-content/uploads/publications/09_2021Uganda-National-Survey-Report-2019-2020.pdf
Table 6.0, p116. Estimates are derived from the mean monthly consumption per adult equivalent for households in the lowest income quintile in rural Uganda. Data is reported in constant 2009/2010 dollars.
The source does not specify how consumption is derived or what expenditures get counted.
Converted to 2010 USD using average 2010 UGX/USD exchange rate of 1708 UGX/USD. Source: https://www.exchangerates.org.uk/USD-UGX-spot-exchange-rates-history-2010.html</t>
      </text>
    </comment>
    <comment authorId="0" ref="B14">
      <text>
        <t xml:space="preserve">Converted to PPP using 2021 PPP conversion factor of 46.41 LCU to international dollars. Source: https://databank.worldbank.org/source/world-development-indicators</t>
      </text>
    </comment>
    <comment authorId="0" ref="C14">
      <text>
        <t xml:space="preserve">Converted using 2020 PPP conversion factor of 306.03 LCU per international dollar. Source: https://databank.worldbank.org/source/world-development-indicators</t>
      </text>
    </comment>
    <comment authorId="0" ref="E14">
      <text>
        <t xml:space="preserve">Converted using 2014 PPP conversion factor of 265.95 LCU per international dollar. Source: https://databank.worldbank.org/source/world-development-indicators</t>
      </text>
    </comment>
    <comment authorId="0" ref="F14">
      <text>
        <t xml:space="preserve">Converted using 2010 PPP conversion factor of 835.65 LCU per international dollar. Source: https://databank.worldbank.org/source/world-development-indicators</t>
      </text>
    </comment>
    <comment authorId="0" ref="A16">
      <text>
        <t xml:space="preserve">Data sourced from GiveDirectly program registration surveys, limited to recipients who (1) completed surveys between 2022 and 2024, (2) answered at least one of 4 research income questions regarding their own or their household's income, and (3) subsequently enrolled in the program and completed at least one transfer.
Note: we see a number of limitations in using self-reported income data to characterize economic status of recipients, including:
1. Treatment of zero income responses: we count non-null zero income responses as indicative of no income. However, calculating annual income from short-term (one month or one week, depending on survey design) recall responses can misrepresent the annual incomes of individuals with seasonal income, e.g. if the survey occurs during a high or low income period (like harvest time), which could lead to an under- or overestimation of their true total annual income.
2. Potential under-reporting bias: because responses are sourced from surveys during program registration, respondents may under-report their actual income because they believe it will make them more likely to qualify as eligible for program participation.
3. Recall issues: income data may be subject to recall issues, particularly in cases where the recall period of the income question is &gt;1 month. It's possible respondents may inadvertently omit certain sources of income in their responses.</t>
      </text>
    </comment>
    <comment authorId="0" ref="B18">
      <text>
        <t xml:space="preserve">Average annualized income self-reported at program registration by recipients in Kenya large transfer programs between 2022-2024.</t>
      </text>
    </comment>
    <comment authorId="0" ref="C18">
      <text>
        <t xml:space="preserve">Average annualized income self-reported at program registration by recipients in Malawi large transfer programs between 2023-2024.</t>
      </text>
    </comment>
    <comment authorId="0" ref="E18">
      <text>
        <t xml:space="preserve">Average annualized income self-reported at program registration by recipients in Rwanda large transfer programs between 2023-2024.
Note: this figure seems especially low, but we didn't identify any clear quality issues in the dataset. Context from our Rwanda team on what could be driving this:
1. Several of the regions in which we work were impacted by severe flooding in April 2023. There was also an extended drought period between June and August. Both of these climate shocks severely impacted many recipients' livelihoods and likely pushed income downwards.
2. Prevalence of subsistence farming in these regions, which would be captured by consumption measures but not income.</t>
      </text>
    </comment>
    <comment authorId="0" ref="F18">
      <text>
        <t xml:space="preserve">Average annualized income self-reported at program registration by recipients in Uganda large transfer programs in 2023.</t>
      </text>
    </comment>
    <comment authorId="0" ref="B19">
      <text>
        <t xml:space="preserve">Converted to PPP using 2022 conversion factor of 46.26 LCU per international dollar. Source: https://databank.worldbank.org/source/world-development-indicators</t>
      </text>
    </comment>
    <comment authorId="0" ref="C19">
      <text>
        <t xml:space="preserve">Converted to PPP using 2022 conversion factor of 357.89 LCU per international dollar. Source: https://databank.worldbank.org/source/world-development-indicators</t>
      </text>
    </comment>
    <comment authorId="0" ref="E19">
      <text>
        <t xml:space="preserve">Converted using a 2022 (most recent available) PPP conversion factor of 326.27 LCU per international dollar. Source: https://databank.worldbank.org/source/world-development-indicators</t>
      </text>
    </comment>
    <comment authorId="0" ref="F19">
      <text>
        <t xml:space="preserve">Converted using a 2022 (most recent available) PPP conversion factor of 1221.99 LCU per international dollar. Source: https://databank.worldbank.org/source/world-development-indicators</t>
      </text>
    </comment>
    <comment authorId="0" ref="B22">
      <text>
        <t xml:space="preserve">Kenya transfer size has always been  110,000 Ksh which historically has been ~$1,000 -- currently closer to ~$865 due to fx volatility.</t>
      </text>
    </comment>
    <comment authorId="0" ref="C22">
      <text>
        <t xml:space="preserve">MW transfer design is $550 per adult - this assumes 2 heads of household, which is not always the case. Can aim to share estimate of % of HHs with 1 vs. 2 HoHHs if useful.</t>
      </text>
    </comment>
    <comment authorId="0" ref="E22">
      <text>
        <t xml:space="preserve">RW transfer design is $550 per adult - this assumes 2 heads of household, which is not always the case. Can aim to share estimate of % of HHs with 1 vs. 2 HoHHs if useful.</t>
      </text>
    </comment>
    <comment authorId="0" ref="A26">
      <text>
        <t xml:space="preserve">as of July 2024
Source: GD recipient database</t>
      </text>
    </comment>
  </commentList>
</comments>
</file>

<file path=xl/sharedStrings.xml><?xml version="1.0" encoding="utf-8"?>
<sst xmlns="http://schemas.openxmlformats.org/spreadsheetml/2006/main" count="4450" uniqueCount="1482">
  <si>
    <t>Notes on how to engage with our cost-effectiveness analysis</t>
  </si>
  <si>
    <r>
      <rPr>
        <rFont val="Calibri"/>
        <color rgb="FF000000"/>
        <sz val="11.0"/>
      </rPr>
      <t xml:space="preserve">This workbook contains our cost-effectiveness analysis. Cost-effectiveness is one factor we use to assess which opportunities are the highest-priority to support. We also consider other factors such as urgency, quality of implementation, and more. </t>
    </r>
    <r>
      <rPr>
        <rFont val="Calibri"/>
        <b/>
        <color rgb="FF000000"/>
        <sz val="11.0"/>
      </rPr>
      <t xml:space="preserve">If you're a donor interested in supporting the top charity we believe will do the most good at the time your donation is granted, please consider supporting the </t>
    </r>
    <r>
      <rPr>
        <rFont val="Calibri"/>
        <b/>
        <color rgb="FF1155CC"/>
        <sz val="11.0"/>
        <u/>
      </rPr>
      <t>Top Charities Fund</t>
    </r>
    <r>
      <rPr>
        <rFont val="Calibri"/>
        <b/>
        <color rgb="FF000000"/>
        <sz val="11.0"/>
      </rPr>
      <t>.</t>
    </r>
    <r>
      <rPr>
        <rFont val="Calibri"/>
        <color rgb="FF000000"/>
        <sz val="11.0"/>
      </rPr>
      <t xml:space="preserve"> 
On the "Moral weights and discount rate" sheet, we've included GiveWell and conventional estimates for a few parameters. If you'd like to see how our results would change based on different inputs for these parameters, you can make a copy of this spreadsheet and enter your own values in the "Anyone" column.
Expanding the formula bar at the top of the page (by clicking and dragging the bottom boundary) may make it easier to read the contents of explanatory cells.</t>
    </r>
  </si>
  <si>
    <t>Notes on text color coding</t>
  </si>
  <si>
    <t>Blue text: direct input</t>
  </si>
  <si>
    <t>Green text: pulling from another cell in this workbook</t>
  </si>
  <si>
    <t>Black text: calculation</t>
  </si>
  <si>
    <t>Index</t>
  </si>
  <si>
    <t>Moral weights and discount rate</t>
  </si>
  <si>
    <t>Allows staff members or anyone else to supply discount rates and numbers used to trade off different good outcomes</t>
  </si>
  <si>
    <t>AMF</t>
  </si>
  <si>
    <t>Cost-effectiveness analysis for long-lasting insecticide-treated net distributions by the Against Malaria Foundation.</t>
  </si>
  <si>
    <t>GiveDirectly</t>
  </si>
  <si>
    <t>Cost-effectiveness analysis for unconditional cash transfers by GiveDirectly.</t>
  </si>
  <si>
    <t>Deworm the World</t>
  </si>
  <si>
    <t>Cost-effectiveness analysis for deworming by Deworm the World</t>
  </si>
  <si>
    <t>Unlimit Health</t>
  </si>
  <si>
    <t>Cost-effectiveness analysis for deworming by Unlimit Health</t>
  </si>
  <si>
    <t>Sightsavers</t>
  </si>
  <si>
    <t>Cost-effectiveness analysis for deworming by Sightsavers</t>
  </si>
  <si>
    <t>Malaria Consortium</t>
  </si>
  <si>
    <t>Cost-effectiveness analysis for seasonal malaria chemoprevention by Malaria Consortium</t>
  </si>
  <si>
    <t>Helen Keller International</t>
  </si>
  <si>
    <t>Cost-effectiveness analysis for vitamin A supplementation by Helen Keller International</t>
  </si>
  <si>
    <t>New Incentives</t>
  </si>
  <si>
    <t>Cost-effectiveness analysis for conditional cash transfers for immunization by New Incentives</t>
  </si>
  <si>
    <t>Value of counterfactual spending by other actors</t>
  </si>
  <si>
    <t>Used in the leverage and funging adjustments to our cost-effectiveness analyses</t>
  </si>
  <si>
    <t>Supplemental intervention-level adjustments</t>
  </si>
  <si>
    <t>Intervention-level adjustments for outcomes not explicitly modeled in our cost-effectiveness analyses</t>
  </si>
  <si>
    <t>Helpful GiveWell references</t>
  </si>
  <si>
    <t>New CEA</t>
  </si>
  <si>
    <t>New cost-effectiveness analysis (CEA) of GiveDirectly's Cash for Poverty Relief program</t>
  </si>
  <si>
    <t>Analysis</t>
  </si>
  <si>
    <t>Baseline</t>
  </si>
  <si>
    <t>Calculation of our best guess of baseline consumption of GiveDirectly's recipients</t>
  </si>
  <si>
    <t>Consumption</t>
  </si>
  <si>
    <t>Investment returns function given assumptions about amount invested and ROI</t>
  </si>
  <si>
    <t>GE</t>
  </si>
  <si>
    <t>Adjustments to the headline economic multiplier estimate from Egger et al.</t>
  </si>
  <si>
    <t>Spillover</t>
  </si>
  <si>
    <t>Bottom-up reconstruction of the Egger et al. multiplier</t>
  </si>
  <si>
    <t>Mortality</t>
  </si>
  <si>
    <t>Comparison of Egger et al. mortality estimate with cross-country data</t>
  </si>
  <si>
    <t>Development</t>
  </si>
  <si>
    <t>Sense check of how development effects might contribute to cost-effectiveness</t>
  </si>
  <si>
    <t>RFMF</t>
  </si>
  <si>
    <t>Estimate of program reach across countries currently targeted by the Cash for Poverty Relief program</t>
  </si>
  <si>
    <t>Uncertainty</t>
  </si>
  <si>
    <t>Inputs</t>
  </si>
  <si>
    <t>Inputs for Monte Carlo simulations of our GiveDirectly model</t>
  </si>
  <si>
    <t>Sims</t>
  </si>
  <si>
    <t>Simulations of our GiveDirectly CEA based on the inputs in the previous tab</t>
  </si>
  <si>
    <t>Raw</t>
  </si>
  <si>
    <t>WB</t>
  </si>
  <si>
    <t>Poverty, food insecurity, and other data from the World Bank</t>
  </si>
  <si>
    <t>IHME</t>
  </si>
  <si>
    <t>Child mortality data from the Institute for Health Metrics and Evaluation</t>
  </si>
  <si>
    <t>UNICEF</t>
  </si>
  <si>
    <t>Child mortality data from UNICEF</t>
  </si>
  <si>
    <t>Equivalence</t>
  </si>
  <si>
    <t>Adult equivalence conversion factor calculations</t>
  </si>
  <si>
    <t>Papers</t>
  </si>
  <si>
    <t>Papers which estimate economic mutlipliers</t>
  </si>
  <si>
    <t>u5m papers</t>
  </si>
  <si>
    <t>Papers which estimate under-5 mortality</t>
  </si>
  <si>
    <t>GD data</t>
  </si>
  <si>
    <t>Summ</t>
  </si>
  <si>
    <t>Overview of data sent to us by GiveDirectly</t>
  </si>
  <si>
    <t>Historic</t>
  </si>
  <si>
    <t>Historic funding allocation data across GiveDirectly programs</t>
  </si>
  <si>
    <t>Flex</t>
  </si>
  <si>
    <t>Flex and unrestricted funding data across programs</t>
  </si>
  <si>
    <t>Country</t>
  </si>
  <si>
    <r>
      <rPr>
        <b/>
      </rPr>
      <t>What is this?</t>
    </r>
    <r>
      <rPr/>
      <t xml:space="preserve"> This tab outlines our current (new) CEA of GiveDirectly</t>
    </r>
  </si>
  <si>
    <t>Kenya</t>
  </si>
  <si>
    <t>Malawi</t>
  </si>
  <si>
    <t>Mozambique</t>
  </si>
  <si>
    <t>Rwanda</t>
  </si>
  <si>
    <t>Uganda</t>
  </si>
  <si>
    <t>Program reach</t>
  </si>
  <si>
    <t>Arbitrary donation (nominal USD)</t>
  </si>
  <si>
    <t>Total size of transfer per household (nominal USD)</t>
  </si>
  <si>
    <t>Transfers as a percentage of total cost</t>
  </si>
  <si>
    <t>Number of households receiving transfer</t>
  </si>
  <si>
    <t>PPP adjustment (2017)</t>
  </si>
  <si>
    <t>Total size of transfer per household (PPP 2017)</t>
  </si>
  <si>
    <t>Average household size</t>
  </si>
  <si>
    <t>Size of transfer per person (PPP 2017)</t>
  </si>
  <si>
    <t>Number of people reached</t>
  </si>
  <si>
    <t>Consumption gains to recipients</t>
  </si>
  <si>
    <t>Baseline annual consumption per capita (PPP 2017)</t>
  </si>
  <si>
    <t>Percentage of transfers invested</t>
  </si>
  <si>
    <t>Percentage of transfers consumed in year 1</t>
  </si>
  <si>
    <t>Implied increase in consumption per person in year 1</t>
  </si>
  <si>
    <t>Percentage increase in consumption over baseline</t>
  </si>
  <si>
    <t>Immediate increase in ln(consumption) per person</t>
  </si>
  <si>
    <t>Value assigned to increasing ln(consumption) by one unit for one person for one year</t>
  </si>
  <si>
    <t>Units of value from year 1 consumption gains per person</t>
  </si>
  <si>
    <t>Units of value from year 1 consumption gains given program reach</t>
  </si>
  <si>
    <t>Value of year 2-10 consumption returns as % of year 1 consumption returns</t>
  </si>
  <si>
    <t>Units of value from year 1-10 consumption gains</t>
  </si>
  <si>
    <t>Distributional adjustment (accounting for consumption gains accruing to richer recipients)</t>
  </si>
  <si>
    <t>Units of value from year 1-10 consumption gains post adjustments</t>
  </si>
  <si>
    <t>Units of value from recipient consumption gains per $ donated</t>
  </si>
  <si>
    <t>Previous GiveDirectly cost-effectiveness estimate (units of value per $)</t>
  </si>
  <si>
    <t>Initial CE from recipient consumption gains (x previous benchmark)</t>
  </si>
  <si>
    <t>Spillovers to non-recipients/general equilibrium effects</t>
  </si>
  <si>
    <t>Egger et al. economic multiplier</t>
  </si>
  <si>
    <t>Double-counting adjustment (stripping out recipient consumption gains)</t>
  </si>
  <si>
    <t>IV adjustment (regressing Egger et al. towards prior)</t>
  </si>
  <si>
    <t>EV adjustment (generalizing the multiplier to current program conditions)</t>
  </si>
  <si>
    <t>Distributional adjustment (accounting for consumption spillovers accruing to richer non-recipients)</t>
  </si>
  <si>
    <t>Spillover/general equilibrium benefits (as % of recipient consumption benefits), post adjustments</t>
  </si>
  <si>
    <t>Units of value from non-recipient spillovers</t>
  </si>
  <si>
    <t>Units of value from consumption gains and non-recipient spillovers</t>
  </si>
  <si>
    <t>Initial CE from consumption gains and spillovers (x previous benchmark)</t>
  </si>
  <si>
    <t>Mortality benefits</t>
  </si>
  <si>
    <t>Share of children under 5 in targeted population</t>
  </si>
  <si>
    <t>Number of under-5 children reached</t>
  </si>
  <si>
    <t>Average under-5 mortality rate in each country (2023)</t>
  </si>
  <si>
    <t>Under-5 mortality rate in Egger et al. preliminary results (2015-2017)</t>
  </si>
  <si>
    <t>Under-5 mortality rate in UNICEF data (2016)</t>
  </si>
  <si>
    <t>Adjustment for GiveDirectly's under-5 population being at higher risk</t>
  </si>
  <si>
    <t>Under-5 morality rate in GiveDirectly target population (2023)</t>
  </si>
  <si>
    <t>% reduction in under 5 mortality due to transfer, unadjusted</t>
  </si>
  <si>
    <t>Internal validity adjustment</t>
  </si>
  <si>
    <t>% reduction in under 5 mortality among recipient households, adjusted</t>
  </si>
  <si>
    <t>Under-5 deaths averted among recipient households</t>
  </si>
  <si>
    <t>Value assigned to averting an under-5 death</t>
  </si>
  <si>
    <t>Units of value from child mortality benefits</t>
  </si>
  <si>
    <t>Adult mortality benefits (as % of child mortality benefits)</t>
  </si>
  <si>
    <t>Units of value from child and adult mortality benefits</t>
  </si>
  <si>
    <t>Units of value from consumption and mortality benefits</t>
  </si>
  <si>
    <t>Initial CE from consumption and child mortality (x previous benchmark)</t>
  </si>
  <si>
    <t>Supplementary adjustments</t>
  </si>
  <si>
    <t>Reduced morbidity</t>
  </si>
  <si>
    <t>Developmental effects</t>
  </si>
  <si>
    <t>Leverage &amp; funging</t>
  </si>
  <si>
    <t>Risk of wastage/fraud</t>
  </si>
  <si>
    <t>Within-org fungibility</t>
  </si>
  <si>
    <t>Psychological spillovers</t>
  </si>
  <si>
    <t>Total adjustment factor</t>
  </si>
  <si>
    <t>Disaggregated cost-effectiveness estimate (x cash)</t>
  </si>
  <si>
    <t>Estimate of where marginal $ goes</t>
  </si>
  <si>
    <t>Aggregated cost-effectiveness estimate (x cash)</t>
  </si>
  <si>
    <t>Cost per life saved</t>
  </si>
  <si>
    <t>Breakdown of bottom-line</t>
  </si>
  <si>
    <t>In units of value</t>
  </si>
  <si>
    <t>Consumption benefits to recipients</t>
  </si>
  <si>
    <t>Spillover benefits to non-recipients</t>
  </si>
  <si>
    <t>Additional benefits and downsides</t>
  </si>
  <si>
    <t>Total units of value</t>
  </si>
  <si>
    <t>Units of value per $</t>
  </si>
  <si>
    <t>In percentages</t>
  </si>
  <si>
    <r>
      <rPr>
        <rFont val="Calibri"/>
        <b/>
        <sz val="11.0"/>
      </rPr>
      <t>What is this?</t>
    </r>
    <r>
      <rPr>
        <rFont val="Calibri"/>
        <sz val="11.0"/>
      </rPr>
      <t xml:space="preserve"> This tab calculates our best guess of baseline consumption of GiveDirectly's recipients in the 5 countries they have live Poverty Relief programs</t>
    </r>
  </si>
  <si>
    <r>
      <rPr>
        <rFont val="Calibri"/>
        <sz val="11.0"/>
      </rPr>
      <t xml:space="preserve">Notes: latest consumption surveys sourced from </t>
    </r>
    <r>
      <rPr>
        <rFont val="Calibri"/>
        <color rgb="FF1155CC"/>
        <sz val="11.0"/>
        <u/>
      </rPr>
      <t>World Bank PIP</t>
    </r>
  </si>
  <si>
    <t>Notes</t>
  </si>
  <si>
    <t>Demographics</t>
  </si>
  <si>
    <t xml:space="preserve">Average rural household size </t>
  </si>
  <si>
    <t>Consumption - Government consumption survey data</t>
  </si>
  <si>
    <t>Annual consumption per adult equivalent in lowest quintile (local currency, latest year available)</t>
  </si>
  <si>
    <t>Step 1: convert from adult equivalent to per capita terms</t>
  </si>
  <si>
    <t>Implied adjustment to get measures in per capita terms</t>
  </si>
  <si>
    <t>Annual consumption per capita in lowest quintile (local currency, latest year available)</t>
  </si>
  <si>
    <t>Year data was collected</t>
  </si>
  <si>
    <t>Year prices are expressed in</t>
  </si>
  <si>
    <t>Step 2: account for economic growth since data collection year</t>
  </si>
  <si>
    <t>Years since data collection</t>
  </si>
  <si>
    <t>Estimated consumption growth per year</t>
  </si>
  <si>
    <t>Estimated annual consumption per capita in lowest quintile (local currency, 2024, not PPP adjusted)</t>
  </si>
  <si>
    <t>Step 3: covert to USD</t>
  </si>
  <si>
    <t>Official exchange rate in 2017</t>
  </si>
  <si>
    <t>NB: this is the nominal exchange rate</t>
  </si>
  <si>
    <t>LCU conversion factor in 2017</t>
  </si>
  <si>
    <t>This takes into account cost-of-living differentials</t>
  </si>
  <si>
    <t>Annual consumption per capita (nominal USD 2017)</t>
  </si>
  <si>
    <t>Bottom quintile annual consumption per capita (2017 PPP)</t>
  </si>
  <si>
    <t>Implied PPP adjustment</t>
  </si>
  <si>
    <t>Consumption - RCT data</t>
  </si>
  <si>
    <t>Annual consumption per capita (nominal)</t>
  </si>
  <si>
    <t>Year this esimate comes from</t>
  </si>
  <si>
    <t>Annual consumption per capita (PPP adjusted, year of data collection)</t>
  </si>
  <si>
    <t>Estimated annual consumption per capita (PPP adjusted, 2024)</t>
  </si>
  <si>
    <t>Best guess</t>
  </si>
  <si>
    <t>Bottom quintile consumption estimates implied by government surveys</t>
  </si>
  <si>
    <t>RCT estimates</t>
  </si>
  <si>
    <t>Ad hoc adjustment to government consumption estimates</t>
  </si>
  <si>
    <t>Best-guess of consumption of GiveDirectly recipients</t>
  </si>
  <si>
    <t>Size of transfer</t>
  </si>
  <si>
    <t>Size of transfer (nominal USD)</t>
  </si>
  <si>
    <t>Size of transfer (2017 PPP)</t>
  </si>
  <si>
    <t>Intuition: $1k 'goes further' in different countries</t>
  </si>
  <si>
    <t>Compared to absolute poverty benchmarks</t>
  </si>
  <si>
    <t>Absolute poverty line (2017 prices)</t>
  </si>
  <si>
    <t>Estimated requirement to meet basic calorific needs (2017 prices)</t>
  </si>
  <si>
    <t>Implied consumption per day (current best guess)</t>
  </si>
  <si>
    <t>Implied poverty gap</t>
  </si>
  <si>
    <t>Best guess of consumption per capita of GiveDirectly recipients</t>
  </si>
  <si>
    <t>PIP median consumption estimates (per day)</t>
  </si>
  <si>
    <t>GDP per capita</t>
  </si>
  <si>
    <r>
      <rPr>
        <rFont val="Calibri"/>
        <sz val="11.0"/>
      </rPr>
      <t xml:space="preserve">% of people </t>
    </r>
    <r>
      <rPr>
        <rFont val="Calibri"/>
        <i/>
        <sz val="11.0"/>
      </rPr>
      <t xml:space="preserve">not </t>
    </r>
    <r>
      <rPr>
        <rFont val="Calibri"/>
        <sz val="11.0"/>
      </rPr>
      <t>living in multidimensional poverty</t>
    </r>
  </si>
  <si>
    <r>
      <rPr>
        <rFont val="Calibri"/>
        <sz val="11.0"/>
      </rPr>
      <t xml:space="preserve">% of children </t>
    </r>
    <r>
      <rPr>
        <rFont val="Calibri"/>
        <i/>
        <sz val="11.0"/>
      </rPr>
      <t xml:space="preserve">not </t>
    </r>
    <r>
      <rPr>
        <rFont val="Calibri"/>
        <sz val="11.0"/>
      </rPr>
      <t>stunted</t>
    </r>
  </si>
  <si>
    <t>Government survey estimates</t>
  </si>
  <si>
    <t>GiveWell best-guess</t>
  </si>
  <si>
    <t>Kenya (old)</t>
  </si>
  <si>
    <r>
      <rPr>
        <b/>
      </rPr>
      <t>What is this?</t>
    </r>
    <r>
      <rPr>
        <b val="0"/>
      </rPr>
      <t xml:space="preserve"> This tab constructs an investment returns function given assumptions about amount invested and ROI</t>
    </r>
  </si>
  <si>
    <t>Consumption returns assumptions</t>
  </si>
  <si>
    <t>Amount of transfer invested</t>
  </si>
  <si>
    <t>Year 2 ROI</t>
  </si>
  <si>
    <t>Decay in consumption returns</t>
  </si>
  <si>
    <t>Counterfactual growth in recipient consumption</t>
  </si>
  <si>
    <t>Moral weights</t>
  </si>
  <si>
    <t>Discount rate</t>
  </si>
  <si>
    <t>Transfer size per person</t>
  </si>
  <si>
    <t>Year 1 increase in consumption</t>
  </si>
  <si>
    <t>Amount invested/saved</t>
  </si>
  <si>
    <t>Baseline/counterfactual consumption</t>
  </si>
  <si>
    <t>Counterfactual increase in consumption</t>
  </si>
  <si>
    <t>Increase in ln(consumption)</t>
  </si>
  <si>
    <t>Discounted increase in ln(consumption)</t>
  </si>
  <si>
    <t>Discounted units of value</t>
  </si>
  <si>
    <t>Total units of value given people reached</t>
  </si>
  <si>
    <t>Year 2-10 consumption gains (as % of year 1 consumption gains)</t>
  </si>
  <si>
    <t>Relative consumption gains (%)</t>
  </si>
  <si>
    <t>Sense checks</t>
  </si>
  <si>
    <t>What do our assumptions imply about the marginal propensity to consume?</t>
  </si>
  <si>
    <t>Implied marginal propensity to consume (year 2)</t>
  </si>
  <si>
    <t>How do our relative consumption gains compare to experimental estimates?</t>
  </si>
  <si>
    <t>Year 1</t>
  </si>
  <si>
    <t>Year 2</t>
  </si>
  <si>
    <t>Year 3</t>
  </si>
  <si>
    <t>Year 4</t>
  </si>
  <si>
    <t>Year 5</t>
  </si>
  <si>
    <t>Year 6</t>
  </si>
  <si>
    <t>Year 7</t>
  </si>
  <si>
    <t>Year 8</t>
  </si>
  <si>
    <t>Year 9</t>
  </si>
  <si>
    <t>Year 10</t>
  </si>
  <si>
    <t>GiveWell estimates</t>
  </si>
  <si>
    <t>Egger et al.</t>
  </si>
  <si>
    <t>Haushofer and Shapiro</t>
  </si>
  <si>
    <t>Blattman et al. Uganda</t>
  </si>
  <si>
    <t>Blattman et al. Ethiopia</t>
  </si>
  <si>
    <r>
      <rPr>
        <b/>
      </rPr>
      <t>What is this?</t>
    </r>
    <r>
      <rPr/>
      <t xml:space="preserve"> This tab applies adjustments to the headline economic multiplier estimate from Egger et al.</t>
    </r>
  </si>
  <si>
    <t>Accounting adjustment</t>
  </si>
  <si>
    <t>Total transfer amount per person (denominator)</t>
  </si>
  <si>
    <t>Transfer multiplier</t>
  </si>
  <si>
    <t>Egger et al. multiplier</t>
  </si>
  <si>
    <t>Implied economic activity generated (numerator)</t>
  </si>
  <si>
    <t>Implied</t>
  </si>
  <si>
    <t>Recipient consumption/investment returns by year 2</t>
  </si>
  <si>
    <t>Calculated elsewhere in the model</t>
  </si>
  <si>
    <t>Implied accounting adjustment</t>
  </si>
  <si>
    <t>Sense-check: what is our implied multiplier?</t>
  </si>
  <si>
    <t>Notes:</t>
  </si>
  <si>
    <t>Implied by my consumption assumptions</t>
  </si>
  <si>
    <t>Non-recipient consumption benefits (as % of recipient consumption benefits)</t>
  </si>
  <si>
    <t>Distributional adjustment</t>
  </si>
  <si>
    <t>Non-recipient consumption/investment returns by year 2</t>
  </si>
  <si>
    <t>Recipient + non-recipient consumption &amp; investment returns by year 2 (numerator)</t>
  </si>
  <si>
    <t>Implied multiplier</t>
  </si>
  <si>
    <t>Sense-check: what do our assumptions imply about how we expect the multiplier to grow across time?</t>
  </si>
  <si>
    <t>Cumulative consumption gains of recipients</t>
  </si>
  <si>
    <t>% increase from previous year</t>
  </si>
  <si>
    <t>What this implies about by expected multiplier growth</t>
  </si>
  <si>
    <r>
      <rPr>
        <b/>
      </rPr>
      <t>What is this?</t>
    </r>
    <r>
      <rPr/>
      <t xml:space="preserve"> This tab tries to reconstruct the Egger et al. multiplier from the bottom-up, given population census estimates and treatment effects estimated on recipients and non-recipients (Table 1)</t>
    </r>
  </si>
  <si>
    <t>Transfer amount</t>
  </si>
  <si>
    <t>BOTEC</t>
  </si>
  <si>
    <t>Source</t>
  </si>
  <si>
    <t>Recipient households</t>
  </si>
  <si>
    <t>"We provided one-time cash transfers of about USD 1000 to over 10,500 poor households across 653 randomized villages in rural Kenya", Egger et al. (2022)</t>
  </si>
  <si>
    <t>Size of transfer (PPP)</t>
  </si>
  <si>
    <t>"These households received a series of three transfers totaling KES 87,000, or USD 1871 PPP (USD 1000 nominal)"</t>
  </si>
  <si>
    <t>Total amount transferred</t>
  </si>
  <si>
    <t>Denominator of the multiplier</t>
  </si>
  <si>
    <t>Consumption multiplier</t>
  </si>
  <si>
    <t>Recipients</t>
  </si>
  <si>
    <r>
      <rPr/>
      <t xml:space="preserve">Average effect on </t>
    </r>
    <r>
      <rPr>
        <b/>
      </rPr>
      <t>annual</t>
    </r>
    <r>
      <rPr/>
      <t xml:space="preserve"> consumption, recipients (PPP)</t>
    </r>
  </si>
  <si>
    <t>Table 1, column 2</t>
  </si>
  <si>
    <t>Median timing of follow-up (months)</t>
  </si>
  <si>
    <t>"The 5th/95th percentiles of timing ranged from 12 to 27 months, and the median survey was conducted 19 months after the experimental start month"</t>
  </si>
  <si>
    <t>Timing of follow-up (years, rounded)</t>
  </si>
  <si>
    <t>Average increase in consumption, recipient households</t>
  </si>
  <si>
    <r>
      <rPr/>
      <t xml:space="preserve">"The increase in GDP is fairly stable over time; in fact, we cannot reject that the expenditure response is constant across all quarters (p-value of 0.53)", </t>
    </r>
    <r>
      <rPr>
        <color rgb="FF1155CC"/>
        <u/>
      </rPr>
      <t>Egger et al. (2022)</t>
    </r>
    <r>
      <rPr/>
      <t>, page 29</t>
    </r>
  </si>
  <si>
    <t>Total increase in consumption, recipients</t>
  </si>
  <si>
    <t>Note: doesn't include asset expenditure</t>
  </si>
  <si>
    <t>Non-recipients</t>
  </si>
  <si>
    <t>Number of households in sampling frame</t>
  </si>
  <si>
    <t>"Our household and enterprise censuses of the study area count 65,383 households and 12,095 non-farm enterprises"</t>
  </si>
  <si>
    <t>% of households defined as nearby non-recipients</t>
  </si>
  <si>
    <t>"We find that nonrecipient households account for 82% of the household contribution to the expenditure multiplier and 85% of the contribution to the income multiplier, both of which are somewhat higher than their share in the local population of 67%"</t>
  </si>
  <si>
    <t>Implied number of non-recipient households that were nearby recipient households</t>
  </si>
  <si>
    <t>Implied number of households that i) didn't receive transfers; ii) weren't nearby those that did (i.e. 'pure' controls)</t>
  </si>
  <si>
    <r>
      <rPr/>
      <t xml:space="preserve">Average effect on </t>
    </r>
    <r>
      <rPr>
        <b/>
      </rPr>
      <t>annual</t>
    </r>
    <r>
      <rPr/>
      <t xml:space="preserve"> consumption, non-recipients (PPP)</t>
    </r>
  </si>
  <si>
    <t>Table 1, column 3</t>
  </si>
  <si>
    <t>Average increase in consumption, non-recipient households</t>
  </si>
  <si>
    <t>Assume same 2 year follow-up</t>
  </si>
  <si>
    <t>Total increase in consumption, non-recipients</t>
  </si>
  <si>
    <t>Total increase in consumption among recipients + nearby non-recipients</t>
  </si>
  <si>
    <t>Implied consumption multiplier</t>
  </si>
  <si>
    <t>Consumption multiplier in Egger et al. = 2.0. Roughly checks out</t>
  </si>
  <si>
    <t>Transfer amount that still needs to be 'explained'</t>
  </si>
  <si>
    <t>Remainder of the cash transfer that isn't yet accounted for</t>
  </si>
  <si>
    <t>Total increase in economic activity if we include this as investment expenditure (metal roofs, farming equipment, radios etc.)</t>
  </si>
  <si>
    <t>Assume all the transfer which isn't consumed goes towards investment</t>
  </si>
  <si>
    <t>Implied total economic multiplier</t>
  </si>
  <si>
    <t>Checks out</t>
  </si>
  <si>
    <t>Bottom-up model</t>
  </si>
  <si>
    <t>"We find that nonrecipient households account for 82% of the household contribution to the expenditure multiplier and 85% of the contribution to the income multiplier, both of which are somewhat higher than their share in the local population of 67%"
See Table 5 - consumption contributes ~2.0 of the 2.5 multiplier, implying a ~80% contribution</t>
  </si>
  <si>
    <t>Asset/investment gains to recipients</t>
  </si>
  <si>
    <t>Consumption gains to non-recipients</t>
  </si>
  <si>
    <t>How does the Egger et al. estimate triangulate with x-country correlations between u5 mortality and baseline consumption?</t>
  </si>
  <si>
    <t>u5 mortality rate during the trial</t>
  </si>
  <si>
    <r>
      <rPr/>
      <t xml:space="preserve">Egger et al. (2024), </t>
    </r>
    <r>
      <rPr>
        <color rgb="FF1155CC"/>
        <u/>
      </rPr>
      <t>Table 1</t>
    </r>
  </si>
  <si>
    <t>Reduction due to GD progam</t>
  </si>
  <si>
    <r>
      <rPr/>
      <t xml:space="preserve">"Unconditional cash transfers (accounting for spillovers) lead to 48% fewer infant deaths before age one and 45% fewer child deaths before age five", </t>
    </r>
    <r>
      <rPr>
        <color rgb="FF1155CC"/>
        <u/>
      </rPr>
      <t>Walker et al. (2025)</t>
    </r>
    <r>
      <rPr/>
      <t>, page 1</t>
    </r>
  </si>
  <si>
    <t>Implied u5 mortality rate during GD program</t>
  </si>
  <si>
    <t>Household consumption in control group in Egger et al. (PPP)</t>
  </si>
  <si>
    <t>Egger et al. (2022), Table 1</t>
  </si>
  <si>
    <t>Size of transfer per household (PPP)</t>
  </si>
  <si>
    <t>"These households received a series of three transfers totaling KES 87,000, or USD 1871 PPP (USD 1000 nominal)", Egger et al. (2022), page 2</t>
  </si>
  <si>
    <t>Size of transfer per member (PPP)</t>
  </si>
  <si>
    <t>Marginal propensity to consume</t>
  </si>
  <si>
    <t>"These estimates are broadly in line with what a simple model would imply from households’ marginal propensity to consume local value added, which we estimate to be approximately 0.76 over the study period", page 4</t>
  </si>
  <si>
    <t>Timing of follow-up (years)</t>
  </si>
  <si>
    <t>"The 5th/95th percentiles of timing ranged from 12 to 27 months, and the median survey was conducted 19 months after the experimental start month", Egger et al. (2022), page 7</t>
  </si>
  <si>
    <t>Consumption per capita (non-recipients)</t>
  </si>
  <si>
    <t>Consumption per capita (recipients)</t>
  </si>
  <si>
    <t>Year consumption estimate pertains to</t>
  </si>
  <si>
    <t>Annual consumption per capita (2017 PPP)</t>
  </si>
  <si>
    <t>under-5 mortality rate (%)</t>
  </si>
  <si>
    <t>Egger et al - control</t>
  </si>
  <si>
    <t>2015-17</t>
  </si>
  <si>
    <t>Egger et al - recipients</t>
  </si>
  <si>
    <t>Burundi</t>
  </si>
  <si>
    <t>Democratic Republic of the Congo</t>
  </si>
  <si>
    <t>Ethiopia</t>
  </si>
  <si>
    <t>Lesotho</t>
  </si>
  <si>
    <t>Madagascar</t>
  </si>
  <si>
    <t>Tanzania</t>
  </si>
  <si>
    <t>Zambia</t>
  </si>
  <si>
    <t>Zimbabwe</t>
  </si>
  <si>
    <r>
      <rPr>
        <b/>
      </rPr>
      <t xml:space="preserve">What is this? </t>
    </r>
    <r>
      <rPr/>
      <t>Sense check of how development effects might contribute to CE given different treatment effects</t>
    </r>
  </si>
  <si>
    <t>Number of people directly targeted</t>
  </si>
  <si>
    <t>u15 share of people targeted</t>
  </si>
  <si>
    <t>Number of u15 children targeted</t>
  </si>
  <si>
    <t>Effect of exposure to GD program in childhood on adult earnings</t>
  </si>
  <si>
    <t>Annual increase in ln consumption in adulthood</t>
  </si>
  <si>
    <t>Years until benefits start to materialize</t>
  </si>
  <si>
    <t>Benefit on one year's income, discounted</t>
  </si>
  <si>
    <t>Years of working life</t>
  </si>
  <si>
    <t>Present value of increase in adult ln consumption</t>
  </si>
  <si>
    <t>Multiplier for resource sharing within household</t>
  </si>
  <si>
    <t>Units of value from development benefits</t>
  </si>
  <si>
    <t>Cost-effectiveness (x cash)</t>
  </si>
  <si>
    <t>Population estimate (million)</t>
  </si>
  <si>
    <t>Estimated number of households (million)</t>
  </si>
  <si>
    <t>Poverty headcount rate (%)</t>
  </si>
  <si>
    <t>Estimated number of households living in extreme poverty (million)</t>
  </si>
  <si>
    <t>Number of households that have received large one-off GD transfers</t>
  </si>
  <si>
    <t>Number of households that have received other types of GD transfers</t>
  </si>
  <si>
    <t>Max % of households in extreme poverty that could have received a lump-sum GD transfer</t>
  </si>
  <si>
    <t>Max % of households in extreme poverty that could have received any GD transfer</t>
  </si>
  <si>
    <t>% of households in extreme poverty that have not received transfers</t>
  </si>
  <si>
    <r>
      <rPr>
        <b/>
      </rPr>
      <t>What is this?</t>
    </r>
    <r>
      <rPr/>
      <t xml:space="preserve"> This tab specifies inputs for Monte Carlo simulations of our GiveDirectly model</t>
    </r>
  </si>
  <si>
    <t>Distribution</t>
  </si>
  <si>
    <t>p5</t>
  </si>
  <si>
    <t>p25</t>
  </si>
  <si>
    <t>p75</t>
  </si>
  <si>
    <t>p95</t>
  </si>
  <si>
    <t>Uniform</t>
  </si>
  <si>
    <t>Share of u5s in targeted population</t>
  </si>
  <si>
    <t>Number of u5 children reached</t>
  </si>
  <si>
    <t>Average u5 mortality rate in each country (%)</t>
  </si>
  <si>
    <t>u5 mortality rate in Egger et al. (2015-2017)</t>
  </si>
  <si>
    <t>u5 mortality rate in UNICEF data (2016)</t>
  </si>
  <si>
    <t>Adjustment for GD u5 population being at higher risk</t>
  </si>
  <si>
    <t>u5 morality rate in GD target population</t>
  </si>
  <si>
    <t>IV adjustment</t>
  </si>
  <si>
    <t>u5 deaths averted among recipient households</t>
  </si>
  <si>
    <r>
      <rPr>
        <b/>
      </rPr>
      <t>What is this?</t>
    </r>
    <r>
      <rPr/>
      <t xml:space="preserve"> This tab runs simulations of our GiveDirectly CEA based on the inputs in the previous tab</t>
    </r>
  </si>
  <si>
    <t>Avg check</t>
  </si>
  <si>
    <t>p25 check</t>
  </si>
  <si>
    <t>p75 check</t>
  </si>
  <si>
    <t>Sims &gt;&gt;</t>
  </si>
  <si>
    <t>PPP conversion factor, private consumption (LCU per international $)</t>
  </si>
  <si>
    <r>
      <rPr/>
      <t xml:space="preserve">Source: </t>
    </r>
    <r>
      <rPr>
        <color rgb="FF1155CC"/>
        <u/>
      </rPr>
      <t>World Bank</t>
    </r>
  </si>
  <si>
    <t>Country Name</t>
  </si>
  <si>
    <t>Country Code</t>
  </si>
  <si>
    <t>Indicator Name</t>
  </si>
  <si>
    <t>Indicator Code</t>
  </si>
  <si>
    <t>KEN</t>
  </si>
  <si>
    <t>PA.NUS.PRVT.PP</t>
  </si>
  <si>
    <t>MOZ</t>
  </si>
  <si>
    <t>MWI</t>
  </si>
  <si>
    <t>RWA</t>
  </si>
  <si>
    <t>UGA</t>
  </si>
  <si>
    <t>Official exchange rate (LCU per US$, period average)</t>
  </si>
  <si>
    <r>
      <rPr/>
      <t xml:space="preserve">Source: </t>
    </r>
    <r>
      <rPr>
        <color rgb="FF1155CC"/>
        <u/>
      </rPr>
      <t>World Bank</t>
    </r>
  </si>
  <si>
    <t>PA.NUS.FCRF</t>
  </si>
  <si>
    <t>GDP per capita, PPP (constant 2021 international $)</t>
  </si>
  <si>
    <r>
      <rPr/>
      <t xml:space="preserve">Source: </t>
    </r>
    <r>
      <rPr>
        <color rgb="FF1155CC"/>
        <u/>
      </rPr>
      <t>World Bank</t>
    </r>
  </si>
  <si>
    <t>NY.GDP.PCAP.PP.KD</t>
  </si>
  <si>
    <t>Multidimensional poverty headcount ratio</t>
  </si>
  <si>
    <r>
      <rPr/>
      <t xml:space="preserve">Source: </t>
    </r>
    <r>
      <rPr>
        <color rgb="FF1155CC"/>
        <u/>
      </rPr>
      <t>World Bank</t>
    </r>
  </si>
  <si>
    <t>Survey year</t>
  </si>
  <si>
    <t>Multidimensional poverty headcount ratio (%)</t>
  </si>
  <si>
    <t>Food security index</t>
  </si>
  <si>
    <r>
      <rPr/>
      <t xml:space="preserve">Source: </t>
    </r>
    <r>
      <rPr>
        <color rgb="FF1155CC"/>
        <u/>
      </rPr>
      <t>Economist Impact</t>
    </r>
  </si>
  <si>
    <t>Reference year</t>
  </si>
  <si>
    <t>% of children stunted</t>
  </si>
  <si>
    <t>Population density</t>
  </si>
  <si>
    <r>
      <rPr>
        <rFont val="Calibri, sans-serif"/>
        <color rgb="FF000000"/>
        <sz val="11.0"/>
      </rPr>
      <t xml:space="preserve">Source: </t>
    </r>
    <r>
      <rPr>
        <rFont val="Calibri, sans-serif"/>
        <color rgb="FF1155CC"/>
        <sz val="11.0"/>
        <u/>
      </rPr>
      <t>World Bank</t>
    </r>
  </si>
  <si>
    <t>Population density (people per sq. km of land area)</t>
  </si>
  <si>
    <t>EN.POP.DNST</t>
  </si>
  <si>
    <t>Rural Access index</t>
  </si>
  <si>
    <r>
      <rPr/>
      <t xml:space="preserve">Source: </t>
    </r>
    <r>
      <rPr>
        <color rgb="FF1155CC"/>
        <u/>
      </rPr>
      <t>World Bank</t>
    </r>
    <r>
      <rPr/>
      <t xml:space="preserve"> and </t>
    </r>
    <r>
      <rPr>
        <color rgb="FF1155CC"/>
        <u/>
      </rPr>
      <t>Kenya Roads Board</t>
    </r>
  </si>
  <si>
    <t>Locality</t>
  </si>
  <si>
    <t>Rural access index (%)</t>
  </si>
  <si>
    <t>Siaya</t>
  </si>
  <si>
    <t>PIP data</t>
  </si>
  <si>
    <r>
      <rPr/>
      <t xml:space="preserve">Source: </t>
    </r>
    <r>
      <rPr>
        <color rgb="FF1155CC"/>
        <u/>
      </rPr>
      <t>PIP</t>
    </r>
  </si>
  <si>
    <t>Notes: in 2017 PPP</t>
  </si>
  <si>
    <t>region_name</t>
  </si>
  <si>
    <t>region_code</t>
  </si>
  <si>
    <t>country_name</t>
  </si>
  <si>
    <t>country_code</t>
  </si>
  <si>
    <t>reporting_year</t>
  </si>
  <si>
    <t>reporting_level</t>
  </si>
  <si>
    <t>survey_acronym</t>
  </si>
  <si>
    <t>survey_coverage</t>
  </si>
  <si>
    <t>survey_year</t>
  </si>
  <si>
    <t>welfare_type</t>
  </si>
  <si>
    <t>survey_comparability</t>
  </si>
  <si>
    <t>comparable_spell</t>
  </si>
  <si>
    <t>poverty_line</t>
  </si>
  <si>
    <t>headcount</t>
  </si>
  <si>
    <t>poverty_gap</t>
  </si>
  <si>
    <t>poverty_severity</t>
  </si>
  <si>
    <t>watts</t>
  </si>
  <si>
    <t>mean</t>
  </si>
  <si>
    <t>median</t>
  </si>
  <si>
    <t>mld</t>
  </si>
  <si>
    <t>gini</t>
  </si>
  <si>
    <t>polarization</t>
  </si>
  <si>
    <t>decile1</t>
  </si>
  <si>
    <t>decile2</t>
  </si>
  <si>
    <t>decile3</t>
  </si>
  <si>
    <t>decile4</t>
  </si>
  <si>
    <t>decile5</t>
  </si>
  <si>
    <t>decile6</t>
  </si>
  <si>
    <t>decile7</t>
  </si>
  <si>
    <t>decile8</t>
  </si>
  <si>
    <t>decile9</t>
  </si>
  <si>
    <t>decile10</t>
  </si>
  <si>
    <t>cpi</t>
  </si>
  <si>
    <t>ppp</t>
  </si>
  <si>
    <t>reporting_pop</t>
  </si>
  <si>
    <t>reporting_gdp</t>
  </si>
  <si>
    <t>reporting_pce</t>
  </si>
  <si>
    <t>is_interpolated</t>
  </si>
  <si>
    <t>distribution_type</t>
  </si>
  <si>
    <t>estimation_type</t>
  </si>
  <si>
    <t>spl</t>
  </si>
  <si>
    <t>spr</t>
  </si>
  <si>
    <t>Sub-Saharan Africa</t>
  </si>
  <si>
    <t>SSA</t>
  </si>
  <si>
    <t>Angola</t>
  </si>
  <si>
    <t>AGO</t>
  </si>
  <si>
    <t>national</t>
  </si>
  <si>
    <t>IDREA</t>
  </si>
  <si>
    <t>consumption</t>
  </si>
  <si>
    <t>micro</t>
  </si>
  <si>
    <t>survey</t>
  </si>
  <si>
    <t>BDI</t>
  </si>
  <si>
    <t>EICVMB</t>
  </si>
  <si>
    <t>Benin</t>
  </si>
  <si>
    <t>BEN</t>
  </si>
  <si>
    <t>EMICOV</t>
  </si>
  <si>
    <t>2011 - 2015</t>
  </si>
  <si>
    <t>Burkina Faso</t>
  </si>
  <si>
    <t>BFA</t>
  </si>
  <si>
    <t>EHCVM</t>
  </si>
  <si>
    <t>2018 - 2021</t>
  </si>
  <si>
    <t>Botswana</t>
  </si>
  <si>
    <t>BWA</t>
  </si>
  <si>
    <t>BMTHS</t>
  </si>
  <si>
    <t>2002 - 2015</t>
  </si>
  <si>
    <t>Central African Republic</t>
  </si>
  <si>
    <t>CAF</t>
  </si>
  <si>
    <t>Côte d'Ivoire</t>
  </si>
  <si>
    <t>CIV</t>
  </si>
  <si>
    <t>Cameroon</t>
  </si>
  <si>
    <t>CMR</t>
  </si>
  <si>
    <t>ECAM-V</t>
  </si>
  <si>
    <t>COD</t>
  </si>
  <si>
    <t>EGI-ODD</t>
  </si>
  <si>
    <t>Congo</t>
  </si>
  <si>
    <t>COG</t>
  </si>
  <si>
    <t>ECOM</t>
  </si>
  <si>
    <t>2005 - 2011</t>
  </si>
  <si>
    <t>Comoros</t>
  </si>
  <si>
    <t>COM</t>
  </si>
  <si>
    <t>EESIC</t>
  </si>
  <si>
    <t>Cabo Verde</t>
  </si>
  <si>
    <t>CPV</t>
  </si>
  <si>
    <t>IDRF</t>
  </si>
  <si>
    <t>ETH</t>
  </si>
  <si>
    <t>HICES</t>
  </si>
  <si>
    <t>1995 - 2015</t>
  </si>
  <si>
    <t>Gabon</t>
  </si>
  <si>
    <t>GAB</t>
  </si>
  <si>
    <t>EGEP</t>
  </si>
  <si>
    <t>Ghana</t>
  </si>
  <si>
    <t>GHA</t>
  </si>
  <si>
    <t>GLSS-VII</t>
  </si>
  <si>
    <t>1991 - 2016</t>
  </si>
  <si>
    <t>Guinea</t>
  </si>
  <si>
    <t>GIN</t>
  </si>
  <si>
    <t>Gambia</t>
  </si>
  <si>
    <t>GMB</t>
  </si>
  <si>
    <t>IHS</t>
  </si>
  <si>
    <t>2015 - 2020</t>
  </si>
  <si>
    <t>Guinea-Bissau</t>
  </si>
  <si>
    <t>GNB</t>
  </si>
  <si>
    <t>IHBS</t>
  </si>
  <si>
    <t>2005 - 2021</t>
  </si>
  <si>
    <t>Liberia</t>
  </si>
  <si>
    <t>LBR</t>
  </si>
  <si>
    <t>HIES</t>
  </si>
  <si>
    <t>2014 - 2016</t>
  </si>
  <si>
    <t>LSO</t>
  </si>
  <si>
    <t>CMSHBS</t>
  </si>
  <si>
    <t>MDG</t>
  </si>
  <si>
    <t>ENSOMD</t>
  </si>
  <si>
    <t>2001 - 2012</t>
  </si>
  <si>
    <t>Mali</t>
  </si>
  <si>
    <t>MLI</t>
  </si>
  <si>
    <t>IOF</t>
  </si>
  <si>
    <t>1996 - 2019</t>
  </si>
  <si>
    <t>Mauritania</t>
  </si>
  <si>
    <t>MRT</t>
  </si>
  <si>
    <t>EPCV</t>
  </si>
  <si>
    <t>2000 - 2019</t>
  </si>
  <si>
    <t>Mauritius</t>
  </si>
  <si>
    <t>MUS</t>
  </si>
  <si>
    <t>HBS</t>
  </si>
  <si>
    <t>2006 - 2017</t>
  </si>
  <si>
    <t>IHS-V</t>
  </si>
  <si>
    <t>2004 - 2019</t>
  </si>
  <si>
    <t>Namibia</t>
  </si>
  <si>
    <t>NAM</t>
  </si>
  <si>
    <t>NHIES</t>
  </si>
  <si>
    <t>2003 - 2015</t>
  </si>
  <si>
    <t>Niger</t>
  </si>
  <si>
    <t>NER</t>
  </si>
  <si>
    <t>Nigeria</t>
  </si>
  <si>
    <t>NGA</t>
  </si>
  <si>
    <t>LSS</t>
  </si>
  <si>
    <t>EICV-V</t>
  </si>
  <si>
    <t>2000 - 2016</t>
  </si>
  <si>
    <t>Sudan</t>
  </si>
  <si>
    <t>SDN</t>
  </si>
  <si>
    <t>NBHS</t>
  </si>
  <si>
    <t>Senegal</t>
  </si>
  <si>
    <t>SEN</t>
  </si>
  <si>
    <t>Sierra Leone</t>
  </si>
  <si>
    <t>SLE</t>
  </si>
  <si>
    <t>SLIHS</t>
  </si>
  <si>
    <t>2003 - 2018</t>
  </si>
  <si>
    <t>South Sudan</t>
  </si>
  <si>
    <t>SSD</t>
  </si>
  <si>
    <t>HFS-W3</t>
  </si>
  <si>
    <t>imputed</t>
  </si>
  <si>
    <t>Sao Tome and Principe</t>
  </si>
  <si>
    <t>STP</t>
  </si>
  <si>
    <t>Eswatini</t>
  </si>
  <si>
    <t>SWZ</t>
  </si>
  <si>
    <t>Seychelles</t>
  </si>
  <si>
    <t>SYC</t>
  </si>
  <si>
    <t>income</t>
  </si>
  <si>
    <t>2013 - 2018</t>
  </si>
  <si>
    <t>Chad</t>
  </si>
  <si>
    <t>TCD</t>
  </si>
  <si>
    <t>2018 - 2022</t>
  </si>
  <si>
    <t>Togo</t>
  </si>
  <si>
    <t>TGO</t>
  </si>
  <si>
    <t>TZA</t>
  </si>
  <si>
    <t>2000 - 2018</t>
  </si>
  <si>
    <t>UNHS</t>
  </si>
  <si>
    <t>2002 - 2019</t>
  </si>
  <si>
    <t>South Africa</t>
  </si>
  <si>
    <t>ZAF</t>
  </si>
  <si>
    <t>LCS</t>
  </si>
  <si>
    <t>2005 - 2014</t>
  </si>
  <si>
    <t>ZMB</t>
  </si>
  <si>
    <t>LCMS-VII</t>
  </si>
  <si>
    <t>2010 - 2022</t>
  </si>
  <si>
    <t>ZWE</t>
  </si>
  <si>
    <t>PICES</t>
  </si>
  <si>
    <t>2011 - 2019</t>
  </si>
  <si>
    <t>Agriculture value added vs. GDP per capita</t>
  </si>
  <si>
    <r>
      <rPr>
        <rFont val="Calibri, sans-serif"/>
        <color rgb="FF000000"/>
        <sz val="11.0"/>
      </rPr>
      <t xml:space="preserve">Source: </t>
    </r>
    <r>
      <rPr>
        <rFont val="Calibri, sans-serif"/>
        <color rgb="FF1155CC"/>
        <sz val="11.0"/>
        <u/>
      </rPr>
      <t>World Bank</t>
    </r>
  </si>
  <si>
    <t>GDP per capita, 2023</t>
  </si>
  <si>
    <t>Agriculture value added, 2023</t>
  </si>
  <si>
    <t>Albania</t>
  </si>
  <si>
    <t>Andorra</t>
  </si>
  <si>
    <t>Argentina</t>
  </si>
  <si>
    <t>Armenia</t>
  </si>
  <si>
    <t>Antigua and Barbuda</t>
  </si>
  <si>
    <t>Australia</t>
  </si>
  <si>
    <t>Austria</t>
  </si>
  <si>
    <t>Azerbaijan</t>
  </si>
  <si>
    <t>Belgium</t>
  </si>
  <si>
    <t>Bangladesh</t>
  </si>
  <si>
    <t>Bulgaria</t>
  </si>
  <si>
    <t>Bahrain</t>
  </si>
  <si>
    <t>Bahamas, The</t>
  </si>
  <si>
    <t>Bosnia and Herzegovina</t>
  </si>
  <si>
    <t>Belarus</t>
  </si>
  <si>
    <t>Belize</t>
  </si>
  <si>
    <t>Bolivia</t>
  </si>
  <si>
    <t>Brazil</t>
  </si>
  <si>
    <t>Barbados</t>
  </si>
  <si>
    <t>Brunei Darussalam</t>
  </si>
  <si>
    <t>Switzerland</t>
  </si>
  <si>
    <t>Chile</t>
  </si>
  <si>
    <t>China</t>
  </si>
  <si>
    <t>Cote d'Ivoire</t>
  </si>
  <si>
    <t>Congo, Dem. Rep.</t>
  </si>
  <si>
    <t>Congo, Rep.</t>
  </si>
  <si>
    <t>Colombia</t>
  </si>
  <si>
    <t>Costa Rica</t>
  </si>
  <si>
    <t>Cyprus</t>
  </si>
  <si>
    <t>Czechia</t>
  </si>
  <si>
    <t>Germany</t>
  </si>
  <si>
    <t>Djibouti</t>
  </si>
  <si>
    <t>Dominica</t>
  </si>
  <si>
    <t>Denmark</t>
  </si>
  <si>
    <t>Dominican Republic</t>
  </si>
  <si>
    <t>Algeria</t>
  </si>
  <si>
    <t>Ecuador</t>
  </si>
  <si>
    <t>Egypt, Arab Rep.</t>
  </si>
  <si>
    <t>Spain</t>
  </si>
  <si>
    <t>Estonia</t>
  </si>
  <si>
    <t>Finland</t>
  </si>
  <si>
    <t>Fiji</t>
  </si>
  <si>
    <t>France</t>
  </si>
  <si>
    <t>Micronesia, Fed. Sts.</t>
  </si>
  <si>
    <t>United Kingdom</t>
  </si>
  <si>
    <t>Georgia</t>
  </si>
  <si>
    <t>Gambia, The</t>
  </si>
  <si>
    <t>Equatorial Guinea</t>
  </si>
  <si>
    <t>Greece</t>
  </si>
  <si>
    <t>Grenada</t>
  </si>
  <si>
    <t>Guatemala</t>
  </si>
  <si>
    <t>Honduras</t>
  </si>
  <si>
    <t>Croatia</t>
  </si>
  <si>
    <t>Haiti</t>
  </si>
  <si>
    <t>Hungary</t>
  </si>
  <si>
    <t>Indonesia</t>
  </si>
  <si>
    <t>India</t>
  </si>
  <si>
    <t>Ireland</t>
  </si>
  <si>
    <t>Iran, Islamic Rep.</t>
  </si>
  <si>
    <t>Iraq</t>
  </si>
  <si>
    <t>Iceland</t>
  </si>
  <si>
    <t>Italy</t>
  </si>
  <si>
    <t>Jamaica</t>
  </si>
  <si>
    <t>Jordan</t>
  </si>
  <si>
    <t>Kazakhstan</t>
  </si>
  <si>
    <t>Kyrgyz Republic</t>
  </si>
  <si>
    <t>Cambodia</t>
  </si>
  <si>
    <t>St. Kitts and Nevis</t>
  </si>
  <si>
    <t>Korea, Rep.</t>
  </si>
  <si>
    <t>Lao PDR</t>
  </si>
  <si>
    <t>Libya</t>
  </si>
  <si>
    <t>St. Lucia</t>
  </si>
  <si>
    <t>Sri Lanka</t>
  </si>
  <si>
    <t>Lithuania</t>
  </si>
  <si>
    <t>Luxembourg</t>
  </si>
  <si>
    <t>Latvia</t>
  </si>
  <si>
    <t>Morocco</t>
  </si>
  <si>
    <t>Moldova</t>
  </si>
  <si>
    <t>Mexico</t>
  </si>
  <si>
    <t>North Macedonia</t>
  </si>
  <si>
    <t>Malta</t>
  </si>
  <si>
    <t>Myanmar</t>
  </si>
  <si>
    <t>Montenegro</t>
  </si>
  <si>
    <t>Mongolia</t>
  </si>
  <si>
    <t>Malaysia</t>
  </si>
  <si>
    <t>Nicaragua</t>
  </si>
  <si>
    <t>Netherlands</t>
  </si>
  <si>
    <t>Norway</t>
  </si>
  <si>
    <t>Nepal</t>
  </si>
  <si>
    <t>Pakistan</t>
  </si>
  <si>
    <t>Panama</t>
  </si>
  <si>
    <t>Philippines</t>
  </si>
  <si>
    <t>Poland</t>
  </si>
  <si>
    <t>Portugal</t>
  </si>
  <si>
    <t>Paraguay</t>
  </si>
  <si>
    <t>Romania</t>
  </si>
  <si>
    <t>Russian Federation</t>
  </si>
  <si>
    <t>South Asia</t>
  </si>
  <si>
    <t>Saudi Arabia</t>
  </si>
  <si>
    <t>Singapore</t>
  </si>
  <si>
    <t>El Salvador</t>
  </si>
  <si>
    <t>Serbia</t>
  </si>
  <si>
    <t>Slovak Republic</t>
  </si>
  <si>
    <t>Slovenia</t>
  </si>
  <si>
    <t>Sweden</t>
  </si>
  <si>
    <t>Thailand</t>
  </si>
  <si>
    <t>Tunisia</t>
  </si>
  <si>
    <t>Turkiye</t>
  </si>
  <si>
    <t>Ukraine</t>
  </si>
  <si>
    <t>Uruguay</t>
  </si>
  <si>
    <t>Uzbekistan</t>
  </si>
  <si>
    <t>St. Vincent and the Grenadines</t>
  </si>
  <si>
    <t>Viet Nam</t>
  </si>
  <si>
    <t>Samoa</t>
  </si>
  <si>
    <t>Kosovo</t>
  </si>
  <si>
    <r>
      <rPr/>
      <t xml:space="preserve">Source: </t>
    </r>
    <r>
      <rPr>
        <color rgb="FF1155CC"/>
        <u/>
      </rPr>
      <t>IHME</t>
    </r>
  </si>
  <si>
    <t>Raw data</t>
  </si>
  <si>
    <t>Condition</t>
  </si>
  <si>
    <t>Sex</t>
  </si>
  <si>
    <t>Age</t>
  </si>
  <si>
    <t>Location</t>
  </si>
  <si>
    <t>Measure</t>
  </si>
  <si>
    <t>Unit</t>
  </si>
  <si>
    <t>Forecast Scenario</t>
  </si>
  <si>
    <t>Year</t>
  </si>
  <si>
    <t>Value</t>
  </si>
  <si>
    <t>Lower</t>
  </si>
  <si>
    <t>Upper</t>
  </si>
  <si>
    <t>Data Suite</t>
  </si>
  <si>
    <t>All causes</t>
  </si>
  <si>
    <t>Both</t>
  </si>
  <si>
    <t>28 to 364 days (post neonatal)</t>
  </si>
  <si>
    <t>Deaths</t>
  </si>
  <si>
    <t>Number</t>
  </si>
  <si>
    <t>Past estimate</t>
  </si>
  <si>
    <t>GBD</t>
  </si>
  <si>
    <t>1 to 4</t>
  </si>
  <si>
    <t>Lower respiratory infections</t>
  </si>
  <si>
    <t>Meningitis</t>
  </si>
  <si>
    <t>Diphtheria</t>
  </si>
  <si>
    <t>Whooping cough</t>
  </si>
  <si>
    <t>Tetanus</t>
  </si>
  <si>
    <t>Measles</t>
  </si>
  <si>
    <t>Malaria</t>
  </si>
  <si>
    <t>Bauchi</t>
  </si>
  <si>
    <t>Child Mortality Estimates</t>
  </si>
  <si>
    <t>Country-specific Under-five mortality rate</t>
  </si>
  <si>
    <t>Estimates generated by the UN Inter-agency Group for Child Mortality Estimation (UN IGME) in 2023</t>
  </si>
  <si>
    <t>Downloaded from http://data.unicef.org</t>
  </si>
  <si>
    <t>Prepared by the Data and Analytics Section; Division of Data, Analytics, Planning and Monitoring, UNICEF</t>
  </si>
  <si>
    <t>Contact us: data@unicef.org</t>
  </si>
  <si>
    <t>Last update: 10 January 2023</t>
  </si>
  <si>
    <t>ISO.Code</t>
  </si>
  <si>
    <t>Country.Name</t>
  </si>
  <si>
    <t>SDG.Region</t>
  </si>
  <si>
    <t>SDG.Subregion</t>
  </si>
  <si>
    <t>UNICEF.Region</t>
  </si>
  <si>
    <t>UNICEF.Programme.Region</t>
  </si>
  <si>
    <t>Uncertainty.Bounds*</t>
  </si>
  <si>
    <t>AFG</t>
  </si>
  <si>
    <t>Afghanistan</t>
  </si>
  <si>
    <t>Central and Southern Asia</t>
  </si>
  <si>
    <t>Southern Asia</t>
  </si>
  <si>
    <t>Median</t>
  </si>
  <si>
    <t>Eastern and Southern Africa</t>
  </si>
  <si>
    <t>AIA</t>
  </si>
  <si>
    <t>Anguilla</t>
  </si>
  <si>
    <t>Latin America and the Caribbean</t>
  </si>
  <si>
    <t>Latin America and Caribbean</t>
  </si>
  <si>
    <t>ALB</t>
  </si>
  <si>
    <t>Europe and Northern America</t>
  </si>
  <si>
    <t>Europe</t>
  </si>
  <si>
    <t>Eastern Europe and Central Asia</t>
  </si>
  <si>
    <t>Europe and Central Asia</t>
  </si>
  <si>
    <t>AND</t>
  </si>
  <si>
    <t>Western Europe</t>
  </si>
  <si>
    <t>Non-programme countries</t>
  </si>
  <si>
    <t>ARE</t>
  </si>
  <si>
    <t>United Arab Emirates</t>
  </si>
  <si>
    <t>Northern Africa and Western Asia</t>
  </si>
  <si>
    <t>Western Asia</t>
  </si>
  <si>
    <t>Middle East and North Africa</t>
  </si>
  <si>
    <t>ARG</t>
  </si>
  <si>
    <t>ARM</t>
  </si>
  <si>
    <t>ATG</t>
  </si>
  <si>
    <t>AUS</t>
  </si>
  <si>
    <t>Oceania</t>
  </si>
  <si>
    <t>Australia and New Zealand</t>
  </si>
  <si>
    <t>East Asia and Pacific</t>
  </si>
  <si>
    <t>AUT</t>
  </si>
  <si>
    <t>AZE</t>
  </si>
  <si>
    <t>BEL</t>
  </si>
  <si>
    <t>West and Central Africa</t>
  </si>
  <si>
    <t>BGD</t>
  </si>
  <si>
    <t>BGR</t>
  </si>
  <si>
    <t>BHR</t>
  </si>
  <si>
    <t>BHS</t>
  </si>
  <si>
    <t>Bahamas</t>
  </si>
  <si>
    <t>BIH</t>
  </si>
  <si>
    <t>BLR</t>
  </si>
  <si>
    <t>BLZ</t>
  </si>
  <si>
    <t>BOL</t>
  </si>
  <si>
    <t>Bolivia (Plurinational State of)</t>
  </si>
  <si>
    <t>BRA</t>
  </si>
  <si>
    <t>BRB</t>
  </si>
  <si>
    <t>BRN</t>
  </si>
  <si>
    <t>Eastern and South-Eastern Asia</t>
  </si>
  <si>
    <t>South-Eastern Asia</t>
  </si>
  <si>
    <t>BTN</t>
  </si>
  <si>
    <t>Bhutan</t>
  </si>
  <si>
    <t>CAN</t>
  </si>
  <si>
    <t>Canada</t>
  </si>
  <si>
    <t>Northern America</t>
  </si>
  <si>
    <t>North America</t>
  </si>
  <si>
    <t>CHE</t>
  </si>
  <si>
    <t>CHL</t>
  </si>
  <si>
    <t>CHN</t>
  </si>
  <si>
    <t>Eastern Asia</t>
  </si>
  <si>
    <t>COK</t>
  </si>
  <si>
    <t>Cook Islands</t>
  </si>
  <si>
    <t>Oceania (exc. Australia and New Zealand)</t>
  </si>
  <si>
    <t>COL</t>
  </si>
  <si>
    <t>CRI</t>
  </si>
  <si>
    <t>CUB</t>
  </si>
  <si>
    <t>Cuba</t>
  </si>
  <si>
    <t>CYP</t>
  </si>
  <si>
    <t>CZE</t>
  </si>
  <si>
    <t>DEU</t>
  </si>
  <si>
    <t>DJI</t>
  </si>
  <si>
    <t>DMA</t>
  </si>
  <si>
    <t>DNK</t>
  </si>
  <si>
    <t>DOM</t>
  </si>
  <si>
    <t>DZA</t>
  </si>
  <si>
    <t>Northern Africa</t>
  </si>
  <si>
    <t>ECU</t>
  </si>
  <si>
    <t>EGY</t>
  </si>
  <si>
    <t>Egypt</t>
  </si>
  <si>
    <t>ERI</t>
  </si>
  <si>
    <t>Eritrea</t>
  </si>
  <si>
    <t>ESP</t>
  </si>
  <si>
    <t>EST</t>
  </si>
  <si>
    <t>FIN</t>
  </si>
  <si>
    <t>FJI</t>
  </si>
  <si>
    <t>FRA</t>
  </si>
  <si>
    <t>FSM</t>
  </si>
  <si>
    <t>Micronesia (Federated States of)</t>
  </si>
  <si>
    <t>GBR</t>
  </si>
  <si>
    <t>GEO</t>
  </si>
  <si>
    <t>GNQ</t>
  </si>
  <si>
    <t>GRC</t>
  </si>
  <si>
    <t>GRD</t>
  </si>
  <si>
    <t>GTM</t>
  </si>
  <si>
    <t>GUY</t>
  </si>
  <si>
    <t>Guyana</t>
  </si>
  <si>
    <t>HND</t>
  </si>
  <si>
    <t>HRV</t>
  </si>
  <si>
    <t>HTI</t>
  </si>
  <si>
    <t>HUN</t>
  </si>
  <si>
    <t>IDN</t>
  </si>
  <si>
    <t>IND</t>
  </si>
  <si>
    <t>IRL</t>
  </si>
  <si>
    <t>IRN</t>
  </si>
  <si>
    <t>Iran (Islamic Republic of)</t>
  </si>
  <si>
    <t>IRQ</t>
  </si>
  <si>
    <t>ISL</t>
  </si>
  <si>
    <t>ISR</t>
  </si>
  <si>
    <t>Israel</t>
  </si>
  <si>
    <t>ITA</t>
  </si>
  <si>
    <t>JAM</t>
  </si>
  <si>
    <t>JOR</t>
  </si>
  <si>
    <t>JPN</t>
  </si>
  <si>
    <t>Japan</t>
  </si>
  <si>
    <t>KAZ</t>
  </si>
  <si>
    <t>Central Asia</t>
  </si>
  <si>
    <t>KGZ</t>
  </si>
  <si>
    <t>Kyrgyzstan</t>
  </si>
  <si>
    <t>KHM</t>
  </si>
  <si>
    <t>KIR</t>
  </si>
  <si>
    <t>Kiribati</t>
  </si>
  <si>
    <t>KNA</t>
  </si>
  <si>
    <t>Saint Kitts and Nevis</t>
  </si>
  <si>
    <t>KOR</t>
  </si>
  <si>
    <t>Republic of Korea</t>
  </si>
  <si>
    <t>KWT</t>
  </si>
  <si>
    <t>Kuwait</t>
  </si>
  <si>
    <t>LAO</t>
  </si>
  <si>
    <t>Lao People's Democratic Republic</t>
  </si>
  <si>
    <t>LBN</t>
  </si>
  <si>
    <t>Lebanon</t>
  </si>
  <si>
    <t>LBY</t>
  </si>
  <si>
    <t>LCA</t>
  </si>
  <si>
    <t>Saint Lucia</t>
  </si>
  <si>
    <t>LKA</t>
  </si>
  <si>
    <t>LTU</t>
  </si>
  <si>
    <t>LUX</t>
  </si>
  <si>
    <t>LVA</t>
  </si>
  <si>
    <t>MAR</t>
  </si>
  <si>
    <t>MCO</t>
  </si>
  <si>
    <t>Monaco</t>
  </si>
  <si>
    <t>MDA</t>
  </si>
  <si>
    <t>Republic of Moldova</t>
  </si>
  <si>
    <t>MDV</t>
  </si>
  <si>
    <t>Maldives</t>
  </si>
  <si>
    <t>MEX</t>
  </si>
  <si>
    <t>MHL</t>
  </si>
  <si>
    <t>Marshall Islands</t>
  </si>
  <si>
    <t>MKD</t>
  </si>
  <si>
    <t>MLT</t>
  </si>
  <si>
    <t>MMR</t>
  </si>
  <si>
    <t>MNE</t>
  </si>
  <si>
    <t>MNG</t>
  </si>
  <si>
    <t>MSR</t>
  </si>
  <si>
    <t>Montserrat</t>
  </si>
  <si>
    <t>MYS</t>
  </si>
  <si>
    <t>NIC</t>
  </si>
  <si>
    <t>NIU</t>
  </si>
  <si>
    <t>Niue</t>
  </si>
  <si>
    <t>NLD</t>
  </si>
  <si>
    <t>Netherlands (Kingdom of the)</t>
  </si>
  <si>
    <t>NOR</t>
  </si>
  <si>
    <t>NPL</t>
  </si>
  <si>
    <t>NRU</t>
  </si>
  <si>
    <t>Nauru</t>
  </si>
  <si>
    <t>NZL</t>
  </si>
  <si>
    <t>New Zealand</t>
  </si>
  <si>
    <t>OMN</t>
  </si>
  <si>
    <t>Oman</t>
  </si>
  <si>
    <t>PAK</t>
  </si>
  <si>
    <t>PAN</t>
  </si>
  <si>
    <t>PER</t>
  </si>
  <si>
    <t>Peru</t>
  </si>
  <si>
    <t>PHL</t>
  </si>
  <si>
    <t>PLW</t>
  </si>
  <si>
    <t>Palau</t>
  </si>
  <si>
    <t>PNG</t>
  </si>
  <si>
    <t>Papua New Guinea</t>
  </si>
  <si>
    <t>POL</t>
  </si>
  <si>
    <t>PRK</t>
  </si>
  <si>
    <t>Democratic People's Republic of Korea</t>
  </si>
  <si>
    <t>PRT</t>
  </si>
  <si>
    <t>PRY</t>
  </si>
  <si>
    <t>PSE</t>
  </si>
  <si>
    <t>State of Palestine</t>
  </si>
  <si>
    <t>QAT</t>
  </si>
  <si>
    <t>Qatar</t>
  </si>
  <si>
    <t>RKS</t>
  </si>
  <si>
    <t>Kosovo (UNSCR 1244)</t>
  </si>
  <si>
    <t>ROU</t>
  </si>
  <si>
    <t>RUS</t>
  </si>
  <si>
    <t>SAU</t>
  </si>
  <si>
    <t>SGP</t>
  </si>
  <si>
    <t>SLB</t>
  </si>
  <si>
    <t>Solomon Islands</t>
  </si>
  <si>
    <t>SLV</t>
  </si>
  <si>
    <t>SMR</t>
  </si>
  <si>
    <t>San Marino</t>
  </si>
  <si>
    <t>SOM</t>
  </si>
  <si>
    <t>Somalia</t>
  </si>
  <si>
    <t>SRB</t>
  </si>
  <si>
    <t>SUR</t>
  </si>
  <si>
    <t>Suriname</t>
  </si>
  <si>
    <t>SVK</t>
  </si>
  <si>
    <t>Slovakia</t>
  </si>
  <si>
    <t>SVN</t>
  </si>
  <si>
    <t>SWE</t>
  </si>
  <si>
    <t>SYR</t>
  </si>
  <si>
    <t>Syrian Arab Republic</t>
  </si>
  <si>
    <t>TCA</t>
  </si>
  <si>
    <t>Turks and Caicos Islands</t>
  </si>
  <si>
    <t>THA</t>
  </si>
  <si>
    <t>TJK</t>
  </si>
  <si>
    <t>Tajikistan</t>
  </si>
  <si>
    <t>TKM</t>
  </si>
  <si>
    <t>Turkmenistan</t>
  </si>
  <si>
    <t>TLS</t>
  </si>
  <si>
    <t>Timor-Leste</t>
  </si>
  <si>
    <t>TON</t>
  </si>
  <si>
    <t>Tonga</t>
  </si>
  <si>
    <t>TTO</t>
  </si>
  <si>
    <t>Trinidad and Tobago</t>
  </si>
  <si>
    <t>TUN</t>
  </si>
  <si>
    <t>TUR</t>
  </si>
  <si>
    <t>Türkiye</t>
  </si>
  <si>
    <t>TUV</t>
  </si>
  <si>
    <t>Tuvalu</t>
  </si>
  <si>
    <t>UKR</t>
  </si>
  <si>
    <t>URY</t>
  </si>
  <si>
    <t>USA</t>
  </si>
  <si>
    <t>United States</t>
  </si>
  <si>
    <t>UZB</t>
  </si>
  <si>
    <t>VCT</t>
  </si>
  <si>
    <t>Saint Vincent and the Grenadines</t>
  </si>
  <si>
    <t>VEN</t>
  </si>
  <si>
    <t>Venezuela (Bolivarian Republic of)</t>
  </si>
  <si>
    <t>VGB</t>
  </si>
  <si>
    <t>British Virgin Islands</t>
  </si>
  <si>
    <t>VNM</t>
  </si>
  <si>
    <t>VUT</t>
  </si>
  <si>
    <t>Vanuatu</t>
  </si>
  <si>
    <t>WSM</t>
  </si>
  <si>
    <t>YEM</t>
  </si>
  <si>
    <t>Yemen</t>
  </si>
  <si>
    <t>Adult equivalence reported in government consumption surveys</t>
  </si>
  <si>
    <t>See page 35</t>
  </si>
  <si>
    <t>Does not report in adult equivalents</t>
  </si>
  <si>
    <t>See page 10; take the average of male and female</t>
  </si>
  <si>
    <t>Does not report what adult equivalence scale they use; assume same as Rwanda</t>
  </si>
  <si>
    <t>0-1 years</t>
  </si>
  <si>
    <t>1-3 years</t>
  </si>
  <si>
    <t>4-6 years</t>
  </si>
  <si>
    <t>7-9 years</t>
  </si>
  <si>
    <t>10-12 years</t>
  </si>
  <si>
    <t>13-15 years</t>
  </si>
  <si>
    <t>16-19 years</t>
  </si>
  <si>
    <t>20-39 years</t>
  </si>
  <si>
    <t>40-49 years</t>
  </si>
  <si>
    <t>50-59 years</t>
  </si>
  <si>
    <t>60-69 years</t>
  </si>
  <si>
    <t>70+ years</t>
  </si>
  <si>
    <t>Population pyramids</t>
  </si>
  <si>
    <r>
      <rPr/>
      <t xml:space="preserve">Source: </t>
    </r>
    <r>
      <rPr>
        <color rgb="FF1155CC"/>
        <u/>
      </rPr>
      <t>Population pyramids</t>
    </r>
  </si>
  <si>
    <t>Kenya (2022)</t>
  </si>
  <si>
    <t>Mozambique (2023)</t>
  </si>
  <si>
    <t>Rwanda (2023)</t>
  </si>
  <si>
    <t>0-4</t>
  </si>
  <si>
    <t>5-9</t>
  </si>
  <si>
    <t>10-14</t>
  </si>
  <si>
    <t>15-19</t>
  </si>
  <si>
    <t>20-24</t>
  </si>
  <si>
    <t>25-29</t>
  </si>
  <si>
    <t>30-34</t>
  </si>
  <si>
    <t>35-39</t>
  </si>
  <si>
    <t>40-44</t>
  </si>
  <si>
    <t>45-49</t>
  </si>
  <si>
    <t>50-54</t>
  </si>
  <si>
    <t>55-59</t>
  </si>
  <si>
    <t>60-64</t>
  </si>
  <si>
    <t>65-69</t>
  </si>
  <si>
    <t>70-74</t>
  </si>
  <si>
    <t>75-79</t>
  </si>
  <si>
    <t>80-84</t>
  </si>
  <si>
    <t>85-89</t>
  </si>
  <si>
    <t>90-94</t>
  </si>
  <si>
    <t>95-99</t>
  </si>
  <si>
    <t>100+</t>
  </si>
  <si>
    <t>Total</t>
  </si>
  <si>
    <t>Putting into same format as age equivalent scale</t>
  </si>
  <si>
    <t>Note: assumes uniform distribution within age buckets</t>
  </si>
  <si>
    <t>Expressed in % terms</t>
  </si>
  <si>
    <t>Backing out an adult equivalence conversion factor</t>
  </si>
  <si>
    <t>Distribution of ages</t>
  </si>
  <si>
    <t>Implied per adult equivalent</t>
  </si>
  <si>
    <t>Implied adjustment to get things in per capita terms</t>
  </si>
  <si>
    <t>N/A</t>
  </si>
  <si>
    <r>
      <rPr/>
      <t xml:space="preserve">Source: </t>
    </r>
    <r>
      <rPr>
        <color rgb="FF1155CC"/>
        <u/>
      </rPr>
      <t>Gassmann et al. 2023</t>
    </r>
  </si>
  <si>
    <t>Author(s)</t>
  </si>
  <si>
    <t>Program Name</t>
  </si>
  <si>
    <t>Time Range of Study</t>
  </si>
  <si>
    <t>Method</t>
  </si>
  <si>
    <t>Multiplier Channel</t>
  </si>
  <si>
    <t>Outcome Indicator</t>
  </si>
  <si>
    <t>Multiplier</t>
  </si>
  <si>
    <t>Measurement Unit</t>
  </si>
  <si>
    <t>Macro/Meso/Micro</t>
  </si>
  <si>
    <t>Headline finding</t>
  </si>
  <si>
    <t>Best-guess</t>
  </si>
  <si>
    <t>Neri et al., 2013</t>
  </si>
  <si>
    <t>Bolsa Familia</t>
  </si>
  <si>
    <t>SAM</t>
  </si>
  <si>
    <t>Consumption, production</t>
  </si>
  <si>
    <t>National GDP</t>
  </si>
  <si>
    <t>1.78% GDP growth for 1% increase in BF spending</t>
  </si>
  <si>
    <t>Macro</t>
  </si>
  <si>
    <t>"The Programa Bolsa Família has the highest effect by a large margin: according to the model, if the government increased Bolsa Família expenditures by 1 per cent of GDP, overall economic activity would grow by 1.78 per cent"</t>
  </si>
  <si>
    <t>I don't understand where the 0.78 figure comes from; 1.78% GDP growth from a 1% injection should imply a multiplier of &gt;1</t>
  </si>
  <si>
    <t>Freire et al., 2018</t>
  </si>
  <si>
    <t>2008-2015</t>
  </si>
  <si>
    <t>CGE</t>
  </si>
  <si>
    <t>Consumption, investment</t>
  </si>
  <si>
    <t>Real GDP growth per 1 $ spent</t>
  </si>
  <si>
    <t>"We figured out that each Brazilian Real spent with the BF program generates an increase of 1.04 Brazilian Reais on GDP in the period considered in this study"</t>
  </si>
  <si>
    <t>Filipiski &amp; Taylor, 2012</t>
  </si>
  <si>
    <t>Livelihood Empowerment Against Poverty</t>
  </si>
  <si>
    <t>Transfer efficiency</t>
  </si>
  <si>
    <t>1-1.42</t>
  </si>
  <si>
    <t>Additional rural welfare per 1$ spent</t>
  </si>
  <si>
    <t>Table 5</t>
  </si>
  <si>
    <t>Model E seems the most relevant: "Base model with unemployment and constrained input use"</t>
  </si>
  <si>
    <t>Lehmann &amp; Masterson, 2014</t>
  </si>
  <si>
    <t>Winter Cash Assistance Program for Syrian Refugees</t>
  </si>
  <si>
    <t>Econometric techniques and back-of-the-envelope calculation</t>
  </si>
  <si>
    <t>2.13*</t>
  </si>
  <si>
    <t>Additional GDP</t>
  </si>
  <si>
    <t>"Each dollar that beneficiaries spend generates 2.13 dollars of GDP for the Lebanese economy"</t>
  </si>
  <si>
    <t>Social Cash Transfer Program</t>
  </si>
  <si>
    <t>1-1.47</t>
  </si>
  <si>
    <t>Table 3</t>
  </si>
  <si>
    <t>Tiberti et al., 2018</t>
  </si>
  <si>
    <t>Child Support Grant</t>
  </si>
  <si>
    <t>CGE (integrated micro-macro model)</t>
  </si>
  <si>
    <t>Consumption, labor supply, production</t>
  </si>
  <si>
    <t>0.26%-0.28%</t>
  </si>
  <si>
    <t>Change in real GDP for 20% increase in CSG spending</t>
  </si>
  <si>
    <t>Table 2</t>
  </si>
  <si>
    <t xml:space="preserve">I don't think this estimate is analogous to a multiplier; can't easily make an apples-to-apples comparison </t>
  </si>
  <si>
    <t>Cunha, et al., 2022</t>
  </si>
  <si>
    <t>Emergency Aid</t>
  </si>
  <si>
    <t>Econometric techniques (IV regression)</t>
  </si>
  <si>
    <t>Private formal employment</t>
  </si>
  <si>
    <t>Regional GDP</t>
  </si>
  <si>
    <t>0.5-1.5</t>
  </si>
  <si>
    <t>Increase in GDP per 1 $ spent</t>
  </si>
  <si>
    <t>Meso</t>
  </si>
  <si>
    <t>"Using two-stage least squares regressions we estimate a formal employment multiplier and then apply an analytical transformation to recover an implied GDP multiplier in the range of 0.5-1.5. The lower bound of this range lies below most estimates in the literature"</t>
  </si>
  <si>
    <t>Take the midpoint of the range of estimates</t>
  </si>
  <si>
    <t>Jorge &amp; da Graca, 2019</t>
  </si>
  <si>
    <t>2004-2012</t>
  </si>
  <si>
    <t>Econometric techniques (panel data, OLS)</t>
  </si>
  <si>
    <t>GDP of municipalities in Sergipe</t>
  </si>
  <si>
    <t>0*</t>
  </si>
  <si>
    <t>Estimated impact on municipal GDP (regression coefficient)</t>
  </si>
  <si>
    <t>"Employing the methodology of panel data analysis we conclude that results does not prove the PBF influence on GDP of the investigated municipalities"</t>
  </si>
  <si>
    <t>I can't back out the point estimate of this null result</t>
  </si>
  <si>
    <t>Rougier et al., 2018</t>
  </si>
  <si>
    <t>2003-2010</t>
  </si>
  <si>
    <t>Econometric techniques (reduced form local (structural) growth model with IV</t>
  </si>
  <si>
    <t>Consumption, local productive structures</t>
  </si>
  <si>
    <t>Municipal GDP in Ceará</t>
  </si>
  <si>
    <t>0.0011 – 0.0017
12-18%</t>
  </si>
  <si>
    <t>pp increase in local growth per 1 pp increase in BFP/GDP ratio</t>
  </si>
  <si>
    <t>Villa, 2016</t>
  </si>
  <si>
    <t>Familias an Accion</t>
  </si>
  <si>
    <t>2000-2004</t>
  </si>
  <si>
    <t>Econometric techniques (DID with fixed effects; luminosity data)</t>
  </si>
  <si>
    <t>Municipal GDP</t>
  </si>
  <si>
    <t>0.7 pp</t>
  </si>
  <si>
    <t>Additional GDP growth</t>
  </si>
  <si>
    <t>Kagin et al., 2014</t>
  </si>
  <si>
    <t>Social Cash Transfer Pilot Program</t>
  </si>
  <si>
    <t>LEWIE</t>
  </si>
  <si>
    <t>Local income multiplier</t>
  </si>
  <si>
    <t>1.35-2.52
1.26-1.84</t>
  </si>
  <si>
    <t>Nominal and real total income multiplier per 1$ transferred</t>
  </si>
  <si>
    <t>"Simulations incorporating such constraints find a “real” income multiplier of 1.84 birr for Hintalo-Wajirat and 1.26 birr for Abi-Adi"</t>
  </si>
  <si>
    <t>This is the same as the Thome et al. estimate; I don't think we should be including it separately</t>
  </si>
  <si>
    <t>Thome et al, 2016</t>
  </si>
  <si>
    <t>Social Cash Transfer Program Pilot</t>
  </si>
  <si>
    <t>1.35-2.52
1.23-1.81</t>
  </si>
  <si>
    <t>Figure 5</t>
  </si>
  <si>
    <t>Take the midpoint of the two localities</t>
  </si>
  <si>
    <t>Thome et al., 2014</t>
  </si>
  <si>
    <t>2010-2012</t>
  </si>
  <si>
    <t>2.5
1.5</t>
  </si>
  <si>
    <t>"However, if labour, capital and land markets do not function well, upward pressure on prices could result. This would raise consumption costs for all households and lead to a real income multiplier as low as GHS 1.50"</t>
  </si>
  <si>
    <t>Thome et al., 2013</t>
  </si>
  <si>
    <t>Cash Transfers for Orphans and Vulnerable Children</t>
  </si>
  <si>
    <t>1.81
1.22
1.58</t>
  </si>
  <si>
    <t>"This raises consumption costs for all households and results in a real-income multiplier of 1.22 (CI: 1.14 to 1.30) that, although significantly greater than 1.0, is lower than the nominal impact"</t>
  </si>
  <si>
    <t>Egger et al 2022</t>
  </si>
  <si>
    <t>GiveDirectly Cash Transfer Program</t>
  </si>
  <si>
    <t>2014-2017</t>
  </si>
  <si>
    <t>Econometric techniques (macro-experimental approach)</t>
  </si>
  <si>
    <t>Local economy multiplier</t>
  </si>
  <si>
    <t>2.3-2.5</t>
  </si>
  <si>
    <t>Real expenditure-income based multiplier per 1$ transferred</t>
  </si>
  <si>
    <t>"We estimate a local transfer multiplier of 2.5"</t>
  </si>
  <si>
    <t>Program for Orphans and Vulnerable Children</t>
  </si>
  <si>
    <t>2009-2011</t>
  </si>
  <si>
    <t>1.34
1.08</t>
  </si>
  <si>
    <t>Take the real rather than nominal multiplier</t>
  </si>
  <si>
    <t>Child Grant</t>
  </si>
  <si>
    <t>2.23
1.36</t>
  </si>
  <si>
    <t>Filipiski et al., 2015</t>
  </si>
  <si>
    <t>2.21
1.53</t>
  </si>
  <si>
    <t>"For example, if capital in crops and livestock is allowed to increase by 10 percent, the real multiplier rises to 1.57"</t>
  </si>
  <si>
    <t>1.27
1.18</t>
  </si>
  <si>
    <t>Davies &amp; Davey, 2008</t>
  </si>
  <si>
    <t>Dowa Emergency Cash Transfer</t>
  </si>
  <si>
    <t>2006-2007</t>
  </si>
  <si>
    <t>Regional economic multiplier</t>
  </si>
  <si>
    <t>2.02 - 2.45*</t>
  </si>
  <si>
    <t>(Nominal?) total income multiplier per 1$ transferred</t>
  </si>
  <si>
    <t>"It uses a form of social accounting matrix to show that there are widespread benefits for the regional economy as a whole (with multiplier estimates of 2.02 to 2.45)"</t>
  </si>
  <si>
    <t>Since this is a nominal (rather than real) multiplier, select the low end of this range</t>
  </si>
  <si>
    <t>Taylor et al., 2016</t>
  </si>
  <si>
    <t>WFP cash transfers to refugees</t>
  </si>
  <si>
    <t>n.a.</t>
  </si>
  <si>
    <t>Local income multiplier (10km radius camps)</t>
  </si>
  <si>
    <t>1.51-1.95</t>
  </si>
  <si>
    <t>Real income increase per 1$ transferred</t>
  </si>
  <si>
    <t>"Each additional dollar in aid to refugees in the two cash camps increases income in the local economy by $1.51 and $1.95"</t>
  </si>
  <si>
    <t>Take the midpoint of these estimates</t>
  </si>
  <si>
    <t>1.79
1.34</t>
  </si>
  <si>
    <t>Table 10</t>
  </si>
  <si>
    <t>Harmonized Social Cash Transfer</t>
  </si>
  <si>
    <t>1.73
1.4</t>
  </si>
  <si>
    <t>Staunton, 2011</t>
  </si>
  <si>
    <t>Emergency Cash Transfers</t>
  </si>
  <si>
    <t>2009-2010</t>
  </si>
  <si>
    <t>2.59*</t>
  </si>
  <si>
    <t>Table 11</t>
  </si>
  <si>
    <t>Barrientos &amp; Sabates &amp; Wheeler, 2010</t>
  </si>
  <si>
    <t>Progresa</t>
  </si>
  <si>
    <t>1998-2000</t>
  </si>
  <si>
    <t>Econometric
techniques (RCT,
ITE, ATE)</t>
  </si>
  <si>
    <t>Consumption,
loans and transfers</t>
  </si>
  <si>
    <t>Adult equivalent food consumption and assets for non-beneficiaries</t>
  </si>
  <si>
    <t>4.5-12.3%
5.1-9.7%
10.7-16.7%</t>
  </si>
  <si>
    <t>Higher food consumption
Land ownership
Livestock ownership</t>
  </si>
  <si>
    <t>Micro</t>
  </si>
  <si>
    <t>Angelucci &amp; De Giorgi, 2009</t>
  </si>
  <si>
    <t>1998-1999</t>
  </si>
  <si>
    <t>Econometric
techniques (RCT,
ITE and ATE)</t>
  </si>
  <si>
    <t>Consumption,
loans, transfers</t>
  </si>
  <si>
    <t>Adult equivalent food consumption for nonbeneficiaries</t>
  </si>
  <si>
    <t>Increase in food
consumption per
100$ transferred</t>
  </si>
  <si>
    <t>Cord &amp; Wodon, 2001</t>
  </si>
  <si>
    <t>PROCAMPO</t>
  </si>
  <si>
    <t>1994-1997</t>
  </si>
  <si>
    <t xml:space="preserve">Econometric techniques (panel regression with IV,
3SLS)
</t>
  </si>
  <si>
    <t>Income multiplier
for beneficiary
households</t>
  </si>
  <si>
    <t>Additional income
per 1$ transferred</t>
  </si>
  <si>
    <t>Sadoulet &amp; de Janvry, 2001</t>
  </si>
  <si>
    <t>Econometric
techniques (robust
regression models)</t>
  </si>
  <si>
    <t>1.97-2.24</t>
  </si>
  <si>
    <t>"We find that the multiplier among ejido sector recipients is in the range 1.5–2.6"</t>
  </si>
  <si>
    <t>Mendes et al., 2024</t>
  </si>
  <si>
    <t>2004-2019</t>
  </si>
  <si>
    <t>"A state receiving 1% of GDP in extra transfers grows 2.2ppts faster in the first year... Our multiplier estimates are also almost as large as those in Egger et al. (2022), but apply to state-level GDP rather than activity at the village level”</t>
  </si>
  <si>
    <t>Thome et al, 2016 (Kenya)</t>
  </si>
  <si>
    <t>Thome et al, 2016 (Malawi)</t>
  </si>
  <si>
    <t>GW multiplier (Malawi)</t>
  </si>
  <si>
    <t>Thome et al, 2016 (Zambia)</t>
  </si>
  <si>
    <t>Thome et al, 2016 (Lesotho)</t>
  </si>
  <si>
    <t>GW multiplier (Kenya)</t>
  </si>
  <si>
    <t>Thome et al, 2016 (Ethiopia)</t>
  </si>
  <si>
    <t>Min</t>
  </si>
  <si>
    <t>Max</t>
  </si>
  <si>
    <t>Mean</t>
  </si>
  <si>
    <r>
      <rPr>
        <b/>
      </rPr>
      <t>Source</t>
    </r>
    <r>
      <rPr/>
      <t xml:space="preserve">: </t>
    </r>
    <r>
      <rPr>
        <color rgb="FF1155CC"/>
        <u/>
      </rPr>
      <t>Richtermann et al. (2023)</t>
    </r>
  </si>
  <si>
    <t>First Complete Year Implemented</t>
  </si>
  <si>
    <t>Conditionality and Target Population</t>
  </si>
  <si>
    <t>Maximum Annual Transfer Amount (USD)</t>
  </si>
  <si>
    <t>Beneficiaries Estimate</t>
  </si>
  <si>
    <t>Total Beneficiaries</t>
  </si>
  <si>
    <t>Poverty headcount (%)</t>
  </si>
  <si>
    <t>Impoverished Population Coverage (%)</t>
  </si>
  <si>
    <t>Transfer Amount as % GDP per Capita</t>
  </si>
  <si>
    <t>MoEYS scholarships for school children</t>
  </si>
  <si>
    <t>Conditional, school children</t>
  </si>
  <si>
    <t>156,519 (2017)</t>
  </si>
  <si>
    <t>17.7% (2012)</t>
  </si>
  <si>
    <t>NOURISH</t>
  </si>
  <si>
    <t>Conditional, poor families with pregnant mothers or children</t>
  </si>
  <si>
    <t>5,554 (2016)</t>
  </si>
  <si>
    <t>Varied</t>
  </si>
  <si>
    <t>Social Safety Nets</t>
  </si>
  <si>
    <t>Unconditional, poor households</t>
  </si>
  <si>
    <t>634,756 (2020)</t>
  </si>
  <si>
    <t>26% (2014)</t>
  </si>
  <si>
    <t>Filet de sécurité alimentaire (FSA)</t>
  </si>
  <si>
    <t>Unconditional, food insecure</t>
  </si>
  <si>
    <t>40,000 (2015)</t>
  </si>
  <si>
    <t>55.1% (2005)</t>
  </si>
  <si>
    <t>Lisungi Safety Nets Project</t>
  </si>
  <si>
    <t>Conditional, households with children; Unconditional, elderly</t>
  </si>
  <si>
    <t>37,574 (2015)</t>
  </si>
  <si>
    <t>38.2% (2011)</t>
  </si>
  <si>
    <t>Programa Solidaridad</t>
  </si>
  <si>
    <t>Conditional, variety of target populations</t>
  </si>
  <si>
    <t>864,542 (2018)</t>
  </si>
  <si>
    <t>2.6% (2012)</t>
  </si>
  <si>
    <t>Productive Safety Net Programme (PSNP)</t>
  </si>
  <si>
    <t>Unconditional (cash and/or food), food insecure households</t>
  </si>
  <si>
    <t>10,000,000 (2015)</t>
  </si>
  <si>
    <t>39% (2004)</t>
  </si>
  <si>
    <t>Tigray Social Cash Transfer Pilot Programme (SCTPP)</t>
  </si>
  <si>
    <t>17,705 (2014)</t>
  </si>
  <si>
    <t>35.2% (2010)</t>
  </si>
  <si>
    <t>&lt;0.5%</t>
  </si>
  <si>
    <t>Ti Manman Cheri</t>
  </si>
  <si>
    <t>Conditional, children</t>
  </si>
  <si>
    <t>86,234 (2014)</t>
  </si>
  <si>
    <t>24.5% (2012)</t>
  </si>
  <si>
    <t>Program Keluarga Harapan</t>
  </si>
  <si>
    <t>Conditional, women, elderly, disabled</t>
  </si>
  <si>
    <t>6,000,000 (2016)</t>
  </si>
  <si>
    <t>19% (2007)</t>
  </si>
  <si>
    <t>Program Indonesia Pintar</t>
  </si>
  <si>
    <t>Conditional, poor students</t>
  </si>
  <si>
    <t>20,400,000 (2015)</t>
  </si>
  <si>
    <t>19% (2008)</t>
  </si>
  <si>
    <t>Program Kesajahteraan Sosial Anak</t>
  </si>
  <si>
    <t>Conditional, neglected children and other groups of children</t>
  </si>
  <si>
    <t>158,901 (2013)</t>
  </si>
  <si>
    <t>15% (2009)</t>
  </si>
  <si>
    <t>Bantuan Langsung Sementara Masyarakat</t>
  </si>
  <si>
    <t>2014 (ended 2015)</t>
  </si>
  <si>
    <t>Conditional, poorest households</t>
  </si>
  <si>
    <t>15,800,000 (2015)</t>
  </si>
  <si>
    <t>7% (2013)</t>
  </si>
  <si>
    <t>Old Age Pension</t>
  </si>
  <si>
    <t>Unconditional, elderly</t>
  </si>
  <si>
    <t>83,751 (2017)</t>
  </si>
  <si>
    <t>61.9% (2002)</t>
  </si>
  <si>
    <t>Child Grants Programme (CGP)</t>
  </si>
  <si>
    <t>Unconditional, poor households with orphans or vulnerable children</t>
  </si>
  <si>
    <t>117,600 (2015)</t>
  </si>
  <si>
    <t>Mchinji Social Cash Transfer</t>
  </si>
  <si>
    <t>782,561 (2016)</t>
  </si>
  <si>
    <t>73.9% (2004)</t>
  </si>
  <si>
    <t>Student Stipend Programme</t>
  </si>
  <si>
    <t>Conditional, poor and orphaned students</t>
  </si>
  <si>
    <t>192,000 (2018)</t>
  </si>
  <si>
    <t>5% (2015)</t>
  </si>
  <si>
    <t>Juntos</t>
  </si>
  <si>
    <t>Conditional, households in extreme poverty with pregnant women, widowed, elderly, and/or children</t>
  </si>
  <si>
    <t>1,561,292 (2018)</t>
  </si>
  <si>
    <t>15% (2005)</t>
  </si>
  <si>
    <t>National Solidarity Assistance Program (“Pension 65”)</t>
  </si>
  <si>
    <t>Unconditional, households with elderly or in extreme poverty</t>
  </si>
  <si>
    <t>544,202 (2018)</t>
  </si>
  <si>
    <t>5% (2011)</t>
  </si>
  <si>
    <t>Programa Nacional de Entrega de la Pensión No Contributiva a la Persona con Discapacidad Severa en Situación de Pobreza, CONTICO</t>
  </si>
  <si>
    <t>Unconditional, people with severe disabilities under 65 living in poverty</t>
  </si>
  <si>
    <t>19,822 (2018)</t>
  </si>
  <si>
    <t>3% (2017)</t>
  </si>
  <si>
    <t>Conditional Cash Transfer for Orphans and Vulnerable Children</t>
  </si>
  <si>
    <t>Conditional, children who are orphans or affected by HIV</t>
  </si>
  <si>
    <t>5000 (2009)</t>
  </si>
  <si>
    <t>38% (2005)</t>
  </si>
  <si>
    <t>Programme National de Bourses de Sécurité Familiale</t>
  </si>
  <si>
    <t>Conditional, poor children</t>
  </si>
  <si>
    <t>200,000 (2015)</t>
  </si>
  <si>
    <t>39% (2011)</t>
  </si>
  <si>
    <t>Community-Based Conditional Cash Transfer</t>
  </si>
  <si>
    <t>Conditional, children and vulnerable elderly</t>
  </si>
  <si>
    <t>13,000 (2013)</t>
  </si>
  <si>
    <t>60.3% (2007)</t>
  </si>
  <si>
    <t>&lt;1%</t>
  </si>
  <si>
    <t>Productive Social Safety Net Programme</t>
  </si>
  <si>
    <t>2014 (massively scaled up)</t>
  </si>
  <si>
    <t>Unconditional, poor households; Conditional, children / pregnant women</t>
  </si>
  <si>
    <t>5,164,623 (2016)</t>
  </si>
  <si>
    <t>49.6% (2011)</t>
  </si>
  <si>
    <t>Subsídio de apoio a Idosos e Inválidos, SAII</t>
  </si>
  <si>
    <t>Unconditional, elderly people and people with disabilities</t>
  </si>
  <si>
    <t>94,287 (2016)</t>
  </si>
  <si>
    <t>37% (2007)</t>
  </si>
  <si>
    <t>Bolsa da Mãe</t>
  </si>
  <si>
    <t>Conditional, vulnerable households with children</t>
  </si>
  <si>
    <t>54,090 (2017)</t>
  </si>
  <si>
    <t>Social Assistance Grant for Empowerment (SAGE)</t>
  </si>
  <si>
    <t>Unconditional, elderly and vulnerable families</t>
  </si>
  <si>
    <t>150,000 (2018)</t>
  </si>
  <si>
    <t>44.5% (2009)</t>
  </si>
  <si>
    <t>Northern Uganda Social Action Fund II (Household Income Support Programme)</t>
  </si>
  <si>
    <t>Unconditional, demand-driven livelihood investments</t>
  </si>
  <si>
    <t>510,138 (2016)</t>
  </si>
  <si>
    <t>Social Cash Transfer Programme</t>
  </si>
  <si>
    <t>Unconditional, variety of target populations</t>
  </si>
  <si>
    <t>2,600,000 (2016)</t>
  </si>
  <si>
    <t>65.8% (2010)</t>
  </si>
  <si>
    <t>Median transfer size</t>
  </si>
  <si>
    <t>Mean transfer size</t>
  </si>
  <si>
    <t>Per-country data for countries currently targeted by the Cash for Poverty Relief program</t>
  </si>
  <si>
    <t>2018-2023</t>
  </si>
  <si>
    <t>Large transfers for poverty relief</t>
  </si>
  <si>
    <t>Restricted</t>
  </si>
  <si>
    <t>Flexible</t>
  </si>
  <si>
    <t>Basic income</t>
  </si>
  <si>
    <t>Emergency relief</t>
  </si>
  <si>
    <t>Fundraising / salaries / misc.</t>
  </si>
  <si>
    <t>Other program types</t>
  </si>
  <si>
    <t>US programs</t>
  </si>
  <si>
    <t>Cash for Poverty Relief restricted funding</t>
  </si>
  <si>
    <t>Cash for Poverty Relief flexible funding</t>
  </si>
  <si>
    <t>Other programs flexible funding</t>
  </si>
  <si>
    <t>Other programs restricted funding</t>
  </si>
  <si>
    <t>Cash for poverty relief</t>
  </si>
  <si>
    <t>Poverty Relief x-country allocation</t>
  </si>
  <si>
    <t>2024 planned flexible allocation</t>
  </si>
  <si>
    <t>% of marginal allocation</t>
  </si>
  <si>
    <t>Leverage</t>
  </si>
  <si>
    <t>GD Poverty Relief allocations (flexible + restricted)</t>
  </si>
  <si>
    <t>Estimated inst $ crowded in</t>
  </si>
  <si>
    <t>Program category</t>
  </si>
  <si>
    <t>Program details</t>
  </si>
  <si>
    <t>Total budget</t>
  </si>
  <si>
    <t>Restricted funds</t>
  </si>
  <si>
    <t>Flexible + unrestricted funds</t>
  </si>
  <si>
    <t>% allocated by GD</t>
  </si>
  <si>
    <t>Est. funds "crowded in" by GD allocations</t>
  </si>
  <si>
    <t>Large transfers+ therapy for urban youth</t>
  </si>
  <si>
    <t>Emergency relief for annual floods</t>
  </si>
  <si>
    <t>Cross-country</t>
  </si>
  <si>
    <t>n/a</t>
  </si>
  <si>
    <t>Innovation investment</t>
  </si>
  <si>
    <t>US</t>
  </si>
  <si>
    <t>US poverty programs</t>
  </si>
  <si>
    <t>Basic income for youth poverty relief</t>
  </si>
  <si>
    <t>Basic income for poverty relief</t>
  </si>
  <si>
    <t>DRC</t>
  </si>
  <si>
    <t>Emergency relief for IDPs</t>
  </si>
  <si>
    <t>Emergency relief for IDPs [paused]</t>
  </si>
  <si>
    <t>Large transfers with basic income for poverty relief</t>
  </si>
  <si>
    <t>Large transfers for urban refugees</t>
  </si>
  <si>
    <t>Cash for food security</t>
  </si>
  <si>
    <t>Cash for rural farmers</t>
  </si>
  <si>
    <t>Large transfers for poverty + climate relief</t>
  </si>
  <si>
    <t>Large transfers for entrepeneurship</t>
  </si>
  <si>
    <t>Large transfers for entrepeneurship + emergency relief</t>
  </si>
  <si>
    <t>Emergency / climate relief</t>
  </si>
  <si>
    <t>Turkey</t>
  </si>
  <si>
    <t>Country / program scoping</t>
  </si>
  <si>
    <t>Basic income for health</t>
  </si>
  <si>
    <t>Large transfers for refugees + poverty relief</t>
  </si>
  <si>
    <t>Emergency relief for COVID</t>
  </si>
  <si>
    <t>Large transfers for youth poverty relief</t>
  </si>
  <si>
    <t>Cash+ job training for urban women</t>
  </si>
  <si>
    <t>Cash for urban women</t>
  </si>
  <si>
    <t>US COVID programs</t>
  </si>
  <si>
    <t>Large transfers for urban youth</t>
  </si>
  <si>
    <t>Large transfers for urban women</t>
  </si>
  <si>
    <r>
      <rPr>
        <rFont val="Helvetica Neue"/>
        <b/>
        <sz val="9.0"/>
      </rPr>
      <t xml:space="preserve">Notes: </t>
    </r>
    <r>
      <rPr>
        <rFont val="Helvetica Neue"/>
        <b val="0"/>
        <sz val="9.0"/>
      </rPr>
      <t>data shared by GiveDirectly</t>
    </r>
  </si>
  <si>
    <t>Update as of Oct. 2024</t>
  </si>
  <si>
    <t>Program</t>
  </si>
  <si>
    <t>Allocation of flex + UR</t>
  </si>
  <si>
    <t>% lump sum</t>
  </si>
  <si>
    <t>Rwanda lump sum (aka large transfers)</t>
  </si>
  <si>
    <t>Malawi lump sum</t>
  </si>
  <si>
    <t>Fundraising</t>
  </si>
  <si>
    <t>Uganda lump sum</t>
  </si>
  <si>
    <t>Kenya lump sum</t>
  </si>
  <si>
    <t>Bangladesh climate relief / anticipatory action</t>
  </si>
  <si>
    <t>Liberia - other programs (urban slums, UBI)</t>
  </si>
  <si>
    <t>Humanitarian response seed fund</t>
  </si>
  <si>
    <t>Kenya - other programs (UBI, emergency response seed, refugees)</t>
  </si>
  <si>
    <t>Mozambique lump sum</t>
  </si>
  <si>
    <t>Mozambique - other programs (lump sum/UBI hybrid)</t>
  </si>
  <si>
    <t>Uganda lump sum for refugees</t>
  </si>
  <si>
    <t>Malawi - other programs (climate relief, UBI, etc.)</t>
  </si>
  <si>
    <t>Nigeria climate relief / anticipatory action</t>
  </si>
  <si>
    <t>DRC emergency relief for IDPs</t>
  </si>
  <si>
    <t>US programs - offset overages from global allocations</t>
  </si>
  <si>
    <t xml:space="preserve">[ARCHIVE] Average household size </t>
  </si>
  <si>
    <t>Fertility rate per woman</t>
  </si>
  <si>
    <t>Percent of rural population under 5</t>
  </si>
  <si>
    <t>Consumption - Gov't data</t>
  </si>
  <si>
    <t>Annual consumption per capita (local currency)</t>
  </si>
  <si>
    <t>Annual consumption per capita (PPP)</t>
  </si>
  <si>
    <t>Income - GD survey data</t>
  </si>
  <si>
    <t>Annual income per capita (local currency)</t>
  </si>
  <si>
    <t>Annual income per capita (nominal)</t>
  </si>
  <si>
    <t>Annual income per capita (PPP)</t>
  </si>
  <si>
    <t>Programs context</t>
  </si>
  <si>
    <t>Current transfer size per household (nominal)</t>
  </si>
  <si>
    <t>Current targeting approach</t>
  </si>
  <si>
    <t>Village saturation within poorest subcounties in Baringo, Kilifi, and Bomet regions</t>
  </si>
  <si>
    <t>Village saturation within poorest subdistricts in Lilongwe Rural</t>
  </si>
  <si>
    <t>Targeting adults living on &lt;$2.15/day in Gikomero, Shingiro, Murama, and Butare sectors</t>
  </si>
  <si>
    <t>Village saturation within poorest subcounties in Karamoja region</t>
  </si>
  <si>
    <t>Historic targeting approach</t>
  </si>
  <si>
    <t>Saturation of poorest villages since 2018; previously within-village targeting</t>
  </si>
  <si>
    <r>
      <rPr>
        <rFont val="&quot;Helvetica Neue&quot;, Arial"/>
        <sz val="9.0"/>
      </rPr>
      <t xml:space="preserve">Saturation of poorest villages since 2020 launch; </t>
    </r>
    <r>
      <rPr>
        <rFont val="&quot;Helvetica Neue&quot;, Arial"/>
        <color rgb="FF1155CC"/>
        <sz val="9.0"/>
        <u/>
      </rPr>
      <t>UBI pilot</t>
    </r>
    <r>
      <rPr>
        <rFont val="&quot;Helvetica Neue&quot;, Arial"/>
        <sz val="9.0"/>
      </rPr>
      <t xml:space="preserve"> studied targeting tradeoffs to inform current approach</t>
    </r>
  </si>
  <si>
    <t>Saturation of poorest villages from 2016 to 2023; targeted poorest villages via ubedehe social registry</t>
  </si>
  <si>
    <t>Saturation of poorest villages since 2016 launch</t>
  </si>
  <si>
    <t>Recipients paid since 2011</t>
  </si>
  <si>
    <t>Sources</t>
  </si>
  <si>
    <t>All programs</t>
  </si>
  <si>
    <t>GD estimates</t>
  </si>
  <si>
    <r>
      <rPr>
        <rFont val="&quot;Helvetica Neue&quot;"/>
        <sz val="9.0"/>
      </rPr>
      <t xml:space="preserve">Just </t>
    </r>
    <r>
      <rPr>
        <rFont val="&quot;Helvetica Neue&quot;"/>
        <color rgb="FF1155CC"/>
        <sz val="9.0"/>
        <u/>
      </rPr>
      <t>large transfer</t>
    </r>
    <r>
      <rPr>
        <rFont val="&quot;Helvetica Neue&quot;"/>
        <sz val="9.0"/>
      </rPr>
      <t xml:space="preserve"> programs</t>
    </r>
  </si>
  <si>
    <t>Average rural household size</t>
  </si>
  <si>
    <t>Poverty headcount rate</t>
  </si>
  <si>
    <t>World Bank</t>
  </si>
  <si>
    <t>Estimated number of households in extreme poverty</t>
  </si>
  <si>
    <t>Households that have received large transfers (as % of those in extreme poverty)</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</si>
</sst>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quot;$&quot;#,##0"/>
    <numFmt numFmtId="165" formatCode="0.0"/>
    <numFmt numFmtId="166" formatCode="#,##0.0"/>
    <numFmt numFmtId="167" formatCode="#,##0.000"/>
    <numFmt numFmtId="168" formatCode="0.0%"/>
    <numFmt numFmtId="169" formatCode="&quot;$&quot;#,##0.00"/>
    <numFmt numFmtId="170" formatCode="#,##0.000000"/>
  </numFmts>
  <fonts count="54">
    <font>
      <sz val="11.0"/>
      <color rgb="FF000000"/>
      <name val="Calibri"/>
    </font>
    <font>
      <b/>
      <sz val="14.0"/>
      <color rgb="FF000000"/>
      <name val="Calibri"/>
    </font>
    <font>
      <u/>
      <sz val="11.0"/>
      <color rgb="FF000000"/>
      <name val="Calibri"/>
    </font>
    <font>
      <u/>
      <sz val="11.0"/>
      <color rgb="FF0563C1"/>
      <name val="Calibri"/>
    </font>
    <font>
      <b/>
      <sz val="14.0"/>
      <name val="Calibri"/>
    </font>
    <font>
      <sz val="11.0"/>
      <color rgb="FF0000FF"/>
      <name val="Calibri"/>
    </font>
    <font>
      <sz val="11.0"/>
    </font>
    <font>
      <sz val="11.0"/>
      <color rgb="FF274E13"/>
      <name val="Calibri"/>
    </font>
    <font>
      <u/>
      <sz val="11.0"/>
      <color rgb="FF0000FF"/>
    </font>
    <font>
      <u/>
      <sz val="11.0"/>
      <color rgb="FF0000FF"/>
    </font>
    <font>
      <u/>
      <sz val="11.0"/>
      <color rgb="FF0000FF"/>
    </font>
    <font>
      <u/>
      <sz val="11.0"/>
      <color rgb="FF1155CC"/>
    </font>
    <font>
      <u/>
      <sz val="11.0"/>
      <color rgb="FF0000FF"/>
    </font>
    <font>
      <u/>
      <sz val="11.0"/>
      <color rgb="FF0563C1"/>
      <name val="Calibri"/>
    </font>
    <font>
      <sz val="11.0"/>
      <name val="Calibri"/>
    </font>
    <font>
      <u/>
      <color rgb="FF0000FF"/>
    </font>
    <font/>
    <font>
      <u/>
      <color rgb="FF0000FF"/>
    </font>
    <font>
      <u/>
      <color rgb="FF0000FF"/>
    </font>
    <font>
      <u/>
      <color rgb="FF0000FF"/>
    </font>
    <font>
      <u/>
      <color rgb="FF0000FF"/>
    </font>
    <font>
      <b/>
      <color rgb="FF000000"/>
    </font>
    <font>
      <b/>
    </font>
    <font>
      <color rgb="FF000000"/>
    </font>
    <font>
      <sz val="11.0"/>
      <color rgb="FF000000"/>
    </font>
    <font>
      <i/>
    </font>
    <font>
      <b/>
      <sz val="11.0"/>
      <name val="Calibri"/>
    </font>
    <font>
      <u/>
      <sz val="11.0"/>
      <color rgb="FF0000FF"/>
      <name val="Calibri"/>
    </font>
    <font>
      <i/>
      <sz val="11.0"/>
      <name val="Calibri"/>
    </font>
    <font>
      <sz val="10.0"/>
      <name val="Arial"/>
    </font>
    <font>
      <u/>
      <color rgb="FF0000FF"/>
    </font>
    <font>
      <color rgb="FF000000"/>
      <name val="Calibri"/>
    </font>
    <font>
      <b/>
      <sz val="10.0"/>
      <name val="Arial"/>
    </font>
    <font>
      <i/>
      <color rgb="FF000000"/>
    </font>
    <font>
      <b/>
      <sz val="11.0"/>
      <color rgb="FF000000"/>
      <name val="Calibri"/>
    </font>
    <font>
      <u/>
      <sz val="11.0"/>
      <color rgb="FF000000"/>
      <name val="Calibri"/>
    </font>
    <font>
      <color rgb="FF0000FF"/>
    </font>
    <font>
      <b/>
      <sz val="12.0"/>
      <color rgb="FF000000"/>
      <name val="Calibri"/>
    </font>
    <font>
      <sz val="12.0"/>
      <color rgb="FF000000"/>
      <name val="Calibri"/>
    </font>
    <font>
      <b/>
      <sz val="16.0"/>
      <name val="Calibri"/>
    </font>
    <font>
      <b/>
      <u/>
      <sz val="11.0"/>
      <color rgb="FF0000FF"/>
      <name val="Calibri"/>
    </font>
    <font>
      <b/>
      <u/>
      <color rgb="FF0000FF"/>
    </font>
    <font>
      <u/>
      <sz val="10.0"/>
      <color rgb="FF0000FF"/>
      <name val="Arial"/>
    </font>
    <font>
      <u/>
      <color rgb="FF0000FF"/>
    </font>
    <font>
      <b/>
      <sz val="9.0"/>
      <name val="Helvetica Neue"/>
    </font>
    <font>
      <sz val="9.0"/>
      <name val="Helvetica Neue"/>
    </font>
    <font>
      <name val="Arial"/>
    </font>
    <font>
      <b/>
      <sz val="9.0"/>
      <name val="&quot;Helvetica Neue&quot;"/>
    </font>
    <font>
      <sz val="9.0"/>
      <name val="&quot;Helvetica Neue&quot;"/>
    </font>
    <font>
      <sz val="9.0"/>
      <color rgb="FF0000FF"/>
      <name val="&quot;Helvetica Neue&quot;"/>
    </font>
    <font>
      <name val="Helvetica Neue"/>
    </font>
    <font>
      <u/>
      <sz val="9.0"/>
      <color rgb="FF0000FF"/>
      <name val="&quot;Helvetica Neue&quot;"/>
    </font>
    <font>
      <sz val="9.0"/>
      <color rgb="FF000000"/>
      <name val="Helvetica Neue"/>
    </font>
    <font>
      <u/>
      <sz val="9.0"/>
      <color rgb="FF0000FF"/>
      <name val="Helvetica Neue"/>
    </font>
  </fonts>
  <fills count="16">
    <fill>
      <patternFill patternType="none"/>
    </fill>
    <fill>
      <patternFill patternType="lightGray"/>
    </fill>
    <fill>
      <patternFill patternType="solid">
        <fgColor rgb="FFFFF2CC"/>
        <bgColor rgb="FFFFF2CC"/>
      </patternFill>
    </fill>
    <fill>
      <patternFill patternType="solid">
        <fgColor rgb="FFC9DAF8"/>
        <bgColor rgb="FFC9DAF8"/>
      </patternFill>
    </fill>
    <fill>
      <patternFill patternType="solid">
        <fgColor rgb="FFFCE5CD"/>
        <bgColor rgb="FFFCE5CD"/>
      </patternFill>
    </fill>
    <fill>
      <patternFill patternType="solid">
        <fgColor rgb="FFCFE2F3"/>
        <bgColor rgb="FFCFE2F3"/>
      </patternFill>
    </fill>
    <fill>
      <patternFill patternType="solid">
        <fgColor rgb="FFF9CB9C"/>
        <bgColor rgb="FFF9CB9C"/>
      </patternFill>
    </fill>
    <fill>
      <patternFill patternType="solid">
        <fgColor rgb="FFEA9999"/>
        <bgColor rgb="FFEA9999"/>
      </patternFill>
    </fill>
    <fill>
      <patternFill patternType="solid">
        <fgColor rgb="FFF4CCCC"/>
        <bgColor rgb="FFF4CCCC"/>
      </patternFill>
    </fill>
    <fill>
      <patternFill patternType="solid">
        <fgColor rgb="FFB6D7A8"/>
        <bgColor rgb="FFB6D7A8"/>
      </patternFill>
    </fill>
    <fill>
      <patternFill patternType="solid">
        <fgColor rgb="FFD9EAD3"/>
        <bgColor rgb="FFD9EAD3"/>
      </patternFill>
    </fill>
    <fill>
      <patternFill patternType="solid">
        <fgColor rgb="FFB4A7D6"/>
        <bgColor rgb="FFB4A7D6"/>
      </patternFill>
    </fill>
    <fill>
      <patternFill patternType="solid">
        <fgColor rgb="FFD9D2E9"/>
        <bgColor rgb="FFD9D2E9"/>
      </patternFill>
    </fill>
    <fill>
      <patternFill patternType="solid">
        <fgColor rgb="FFD9D9D9"/>
        <bgColor rgb="FFD9D9D9"/>
      </patternFill>
    </fill>
    <fill>
      <patternFill patternType="solid">
        <fgColor rgb="FFF1C232"/>
        <bgColor rgb="FFF1C232"/>
      </patternFill>
    </fill>
    <fill>
      <patternFill patternType="solid">
        <fgColor rgb="FFFFFFFF"/>
        <bgColor rgb="FFFFFFFF"/>
      </patternFill>
    </fill>
  </fills>
  <borders count="1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border>
    <border>
      <right style="thin">
        <color rgb="FF000000"/>
      </right>
    </border>
  </borders>
  <cellStyleXfs count="1">
    <xf borderId="0" fillId="0" fontId="0" numFmtId="0" applyAlignment="1" applyFont="1"/>
  </cellStyleXfs>
  <cellXfs count="443">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2" numFmtId="0" xfId="0" applyAlignment="1" applyFont="1">
      <alignment readingOrder="0" shrinkToFit="0" wrapText="1"/>
    </xf>
    <xf borderId="0" fillId="0" fontId="0" numFmtId="0" xfId="0" applyAlignment="1" applyFont="1">
      <alignment readingOrder="0" shrinkToFit="0" wrapText="1"/>
    </xf>
    <xf borderId="0" fillId="0" fontId="3" numFmtId="0" xfId="0" applyAlignment="1" applyFont="1">
      <alignment shrinkToFit="0" wrapText="1"/>
    </xf>
    <xf borderId="0" fillId="0" fontId="0" numFmtId="0" xfId="0" applyAlignment="1" applyFont="1">
      <alignment horizontal="left" readingOrder="0" shrinkToFit="0" wrapText="1"/>
    </xf>
    <xf borderId="0" fillId="0" fontId="4" numFmtId="0" xfId="0" applyAlignment="1" applyFont="1">
      <alignment horizontal="left" readingOrder="0" shrinkToFit="0" vertical="bottom" wrapText="0"/>
    </xf>
    <xf borderId="0" fillId="0" fontId="5" numFmtId="0" xfId="0" applyAlignment="1" applyFont="1">
      <alignment horizontal="left" readingOrder="0" shrinkToFit="0" wrapText="1"/>
    </xf>
    <xf borderId="0" fillId="0" fontId="6" numFmtId="0" xfId="0" applyFont="1"/>
    <xf borderId="0" fillId="0" fontId="7" numFmtId="0" xfId="0" applyAlignment="1" applyFont="1">
      <alignment horizontal="left" readingOrder="0" shrinkToFit="0" wrapText="1"/>
    </xf>
    <xf borderId="0" fillId="0" fontId="1" numFmtId="0" xfId="0" applyAlignment="1" applyFont="1">
      <alignment readingOrder="0" shrinkToFit="0" vertical="bottom" wrapText="0"/>
    </xf>
    <xf borderId="0" fillId="2" fontId="8" numFmtId="0" xfId="0" applyFill="1" applyFont="1"/>
    <xf borderId="0" fillId="2" fontId="6" numFmtId="0" xfId="0" applyAlignment="1" applyFont="1">
      <alignment readingOrder="0"/>
    </xf>
    <xf borderId="0" fillId="3" fontId="9" numFmtId="0" xfId="0" applyFill="1" applyFont="1"/>
    <xf borderId="0" fillId="3" fontId="6" numFmtId="0" xfId="0" applyAlignment="1" applyFont="1">
      <alignment readingOrder="0"/>
    </xf>
    <xf borderId="0" fillId="3" fontId="10" numFmtId="0" xfId="0" applyAlignment="1" applyFont="1">
      <alignment readingOrder="0"/>
    </xf>
    <xf borderId="0" fillId="3" fontId="11" numFmtId="0" xfId="0" applyAlignment="1" applyFont="1">
      <alignment readingOrder="0"/>
    </xf>
    <xf borderId="0" fillId="4" fontId="12" numFmtId="0" xfId="0" applyAlignment="1" applyFill="1" applyFont="1">
      <alignment readingOrder="0"/>
    </xf>
    <xf borderId="0" fillId="4" fontId="6" numFmtId="0" xfId="0" applyAlignment="1" applyFont="1">
      <alignment readingOrder="0"/>
    </xf>
    <xf borderId="0" fillId="0" fontId="0" numFmtId="0" xfId="0" applyAlignment="1" applyFont="1">
      <alignment shrinkToFit="0" wrapText="1"/>
    </xf>
    <xf borderId="0" fillId="0" fontId="13" numFmtId="0" xfId="0" applyAlignment="1" applyFont="1">
      <alignment readingOrder="0" shrinkToFit="0" vertical="bottom" wrapText="1"/>
    </xf>
    <xf borderId="0" fillId="0" fontId="1" numFmtId="0" xfId="0" applyAlignment="1" applyFont="1">
      <alignment vertical="bottom"/>
    </xf>
    <xf borderId="0" fillId="0" fontId="14" numFmtId="0" xfId="0" applyAlignment="1" applyFont="1">
      <alignment vertical="bottom"/>
    </xf>
    <xf borderId="0" fillId="5" fontId="15" numFmtId="0" xfId="0" applyAlignment="1" applyFill="1" applyFont="1">
      <alignment readingOrder="0"/>
    </xf>
    <xf borderId="0" fillId="5" fontId="16" numFmtId="0" xfId="0" applyAlignment="1" applyFont="1">
      <alignment readingOrder="0"/>
    </xf>
    <xf borderId="0" fillId="0" fontId="16" numFmtId="0" xfId="0" applyAlignment="1" applyFont="1">
      <alignment horizontal="center" readingOrder="0"/>
    </xf>
    <xf borderId="0" fillId="6" fontId="16" numFmtId="0" xfId="0" applyAlignment="1" applyFill="1" applyFont="1">
      <alignment readingOrder="0"/>
    </xf>
    <xf borderId="0" fillId="6" fontId="16" numFmtId="0" xfId="0" applyFont="1"/>
    <xf borderId="0" fillId="0" fontId="16" numFmtId="164" xfId="0" applyAlignment="1" applyFont="1" applyNumberFormat="1">
      <alignment horizontal="center" readingOrder="0"/>
    </xf>
    <xf borderId="0" fillId="4" fontId="17" numFmtId="0" xfId="0" applyAlignment="1" applyFont="1">
      <alignment readingOrder="0"/>
    </xf>
    <xf borderId="0" fillId="4" fontId="14" numFmtId="0" xfId="0" applyAlignment="1" applyFont="1">
      <alignment readingOrder="0" vertical="bottom"/>
    </xf>
    <xf borderId="0" fillId="4" fontId="16" numFmtId="0" xfId="0" applyAlignment="1" applyFont="1">
      <alignment readingOrder="0"/>
    </xf>
    <xf borderId="0" fillId="4" fontId="16" numFmtId="0" xfId="0" applyAlignment="1" applyFont="1">
      <alignment readingOrder="0"/>
    </xf>
    <xf borderId="0" fillId="7" fontId="16" numFmtId="0" xfId="0" applyAlignment="1" applyFill="1" applyFont="1">
      <alignment readingOrder="0"/>
    </xf>
    <xf borderId="0" fillId="8" fontId="18" numFmtId="0" xfId="0" applyAlignment="1" applyFill="1" applyFont="1">
      <alignment readingOrder="0"/>
    </xf>
    <xf borderId="0" fillId="8" fontId="16" numFmtId="0" xfId="0" applyAlignment="1" applyFont="1">
      <alignment readingOrder="0"/>
    </xf>
    <xf borderId="0" fillId="9" fontId="16" numFmtId="0" xfId="0" applyAlignment="1" applyFill="1" applyFont="1">
      <alignment readingOrder="0"/>
    </xf>
    <xf borderId="0" fillId="9" fontId="16" numFmtId="0" xfId="0" applyFont="1"/>
    <xf borderId="0" fillId="10" fontId="19" numFmtId="0" xfId="0" applyAlignment="1" applyFill="1" applyFont="1">
      <alignment readingOrder="0"/>
    </xf>
    <xf borderId="0" fillId="10" fontId="16" numFmtId="0" xfId="0" applyAlignment="1" applyFont="1">
      <alignment readingOrder="0"/>
    </xf>
    <xf borderId="0" fillId="11" fontId="16" numFmtId="0" xfId="0" applyAlignment="1" applyFill="1" applyFont="1">
      <alignment readingOrder="0"/>
    </xf>
    <xf borderId="0" fillId="11" fontId="16" numFmtId="0" xfId="0" applyFont="1"/>
    <xf borderId="0" fillId="12" fontId="20" numFmtId="0" xfId="0" applyAlignment="1" applyFill="1" applyFont="1">
      <alignment readingOrder="0"/>
    </xf>
    <xf borderId="0" fillId="12" fontId="16" numFmtId="0" xfId="0" applyAlignment="1" applyFont="1">
      <alignment readingOrder="0"/>
    </xf>
    <xf borderId="0" fillId="2" fontId="16" numFmtId="0" xfId="0" applyAlignment="1" applyFont="1">
      <alignment readingOrder="0"/>
    </xf>
    <xf borderId="0" fillId="2" fontId="21" numFmtId="0" xfId="0" applyAlignment="1" applyFont="1">
      <alignment horizontal="center" readingOrder="0"/>
    </xf>
    <xf borderId="0" fillId="2" fontId="16" numFmtId="0" xfId="0" applyFont="1"/>
    <xf borderId="0" fillId="3" fontId="16" numFmtId="0" xfId="0" applyFont="1"/>
    <xf borderId="0" fillId="3" fontId="21" numFmtId="0" xfId="0" applyAlignment="1" applyFont="1">
      <alignment horizontal="center" readingOrder="0"/>
    </xf>
    <xf borderId="0" fillId="3" fontId="16" numFmtId="0" xfId="0" applyAlignment="1" applyFont="1">
      <alignment readingOrder="0"/>
    </xf>
    <xf borderId="0" fillId="13" fontId="22" numFmtId="0" xfId="0" applyAlignment="1" applyFill="1" applyFont="1">
      <alignment readingOrder="0"/>
    </xf>
    <xf borderId="0" fillId="13" fontId="23" numFmtId="164" xfId="0" applyAlignment="1" applyFont="1" applyNumberFormat="1">
      <alignment horizontal="center" readingOrder="0"/>
    </xf>
    <xf borderId="0" fillId="13" fontId="16" numFmtId="0" xfId="0" applyFont="1"/>
    <xf borderId="0" fillId="0" fontId="16" numFmtId="0" xfId="0" applyAlignment="1" applyFont="1">
      <alignment readingOrder="0"/>
    </xf>
    <xf borderId="0" fillId="0" fontId="23" numFmtId="164" xfId="0" applyAlignment="1" applyFont="1" applyNumberFormat="1">
      <alignment horizontal="center" readingOrder="0"/>
    </xf>
    <xf borderId="0" fillId="0" fontId="0" numFmtId="164" xfId="0" applyAlignment="1" applyFont="1" applyNumberFormat="1">
      <alignment horizontal="left" readingOrder="0" shrinkToFit="0" vertical="center" wrapText="0"/>
    </xf>
    <xf borderId="0" fillId="0" fontId="0" numFmtId="164" xfId="0" applyAlignment="1" applyFont="1" applyNumberFormat="1">
      <alignment horizontal="center" readingOrder="0" shrinkToFit="0" vertical="center" wrapText="0"/>
    </xf>
    <xf borderId="0" fillId="0" fontId="0" numFmtId="164" xfId="0" applyAlignment="1" applyFont="1" applyNumberFormat="1">
      <alignment horizontal="center" shrinkToFit="0" vertical="center" wrapText="0"/>
    </xf>
    <xf borderId="0" fillId="0" fontId="0" numFmtId="0" xfId="0" applyAlignment="1" applyFont="1">
      <alignment horizontal="left" readingOrder="0" shrinkToFit="0" vertical="center" wrapText="0"/>
    </xf>
    <xf borderId="0" fillId="0" fontId="0" numFmtId="9" xfId="0" applyAlignment="1" applyFont="1" applyNumberFormat="1">
      <alignment horizontal="center" readingOrder="0" shrinkToFit="0" vertical="center" wrapText="0"/>
    </xf>
    <xf borderId="0" fillId="0" fontId="23" numFmtId="3" xfId="0" applyAlignment="1" applyFont="1" applyNumberFormat="1">
      <alignment horizontal="center"/>
    </xf>
    <xf borderId="0" fillId="0" fontId="23" numFmtId="165" xfId="0" applyAlignment="1" applyFont="1" applyNumberFormat="1">
      <alignment horizontal="center" readingOrder="0"/>
    </xf>
    <xf borderId="0" fillId="0" fontId="23" numFmtId="164" xfId="0" applyAlignment="1" applyFont="1" applyNumberFormat="1">
      <alignment horizontal="center"/>
    </xf>
    <xf borderId="0" fillId="0" fontId="23" numFmtId="0" xfId="0" applyAlignment="1" applyFont="1">
      <alignment horizontal="center" readingOrder="0"/>
    </xf>
    <xf borderId="0" fillId="0" fontId="16" numFmtId="0" xfId="0" applyAlignment="1" applyFont="1">
      <alignment readingOrder="0"/>
    </xf>
    <xf borderId="0" fillId="13" fontId="22" numFmtId="0" xfId="0" applyAlignment="1" applyFont="1">
      <alignment readingOrder="0"/>
    </xf>
    <xf borderId="0" fillId="13" fontId="23" numFmtId="0" xfId="0" applyAlignment="1" applyFont="1">
      <alignment horizontal="center"/>
    </xf>
    <xf borderId="0" fillId="0" fontId="0" numFmtId="9" xfId="0" applyAlignment="1" applyFont="1" applyNumberFormat="1">
      <alignment horizontal="center" vertical="bottom"/>
    </xf>
    <xf borderId="0" fillId="0" fontId="0" numFmtId="164" xfId="0" applyAlignment="1" applyFont="1" applyNumberFormat="1">
      <alignment horizontal="center" vertical="bottom"/>
    </xf>
    <xf borderId="0" fillId="0" fontId="14" numFmtId="0" xfId="0" applyAlignment="1" applyFont="1">
      <alignment horizontal="left" readingOrder="0" shrinkToFit="0" vertical="center" wrapText="0"/>
    </xf>
    <xf borderId="0" fillId="0" fontId="0" numFmtId="4" xfId="0" applyAlignment="1" applyFont="1" applyNumberFormat="1">
      <alignment horizontal="center"/>
    </xf>
    <xf borderId="0" fillId="0" fontId="16" numFmtId="166" xfId="0" applyAlignment="1" applyFont="1" applyNumberFormat="1">
      <alignment readingOrder="0"/>
    </xf>
    <xf borderId="0" fillId="0" fontId="23" numFmtId="4" xfId="0" applyAlignment="1" applyFont="1" applyNumberFormat="1">
      <alignment horizontal="center"/>
    </xf>
    <xf borderId="0" fillId="0" fontId="23" numFmtId="2" xfId="0" applyAlignment="1" applyFont="1" applyNumberFormat="1">
      <alignment horizontal="center" readingOrder="0"/>
    </xf>
    <xf borderId="0" fillId="0" fontId="23" numFmtId="3" xfId="0" applyAlignment="1" applyFont="1" applyNumberFormat="1">
      <alignment horizontal="center" readingOrder="0"/>
    </xf>
    <xf borderId="0" fillId="0" fontId="23" numFmtId="9" xfId="0" applyAlignment="1" applyFont="1" applyNumberFormat="1">
      <alignment horizontal="center" readingOrder="0"/>
    </xf>
    <xf borderId="0" fillId="0" fontId="23" numFmtId="167" xfId="0" applyAlignment="1" applyFont="1" applyNumberFormat="1">
      <alignment horizontal="center" readingOrder="0"/>
    </xf>
    <xf borderId="0" fillId="0" fontId="23" numFmtId="166" xfId="0" applyAlignment="1" applyFont="1" applyNumberFormat="1">
      <alignment horizontal="center" readingOrder="0"/>
    </xf>
    <xf borderId="0" fillId="13" fontId="23" numFmtId="9" xfId="0" applyAlignment="1" applyFont="1" applyNumberFormat="1">
      <alignment horizontal="center" readingOrder="0"/>
    </xf>
    <xf borderId="0" fillId="13" fontId="16" numFmtId="0" xfId="0" applyAlignment="1" applyFont="1">
      <alignment readingOrder="0"/>
    </xf>
    <xf borderId="0" fillId="0" fontId="23" numFmtId="166" xfId="0" applyAlignment="1" applyFont="1" applyNumberFormat="1">
      <alignment horizontal="center"/>
    </xf>
    <xf borderId="0" fillId="0" fontId="23" numFmtId="9" xfId="0" applyAlignment="1" applyFont="1" applyNumberFormat="1">
      <alignment horizontal="center"/>
    </xf>
    <xf borderId="0" fillId="0" fontId="23" numFmtId="1" xfId="0" applyAlignment="1" applyFont="1" applyNumberFormat="1">
      <alignment horizontal="center"/>
    </xf>
    <xf borderId="0" fillId="0" fontId="16" numFmtId="168" xfId="0" applyAlignment="1" applyFont="1" applyNumberFormat="1">
      <alignment horizontal="center"/>
    </xf>
    <xf borderId="0" fillId="0" fontId="0" numFmtId="0" xfId="0" applyAlignment="1" applyFont="1">
      <alignment readingOrder="0"/>
    </xf>
    <xf borderId="0" fillId="0" fontId="14" numFmtId="168" xfId="0" applyAlignment="1" applyFont="1" applyNumberFormat="1">
      <alignment horizontal="center" readingOrder="0" vertical="bottom"/>
    </xf>
    <xf borderId="0" fillId="0" fontId="14" numFmtId="9" xfId="0" applyAlignment="1" applyFont="1" applyNumberFormat="1">
      <alignment horizontal="center" readingOrder="0" vertical="bottom"/>
    </xf>
    <xf borderId="0" fillId="0" fontId="16" numFmtId="9" xfId="0" applyAlignment="1" applyFont="1" applyNumberFormat="1">
      <alignment horizontal="center" readingOrder="0"/>
    </xf>
    <xf borderId="0" fillId="0" fontId="16" numFmtId="165" xfId="0" applyAlignment="1" applyFont="1" applyNumberFormat="1">
      <alignment horizontal="center" readingOrder="0"/>
    </xf>
    <xf borderId="0" fillId="0" fontId="16" numFmtId="1" xfId="0" applyAlignment="1" applyFont="1" applyNumberFormat="1">
      <alignment horizontal="center"/>
    </xf>
    <xf borderId="0" fillId="0" fontId="16" numFmtId="3" xfId="0" applyAlignment="1" applyFont="1" applyNumberFormat="1">
      <alignment horizontal="center"/>
    </xf>
    <xf borderId="0" fillId="14" fontId="22" numFmtId="0" xfId="0" applyAlignment="1" applyFill="1" applyFont="1">
      <alignment readingOrder="0"/>
    </xf>
    <xf borderId="0" fillId="14" fontId="21" numFmtId="165" xfId="0" applyAlignment="1" applyFont="1" applyNumberFormat="1">
      <alignment horizontal="center"/>
    </xf>
    <xf borderId="0" fillId="14" fontId="16" numFmtId="0" xfId="0" applyFont="1"/>
    <xf borderId="0" fillId="0" fontId="24" numFmtId="9" xfId="0" applyAlignment="1" applyFont="1" applyNumberFormat="1">
      <alignment horizontal="center" readingOrder="0"/>
    </xf>
    <xf borderId="0" fillId="0" fontId="16" numFmtId="0" xfId="0" applyAlignment="1" applyFont="1">
      <alignment readingOrder="0"/>
    </xf>
    <xf borderId="0" fillId="14" fontId="23" numFmtId="0" xfId="0" applyAlignment="1" applyFont="1">
      <alignment horizontal="center"/>
    </xf>
    <xf borderId="0" fillId="0" fontId="25" numFmtId="0" xfId="0" applyAlignment="1" applyFont="1">
      <alignment readingOrder="0"/>
    </xf>
    <xf borderId="0" fillId="0" fontId="23" numFmtId="0" xfId="0" applyAlignment="1" applyFont="1">
      <alignment horizontal="center"/>
    </xf>
    <xf borderId="0" fillId="0" fontId="16" numFmtId="9" xfId="0" applyAlignment="1" applyFont="1" applyNumberFormat="1">
      <alignment horizontal="center"/>
    </xf>
    <xf borderId="0" fillId="0" fontId="21" numFmtId="0" xfId="0" applyAlignment="1" applyFont="1">
      <alignment horizontal="center" readingOrder="0"/>
    </xf>
    <xf borderId="0" fillId="2" fontId="14" numFmtId="0" xfId="0" applyAlignment="1" applyFont="1">
      <alignment readingOrder="0" vertical="bottom"/>
    </xf>
    <xf borderId="0" fillId="2" fontId="26" numFmtId="0" xfId="0" applyAlignment="1" applyFont="1">
      <alignment horizontal="center" vertical="bottom"/>
    </xf>
    <xf borderId="0" fillId="2" fontId="26" numFmtId="0" xfId="0" applyAlignment="1" applyFont="1">
      <alignment horizontal="center" readingOrder="0" vertical="bottom"/>
    </xf>
    <xf borderId="0" fillId="2" fontId="14" numFmtId="0" xfId="0" applyAlignment="1" applyFont="1">
      <alignment readingOrder="0"/>
    </xf>
    <xf borderId="0" fillId="2" fontId="14" numFmtId="0" xfId="0" applyFont="1"/>
    <xf borderId="0" fillId="0" fontId="27" numFmtId="0" xfId="0" applyAlignment="1" applyFont="1">
      <alignment readingOrder="0" vertical="bottom"/>
    </xf>
    <xf borderId="0" fillId="0" fontId="26" numFmtId="0" xfId="0" applyAlignment="1" applyFont="1">
      <alignment horizontal="center" vertical="bottom"/>
    </xf>
    <xf borderId="0" fillId="0" fontId="26" numFmtId="0" xfId="0" applyAlignment="1" applyFont="1">
      <alignment horizontal="center" readingOrder="0" vertical="bottom"/>
    </xf>
    <xf borderId="0" fillId="0" fontId="14" numFmtId="0" xfId="0" applyAlignment="1" applyFont="1">
      <alignment readingOrder="0"/>
    </xf>
    <xf borderId="0" fillId="0" fontId="14" numFmtId="0" xfId="0" applyFont="1"/>
    <xf borderId="0" fillId="13" fontId="26" numFmtId="169" xfId="0" applyAlignment="1" applyFont="1" applyNumberFormat="1">
      <alignment shrinkToFit="0" vertical="bottom" wrapText="1"/>
    </xf>
    <xf borderId="0" fillId="13" fontId="14" numFmtId="164" xfId="0" applyAlignment="1" applyFont="1" applyNumberFormat="1">
      <alignment horizontal="center" vertical="bottom"/>
    </xf>
    <xf borderId="0" fillId="13" fontId="14" numFmtId="0" xfId="0" applyFont="1"/>
    <xf borderId="0" fillId="0" fontId="14" numFmtId="169" xfId="0" applyAlignment="1" applyFont="1" applyNumberFormat="1">
      <alignment shrinkToFit="0" vertical="bottom" wrapText="1"/>
    </xf>
    <xf borderId="0" fillId="0" fontId="14" numFmtId="0" xfId="0" applyAlignment="1" applyFont="1">
      <alignment horizontal="center" vertical="bottom"/>
    </xf>
    <xf borderId="0" fillId="0" fontId="14" numFmtId="0" xfId="0" applyAlignment="1" applyFont="1">
      <alignment horizontal="center" readingOrder="0" vertical="bottom"/>
    </xf>
    <xf borderId="0" fillId="13" fontId="26" numFmtId="169" xfId="0" applyAlignment="1" applyFont="1" applyNumberFormat="1">
      <alignment readingOrder="0" shrinkToFit="0" vertical="bottom" wrapText="1"/>
    </xf>
    <xf borderId="0" fillId="13" fontId="14" numFmtId="10" xfId="0" applyAlignment="1" applyFont="1" applyNumberFormat="1">
      <alignment horizontal="center" vertical="bottom"/>
    </xf>
    <xf borderId="0" fillId="0" fontId="14" numFmtId="169" xfId="0" applyAlignment="1" applyFont="1" applyNumberFormat="1">
      <alignment readingOrder="0" shrinkToFit="0" vertical="bottom" wrapText="1"/>
    </xf>
    <xf borderId="0" fillId="0" fontId="14" numFmtId="3" xfId="0" applyAlignment="1" applyFont="1" applyNumberFormat="1">
      <alignment horizontal="center" vertical="bottom"/>
    </xf>
    <xf borderId="0" fillId="13" fontId="14" numFmtId="3" xfId="0" applyAlignment="1" applyFont="1" applyNumberFormat="1">
      <alignment horizontal="center" vertical="bottom"/>
    </xf>
    <xf borderId="0" fillId="3" fontId="28" numFmtId="169" xfId="0" applyAlignment="1" applyFont="1" applyNumberFormat="1">
      <alignment readingOrder="0" shrinkToFit="0" vertical="bottom" wrapText="1"/>
    </xf>
    <xf borderId="0" fillId="3" fontId="14" numFmtId="3" xfId="0" applyAlignment="1" applyFont="1" applyNumberFormat="1">
      <alignment horizontal="center" vertical="bottom"/>
    </xf>
    <xf borderId="0" fillId="3" fontId="14" numFmtId="0" xfId="0" applyFont="1"/>
    <xf borderId="0" fillId="0" fontId="14" numFmtId="9" xfId="0" applyAlignment="1" applyFont="1" applyNumberFormat="1">
      <alignment horizontal="center" vertical="bottom"/>
    </xf>
    <xf borderId="0" fillId="0" fontId="14" numFmtId="165" xfId="0" applyFont="1" applyNumberFormat="1"/>
    <xf borderId="0" fillId="3" fontId="14" numFmtId="166" xfId="0" applyAlignment="1" applyFont="1" applyNumberFormat="1">
      <alignment horizontal="center" vertical="bottom"/>
    </xf>
    <xf borderId="0" fillId="0" fontId="14" numFmtId="166" xfId="0" applyAlignment="1" applyFont="1" applyNumberFormat="1">
      <alignment horizontal="center" vertical="bottom"/>
    </xf>
    <xf borderId="0" fillId="0" fontId="14" numFmtId="0" xfId="0" applyAlignment="1" applyFont="1">
      <alignment readingOrder="0"/>
    </xf>
    <xf borderId="0" fillId="0" fontId="14" numFmtId="164" xfId="0" applyAlignment="1" applyFont="1" applyNumberFormat="1">
      <alignment horizontal="center"/>
    </xf>
    <xf borderId="0" fillId="0" fontId="26" numFmtId="0" xfId="0" applyAlignment="1" applyFont="1">
      <alignment readingOrder="0"/>
    </xf>
    <xf borderId="0" fillId="0" fontId="26" numFmtId="164" xfId="0" applyAlignment="1" applyFont="1" applyNumberFormat="1">
      <alignment horizontal="center"/>
    </xf>
    <xf borderId="0" fillId="0" fontId="28" numFmtId="169" xfId="0" applyAlignment="1" applyFont="1" applyNumberFormat="1">
      <alignment readingOrder="0" shrinkToFit="0" vertical="bottom" wrapText="1"/>
    </xf>
    <xf borderId="0" fillId="0" fontId="14" numFmtId="166" xfId="0" applyAlignment="1" applyFont="1" applyNumberFormat="1">
      <alignment horizontal="center"/>
    </xf>
    <xf borderId="0" fillId="0" fontId="26" numFmtId="169" xfId="0" applyAlignment="1" applyFont="1" applyNumberFormat="1">
      <alignment shrinkToFit="0" vertical="bottom" wrapText="1"/>
    </xf>
    <xf borderId="0" fillId="0" fontId="14" numFmtId="164" xfId="0" applyAlignment="1" applyFont="1" applyNumberFormat="1">
      <alignment horizontal="center" vertical="bottom"/>
    </xf>
    <xf borderId="0" fillId="0" fontId="14" numFmtId="169" xfId="0" applyAlignment="1" applyFont="1" applyNumberFormat="1">
      <alignment horizontal="center" vertical="bottom"/>
    </xf>
    <xf borderId="0" fillId="0" fontId="26" numFmtId="169" xfId="0" applyAlignment="1" applyFont="1" applyNumberFormat="1">
      <alignment readingOrder="0" shrinkToFit="0" vertical="bottom" wrapText="1"/>
    </xf>
    <xf borderId="0" fillId="0" fontId="26" numFmtId="164" xfId="0" applyAlignment="1" applyFont="1" applyNumberFormat="1">
      <alignment horizontal="center" vertical="bottom"/>
    </xf>
    <xf borderId="0" fillId="13" fontId="14" numFmtId="164" xfId="0" applyAlignment="1" applyFont="1" applyNumberFormat="1">
      <alignment horizontal="center"/>
    </xf>
    <xf borderId="0" fillId="0" fontId="14" numFmtId="9" xfId="0" applyAlignment="1" applyFont="1" applyNumberFormat="1">
      <alignment horizontal="center" readingOrder="0"/>
    </xf>
    <xf borderId="0" fillId="0" fontId="14" numFmtId="164" xfId="0" applyAlignment="1" applyFont="1" applyNumberFormat="1">
      <alignment horizontal="center" readingOrder="0"/>
    </xf>
    <xf borderId="0" fillId="10" fontId="26" numFmtId="0" xfId="0" applyAlignment="1" applyFont="1">
      <alignment readingOrder="0"/>
    </xf>
    <xf borderId="0" fillId="10" fontId="14" numFmtId="0" xfId="0" applyFont="1"/>
    <xf borderId="0" fillId="10" fontId="16" numFmtId="0" xfId="0" applyFont="1"/>
    <xf borderId="0" fillId="0" fontId="28" numFmtId="0" xfId="0" applyAlignment="1" applyFont="1">
      <alignment readingOrder="0"/>
    </xf>
    <xf borderId="0" fillId="0" fontId="14" numFmtId="169" xfId="0" applyAlignment="1" applyFont="1" applyNumberFormat="1">
      <alignment horizontal="center"/>
    </xf>
    <xf borderId="0" fillId="3" fontId="28" numFmtId="0" xfId="0" applyAlignment="1" applyFont="1">
      <alignment readingOrder="0"/>
    </xf>
    <xf borderId="0" fillId="3" fontId="14" numFmtId="169" xfId="0" applyAlignment="1" applyFont="1" applyNumberFormat="1">
      <alignment horizontal="center"/>
    </xf>
    <xf borderId="1" fillId="0" fontId="14" numFmtId="0" xfId="0" applyAlignment="1" applyBorder="1" applyFont="1">
      <alignment readingOrder="0"/>
    </xf>
    <xf borderId="2" fillId="0" fontId="14" numFmtId="169" xfId="0" applyAlignment="1" applyBorder="1" applyFont="1" applyNumberFormat="1">
      <alignment horizontal="center" readingOrder="0"/>
    </xf>
    <xf borderId="3" fillId="0" fontId="14" numFmtId="169" xfId="0" applyAlignment="1" applyBorder="1" applyFont="1" applyNumberFormat="1">
      <alignment horizontal="center" readingOrder="0"/>
    </xf>
    <xf borderId="4" fillId="0" fontId="14" numFmtId="0" xfId="0" applyAlignment="1" applyBorder="1" applyFont="1">
      <alignment readingOrder="0"/>
    </xf>
    <xf borderId="5" fillId="0" fontId="14" numFmtId="169" xfId="0" applyAlignment="1" applyBorder="1" applyFont="1" applyNumberFormat="1">
      <alignment horizontal="center" readingOrder="0"/>
    </xf>
    <xf borderId="6" fillId="0" fontId="14" numFmtId="169" xfId="0" applyAlignment="1" applyBorder="1" applyFont="1" applyNumberFormat="1">
      <alignment horizontal="center" readingOrder="0"/>
    </xf>
    <xf borderId="0" fillId="0" fontId="14" numFmtId="9" xfId="0" applyAlignment="1" applyFont="1" applyNumberFormat="1">
      <alignment horizontal="center"/>
    </xf>
    <xf borderId="0" fillId="0" fontId="14" numFmtId="168" xfId="0" applyAlignment="1" applyFont="1" applyNumberFormat="1">
      <alignment horizontal="center"/>
    </xf>
    <xf borderId="0" fillId="0" fontId="26" numFmtId="0" xfId="0" applyAlignment="1" applyFont="1">
      <alignment horizontal="center" readingOrder="0"/>
    </xf>
    <xf borderId="0" fillId="0" fontId="14" numFmtId="169" xfId="0" applyAlignment="1" applyFont="1" applyNumberFormat="1">
      <alignment readingOrder="0" vertical="bottom"/>
    </xf>
    <xf borderId="7" fillId="0" fontId="14" numFmtId="9" xfId="0" applyAlignment="1" applyBorder="1" applyFont="1" applyNumberFormat="1">
      <alignment horizontal="center"/>
    </xf>
    <xf borderId="8" fillId="0" fontId="14" numFmtId="9" xfId="0" applyAlignment="1" applyBorder="1" applyFont="1" applyNumberFormat="1">
      <alignment horizontal="center"/>
    </xf>
    <xf borderId="9" fillId="0" fontId="14" numFmtId="9" xfId="0" applyAlignment="1" applyBorder="1" applyFont="1" applyNumberFormat="1">
      <alignment horizontal="center"/>
    </xf>
    <xf borderId="0" fillId="0" fontId="14" numFmtId="169" xfId="0" applyAlignment="1" applyFont="1" applyNumberFormat="1">
      <alignment horizontal="center"/>
    </xf>
    <xf borderId="0" fillId="0" fontId="14" numFmtId="164" xfId="0" applyAlignment="1" applyFont="1" applyNumberFormat="1">
      <alignment readingOrder="0"/>
    </xf>
    <xf borderId="0" fillId="0" fontId="22" numFmtId="0" xfId="0" applyAlignment="1" applyFont="1">
      <alignment horizontal="center" readingOrder="0"/>
    </xf>
    <xf borderId="0" fillId="0" fontId="26" numFmtId="0" xfId="0" applyAlignment="1" applyFont="1">
      <alignment horizontal="center"/>
    </xf>
    <xf borderId="0" fillId="0" fontId="16" numFmtId="164" xfId="0" applyAlignment="1" applyFont="1" applyNumberFormat="1">
      <alignment horizontal="center"/>
    </xf>
    <xf borderId="0" fillId="0" fontId="16" numFmtId="169" xfId="0" applyAlignment="1" applyFont="1" applyNumberFormat="1">
      <alignment horizontal="center"/>
    </xf>
    <xf borderId="0" fillId="2" fontId="22" numFmtId="0" xfId="0" applyAlignment="1" applyFont="1">
      <alignment readingOrder="0"/>
    </xf>
    <xf borderId="1" fillId="0" fontId="22" numFmtId="0" xfId="0" applyAlignment="1" applyBorder="1" applyFont="1">
      <alignment readingOrder="0"/>
    </xf>
    <xf borderId="2" fillId="0" fontId="22" numFmtId="0" xfId="0" applyAlignment="1" applyBorder="1" applyFont="1">
      <alignment horizontal="center" readingOrder="0"/>
    </xf>
    <xf borderId="3" fillId="0" fontId="22" numFmtId="0" xfId="0" applyAlignment="1" applyBorder="1" applyFont="1">
      <alignment horizontal="center" readingOrder="0"/>
    </xf>
    <xf borderId="10" fillId="0" fontId="16" numFmtId="0" xfId="0" applyAlignment="1" applyBorder="1" applyFont="1">
      <alignment readingOrder="0"/>
    </xf>
    <xf borderId="11" fillId="0" fontId="16" numFmtId="9" xfId="0" applyAlignment="1" applyBorder="1" applyFont="1" applyNumberFormat="1">
      <alignment horizontal="center" readingOrder="0"/>
    </xf>
    <xf borderId="10" fillId="0" fontId="22" numFmtId="0" xfId="0" applyAlignment="1" applyBorder="1" applyFont="1">
      <alignment readingOrder="0"/>
    </xf>
    <xf borderId="11" fillId="0" fontId="16" numFmtId="0" xfId="0" applyBorder="1" applyFont="1"/>
    <xf borderId="4" fillId="0" fontId="16" numFmtId="166" xfId="0" applyAlignment="1" applyBorder="1" applyFont="1" applyNumberFormat="1">
      <alignment readingOrder="0"/>
    </xf>
    <xf borderId="5" fillId="0" fontId="16" numFmtId="4" xfId="0" applyAlignment="1" applyBorder="1" applyFont="1" applyNumberFormat="1">
      <alignment horizontal="center"/>
    </xf>
    <xf borderId="5" fillId="0" fontId="16" numFmtId="0" xfId="0" applyBorder="1" applyFont="1"/>
    <xf borderId="6" fillId="0" fontId="16" numFmtId="0" xfId="0" applyBorder="1" applyFont="1"/>
    <xf borderId="0" fillId="13" fontId="22" numFmtId="0" xfId="0" applyAlignment="1" applyFont="1">
      <alignment horizontal="center" readingOrder="0"/>
    </xf>
    <xf borderId="0" fillId="0" fontId="16" numFmtId="0" xfId="0" applyAlignment="1" applyFont="1">
      <alignment horizontal="center"/>
    </xf>
    <xf borderId="0" fillId="0" fontId="16" numFmtId="0" xfId="0" applyAlignment="1" applyFont="1">
      <alignment readingOrder="0"/>
    </xf>
    <xf borderId="0" fillId="0" fontId="16" numFmtId="164" xfId="0" applyAlignment="1" applyFont="1" applyNumberFormat="1">
      <alignment horizontal="center"/>
    </xf>
    <xf borderId="0" fillId="0" fontId="16" numFmtId="9" xfId="0" applyFont="1" applyNumberFormat="1"/>
    <xf borderId="0" fillId="0" fontId="16" numFmtId="2" xfId="0" applyAlignment="1" applyFont="1" applyNumberFormat="1">
      <alignment horizontal="center"/>
    </xf>
    <xf borderId="0" fillId="0" fontId="14" numFmtId="164" xfId="0" applyAlignment="1" applyFont="1" applyNumberFormat="1">
      <alignment horizontal="center" readingOrder="0" vertical="bottom"/>
    </xf>
    <xf borderId="0" fillId="0" fontId="14" numFmtId="164" xfId="0" applyAlignment="1" applyFont="1" applyNumberFormat="1">
      <alignment horizontal="right" vertical="bottom"/>
    </xf>
    <xf borderId="0" fillId="0" fontId="16" numFmtId="4" xfId="0" applyAlignment="1" applyFont="1" applyNumberFormat="1">
      <alignment horizontal="center"/>
    </xf>
    <xf borderId="0" fillId="0" fontId="25" numFmtId="9" xfId="0" applyAlignment="1" applyFont="1" applyNumberFormat="1">
      <alignment horizontal="center"/>
    </xf>
    <xf borderId="0" fillId="0" fontId="22" numFmtId="0" xfId="0" applyAlignment="1" applyFont="1">
      <alignment readingOrder="0"/>
    </xf>
    <xf borderId="0" fillId="0" fontId="16" numFmtId="10" xfId="0" applyFont="1" applyNumberFormat="1"/>
    <xf borderId="0" fillId="0" fontId="29" numFmtId="9" xfId="0" applyAlignment="1" applyFont="1" applyNumberFormat="1">
      <alignment horizontal="center" vertical="bottom"/>
    </xf>
    <xf borderId="0" fillId="0" fontId="22" numFmtId="9" xfId="0" applyAlignment="1" applyFont="1" applyNumberFormat="1">
      <alignment horizontal="center"/>
    </xf>
    <xf borderId="0" fillId="0" fontId="22" numFmtId="165" xfId="0" applyAlignment="1" applyFont="1" applyNumberFormat="1">
      <alignment horizontal="center" readingOrder="0"/>
    </xf>
    <xf borderId="0" fillId="0" fontId="22" numFmtId="165" xfId="0" applyAlignment="1" applyFont="1" applyNumberFormat="1">
      <alignment horizontal="center"/>
    </xf>
    <xf borderId="0" fillId="0" fontId="16" numFmtId="3" xfId="0" applyAlignment="1" applyFont="1" applyNumberFormat="1">
      <alignment horizontal="center" readingOrder="0"/>
    </xf>
    <xf borderId="0" fillId="0" fontId="30" numFmtId="0" xfId="0" applyAlignment="1" applyFont="1">
      <alignment readingOrder="0"/>
    </xf>
    <xf borderId="0" fillId="0" fontId="22" numFmtId="2" xfId="0" applyAlignment="1" applyFont="1" applyNumberFormat="1">
      <alignment horizontal="center"/>
    </xf>
    <xf borderId="0" fillId="10" fontId="22" numFmtId="0" xfId="0" applyAlignment="1" applyFont="1">
      <alignment readingOrder="0"/>
    </xf>
    <xf borderId="0" fillId="10" fontId="16" numFmtId="9" xfId="0" applyAlignment="1" applyFont="1" applyNumberFormat="1">
      <alignment horizontal="center"/>
    </xf>
    <xf borderId="0" fillId="0" fontId="16" numFmtId="9" xfId="0" applyAlignment="1" applyFont="1" applyNumberFormat="1">
      <alignment horizontal="center" vertical="center"/>
    </xf>
    <xf borderId="0" fillId="0" fontId="16" numFmtId="9" xfId="0" applyAlignment="1" applyFont="1" applyNumberFormat="1">
      <alignment horizontal="center" readingOrder="0" vertical="center"/>
    </xf>
    <xf borderId="0" fillId="0" fontId="16" numFmtId="0" xfId="0" applyAlignment="1" applyFont="1">
      <alignment horizontal="center" readingOrder="0" vertical="center"/>
    </xf>
    <xf borderId="0" fillId="0" fontId="31" numFmtId="0" xfId="0" applyAlignment="1" applyFont="1">
      <alignment readingOrder="0" shrinkToFit="0" vertical="bottom" wrapText="0"/>
    </xf>
    <xf borderId="0" fillId="0" fontId="16" numFmtId="1" xfId="0" applyAlignment="1" applyFont="1" applyNumberFormat="1">
      <alignment horizontal="center"/>
    </xf>
    <xf borderId="0" fillId="2" fontId="32" numFmtId="0" xfId="0" applyAlignment="1" applyFont="1">
      <alignment horizontal="center" readingOrder="0" vertical="bottom"/>
    </xf>
    <xf borderId="0" fillId="2" fontId="32" numFmtId="0" xfId="0" applyAlignment="1" applyFont="1">
      <alignment horizontal="center" vertical="bottom"/>
    </xf>
    <xf borderId="0" fillId="3" fontId="32" numFmtId="0" xfId="0" applyAlignment="1" applyFont="1">
      <alignment horizontal="center" readingOrder="0" vertical="bottom"/>
    </xf>
    <xf borderId="0" fillId="3" fontId="32" numFmtId="0" xfId="0" applyAlignment="1" applyFont="1">
      <alignment horizontal="center" vertical="bottom"/>
    </xf>
    <xf borderId="0" fillId="0" fontId="16" numFmtId="166" xfId="0" applyAlignment="1" applyFont="1" applyNumberFormat="1">
      <alignment horizontal="center" readingOrder="0"/>
    </xf>
    <xf borderId="0" fillId="0" fontId="16" numFmtId="2" xfId="0" applyAlignment="1" applyFont="1" applyNumberFormat="1">
      <alignment horizontal="center" readingOrder="0"/>
    </xf>
    <xf borderId="0" fillId="0" fontId="16" numFmtId="166" xfId="0" applyAlignment="1" applyFont="1" applyNumberFormat="1">
      <alignment horizontal="center"/>
    </xf>
    <xf borderId="0" fillId="0" fontId="16" numFmtId="165" xfId="0" applyAlignment="1" applyFont="1" applyNumberFormat="1">
      <alignment horizontal="center"/>
    </xf>
    <xf borderId="0" fillId="0" fontId="0" numFmtId="0" xfId="0" applyAlignment="1" applyFont="1">
      <alignment horizontal="right" readingOrder="0"/>
    </xf>
    <xf borderId="0" fillId="0" fontId="14" numFmtId="4" xfId="0" applyAlignment="1" applyFont="1" applyNumberFormat="1">
      <alignment horizontal="center" vertical="bottom"/>
    </xf>
    <xf borderId="0" fillId="0" fontId="23" numFmtId="4" xfId="0" applyAlignment="1" applyFont="1" applyNumberFormat="1">
      <alignment horizontal="center" readingOrder="0"/>
    </xf>
    <xf borderId="0" fillId="0" fontId="23" numFmtId="170" xfId="0" applyAlignment="1" applyFont="1" applyNumberFormat="1">
      <alignment horizontal="center" readingOrder="0"/>
    </xf>
    <xf borderId="0" fillId="0" fontId="14" numFmtId="9" xfId="0" applyAlignment="1" applyFont="1" applyNumberFormat="1">
      <alignment horizontal="right" vertical="bottom"/>
    </xf>
    <xf borderId="0" fillId="0" fontId="23" numFmtId="168" xfId="0" applyAlignment="1" applyFont="1" applyNumberFormat="1">
      <alignment horizontal="center" readingOrder="0"/>
    </xf>
    <xf borderId="1" fillId="10" fontId="33" numFmtId="0" xfId="0" applyAlignment="1" applyBorder="1" applyFont="1">
      <alignment horizontal="center" readingOrder="0"/>
    </xf>
    <xf borderId="2" fillId="10" fontId="33" numFmtId="0" xfId="0" applyAlignment="1" applyBorder="1" applyFont="1">
      <alignment horizontal="center" readingOrder="0"/>
    </xf>
    <xf borderId="3" fillId="10" fontId="33" numFmtId="0" xfId="0" applyAlignment="1" applyBorder="1" applyFont="1">
      <alignment horizontal="center" readingOrder="0"/>
    </xf>
    <xf borderId="10" fillId="10" fontId="21" numFmtId="0" xfId="0" applyAlignment="1" applyBorder="1" applyFont="1">
      <alignment horizontal="center" readingOrder="0"/>
    </xf>
    <xf borderId="0" fillId="10" fontId="21" numFmtId="0" xfId="0" applyAlignment="1" applyFont="1">
      <alignment horizontal="center" readingOrder="0"/>
    </xf>
    <xf borderId="11" fillId="10" fontId="21" numFmtId="0" xfId="0" applyAlignment="1" applyBorder="1" applyFont="1">
      <alignment horizontal="center" readingOrder="0"/>
    </xf>
    <xf borderId="10" fillId="10" fontId="23" numFmtId="164" xfId="0" applyAlignment="1" applyBorder="1" applyFont="1" applyNumberFormat="1">
      <alignment horizontal="center" readingOrder="0"/>
    </xf>
    <xf borderId="11" fillId="10" fontId="16" numFmtId="0" xfId="0" applyBorder="1" applyFont="1"/>
    <xf borderId="0" fillId="13" fontId="25" numFmtId="0" xfId="0" applyAlignment="1" applyFont="1">
      <alignment readingOrder="0"/>
    </xf>
    <xf borderId="0" fillId="13" fontId="16" numFmtId="0" xfId="0" applyAlignment="1" applyFont="1">
      <alignment horizontal="center" readingOrder="0"/>
    </xf>
    <xf borderId="0" fillId="10" fontId="23" numFmtId="164" xfId="0" applyAlignment="1" applyFont="1" applyNumberFormat="1">
      <alignment horizontal="center" readingOrder="0"/>
    </xf>
    <xf borderId="11" fillId="10" fontId="23" numFmtId="164" xfId="0" applyAlignment="1" applyBorder="1" applyFont="1" applyNumberFormat="1">
      <alignment horizontal="center" readingOrder="0"/>
    </xf>
    <xf borderId="10" fillId="10" fontId="14" numFmtId="9" xfId="0" applyAlignment="1" applyBorder="1" applyFont="1" applyNumberFormat="1">
      <alignment horizontal="center" vertical="bottom"/>
    </xf>
    <xf borderId="0" fillId="10" fontId="0" numFmtId="9" xfId="0" applyAlignment="1" applyFont="1" applyNumberFormat="1">
      <alignment horizontal="center" vertical="bottom"/>
    </xf>
    <xf borderId="11" fillId="10" fontId="0" numFmtId="9" xfId="0" applyAlignment="1" applyBorder="1" applyFont="1" applyNumberFormat="1">
      <alignment horizontal="center" vertical="bottom"/>
    </xf>
    <xf borderId="0" fillId="0" fontId="0" numFmtId="9" xfId="0" applyAlignment="1" applyFont="1" applyNumberFormat="1">
      <alignment horizontal="center" readingOrder="0"/>
    </xf>
    <xf borderId="10" fillId="10" fontId="0" numFmtId="164" xfId="0" applyAlignment="1" applyBorder="1" applyFont="1" applyNumberFormat="1">
      <alignment horizontal="center" readingOrder="0" shrinkToFit="0" vertical="center" wrapText="0"/>
    </xf>
    <xf borderId="10" fillId="10" fontId="23" numFmtId="3" xfId="0" applyAlignment="1" applyBorder="1" applyFont="1" applyNumberFormat="1">
      <alignment horizontal="center"/>
    </xf>
    <xf borderId="0" fillId="10" fontId="23" numFmtId="3" xfId="0" applyAlignment="1" applyFont="1" applyNumberFormat="1">
      <alignment horizontal="center"/>
    </xf>
    <xf borderId="11" fillId="10" fontId="23" numFmtId="3" xfId="0" applyAlignment="1" applyBorder="1" applyFont="1" applyNumberFormat="1">
      <alignment horizontal="center"/>
    </xf>
    <xf borderId="10" fillId="10" fontId="23" numFmtId="165" xfId="0" applyAlignment="1" applyBorder="1" applyFont="1" applyNumberFormat="1">
      <alignment horizontal="center" readingOrder="0"/>
    </xf>
    <xf borderId="0" fillId="10" fontId="23" numFmtId="0" xfId="0" applyAlignment="1" applyFont="1">
      <alignment horizontal="center" readingOrder="0"/>
    </xf>
    <xf borderId="11" fillId="10" fontId="23" numFmtId="0" xfId="0" applyAlignment="1" applyBorder="1" applyFont="1">
      <alignment horizontal="center" readingOrder="0"/>
    </xf>
    <xf borderId="10" fillId="10" fontId="23" numFmtId="0" xfId="0" applyAlignment="1" applyBorder="1" applyFont="1">
      <alignment horizontal="center"/>
    </xf>
    <xf borderId="0" fillId="10" fontId="23" numFmtId="0" xfId="0" applyAlignment="1" applyFont="1">
      <alignment horizontal="center"/>
    </xf>
    <xf borderId="11" fillId="10" fontId="23" numFmtId="0" xfId="0" applyAlignment="1" applyBorder="1" applyFont="1">
      <alignment horizontal="center"/>
    </xf>
    <xf borderId="10" fillId="10" fontId="14" numFmtId="164" xfId="0" applyAlignment="1" applyBorder="1" applyFont="1" applyNumberFormat="1">
      <alignment horizontal="center" vertical="bottom"/>
    </xf>
    <xf borderId="0" fillId="10" fontId="23" numFmtId="164" xfId="0" applyAlignment="1" applyFont="1" applyNumberFormat="1">
      <alignment horizontal="center"/>
    </xf>
    <xf borderId="11" fillId="10" fontId="23" numFmtId="164" xfId="0" applyAlignment="1" applyBorder="1" applyFont="1" applyNumberFormat="1">
      <alignment horizontal="center"/>
    </xf>
    <xf borderId="0" fillId="0" fontId="0" numFmtId="164" xfId="0" applyAlignment="1" applyFont="1" applyNumberFormat="1">
      <alignment horizontal="center" readingOrder="0"/>
    </xf>
    <xf borderId="0" fillId="10" fontId="23" numFmtId="165" xfId="0" applyAlignment="1" applyFont="1" applyNumberFormat="1">
      <alignment horizontal="center" readingOrder="0"/>
    </xf>
    <xf borderId="11" fillId="10" fontId="23" numFmtId="165" xfId="0" applyAlignment="1" applyBorder="1" applyFont="1" applyNumberFormat="1">
      <alignment horizontal="center" readingOrder="0"/>
    </xf>
    <xf borderId="10" fillId="10" fontId="23" numFmtId="164" xfId="0" applyAlignment="1" applyBorder="1" applyFont="1" applyNumberFormat="1">
      <alignment horizontal="center"/>
    </xf>
    <xf borderId="10" fillId="10" fontId="0" numFmtId="9" xfId="0" applyAlignment="1" applyBorder="1" applyFont="1" applyNumberFormat="1">
      <alignment horizontal="center" vertical="bottom"/>
    </xf>
    <xf borderId="10" fillId="10" fontId="0" numFmtId="164" xfId="0" applyAlignment="1" applyBorder="1" applyFont="1" applyNumberFormat="1">
      <alignment horizontal="center" vertical="bottom"/>
    </xf>
    <xf borderId="0" fillId="10" fontId="0" numFmtId="164" xfId="0" applyAlignment="1" applyFont="1" applyNumberFormat="1">
      <alignment horizontal="center" vertical="bottom"/>
    </xf>
    <xf borderId="11" fillId="10" fontId="0" numFmtId="164" xfId="0" applyAlignment="1" applyBorder="1" applyFont="1" applyNumberFormat="1">
      <alignment horizontal="center" vertical="bottom"/>
    </xf>
    <xf borderId="10" fillId="10" fontId="0" numFmtId="4" xfId="0" applyAlignment="1" applyBorder="1" applyFont="1" applyNumberFormat="1">
      <alignment horizontal="center"/>
    </xf>
    <xf borderId="0" fillId="10" fontId="0" numFmtId="4" xfId="0" applyAlignment="1" applyFont="1" applyNumberFormat="1">
      <alignment horizontal="center"/>
    </xf>
    <xf borderId="11" fillId="10" fontId="0" numFmtId="4" xfId="0" applyAlignment="1" applyBorder="1" applyFont="1" applyNumberFormat="1">
      <alignment horizontal="center"/>
    </xf>
    <xf borderId="10" fillId="10" fontId="14" numFmtId="4" xfId="0" applyAlignment="1" applyBorder="1" applyFont="1" applyNumberFormat="1">
      <alignment horizontal="center" vertical="bottom"/>
    </xf>
    <xf borderId="0" fillId="10" fontId="23" numFmtId="4" xfId="0" applyAlignment="1" applyFont="1" applyNumberFormat="1">
      <alignment horizontal="center"/>
    </xf>
    <xf borderId="11" fillId="10" fontId="23" numFmtId="4" xfId="0" applyAlignment="1" applyBorder="1" applyFont="1" applyNumberFormat="1">
      <alignment horizontal="center"/>
    </xf>
    <xf borderId="0" fillId="0" fontId="0" numFmtId="4" xfId="0" applyAlignment="1" applyFont="1" applyNumberFormat="1">
      <alignment horizontal="center" readingOrder="0"/>
    </xf>
    <xf borderId="10" fillId="10" fontId="23" numFmtId="2" xfId="0" applyAlignment="1" applyBorder="1" applyFont="1" applyNumberFormat="1">
      <alignment horizontal="center" readingOrder="0"/>
    </xf>
    <xf borderId="0" fillId="10" fontId="23" numFmtId="2" xfId="0" applyAlignment="1" applyFont="1" applyNumberFormat="1">
      <alignment horizontal="center" readingOrder="0"/>
    </xf>
    <xf borderId="11" fillId="10" fontId="23" numFmtId="2" xfId="0" applyAlignment="1" applyBorder="1" applyFont="1" applyNumberFormat="1">
      <alignment horizontal="center" readingOrder="0"/>
    </xf>
    <xf borderId="10" fillId="10" fontId="23" numFmtId="3" xfId="0" applyAlignment="1" applyBorder="1" applyFont="1" applyNumberFormat="1">
      <alignment horizontal="center" readingOrder="0"/>
    </xf>
    <xf borderId="0" fillId="10" fontId="23" numFmtId="3" xfId="0" applyAlignment="1" applyFont="1" applyNumberFormat="1">
      <alignment horizontal="center" readingOrder="0"/>
    </xf>
    <xf borderId="11" fillId="10" fontId="23" numFmtId="3" xfId="0" applyAlignment="1" applyBorder="1" applyFont="1" applyNumberFormat="1">
      <alignment horizontal="center" readingOrder="0"/>
    </xf>
    <xf borderId="0" fillId="10" fontId="23" numFmtId="9" xfId="0" applyAlignment="1" applyFont="1" applyNumberFormat="1">
      <alignment horizontal="center"/>
    </xf>
    <xf borderId="11" fillId="10" fontId="23" numFmtId="9" xfId="0" applyAlignment="1" applyBorder="1" applyFont="1" applyNumberFormat="1">
      <alignment horizontal="center"/>
    </xf>
    <xf borderId="10" fillId="10" fontId="23" numFmtId="9" xfId="0" applyAlignment="1" applyBorder="1" applyFont="1" applyNumberFormat="1">
      <alignment horizontal="center" readingOrder="0"/>
    </xf>
    <xf borderId="0" fillId="10" fontId="23" numFmtId="9" xfId="0" applyAlignment="1" applyFont="1" applyNumberFormat="1">
      <alignment horizontal="center" readingOrder="0"/>
    </xf>
    <xf borderId="11" fillId="10" fontId="23" numFmtId="9" xfId="0" applyAlignment="1" applyBorder="1" applyFont="1" applyNumberFormat="1">
      <alignment horizontal="center" readingOrder="0"/>
    </xf>
    <xf borderId="10" fillId="10" fontId="23" numFmtId="167" xfId="0" applyAlignment="1" applyBorder="1" applyFont="1" applyNumberFormat="1">
      <alignment horizontal="center" readingOrder="0"/>
    </xf>
    <xf borderId="0" fillId="10" fontId="23" numFmtId="167" xfId="0" applyAlignment="1" applyFont="1" applyNumberFormat="1">
      <alignment horizontal="center" readingOrder="0"/>
    </xf>
    <xf borderId="11" fillId="10" fontId="23" numFmtId="167" xfId="0" applyAlignment="1" applyBorder="1" applyFont="1" applyNumberFormat="1">
      <alignment horizontal="center" readingOrder="0"/>
    </xf>
    <xf borderId="10" fillId="10" fontId="23" numFmtId="166" xfId="0" applyAlignment="1" applyBorder="1" applyFont="1" applyNumberFormat="1">
      <alignment horizontal="center" readingOrder="0"/>
    </xf>
    <xf borderId="0" fillId="10" fontId="23" numFmtId="166" xfId="0" applyAlignment="1" applyFont="1" applyNumberFormat="1">
      <alignment horizontal="center" readingOrder="0"/>
    </xf>
    <xf borderId="11" fillId="10" fontId="23" numFmtId="166" xfId="0" applyAlignment="1" applyBorder="1" applyFont="1" applyNumberFormat="1">
      <alignment horizontal="center" readingOrder="0"/>
    </xf>
    <xf borderId="10" fillId="10" fontId="23" numFmtId="0" xfId="0" applyAlignment="1" applyBorder="1" applyFont="1">
      <alignment horizontal="center" readingOrder="0"/>
    </xf>
    <xf borderId="10" fillId="10" fontId="23" numFmtId="166" xfId="0" applyAlignment="1" applyBorder="1" applyFont="1" applyNumberFormat="1">
      <alignment horizontal="center"/>
    </xf>
    <xf borderId="0" fillId="10" fontId="23" numFmtId="166" xfId="0" applyAlignment="1" applyFont="1" applyNumberFormat="1">
      <alignment horizontal="center"/>
    </xf>
    <xf borderId="11" fillId="10" fontId="23" numFmtId="166" xfId="0" applyAlignment="1" applyBorder="1" applyFont="1" applyNumberFormat="1">
      <alignment horizontal="center"/>
    </xf>
    <xf borderId="10" fillId="10" fontId="23" numFmtId="9" xfId="0" applyAlignment="1" applyBorder="1" applyFont="1" applyNumberFormat="1">
      <alignment horizontal="center"/>
    </xf>
    <xf borderId="10" fillId="10" fontId="23" numFmtId="1" xfId="0" applyAlignment="1" applyBorder="1" applyFont="1" applyNumberFormat="1">
      <alignment horizontal="center"/>
    </xf>
    <xf borderId="0" fillId="10" fontId="23" numFmtId="1" xfId="0" applyAlignment="1" applyFont="1" applyNumberFormat="1">
      <alignment horizontal="center"/>
    </xf>
    <xf borderId="11" fillId="10" fontId="23" numFmtId="1" xfId="0" applyAlignment="1" applyBorder="1" applyFont="1" applyNumberFormat="1">
      <alignment horizontal="center"/>
    </xf>
    <xf borderId="10" fillId="10" fontId="16" numFmtId="168" xfId="0" applyAlignment="1" applyBorder="1" applyFont="1" applyNumberFormat="1">
      <alignment horizontal="center"/>
    </xf>
    <xf borderId="0" fillId="10" fontId="16" numFmtId="168" xfId="0" applyAlignment="1" applyFont="1" applyNumberFormat="1">
      <alignment horizontal="center"/>
    </xf>
    <xf borderId="11" fillId="10" fontId="16" numFmtId="168" xfId="0" applyAlignment="1" applyBorder="1" applyFont="1" applyNumberFormat="1">
      <alignment horizontal="center"/>
    </xf>
    <xf borderId="10" fillId="10" fontId="14" numFmtId="168" xfId="0" applyAlignment="1" applyBorder="1" applyFont="1" applyNumberFormat="1">
      <alignment horizontal="center" readingOrder="0" vertical="bottom"/>
    </xf>
    <xf borderId="0" fillId="10" fontId="14" numFmtId="168" xfId="0" applyAlignment="1" applyFont="1" applyNumberFormat="1">
      <alignment horizontal="center" readingOrder="0" vertical="bottom"/>
    </xf>
    <xf borderId="11" fillId="10" fontId="14" numFmtId="168" xfId="0" applyAlignment="1" applyBorder="1" applyFont="1" applyNumberFormat="1">
      <alignment horizontal="center" readingOrder="0" vertical="bottom"/>
    </xf>
    <xf borderId="10" fillId="10" fontId="14" numFmtId="9" xfId="0" applyAlignment="1" applyBorder="1" applyFont="1" applyNumberFormat="1">
      <alignment horizontal="center" readingOrder="0" vertical="bottom"/>
    </xf>
    <xf borderId="0" fillId="10" fontId="14" numFmtId="9" xfId="0" applyAlignment="1" applyFont="1" applyNumberFormat="1">
      <alignment horizontal="center" readingOrder="0" vertical="bottom"/>
    </xf>
    <xf borderId="11" fillId="10" fontId="14" numFmtId="9" xfId="0" applyAlignment="1" applyBorder="1" applyFont="1" applyNumberFormat="1">
      <alignment horizontal="center" readingOrder="0" vertical="bottom"/>
    </xf>
    <xf borderId="10" fillId="10" fontId="16" numFmtId="9" xfId="0" applyAlignment="1" applyBorder="1" applyFont="1" applyNumberFormat="1">
      <alignment horizontal="center" readingOrder="0"/>
    </xf>
    <xf borderId="0" fillId="10" fontId="16" numFmtId="9" xfId="0" applyAlignment="1" applyFont="1" applyNumberFormat="1">
      <alignment horizontal="center" readingOrder="0"/>
    </xf>
    <xf borderId="11" fillId="10" fontId="16" numFmtId="9" xfId="0" applyAlignment="1" applyBorder="1" applyFont="1" applyNumberFormat="1">
      <alignment horizontal="center" readingOrder="0"/>
    </xf>
    <xf borderId="10" fillId="10" fontId="16" numFmtId="165" xfId="0" applyAlignment="1" applyBorder="1" applyFont="1" applyNumberFormat="1">
      <alignment horizontal="center" readingOrder="0"/>
    </xf>
    <xf borderId="0" fillId="10" fontId="16" numFmtId="165" xfId="0" applyAlignment="1" applyFont="1" applyNumberFormat="1">
      <alignment horizontal="center" readingOrder="0"/>
    </xf>
    <xf borderId="11" fillId="10" fontId="16" numFmtId="165" xfId="0" applyAlignment="1" applyBorder="1" applyFont="1" applyNumberFormat="1">
      <alignment horizontal="center" readingOrder="0"/>
    </xf>
    <xf borderId="10" fillId="10" fontId="16" numFmtId="0" xfId="0" applyAlignment="1" applyBorder="1" applyFont="1">
      <alignment horizontal="center" readingOrder="0"/>
    </xf>
    <xf borderId="0" fillId="10" fontId="16" numFmtId="0" xfId="0" applyAlignment="1" applyFont="1">
      <alignment horizontal="center" readingOrder="0"/>
    </xf>
    <xf borderId="11" fillId="10" fontId="16" numFmtId="0" xfId="0" applyAlignment="1" applyBorder="1" applyFont="1">
      <alignment horizontal="center" readingOrder="0"/>
    </xf>
    <xf borderId="10" fillId="10" fontId="16" numFmtId="1" xfId="0" applyAlignment="1" applyBorder="1" applyFont="1" applyNumberFormat="1">
      <alignment horizontal="center"/>
    </xf>
    <xf borderId="0" fillId="10" fontId="16" numFmtId="1" xfId="0" applyAlignment="1" applyFont="1" applyNumberFormat="1">
      <alignment horizontal="center"/>
    </xf>
    <xf borderId="11" fillId="10" fontId="16" numFmtId="1" xfId="0" applyAlignment="1" applyBorder="1" applyFont="1" applyNumberFormat="1">
      <alignment horizontal="center"/>
    </xf>
    <xf borderId="10" fillId="10" fontId="16" numFmtId="3" xfId="0" applyAlignment="1" applyBorder="1" applyFont="1" applyNumberFormat="1">
      <alignment horizontal="center"/>
    </xf>
    <xf borderId="0" fillId="10" fontId="16" numFmtId="3" xfId="0" applyAlignment="1" applyFont="1" applyNumberFormat="1">
      <alignment horizontal="center"/>
    </xf>
    <xf borderId="11" fillId="10" fontId="16" numFmtId="3" xfId="0" applyAlignment="1" applyBorder="1" applyFont="1" applyNumberFormat="1">
      <alignment horizontal="center"/>
    </xf>
    <xf borderId="10" fillId="10" fontId="21" numFmtId="165" xfId="0" applyAlignment="1" applyBorder="1" applyFont="1" applyNumberFormat="1">
      <alignment horizontal="center"/>
    </xf>
    <xf borderId="0" fillId="10" fontId="21" numFmtId="165" xfId="0" applyAlignment="1" applyFont="1" applyNumberFormat="1">
      <alignment horizontal="center"/>
    </xf>
    <xf borderId="11" fillId="10" fontId="21" numFmtId="165" xfId="0" applyAlignment="1" applyBorder="1" applyFont="1" applyNumberFormat="1">
      <alignment horizontal="center"/>
    </xf>
    <xf borderId="4" fillId="10" fontId="23" numFmtId="0" xfId="0" applyAlignment="1" applyBorder="1" applyFont="1">
      <alignment horizontal="center"/>
    </xf>
    <xf borderId="5" fillId="10" fontId="16" numFmtId="0" xfId="0" applyBorder="1" applyFont="1"/>
    <xf borderId="6" fillId="10" fontId="16" numFmtId="0" xfId="0" applyBorder="1" applyFont="1"/>
    <xf borderId="0" fillId="13" fontId="34" numFmtId="0" xfId="0" applyAlignment="1" applyFont="1">
      <alignment readingOrder="0" shrinkToFit="0" vertical="bottom" wrapText="0"/>
    </xf>
    <xf borderId="0" fillId="0" fontId="0" numFmtId="0" xfId="0" applyAlignment="1" applyFont="1">
      <alignment readingOrder="0" shrinkToFit="0" vertical="bottom" wrapText="0"/>
    </xf>
    <xf borderId="0" fillId="0" fontId="0" numFmtId="0" xfId="0" applyAlignment="1" applyFont="1">
      <alignment horizontal="right" readingOrder="0" shrinkToFit="0" vertical="bottom" wrapText="0"/>
    </xf>
    <xf borderId="0" fillId="0" fontId="0" numFmtId="0" xfId="0" applyAlignment="1" applyFont="1">
      <alignment readingOrder="0" shrinkToFit="0" vertical="bottom" wrapText="0"/>
    </xf>
    <xf borderId="0" fillId="0" fontId="0" numFmtId="0" xfId="0" applyAlignment="1" applyFont="1">
      <alignment shrinkToFit="0" vertical="bottom" wrapText="0"/>
    </xf>
    <xf borderId="0" fillId="0" fontId="0" numFmtId="0" xfId="0" applyAlignment="1" applyFont="1">
      <alignment shrinkToFit="0" vertical="bottom" wrapText="0"/>
    </xf>
    <xf borderId="0" fillId="0" fontId="0" numFmtId="0" xfId="0" applyAlignment="1" applyFont="1">
      <alignment shrinkToFit="0" vertical="bottom" wrapText="0"/>
    </xf>
    <xf borderId="0" fillId="0" fontId="16" numFmtId="3" xfId="0" applyAlignment="1" applyFont="1" applyNumberFormat="1">
      <alignment readingOrder="0"/>
    </xf>
    <xf borderId="0" fillId="0" fontId="0" numFmtId="0" xfId="0" applyAlignment="1" applyFont="1">
      <alignment horizontal="right" readingOrder="0" shrinkToFit="0" vertical="bottom" wrapText="0"/>
    </xf>
    <xf borderId="0" fillId="0" fontId="16" numFmtId="164" xfId="0" applyFont="1" applyNumberFormat="1"/>
    <xf borderId="0" fillId="0" fontId="16" numFmtId="168" xfId="0" applyAlignment="1" applyFont="1" applyNumberFormat="1">
      <alignment horizontal="center" readingOrder="0"/>
    </xf>
    <xf borderId="0" fillId="0" fontId="35" numFmtId="0" xfId="0" applyAlignment="1" applyFont="1">
      <alignment readingOrder="0" shrinkToFit="0" vertical="bottom" wrapText="0"/>
    </xf>
    <xf borderId="0" fillId="0" fontId="36" numFmtId="0" xfId="0" applyAlignment="1" applyFont="1">
      <alignment readingOrder="0"/>
    </xf>
    <xf borderId="0" fillId="0" fontId="0" numFmtId="164" xfId="0" applyAlignment="1" applyFont="1" applyNumberFormat="1">
      <alignment readingOrder="0" shrinkToFit="0" vertical="bottom" wrapText="0"/>
    </xf>
    <xf borderId="0" fillId="2" fontId="0" numFmtId="0" xfId="0" applyAlignment="1" applyFont="1">
      <alignment horizontal="right" readingOrder="0" shrinkToFit="0" vertical="bottom" wrapText="0"/>
    </xf>
    <xf borderId="0" fillId="10" fontId="0" numFmtId="0" xfId="0" applyAlignment="1" applyFont="1">
      <alignment horizontal="right" readingOrder="0" shrinkToFit="0" vertical="bottom" wrapText="0"/>
    </xf>
    <xf borderId="0" fillId="0" fontId="0" numFmtId="0" xfId="0" applyAlignment="1" applyFont="1">
      <alignment horizontal="center" readingOrder="0" shrinkToFit="0" vertical="bottom" wrapText="0"/>
    </xf>
    <xf borderId="0" fillId="0" fontId="0" numFmtId="11" xfId="0" applyAlignment="1" applyFont="1" applyNumberFormat="1">
      <alignment horizontal="right" readingOrder="0" shrinkToFit="0" vertical="bottom" wrapText="0"/>
    </xf>
    <xf borderId="0" fillId="0" fontId="0" numFmtId="0" xfId="0" applyAlignment="1" applyFont="1">
      <alignment readingOrder="0" shrinkToFit="0" vertical="bottom" wrapText="0"/>
    </xf>
    <xf borderId="11" fillId="0" fontId="31" numFmtId="0" xfId="0" applyAlignment="1" applyBorder="1" applyFont="1">
      <alignment readingOrder="0" shrinkToFit="0" vertical="bottom" wrapText="0"/>
    </xf>
    <xf borderId="0" fillId="0" fontId="0" numFmtId="0" xfId="0" applyAlignment="1" applyFont="1">
      <alignment horizontal="left" readingOrder="0" shrinkToFit="0" vertical="bottom" wrapText="0"/>
    </xf>
    <xf borderId="0" fillId="0" fontId="0" numFmtId="164" xfId="0" applyAlignment="1" applyFont="1" applyNumberFormat="1">
      <alignment horizontal="right" readingOrder="0" shrinkToFit="0" vertical="bottom" wrapText="0"/>
    </xf>
    <xf borderId="0" fillId="0" fontId="0" numFmtId="9" xfId="0" applyAlignment="1" applyFont="1" applyNumberFormat="1">
      <alignment horizontal="right" shrinkToFit="0" vertical="bottom" wrapText="0"/>
    </xf>
    <xf borderId="0" fillId="13" fontId="37" numFmtId="0" xfId="0" applyAlignment="1" applyFont="1">
      <alignment readingOrder="0" shrinkToFit="0" vertical="bottom" wrapText="0"/>
    </xf>
    <xf borderId="0" fillId="13" fontId="38" numFmtId="0" xfId="0" applyAlignment="1" applyFont="1">
      <alignment readingOrder="0" shrinkToFit="0" vertical="bottom" wrapText="0"/>
    </xf>
    <xf borderId="0" fillId="0" fontId="38" numFmtId="0" xfId="0" applyAlignment="1" applyFont="1">
      <alignment readingOrder="0" shrinkToFit="0" vertical="bottom" wrapText="0"/>
    </xf>
    <xf borderId="0" fillId="0" fontId="38" numFmtId="0" xfId="0" applyAlignment="1" applyFont="1">
      <alignment horizontal="right" readingOrder="0" shrinkToFit="0" vertical="bottom" wrapText="0"/>
    </xf>
    <xf borderId="0" fillId="0" fontId="38" numFmtId="3" xfId="0" applyAlignment="1" applyFont="1" applyNumberFormat="1">
      <alignment readingOrder="0" shrinkToFit="0" vertical="bottom" wrapText="0"/>
    </xf>
    <xf borderId="0" fillId="15" fontId="39" numFmtId="0" xfId="0" applyAlignment="1" applyFill="1" applyFont="1">
      <alignment readingOrder="0" shrinkToFit="0" vertical="bottom" wrapText="0"/>
    </xf>
    <xf borderId="0" fillId="15" fontId="0" numFmtId="0" xfId="0" applyAlignment="1" applyFont="1">
      <alignment shrinkToFit="0" vertical="bottom" wrapText="0"/>
    </xf>
    <xf borderId="0" fillId="15" fontId="26" numFmtId="0" xfId="0" applyAlignment="1" applyFont="1">
      <alignment readingOrder="0" shrinkToFit="0" vertical="bottom" wrapText="0"/>
    </xf>
    <xf borderId="0" fillId="15" fontId="34" numFmtId="0" xfId="0" applyAlignment="1" applyFont="1">
      <alignment readingOrder="0" shrinkToFit="0" vertical="bottom" wrapText="0"/>
    </xf>
    <xf borderId="0" fillId="15" fontId="0" numFmtId="0" xfId="0" applyAlignment="1" applyFont="1">
      <alignment shrinkToFit="0" vertical="bottom" wrapText="0"/>
    </xf>
    <xf borderId="0" fillId="0" fontId="26" numFmtId="1" xfId="0" applyAlignment="1" applyFont="1" applyNumberFormat="1">
      <alignment readingOrder="0" shrinkToFit="0" vertical="bottom" wrapText="0"/>
    </xf>
    <xf borderId="0" fillId="0" fontId="40" numFmtId="1" xfId="0" applyAlignment="1" applyFont="1" applyNumberFormat="1">
      <alignment readingOrder="0" shrinkToFit="0" vertical="bottom" wrapText="0"/>
    </xf>
    <xf borderId="0" fillId="0" fontId="26" numFmtId="0" xfId="0" applyAlignment="1" applyFont="1">
      <alignment readingOrder="0" shrinkToFit="0" vertical="bottom" wrapText="0"/>
    </xf>
    <xf borderId="0" fillId="0" fontId="26" numFmtId="1" xfId="0" applyAlignment="1" applyFont="1" applyNumberFormat="1">
      <alignment readingOrder="0" vertical="bottom"/>
    </xf>
    <xf borderId="0" fillId="0" fontId="26" numFmtId="1" xfId="0" applyAlignment="1" applyFont="1" applyNumberFormat="1">
      <alignment horizontal="right" readingOrder="0" shrinkToFit="0" vertical="bottom" wrapText="0"/>
    </xf>
    <xf borderId="10" fillId="0" fontId="31" numFmtId="0" xfId="0" applyAlignment="1" applyBorder="1" applyFont="1">
      <alignment readingOrder="0" shrinkToFit="0" vertical="bottom" wrapText="0"/>
    </xf>
    <xf borderId="0" fillId="0" fontId="31" numFmtId="0" xfId="0" applyAlignment="1" applyFont="1">
      <alignment horizontal="right" readingOrder="0" shrinkToFit="0" vertical="bottom" wrapText="0"/>
    </xf>
    <xf borderId="10" fillId="0" fontId="31" numFmtId="0" xfId="0" applyAlignment="1" applyBorder="1" applyFont="1">
      <alignment shrinkToFit="0" vertical="bottom" wrapText="0"/>
    </xf>
    <xf borderId="0" fillId="0" fontId="41" numFmtId="0" xfId="0" applyAlignment="1" applyFont="1">
      <alignment horizontal="center" readingOrder="0"/>
    </xf>
    <xf borderId="0" fillId="0" fontId="0" numFmtId="3" xfId="0" applyAlignment="1" applyFont="1" applyNumberFormat="1">
      <alignment horizontal="center" readingOrder="0" shrinkToFit="0" vertical="bottom" wrapText="0"/>
    </xf>
    <xf quotePrefix="1" borderId="0" fillId="0" fontId="0" numFmtId="0" xfId="0" applyAlignment="1" applyFont="1">
      <alignment horizontal="left" readingOrder="0" shrinkToFit="0" vertical="bottom" wrapText="0"/>
    </xf>
    <xf borderId="0" fillId="0" fontId="22" numFmtId="3" xfId="0" applyAlignment="1" applyFont="1" applyNumberFormat="1">
      <alignment horizontal="center"/>
    </xf>
    <xf borderId="0" fillId="0" fontId="22" numFmtId="0" xfId="0" applyAlignment="1" applyFont="1">
      <alignment horizontal="center"/>
    </xf>
    <xf borderId="0" fillId="0" fontId="16" numFmtId="164" xfId="0" applyAlignment="1" applyFont="1" applyNumberFormat="1">
      <alignment readingOrder="0"/>
    </xf>
    <xf borderId="0" fillId="0" fontId="32" numFmtId="0" xfId="0" applyAlignment="1" applyFont="1">
      <alignment shrinkToFit="0" vertical="center" wrapText="1"/>
    </xf>
    <xf borderId="0" fillId="0" fontId="32" numFmtId="0" xfId="0" applyAlignment="1" applyFont="1">
      <alignment shrinkToFit="0" vertical="center" wrapText="1"/>
    </xf>
    <xf borderId="0" fillId="0" fontId="32" numFmtId="0" xfId="0" applyAlignment="1" applyFont="1">
      <alignment horizontal="left" shrinkToFit="0" vertical="center" wrapText="1"/>
    </xf>
    <xf borderId="0" fillId="0" fontId="42" numFmtId="0" xfId="0" applyAlignment="1" applyFont="1">
      <alignment readingOrder="0" shrinkToFit="0" vertical="center" wrapText="1"/>
    </xf>
    <xf borderId="0" fillId="0" fontId="29" numFmtId="0" xfId="0" applyAlignment="1" applyFont="1">
      <alignment shrinkToFit="0" vertical="center" wrapText="1"/>
    </xf>
    <xf borderId="0" fillId="0" fontId="29" numFmtId="0" xfId="0" applyAlignment="1" applyFont="1">
      <alignment shrinkToFit="0" vertical="center" wrapText="1"/>
    </xf>
    <xf borderId="0" fillId="0" fontId="29" numFmtId="0" xfId="0" applyAlignment="1" applyFont="1">
      <alignment horizontal="left" shrinkToFit="0" vertical="center" wrapText="1"/>
    </xf>
    <xf borderId="0" fillId="0" fontId="29" numFmtId="0" xfId="0" applyAlignment="1" applyFont="1">
      <alignment horizontal="center" shrinkToFit="0" vertical="center" wrapText="1"/>
    </xf>
    <xf borderId="0" fillId="0" fontId="29" numFmtId="0" xfId="0" applyAlignment="1" applyFont="1">
      <alignment horizontal="left" shrinkToFit="0" vertical="center" wrapText="1"/>
    </xf>
    <xf borderId="0" fillId="0" fontId="29" numFmtId="0" xfId="0" applyAlignment="1" applyFont="1">
      <alignment readingOrder="0" shrinkToFit="0" vertical="center" wrapText="1"/>
    </xf>
    <xf borderId="0" fillId="0" fontId="29" numFmtId="0" xfId="0" applyAlignment="1" applyFont="1">
      <alignment readingOrder="0" shrinkToFit="0" vertical="center" wrapText="1"/>
    </xf>
    <xf borderId="0" fillId="0" fontId="14" numFmtId="165" xfId="0" applyAlignment="1" applyFont="1" applyNumberFormat="1">
      <alignment horizontal="center" readingOrder="0" vertical="bottom"/>
    </xf>
    <xf borderId="3" fillId="0" fontId="16" numFmtId="165" xfId="0" applyAlignment="1" applyBorder="1" applyFont="1" applyNumberFormat="1">
      <alignment horizontal="center"/>
    </xf>
    <xf borderId="11" fillId="0" fontId="16" numFmtId="165" xfId="0" applyAlignment="1" applyBorder="1" applyFont="1" applyNumberFormat="1">
      <alignment horizontal="center"/>
    </xf>
    <xf borderId="4" fillId="0" fontId="22" numFmtId="0" xfId="0" applyAlignment="1" applyBorder="1" applyFont="1">
      <alignment readingOrder="0"/>
    </xf>
    <xf borderId="6" fillId="0" fontId="16" numFmtId="165" xfId="0" applyAlignment="1" applyBorder="1" applyFont="1" applyNumberFormat="1">
      <alignment horizontal="center"/>
    </xf>
    <xf borderId="0" fillId="0" fontId="43" numFmtId="0" xfId="0" applyAlignment="1" applyFont="1">
      <alignment horizontal="left" readingOrder="0" shrinkToFit="0" wrapText="0"/>
    </xf>
    <xf borderId="0" fillId="0" fontId="22" numFmtId="0" xfId="0" applyAlignment="1" applyFont="1">
      <alignment horizontal="center" readingOrder="0" shrinkToFit="0" wrapText="1"/>
    </xf>
    <xf borderId="0" fillId="0" fontId="16" numFmtId="0" xfId="0" applyAlignment="1" applyFont="1">
      <alignment shrinkToFit="0" wrapText="1"/>
    </xf>
    <xf borderId="0" fillId="0" fontId="16" numFmtId="0" xfId="0" applyAlignment="1" applyFont="1">
      <alignment readingOrder="0" shrinkToFit="0" wrapText="1"/>
    </xf>
    <xf borderId="0" fillId="0" fontId="16" numFmtId="164" xfId="0" applyAlignment="1" applyFont="1" applyNumberFormat="1">
      <alignment readingOrder="0" shrinkToFit="0" wrapText="1"/>
    </xf>
    <xf borderId="0" fillId="0" fontId="16" numFmtId="3" xfId="0" applyAlignment="1" applyFont="1" applyNumberFormat="1">
      <alignment readingOrder="0" shrinkToFit="0" wrapText="1"/>
    </xf>
    <xf borderId="0" fillId="0" fontId="16" numFmtId="9" xfId="0" applyAlignment="1" applyFont="1" applyNumberFormat="1">
      <alignment readingOrder="0" shrinkToFit="0" wrapText="1"/>
    </xf>
    <xf borderId="0" fillId="0" fontId="16" numFmtId="164" xfId="0" applyAlignment="1" applyFont="1" applyNumberFormat="1">
      <alignment shrinkToFit="0" wrapText="1"/>
    </xf>
    <xf borderId="0" fillId="0" fontId="16" numFmtId="0" xfId="0" applyAlignment="1" applyFont="1">
      <alignment horizontal="left" readingOrder="0"/>
    </xf>
    <xf borderId="0" fillId="0" fontId="26" numFmtId="0" xfId="0" applyAlignment="1" applyFont="1">
      <alignment horizontal="right" vertical="bottom"/>
    </xf>
    <xf borderId="0" fillId="10" fontId="44" numFmtId="0" xfId="0" applyAlignment="1" applyFont="1">
      <alignment readingOrder="0" shrinkToFit="0" wrapText="1"/>
    </xf>
    <xf borderId="0" fillId="10" fontId="44" numFmtId="164" xfId="0" applyAlignment="1" applyFont="1" applyNumberFormat="1">
      <alignment readingOrder="0" shrinkToFit="0" wrapText="1"/>
    </xf>
    <xf borderId="0" fillId="10" fontId="44" numFmtId="9" xfId="0" applyAlignment="1" applyFont="1" applyNumberFormat="1">
      <alignment readingOrder="0" shrinkToFit="0" wrapText="1"/>
    </xf>
    <xf borderId="0" fillId="10" fontId="45" numFmtId="0" xfId="0" applyAlignment="1" applyFont="1">
      <alignment shrinkToFit="0" wrapText="1"/>
    </xf>
    <xf borderId="0" fillId="0" fontId="45" numFmtId="0" xfId="0" applyAlignment="1" applyFont="1">
      <alignment readingOrder="0"/>
    </xf>
    <xf borderId="0" fillId="0" fontId="45" numFmtId="164" xfId="0" applyAlignment="1" applyFont="1" applyNumberFormat="1">
      <alignment readingOrder="0"/>
    </xf>
    <xf borderId="0" fillId="0" fontId="45" numFmtId="164" xfId="0" applyFont="1" applyNumberFormat="1"/>
    <xf borderId="0" fillId="0" fontId="45" numFmtId="9" xfId="0" applyFont="1" applyNumberFormat="1"/>
    <xf borderId="0" fillId="0" fontId="45" numFmtId="0" xfId="0" applyFont="1"/>
    <xf borderId="0" fillId="0" fontId="45" numFmtId="9" xfId="0" applyAlignment="1" applyFont="1" applyNumberFormat="1">
      <alignment readingOrder="0"/>
    </xf>
    <xf borderId="0" fillId="0" fontId="45" numFmtId="0" xfId="0" applyFont="1"/>
    <xf borderId="0" fillId="0" fontId="44" numFmtId="0" xfId="0" applyAlignment="1" applyFont="1">
      <alignment vertical="bottom"/>
    </xf>
    <xf borderId="0" fillId="0" fontId="14" numFmtId="0" xfId="0" applyAlignment="1" applyFont="1">
      <alignment vertical="bottom"/>
    </xf>
    <xf borderId="0" fillId="0" fontId="44" numFmtId="164" xfId="0" applyAlignment="1" applyFont="1" applyNumberFormat="1">
      <alignment vertical="bottom"/>
    </xf>
    <xf borderId="0" fillId="0" fontId="44" numFmtId="9" xfId="0" applyAlignment="1" applyFont="1" applyNumberFormat="1">
      <alignment vertical="bottom"/>
    </xf>
    <xf borderId="0" fillId="0" fontId="45" numFmtId="0" xfId="0" applyAlignment="1" applyFont="1">
      <alignment vertical="bottom"/>
    </xf>
    <xf borderId="0" fillId="0" fontId="45" numFmtId="164" xfId="0" applyAlignment="1" applyFont="1" applyNumberFormat="1">
      <alignment horizontal="right" vertical="bottom"/>
    </xf>
    <xf borderId="0" fillId="0" fontId="45" numFmtId="10" xfId="0" applyAlignment="1" applyFont="1" applyNumberFormat="1">
      <alignment horizontal="right" vertical="bottom"/>
    </xf>
    <xf borderId="0" fillId="0" fontId="14" numFmtId="10" xfId="0" applyAlignment="1" applyFont="1" applyNumberFormat="1">
      <alignment vertical="bottom"/>
    </xf>
    <xf borderId="0" fillId="0" fontId="45" numFmtId="0" xfId="0" applyAlignment="1" applyFont="1">
      <alignment vertical="bottom"/>
    </xf>
    <xf borderId="0" fillId="0" fontId="46" numFmtId="0" xfId="0" applyAlignment="1" applyFont="1">
      <alignment vertical="bottom"/>
    </xf>
    <xf borderId="0" fillId="0" fontId="47" numFmtId="0" xfId="0" applyAlignment="1" applyFont="1">
      <alignment vertical="bottom"/>
    </xf>
    <xf borderId="0" fillId="0" fontId="48" numFmtId="0" xfId="0" applyAlignment="1" applyFont="1">
      <alignment shrinkToFit="0" vertical="bottom" wrapText="1"/>
    </xf>
    <xf borderId="0" fillId="0" fontId="48" numFmtId="0" xfId="0" applyAlignment="1" applyFont="1">
      <alignment horizontal="right" vertical="bottom"/>
    </xf>
    <xf borderId="0" fillId="0" fontId="46" numFmtId="0" xfId="0" applyAlignment="1" applyFont="1">
      <alignment vertical="bottom"/>
    </xf>
    <xf borderId="0" fillId="0" fontId="47" numFmtId="169" xfId="0" applyAlignment="1" applyFont="1" applyNumberFormat="1">
      <alignment shrinkToFit="0" vertical="bottom" wrapText="1"/>
    </xf>
    <xf borderId="0" fillId="0" fontId="46" numFmtId="164" xfId="0" applyAlignment="1" applyFont="1" applyNumberFormat="1">
      <alignment vertical="bottom"/>
    </xf>
    <xf borderId="0" fillId="0" fontId="46" numFmtId="169" xfId="0" applyAlignment="1" applyFont="1" applyNumberFormat="1">
      <alignment vertical="bottom"/>
    </xf>
    <xf borderId="0" fillId="0" fontId="48" numFmtId="169" xfId="0" applyAlignment="1" applyFont="1" applyNumberFormat="1">
      <alignment shrinkToFit="0" vertical="bottom" wrapText="1"/>
    </xf>
    <xf borderId="0" fillId="0" fontId="48" numFmtId="0" xfId="0" applyAlignment="1" applyFont="1">
      <alignment horizontal="right" readingOrder="0" vertical="bottom"/>
    </xf>
    <xf borderId="0" fillId="0" fontId="48" numFmtId="168" xfId="0" applyAlignment="1" applyFont="1" applyNumberFormat="1">
      <alignment horizontal="right" vertical="bottom"/>
    </xf>
    <xf borderId="0" fillId="0" fontId="48" numFmtId="164" xfId="0" applyAlignment="1" applyFont="1" applyNumberFormat="1">
      <alignment horizontal="right" vertical="bottom"/>
    </xf>
    <xf borderId="0" fillId="0" fontId="46" numFmtId="10" xfId="0" applyAlignment="1" applyFont="1" applyNumberFormat="1">
      <alignment vertical="bottom"/>
    </xf>
    <xf borderId="0" fillId="0" fontId="48" numFmtId="3" xfId="0" applyAlignment="1" applyFont="1" applyNumberFormat="1">
      <alignment horizontal="right" vertical="bottom"/>
    </xf>
    <xf borderId="0" fillId="0" fontId="46" numFmtId="169" xfId="0" applyAlignment="1" applyFont="1" applyNumberFormat="1">
      <alignment vertical="bottom"/>
    </xf>
    <xf borderId="0" fillId="0" fontId="48" numFmtId="164" xfId="0" applyAlignment="1" applyFont="1" applyNumberFormat="1">
      <alignment horizontal="right" readingOrder="0" vertical="bottom"/>
    </xf>
    <xf borderId="0" fillId="0" fontId="48" numFmtId="169" xfId="0" applyAlignment="1" applyFont="1" applyNumberFormat="1">
      <alignment readingOrder="0" shrinkToFit="0" vertical="bottom" wrapText="1"/>
    </xf>
    <xf borderId="0" fillId="0" fontId="48" numFmtId="0" xfId="0" applyAlignment="1" applyFont="1">
      <alignment shrinkToFit="0" vertical="bottom" wrapText="1"/>
    </xf>
    <xf borderId="0" fillId="0" fontId="49" numFmtId="0" xfId="0" applyAlignment="1" applyFont="1">
      <alignment readingOrder="0" shrinkToFit="0" vertical="bottom" wrapText="1"/>
    </xf>
    <xf borderId="0" fillId="0" fontId="50" numFmtId="0" xfId="0" applyFont="1"/>
    <xf borderId="0" fillId="0" fontId="48" numFmtId="0" xfId="0" applyAlignment="1" applyFont="1">
      <alignment vertical="bottom"/>
    </xf>
    <xf borderId="0" fillId="0" fontId="48" numFmtId="3" xfId="0" applyAlignment="1" applyFont="1" applyNumberFormat="1">
      <alignment horizontal="right" shrinkToFit="0" vertical="bottom" wrapText="1"/>
    </xf>
    <xf borderId="0" fillId="0" fontId="48" numFmtId="3" xfId="0" applyAlignment="1" applyFont="1" applyNumberFormat="1">
      <alignment horizontal="right" readingOrder="0" shrinkToFit="0" vertical="bottom" wrapText="1"/>
    </xf>
    <xf borderId="0" fillId="0" fontId="51" numFmtId="0" xfId="0" applyAlignment="1" applyFont="1">
      <alignment vertical="bottom"/>
    </xf>
    <xf borderId="0" fillId="0" fontId="48" numFmtId="166" xfId="0" applyAlignment="1" applyFont="1" applyNumberFormat="1">
      <alignment horizontal="right" shrinkToFit="0" vertical="bottom" wrapText="1"/>
    </xf>
    <xf borderId="0" fillId="0" fontId="52" numFmtId="0" xfId="0" applyAlignment="1" applyFont="1">
      <alignment horizontal="left" readingOrder="0"/>
    </xf>
    <xf borderId="0" fillId="0" fontId="48" numFmtId="0" xfId="0" applyAlignment="1" applyFont="1">
      <alignment readingOrder="0" vertical="bottom"/>
    </xf>
    <xf borderId="0" fillId="0" fontId="48" numFmtId="9" xfId="0" applyAlignment="1" applyFont="1" applyNumberFormat="1">
      <alignment horizontal="right" shrinkToFit="0" vertical="bottom" wrapText="1"/>
    </xf>
    <xf borderId="0" fillId="0" fontId="53" numFmtId="0" xfId="0" applyAlignment="1" applyFont="1">
      <alignment horizontal="left" readingOrder="0"/>
    </xf>
    <xf borderId="0" fillId="0" fontId="48" numFmtId="168" xfId="0" applyAlignment="1" applyFont="1" applyNumberForma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8.xml"/><Relationship Id="rId22" Type="http://schemas.openxmlformats.org/officeDocument/2006/relationships/worksheet" Target="worksheets/sheet20.xml"/><Relationship Id="rId21" Type="http://schemas.openxmlformats.org/officeDocument/2006/relationships/worksheet" Target="worksheets/sheet19.xml"/><Relationship Id="rId24" Type="http://schemas.openxmlformats.org/officeDocument/2006/relationships/worksheet" Target="worksheets/sheet22.xml"/><Relationship Id="rId23" Type="http://schemas.openxmlformats.org/officeDocument/2006/relationships/worksheet" Target="worksheets/sheet21.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26" Type="http://schemas.openxmlformats.org/officeDocument/2006/relationships/worksheet" Target="worksheets/sheet24.xml"/><Relationship Id="rId25" Type="http://schemas.openxmlformats.org/officeDocument/2006/relationships/worksheet" Target="worksheets/sheet23.xml"/><Relationship Id="rId28" Type="http://schemas.openxmlformats.org/officeDocument/2006/relationships/worksheet" Target="worksheets/sheet26.xml"/><Relationship Id="rId27" Type="http://schemas.openxmlformats.org/officeDocument/2006/relationships/worksheet" Target="worksheets/sheet25.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19" Type="http://schemas.openxmlformats.org/officeDocument/2006/relationships/worksheet" Target="worksheets/sheet17.xml"/><Relationship Id="rId18" Type="http://schemas.openxmlformats.org/officeDocument/2006/relationships/worksheet" Target="worksheets/sheet1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rgbClr val="4285F4"/>
              </a:solidFill>
              <a:ln cmpd="sng">
                <a:solidFill>
                  <a:srgbClr val="4285F4"/>
                </a:solidFill>
              </a:ln>
            </c:spPr>
          </c:marker>
          <c:dPt>
            <c:idx val="0"/>
            <c:marker>
              <c:symbol val="none"/>
            </c:marker>
          </c:dPt>
          <c:xVal>
            <c:numRef>
              <c:f>Baseline!$B$46:$F$46</c:f>
            </c:numRef>
          </c:xVal>
          <c:yVal>
            <c:numRef>
              <c:f>Baseline!$B$47:$F$47</c:f>
              <c:numCache/>
            </c:numRef>
          </c:yVal>
        </c:ser>
        <c:dLbls>
          <c:showLegendKey val="0"/>
          <c:showVal val="0"/>
          <c:showCatName val="0"/>
          <c:showSerName val="0"/>
          <c:showPercent val="0"/>
          <c:showBubbleSize val="0"/>
        </c:dLbls>
        <c:axId val="1695723645"/>
        <c:axId val="60027351"/>
      </c:scatterChart>
      <c:valAx>
        <c:axId val="169572364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60027351"/>
      </c:valAx>
      <c:valAx>
        <c:axId val="60027351"/>
        <c:scaling>
          <c:orientation val="minMax"/>
          <c:max val="2.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Consumption per day (USD, 2017 PPP)</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695723645"/>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Baseline!$A$59</c:f>
            </c:strRef>
          </c:tx>
          <c:spPr>
            <a:solidFill>
              <a:srgbClr val="76A5AF"/>
            </a:solidFill>
            <a:ln cmpd="sng">
              <a:solidFill>
                <a:srgbClr val="000000"/>
              </a:solidFill>
            </a:ln>
          </c:spPr>
          <c:cat>
            <c:strRef>
              <c:f>Baseline!$B$58:$F$58</c:f>
            </c:strRef>
          </c:cat>
          <c:val>
            <c:numRef>
              <c:f>Baseline!$B$59:$F$59</c:f>
              <c:numCache/>
            </c:numRef>
          </c:val>
        </c:ser>
        <c:ser>
          <c:idx val="1"/>
          <c:order val="1"/>
          <c:tx>
            <c:strRef>
              <c:f>Baseline!$A$60</c:f>
            </c:strRef>
          </c:tx>
          <c:spPr>
            <a:solidFill>
              <a:srgbClr val="D0E0E3"/>
            </a:solidFill>
            <a:ln cmpd="sng">
              <a:solidFill>
                <a:srgbClr val="000000"/>
              </a:solidFill>
            </a:ln>
          </c:spPr>
          <c:cat>
            <c:strRef>
              <c:f>Baseline!$B$58:$F$58</c:f>
            </c:strRef>
          </c:cat>
          <c:val>
            <c:numRef>
              <c:f>Baseline!$B$60:$F$60</c:f>
              <c:numCache/>
            </c:numRef>
          </c:val>
        </c:ser>
        <c:ser>
          <c:idx val="2"/>
          <c:order val="2"/>
          <c:tx>
            <c:strRef>
              <c:f>Baseline!$A$61</c:f>
            </c:strRef>
          </c:tx>
          <c:spPr>
            <a:solidFill>
              <a:srgbClr val="FF9900"/>
            </a:solidFill>
            <a:ln cmpd="sng">
              <a:solidFill>
                <a:srgbClr val="000000"/>
              </a:solidFill>
            </a:ln>
          </c:spPr>
          <c:cat>
            <c:strRef>
              <c:f>Baseline!$B$58:$F$58</c:f>
            </c:strRef>
          </c:cat>
          <c:val>
            <c:numRef>
              <c:f>Baseline!$B$61:$F$61</c:f>
              <c:numCache/>
            </c:numRef>
          </c:val>
        </c:ser>
        <c:axId val="1183838938"/>
        <c:axId val="1310864446"/>
      </c:barChart>
      <c:catAx>
        <c:axId val="118383893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310864446"/>
      </c:catAx>
      <c:valAx>
        <c:axId val="13108644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Annual consumption per capita (USD 2017 PPP)</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183838938"/>
      </c:valAx>
    </c:plotArea>
    <c:legend>
      <c:legendPos val="b"/>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Baseline!$A$83</c:f>
            </c:strRef>
          </c:tx>
          <c:spPr>
            <a:solidFill>
              <a:srgbClr val="D9D9D9"/>
            </a:solidFill>
            <a:ln cmpd="sng">
              <a:solidFill>
                <a:srgbClr val="000000"/>
              </a:solidFill>
            </a:ln>
          </c:spPr>
          <c:dPt>
            <c:idx val="0"/>
            <c:spPr>
              <a:solidFill>
                <a:srgbClr val="FF9900"/>
              </a:solidFill>
              <a:ln cmpd="sng">
                <a:solidFill>
                  <a:srgbClr val="000000"/>
                </a:solidFill>
              </a:ln>
            </c:spPr>
          </c:dPt>
          <c:dPt>
            <c:idx val="1"/>
          </c:dPt>
          <c:cat>
            <c:strRef>
              <c:f>Baseline!$B$81:$G$81</c:f>
            </c:strRef>
          </c:cat>
          <c:val>
            <c:numRef>
              <c:f>Baseline!$B$83:$G$83</c:f>
              <c:numCache/>
            </c:numRef>
          </c:val>
        </c:ser>
        <c:axId val="182710158"/>
        <c:axId val="1102994240"/>
      </c:barChart>
      <c:catAx>
        <c:axId val="18271015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102994240"/>
      </c:catAx>
      <c:valAx>
        <c:axId val="1102994240"/>
        <c:scaling>
          <c:orientation val="minMax"/>
          <c:max val="2.3"/>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Consumption per capita per day (USD PPP 2017)</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82710158"/>
      </c:valAx>
    </c:plotArea>
    <c:legend>
      <c:legendPos val="r"/>
      <c:overlay val="0"/>
      <c:txPr>
        <a:bodyPr/>
        <a:lstStyle/>
        <a:p>
          <a:pPr lvl="0">
            <a:defRPr b="0">
              <a:solidFill>
                <a:srgbClr val="000000"/>
              </a:solidFill>
              <a:latin typeface="Roboto"/>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Consumption!$A$86</c:f>
            </c:strRef>
          </c:tx>
          <c:spPr>
            <a:ln cmpd="sng">
              <a:solidFill>
                <a:srgbClr val="A2C4C9">
                  <a:alpha val="100000"/>
                </a:srgbClr>
              </a:solidFill>
            </a:ln>
          </c:spPr>
          <c:marker>
            <c:symbol val="none"/>
          </c:marker>
          <c:cat>
            <c:strRef>
              <c:f>Consumption!$B$85:$K$85</c:f>
            </c:strRef>
          </c:cat>
          <c:val>
            <c:numRef>
              <c:f>Consumption!$B$86:$K$86</c:f>
              <c:numCache/>
            </c:numRef>
          </c:val>
          <c:smooth val="0"/>
        </c:ser>
        <c:axId val="556128460"/>
        <c:axId val="788779741"/>
      </c:lineChart>
      <c:catAx>
        <c:axId val="556128460"/>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788779741"/>
      </c:catAx>
      <c:valAx>
        <c:axId val="7887797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Counterfactual consumption gains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556128460"/>
      </c:valAx>
    </c:plotArea>
    <c:legend>
      <c:legendPos val="r"/>
      <c:overlay val="0"/>
      <c:txPr>
        <a:bodyPr/>
        <a:lstStyle/>
        <a:p>
          <a:pPr lvl="0">
            <a:defRPr b="0">
              <a:solidFill>
                <a:srgbClr val="000000"/>
              </a:solidFill>
              <a:latin typeface="Roboto"/>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percentStacked"/>
        <c:ser>
          <c:idx val="0"/>
          <c:order val="0"/>
          <c:tx>
            <c:strRef>
              <c:f>Spillover!$A$32</c:f>
            </c:strRef>
          </c:tx>
          <c:spPr>
            <a:solidFill>
              <a:srgbClr val="76A5AF"/>
            </a:solidFill>
            <a:ln cmpd="sng">
              <a:solidFill>
                <a:srgbClr val="000000"/>
              </a:solidFill>
            </a:ln>
          </c:spPr>
          <c:dPt>
            <c:idx val="0"/>
          </c:dPt>
          <c:cat>
            <c:strRef>
              <c:f>Spillover!$B$31:$C$31</c:f>
            </c:strRef>
          </c:cat>
          <c:val>
            <c:numRef>
              <c:f>Spillover!$B$32:$C$32</c:f>
              <c:numCache/>
            </c:numRef>
          </c:val>
        </c:ser>
        <c:ser>
          <c:idx val="1"/>
          <c:order val="1"/>
          <c:tx>
            <c:strRef>
              <c:f>Spillover!$A$33</c:f>
            </c:strRef>
          </c:tx>
          <c:spPr>
            <a:solidFill>
              <a:srgbClr val="D0E0E3"/>
            </a:solidFill>
            <a:ln cmpd="sng">
              <a:solidFill>
                <a:srgbClr val="000000"/>
              </a:solidFill>
            </a:ln>
          </c:spPr>
          <c:cat>
            <c:strRef>
              <c:f>Spillover!$B$31:$C$31</c:f>
            </c:strRef>
          </c:cat>
          <c:val>
            <c:numRef>
              <c:f>Spillover!$B$33:$C$33</c:f>
              <c:numCache/>
            </c:numRef>
          </c:val>
        </c:ser>
        <c:ser>
          <c:idx val="2"/>
          <c:order val="2"/>
          <c:tx>
            <c:strRef>
              <c:f>Spillover!$A$34</c:f>
            </c:strRef>
          </c:tx>
          <c:spPr>
            <a:solidFill>
              <a:srgbClr val="FF9900"/>
            </a:solidFill>
            <a:ln cmpd="sng">
              <a:solidFill>
                <a:srgbClr val="000000"/>
              </a:solidFill>
            </a:ln>
          </c:spPr>
          <c:cat>
            <c:strRef>
              <c:f>Spillover!$B$31:$C$31</c:f>
            </c:strRef>
          </c:cat>
          <c:val>
            <c:numRef>
              <c:f>Spillover!$B$34:$C$34</c:f>
              <c:numCache/>
            </c:numRef>
          </c:val>
        </c:ser>
        <c:overlap val="100"/>
        <c:axId val="1246624238"/>
        <c:axId val="85120479"/>
      </c:barChart>
      <c:catAx>
        <c:axId val="124662423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85120479"/>
      </c:catAx>
      <c:valAx>
        <c:axId val="851204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246624238"/>
      </c:valAx>
    </c:plotArea>
    <c:legend>
      <c:legendPos val="b"/>
      <c:overlay val="0"/>
      <c:txPr>
        <a:bodyPr/>
        <a:lstStyle/>
        <a:p>
          <a:pPr lvl="0">
            <a:defRPr b="0">
              <a:solidFill>
                <a:srgbClr val="000000"/>
              </a:solidFill>
              <a:latin typeface="Roboto"/>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strRef>
              <c:f>Mortality!$D$17</c:f>
            </c:strRef>
          </c:tx>
          <c:spPr>
            <a:ln>
              <a:noFill/>
            </a:ln>
          </c:spPr>
          <c:marker>
            <c:symbol val="circle"/>
            <c:size val="7"/>
            <c:spPr>
              <a:solidFill>
                <a:srgbClr val="76A5AF"/>
              </a:solidFill>
              <a:ln cmpd="sng">
                <a:solidFill>
                  <a:srgbClr val="76A5AF"/>
                </a:solidFill>
              </a:ln>
            </c:spPr>
          </c:marker>
          <c:dPt>
            <c:idx val="0"/>
            <c:marker>
              <c:symbol val="circle"/>
              <c:size val="7"/>
              <c:spPr>
                <a:solidFill>
                  <a:srgbClr val="C27BA0"/>
                </a:solidFill>
                <a:ln cmpd="sng">
                  <a:solidFill>
                    <a:srgbClr val="C27BA0"/>
                  </a:solidFill>
                </a:ln>
              </c:spPr>
            </c:marker>
          </c:dPt>
          <c:dPt>
            <c:idx val="1"/>
            <c:marker>
              <c:symbol val="circle"/>
              <c:size val="7"/>
              <c:spPr>
                <a:solidFill>
                  <a:srgbClr val="93C47D"/>
                </a:solidFill>
                <a:ln cmpd="sng">
                  <a:solidFill>
                    <a:srgbClr val="93C47D"/>
                  </a:solidFill>
                </a:ln>
              </c:spPr>
            </c:marker>
          </c:dPt>
          <c:dPt>
            <c:idx val="2"/>
            <c:marker>
              <c:symbol val="none"/>
            </c:marker>
          </c:dPt>
          <c:dPt>
            <c:idx val="5"/>
            <c:marker>
              <c:symbol val="none"/>
            </c:marker>
          </c:dPt>
          <c:dPt>
            <c:idx val="6"/>
            <c:marker>
              <c:symbol val="none"/>
            </c:marker>
          </c:dPt>
          <c:dPt>
            <c:idx val="7"/>
            <c:marker>
              <c:symbol val="circle"/>
              <c:size val="7"/>
              <c:spPr>
                <a:solidFill>
                  <a:srgbClr val="76A5AF"/>
                </a:solidFill>
                <a:ln cmpd="sng">
                  <a:solidFill>
                    <a:srgbClr val="76A5AF"/>
                  </a:solidFill>
                </a:ln>
              </c:spPr>
            </c:marker>
          </c:dPt>
          <c:dPt>
            <c:idx val="8"/>
            <c:marker>
              <c:symbol val="none"/>
            </c:marker>
          </c:dPt>
          <c:dPt>
            <c:idx val="14"/>
            <c:marker>
              <c:symbol val="none"/>
            </c:marker>
          </c:dPt>
          <c:dPt>
            <c:idx val="17"/>
            <c:marker>
              <c:symbol val="none"/>
            </c:marker>
          </c:dPt>
          <c:xVal>
            <c:numRef>
              <c:f>Mortality!$C$18:$C$32</c:f>
            </c:numRef>
          </c:xVal>
          <c:yVal>
            <c:numRef>
              <c:f>Mortality!$D$18:$D$32</c:f>
              <c:numCache/>
            </c:numRef>
          </c:yVal>
        </c:ser>
        <c:dLbls>
          <c:showLegendKey val="0"/>
          <c:showVal val="0"/>
          <c:showCatName val="0"/>
          <c:showSerName val="0"/>
          <c:showPercent val="0"/>
          <c:showBubbleSize val="0"/>
        </c:dLbls>
        <c:axId val="445234819"/>
        <c:axId val="724136298"/>
      </c:scatterChart>
      <c:valAx>
        <c:axId val="44523481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sz="1600">
                    <a:solidFill>
                      <a:srgbClr val="000000"/>
                    </a:solidFill>
                    <a:latin typeface="Roboto"/>
                  </a:defRPr>
                </a:pPr>
                <a:r>
                  <a:rPr b="0" sz="1600">
                    <a:solidFill>
                      <a:srgbClr val="000000"/>
                    </a:solidFill>
                    <a:latin typeface="Roboto"/>
                  </a:rPr>
                  <a:t>Annual consumption per capita (2017 PPP)</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724136298"/>
      </c:valAx>
      <c:valAx>
        <c:axId val="724136298"/>
        <c:scaling>
          <c:orientation val="minMax"/>
          <c:min val="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600">
                    <a:solidFill>
                      <a:srgbClr val="000000"/>
                    </a:solidFill>
                    <a:latin typeface="Roboto"/>
                  </a:defRPr>
                </a:pPr>
                <a:r>
                  <a:rPr b="0" sz="1600">
                    <a:solidFill>
                      <a:srgbClr val="000000"/>
                    </a:solidFill>
                    <a:latin typeface="Roboto"/>
                  </a:rPr>
                  <a:t>u5 mortality rate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445234819"/>
      </c:valAx>
    </c:plotArea>
    <c:legend>
      <c:legendPos val="r"/>
      <c:overlay val="0"/>
      <c:txPr>
        <a:bodyPr/>
        <a:lstStyle/>
        <a:p>
          <a:pPr lvl="0">
            <a:defRPr b="0">
              <a:solidFill>
                <a:srgbClr val="000000"/>
              </a:solidFill>
              <a:latin typeface="Roboto"/>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rgbClr val="4285F4"/>
              </a:solidFill>
              <a:ln cmpd="sng">
                <a:solidFill>
                  <a:srgbClr val="4285F4"/>
                </a:solidFill>
              </a:ln>
            </c:spPr>
          </c:marker>
          <c:xVal>
            <c:numRef>
              <c:f>WB!$B$118:$B$271</c:f>
            </c:numRef>
          </c:xVal>
          <c:yVal>
            <c:numRef>
              <c:f>WB!$C$118:$C$271</c:f>
              <c:numCache/>
            </c:numRef>
          </c:yVal>
        </c:ser>
        <c:dLbls>
          <c:showLegendKey val="0"/>
          <c:showVal val="0"/>
          <c:showCatName val="0"/>
          <c:showSerName val="0"/>
          <c:showPercent val="0"/>
          <c:showBubbleSize val="0"/>
        </c:dLbls>
        <c:axId val="466946349"/>
        <c:axId val="369578406"/>
      </c:scatterChart>
      <c:valAx>
        <c:axId val="46694634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GDP per capita, 2023</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369578406"/>
      </c:valAx>
      <c:valAx>
        <c:axId val="3695784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Agriculture value added, 2023</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466946349"/>
      </c:valAx>
    </c:plotArea>
    <c:legend>
      <c:legendPos val="r"/>
      <c:overlay val="0"/>
      <c:txPr>
        <a:bodyPr/>
        <a:lstStyle/>
        <a:p>
          <a:pPr lvl="0">
            <a:defRPr b="0">
              <a:solidFill>
                <a:srgbClr val="000000"/>
              </a:solidFill>
              <a:latin typeface="Roboto"/>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rgbClr val="4285F4"/>
              </a:solidFill>
              <a:ln cmpd="sng">
                <a:solidFill>
                  <a:srgbClr val="4285F4"/>
                </a:solidFill>
              </a:ln>
            </c:spPr>
          </c:marker>
          <c:dPt>
            <c:idx val="5"/>
            <c:marker>
              <c:symbol val="none"/>
            </c:marker>
          </c:dPt>
          <c:dPt>
            <c:idx val="7"/>
            <c:marker>
              <c:symbol val="none"/>
            </c:marker>
          </c:dPt>
          <c:dPt>
            <c:idx val="10"/>
            <c:marker>
              <c:symbol val="none"/>
            </c:marker>
          </c:dPt>
          <c:dPt>
            <c:idx val="22"/>
            <c:marker>
              <c:symbol val="none"/>
            </c:marker>
          </c:dPt>
          <c:xVal>
            <c:numRef>
              <c:f>Papers!$A$35:$A$58</c:f>
            </c:numRef>
          </c:xVal>
          <c:yVal>
            <c:numRef>
              <c:f>Papers!$B$35:$B$58</c:f>
              <c:numCache/>
            </c:numRef>
          </c:yVal>
        </c:ser>
        <c:dLbls>
          <c:showLegendKey val="0"/>
          <c:showVal val="0"/>
          <c:showCatName val="0"/>
          <c:showSerName val="0"/>
          <c:showPercent val="0"/>
          <c:showBubbleSize val="0"/>
        </c:dLbls>
        <c:axId val="2026660129"/>
        <c:axId val="1499205387"/>
      </c:scatterChart>
      <c:valAx>
        <c:axId val="202666012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499205387"/>
      </c:valAx>
      <c:valAx>
        <c:axId val="14992053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Multiplier</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026660129"/>
      </c:valAx>
    </c:plotArea>
    <c:legend>
      <c:legendPos val="r"/>
      <c:overlay val="0"/>
      <c:txPr>
        <a:bodyPr/>
        <a:lstStyle/>
        <a:p>
          <a:pPr lvl="0">
            <a:defRPr b="0">
              <a:solidFill>
                <a:srgbClr val="000000"/>
              </a:solidFill>
              <a:latin typeface="Roboto"/>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Summ!$A$17</c:f>
            </c:strRef>
          </c:tx>
          <c:spPr>
            <a:solidFill>
              <a:srgbClr val="76A5AF"/>
            </a:solidFill>
            <a:ln cmpd="sng">
              <a:solidFill>
                <a:srgbClr val="000000"/>
              </a:solidFill>
            </a:ln>
          </c:spPr>
          <c:dPt>
            <c:idx val="0"/>
            <c:spPr>
              <a:solidFill>
                <a:srgbClr val="76A5AF"/>
              </a:solidFill>
              <a:ln cmpd="sng">
                <a:solidFill>
                  <a:srgbClr val="000000"/>
                </a:solidFill>
              </a:ln>
            </c:spPr>
          </c:dPt>
          <c:dPt>
            <c:idx val="1"/>
          </c:dPt>
          <c:cat>
            <c:strRef>
              <c:f>Summ!$B$16:$G$16</c:f>
            </c:strRef>
          </c:cat>
          <c:val>
            <c:numRef>
              <c:f>Summ!$B$17:$G$17</c:f>
              <c:numCache/>
            </c:numRef>
          </c:val>
        </c:ser>
        <c:ser>
          <c:idx val="1"/>
          <c:order val="1"/>
          <c:tx>
            <c:strRef>
              <c:f>Summ!$A$18</c:f>
            </c:strRef>
          </c:tx>
          <c:spPr>
            <a:solidFill>
              <a:srgbClr val="D0E0E3"/>
            </a:solidFill>
            <a:ln cmpd="sng">
              <a:solidFill>
                <a:srgbClr val="000000"/>
              </a:solidFill>
            </a:ln>
          </c:spPr>
          <c:dPt>
            <c:idx val="0"/>
          </c:dPt>
          <c:cat>
            <c:strRef>
              <c:f>Summ!$B$16:$G$16</c:f>
            </c:strRef>
          </c:cat>
          <c:val>
            <c:numRef>
              <c:f>Summ!$B$18:$G$18</c:f>
              <c:numCache/>
            </c:numRef>
          </c:val>
        </c:ser>
        <c:ser>
          <c:idx val="2"/>
          <c:order val="2"/>
          <c:tx>
            <c:strRef>
              <c:f>Summ!$A$19</c:f>
            </c:strRef>
          </c:tx>
          <c:spPr>
            <a:solidFill>
              <a:srgbClr val="FCE5CD"/>
            </a:solidFill>
            <a:ln cmpd="sng">
              <a:solidFill>
                <a:srgbClr val="000000"/>
              </a:solidFill>
            </a:ln>
          </c:spPr>
          <c:cat>
            <c:strRef>
              <c:f>Summ!$B$16:$G$16</c:f>
            </c:strRef>
          </c:cat>
          <c:val>
            <c:numRef>
              <c:f>Summ!$B$19:$G$19</c:f>
              <c:numCache/>
            </c:numRef>
          </c:val>
        </c:ser>
        <c:ser>
          <c:idx val="3"/>
          <c:order val="3"/>
          <c:tx>
            <c:strRef>
              <c:f>Summ!$A$20</c:f>
            </c:strRef>
          </c:tx>
          <c:spPr>
            <a:solidFill>
              <a:srgbClr val="FF9900"/>
            </a:solidFill>
            <a:ln cmpd="sng">
              <a:solidFill>
                <a:srgbClr val="000000"/>
              </a:solidFill>
            </a:ln>
          </c:spPr>
          <c:cat>
            <c:strRef>
              <c:f>Summ!$B$16:$G$16</c:f>
            </c:strRef>
          </c:cat>
          <c:val>
            <c:numRef>
              <c:f>Summ!$B$20:$G$20</c:f>
              <c:numCache/>
            </c:numRef>
          </c:val>
        </c:ser>
        <c:overlap val="100"/>
        <c:axId val="1224038956"/>
        <c:axId val="1005956495"/>
      </c:barChart>
      <c:catAx>
        <c:axId val="122403895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005956495"/>
      </c:catAx>
      <c:valAx>
        <c:axId val="10059564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224038956"/>
      </c:valAx>
    </c:plotArea>
    <c:legend>
      <c:legendPos val="b"/>
      <c:overlay val="0"/>
      <c:txPr>
        <a:bodyPr/>
        <a:lstStyle/>
        <a:p>
          <a:pPr lvl="0">
            <a:defRPr b="0">
              <a:solidFill>
                <a:srgbClr val="000000"/>
              </a:solidFill>
              <a:latin typeface="Roboto"/>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Summ!$A$25</c:f>
            </c:strRef>
          </c:tx>
          <c:spPr>
            <a:solidFill>
              <a:srgbClr val="76A5AF"/>
            </a:solidFill>
            <a:ln cmpd="sng">
              <a:solidFill>
                <a:srgbClr val="000000"/>
              </a:solidFill>
            </a:ln>
          </c:spPr>
          <c:dPt>
            <c:idx val="0"/>
            <c:spPr>
              <a:solidFill>
                <a:srgbClr val="76A5AF"/>
              </a:solidFill>
              <a:ln cmpd="sng">
                <a:solidFill>
                  <a:srgbClr val="000000"/>
                </a:solidFill>
              </a:ln>
            </c:spPr>
          </c:dPt>
          <c:cat>
            <c:strRef>
              <c:f>Summ!$B$24:$G$24</c:f>
            </c:strRef>
          </c:cat>
          <c:val>
            <c:numRef>
              <c:f>Summ!$B$25:$G$25</c:f>
              <c:numCache/>
            </c:numRef>
          </c:val>
        </c:ser>
        <c:ser>
          <c:idx val="1"/>
          <c:order val="1"/>
          <c:tx>
            <c:strRef>
              <c:f>Summ!$A$26</c:f>
            </c:strRef>
          </c:tx>
          <c:spPr>
            <a:solidFill>
              <a:srgbClr val="FF9900"/>
            </a:solidFill>
            <a:ln cmpd="sng">
              <a:solidFill>
                <a:srgbClr val="000000"/>
              </a:solidFill>
            </a:ln>
          </c:spPr>
          <c:cat>
            <c:strRef>
              <c:f>Summ!$B$24:$G$24</c:f>
            </c:strRef>
          </c:cat>
          <c:val>
            <c:numRef>
              <c:f>Summ!$B$26:$G$26</c:f>
              <c:numCache/>
            </c:numRef>
          </c:val>
        </c:ser>
        <c:overlap val="100"/>
        <c:axId val="558757048"/>
        <c:axId val="1628529814"/>
      </c:barChart>
      <c:catAx>
        <c:axId val="55875704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628529814"/>
      </c:catAx>
      <c:valAx>
        <c:axId val="16285298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Funds disbursed (USD)</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558757048"/>
      </c:valAx>
    </c:plotArea>
    <c:legend>
      <c:legendPos val="b"/>
      <c:overlay val="0"/>
      <c:txPr>
        <a:bodyPr/>
        <a:lstStyle/>
        <a:p>
          <a:pPr lvl="0">
            <a:defRPr b="0">
              <a:solidFill>
                <a:srgbClr val="000000"/>
              </a:solidFill>
              <a:latin typeface="Roboto"/>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Summ!$B$34</c:f>
            </c:strRef>
          </c:tx>
          <c:spPr>
            <a:solidFill>
              <a:srgbClr val="76A5AF"/>
            </a:solidFill>
            <a:ln cmpd="sng">
              <a:solidFill>
                <a:srgbClr val="000000"/>
              </a:solidFill>
            </a:ln>
          </c:spPr>
          <c:cat>
            <c:strRef>
              <c:f>Summ!$A$35:$A$40</c:f>
            </c:strRef>
          </c:cat>
          <c:val>
            <c:numRef>
              <c:f>Summ!$B$35:$B$40</c:f>
              <c:numCache/>
            </c:numRef>
          </c:val>
        </c:ser>
        <c:ser>
          <c:idx val="1"/>
          <c:order val="1"/>
          <c:tx>
            <c:strRef>
              <c:f>Summ!$C$34</c:f>
            </c:strRef>
          </c:tx>
          <c:spPr>
            <a:solidFill>
              <a:srgbClr val="D0E0E3"/>
            </a:solidFill>
            <a:ln cmpd="sng">
              <a:solidFill>
                <a:srgbClr val="000000"/>
              </a:solidFill>
            </a:ln>
          </c:spPr>
          <c:cat>
            <c:strRef>
              <c:f>Summ!$A$35:$A$40</c:f>
            </c:strRef>
          </c:cat>
          <c:val>
            <c:numRef>
              <c:f>Summ!$C$35:$C$40</c:f>
              <c:numCache/>
            </c:numRef>
          </c:val>
        </c:ser>
        <c:ser>
          <c:idx val="2"/>
          <c:order val="2"/>
          <c:tx>
            <c:strRef>
              <c:f>Summ!$D$34</c:f>
            </c:strRef>
          </c:tx>
          <c:spPr>
            <a:solidFill>
              <a:srgbClr val="FCE5CD"/>
            </a:solidFill>
            <a:ln cmpd="sng">
              <a:solidFill>
                <a:srgbClr val="000000"/>
              </a:solidFill>
            </a:ln>
          </c:spPr>
          <c:cat>
            <c:strRef>
              <c:f>Summ!$A$35:$A$40</c:f>
            </c:strRef>
          </c:cat>
          <c:val>
            <c:numRef>
              <c:f>Summ!$D$35:$D$40</c:f>
              <c:numCache/>
            </c:numRef>
          </c:val>
        </c:ser>
        <c:ser>
          <c:idx val="3"/>
          <c:order val="3"/>
          <c:tx>
            <c:strRef>
              <c:f>Summ!$E$34</c:f>
            </c:strRef>
          </c:tx>
          <c:spPr>
            <a:solidFill>
              <a:srgbClr val="EFEFEF"/>
            </a:solidFill>
            <a:ln cmpd="sng">
              <a:solidFill>
                <a:srgbClr val="000000"/>
              </a:solidFill>
            </a:ln>
          </c:spPr>
          <c:cat>
            <c:strRef>
              <c:f>Summ!$A$35:$A$40</c:f>
            </c:strRef>
          </c:cat>
          <c:val>
            <c:numRef>
              <c:f>Summ!$E$35:$E$40</c:f>
              <c:numCache/>
            </c:numRef>
          </c:val>
        </c:ser>
        <c:ser>
          <c:idx val="4"/>
          <c:order val="4"/>
          <c:tx>
            <c:strRef>
              <c:f>Summ!$F$34</c:f>
            </c:strRef>
          </c:tx>
          <c:spPr>
            <a:solidFill>
              <a:srgbClr val="FF9900"/>
            </a:solidFill>
            <a:ln cmpd="sng">
              <a:solidFill>
                <a:srgbClr val="000000"/>
              </a:solidFill>
            </a:ln>
          </c:spPr>
          <c:cat>
            <c:strRef>
              <c:f>Summ!$A$35:$A$40</c:f>
            </c:strRef>
          </c:cat>
          <c:val>
            <c:numRef>
              <c:f>Summ!$F$35:$F$40</c:f>
              <c:numCache/>
            </c:numRef>
          </c:val>
        </c:ser>
        <c:overlap val="100"/>
        <c:axId val="1498281230"/>
        <c:axId val="364723380"/>
      </c:barChart>
      <c:catAx>
        <c:axId val="1498281230"/>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364723380"/>
      </c:catAx>
      <c:valAx>
        <c:axId val="3647233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498281230"/>
      </c:valAx>
    </c:plotArea>
    <c:legend>
      <c:legendPos val="b"/>
      <c:overlay val="0"/>
      <c:txPr>
        <a:bodyPr/>
        <a:lstStyle/>
        <a:p>
          <a:pPr lvl="0">
            <a:defRPr b="0">
              <a:solidFill>
                <a:srgbClr val="000000"/>
              </a:solidFill>
              <a:latin typeface="Roboto"/>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image" Target="../media/Chart4.png"/><Relationship Id="rId2"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8.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990600</xdr:colOff>
      <xdr:row>40</xdr:row>
      <xdr:rowOff>76200</xdr:rowOff>
    </xdr:from>
    <xdr:ext cx="4400550" cy="2724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5819775</xdr:colOff>
      <xdr:row>62</xdr:row>
      <xdr:rowOff>38100</xdr:rowOff>
    </xdr:from>
    <xdr:ext cx="5019675" cy="31051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3486150</xdr:colOff>
      <xdr:row>88</xdr:row>
      <xdr:rowOff>19050</xdr:rowOff>
    </xdr:from>
    <xdr:ext cx="4676775" cy="28956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371475</xdr:colOff>
      <xdr:row>92</xdr:row>
      <xdr:rowOff>19050</xdr:rowOff>
    </xdr:from>
    <xdr:ext cx="5181600" cy="3200400"/>
    <xdr:pic>
      <xdr:nvPicPr>
        <xdr:cNvPr id="223115291" name="Chart4"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581025</xdr:colOff>
      <xdr:row>109</xdr:row>
      <xdr:rowOff>180975</xdr:rowOff>
    </xdr:from>
    <xdr:ext cx="4762500" cy="2943225"/>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895350</xdr:colOff>
      <xdr:row>39</xdr:row>
      <xdr:rowOff>9525</xdr:rowOff>
    </xdr:from>
    <xdr:ext cx="4562475" cy="2819400"/>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180975</xdr:colOff>
      <xdr:row>13</xdr:row>
      <xdr:rowOff>171450</xdr:rowOff>
    </xdr:from>
    <xdr:ext cx="6496050" cy="4391025"/>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190500</xdr:colOff>
      <xdr:row>118</xdr:row>
      <xdr:rowOff>161925</xdr:rowOff>
    </xdr:from>
    <xdr:ext cx="5400675" cy="334327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504825</xdr:colOff>
      <xdr:row>35</xdr:row>
      <xdr:rowOff>76200</xdr:rowOff>
    </xdr:from>
    <xdr:ext cx="7086600" cy="4381500"/>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1038225</xdr:colOff>
      <xdr:row>41</xdr:row>
      <xdr:rowOff>171450</xdr:rowOff>
    </xdr:from>
    <xdr:ext cx="5200650" cy="3209925"/>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552450</xdr:colOff>
      <xdr:row>21</xdr:row>
      <xdr:rowOff>57150</xdr:rowOff>
    </xdr:from>
    <xdr:ext cx="6010275" cy="3714750"/>
    <xdr:graphicFrame>
      <xdr:nvGraphicFramePr>
        <xdr:cNvPr id="11" name="Chart 11"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581025</xdr:colOff>
      <xdr:row>24</xdr:row>
      <xdr:rowOff>47625</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hyperlink" Target="https://www.givewell.org/maximum-impact-fund"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pip.worldbank.org/country-details/UGA?pathName=Country%20Profiles&amp;pathLink=%2Fcountry-profiles" TargetMode="External"/><Relationship Id="rId3" Type="http://schemas.openxmlformats.org/officeDocument/2006/relationships/drawing" Target="../drawings/drawing5.xml"/><Relationship Id="rId4"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givewell.app.box.com/file/1545743635074"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drive.google.com/drive/folders/1mRiVjm78sxLx4YNA45tA7APQ76DnP2m4" TargetMode="External"/><Relationship Id="rId3" Type="http://schemas.openxmlformats.org/officeDocument/2006/relationships/hyperlink" Target="https://www.nber.org/papers/w34152" TargetMode="External"/><Relationship Id="rId4" Type="http://schemas.openxmlformats.org/officeDocument/2006/relationships/drawing" Target="../drawings/drawing9.xml"/><Relationship Id="rId5"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1.xml"/><Relationship Id="rId3"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ata.worldbank.org/indicator/PA.NUS.PRVT.PP?end=2022&amp;start=2022&amp;view=bar&amp;year=2020" TargetMode="External"/><Relationship Id="rId2" Type="http://schemas.openxmlformats.org/officeDocument/2006/relationships/hyperlink" Target="https://data.worldbank.org/indicator/PA.NUS.FCRF?locations=KE-MW-RW-UG" TargetMode="External"/><Relationship Id="rId3" Type="http://schemas.openxmlformats.org/officeDocument/2006/relationships/hyperlink" Target="https://data.worldbank.org/indicator/NY.GDP.PCAP.PP.KD" TargetMode="External"/><Relationship Id="rId4" Type="http://schemas.openxmlformats.org/officeDocument/2006/relationships/hyperlink" Target="https://www.worldbank.org/en/topic/poverty/brief/multidimensional-poverty-measure" TargetMode="External"/><Relationship Id="rId10" Type="http://schemas.openxmlformats.org/officeDocument/2006/relationships/drawing" Target="../drawings/drawing16.xml"/><Relationship Id="rId9" Type="http://schemas.openxmlformats.org/officeDocument/2006/relationships/hyperlink" Target="https://data.worldbank.org/indicator/NV.AGR.TOTL.ZS" TargetMode="External"/><Relationship Id="rId5" Type="http://schemas.openxmlformats.org/officeDocument/2006/relationships/hyperlink" Target="https://impact.economist.com/sustainability/project/food-security-index/" TargetMode="External"/><Relationship Id="rId6" Type="http://schemas.openxmlformats.org/officeDocument/2006/relationships/hyperlink" Target="https://data.worldbank.org/indicator/EN.POP.DNST" TargetMode="External"/><Relationship Id="rId7" Type="http://schemas.openxmlformats.org/officeDocument/2006/relationships/hyperlink" Target="https://datacatalog.worldbank.org/search/dataset/0038250" TargetMode="External"/><Relationship Id="rId8" Type="http://schemas.openxmlformats.org/officeDocument/2006/relationships/hyperlink" Target="https://pip.worldbank.org/poverty-calculator?src=MWI"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clients.ihme.services/data-explorer"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country.name"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ww.knbs.or.ke/wp-content/uploads/2023/09/The-Kenya-Poverty-Report-2021.pdf" TargetMode="External"/><Relationship Id="rId2" Type="http://schemas.openxmlformats.org/officeDocument/2006/relationships/hyperlink" Target="http://www.nsomalawi.mw/images/stories/data_on_line/economics/ihs/IHS5/Malawi_Poverty_Report_Final.pdf" TargetMode="External"/><Relationship Id="rId3" Type="http://schemas.openxmlformats.org/officeDocument/2006/relationships/hyperlink" Target="https://mozdata.ine.gov.mz/index.php/catalog/88/related-materials" TargetMode="External"/><Relationship Id="rId4" Type="http://schemas.openxmlformats.org/officeDocument/2006/relationships/hyperlink" Target="https://ccoaib.rw/documents/EICV5_Rwanda_Poverty_Profile-1.pdf" TargetMode="External"/><Relationship Id="rId5" Type="http://schemas.openxmlformats.org/officeDocument/2006/relationships/hyperlink" Target="https://www.ubos.org/wp-content/uploads/publications/09_2021Uganda-National-Survey-Report-2019-2020.pdf" TargetMode="External"/><Relationship Id="rId6" Type="http://schemas.openxmlformats.org/officeDocument/2006/relationships/hyperlink" Target="https://www.populationpyramid.net/rwanda/2023/" TargetMode="External"/><Relationship Id="rId7"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20" Type="http://schemas.openxmlformats.org/officeDocument/2006/relationships/hyperlink" Target="https://openknowledge.fao.org/server/api/core/bitstreams/eb45eaf1-3bd8-4308-8f22-df297078fb8c/content" TargetMode="External"/><Relationship Id="rId22" Type="http://schemas.openxmlformats.org/officeDocument/2006/relationships/hyperlink" Target="https://onlinelibrary.wiley.com/doi/abs/10.1111/j.1467-7679.2008.00400.x" TargetMode="External"/><Relationship Id="rId21" Type="http://schemas.openxmlformats.org/officeDocument/2006/relationships/hyperlink" Target="https://socialprotection-humanrights.org/resource/the-local-economy-impacts-of-social-cash-transfers-a-comparative-analysis-of-seven-sub-saharan-countries/" TargetMode="External"/><Relationship Id="rId24" Type="http://schemas.openxmlformats.org/officeDocument/2006/relationships/hyperlink" Target="https://openknowledge.fao.org/server/api/core/bitstreams/ea4b2773-2c58-4ab0-b049-9afbc1892c05/content" TargetMode="External"/><Relationship Id="rId23" Type="http://schemas.openxmlformats.org/officeDocument/2006/relationships/hyperlink" Target="https://www.pnas.org/doi/full/10.1073/pnas.1604566113" TargetMode="External"/><Relationship Id="rId1" Type="http://schemas.openxmlformats.org/officeDocument/2006/relationships/comments" Target="../comments6.xml"/><Relationship Id="rId2" Type="http://schemas.openxmlformats.org/officeDocument/2006/relationships/hyperlink" Target="https://documents1.worldbank.org/curated/en/099452507272341291/pdf/IDU03fcef4630f1c60401209a260398108681817.pdf" TargetMode="External"/><Relationship Id="rId3" Type="http://schemas.openxmlformats.org/officeDocument/2006/relationships/hyperlink" Target="https://fpabramo.org.br/wp-content/uploads/sites/7/2017/08/493.pdf" TargetMode="External"/><Relationship Id="rId4" Type="http://schemas.openxmlformats.org/officeDocument/2006/relationships/hyperlink" Target="https://ideas.repec.org/p/ags/pugtwp/332987.html" TargetMode="External"/><Relationship Id="rId9" Type="http://schemas.openxmlformats.org/officeDocument/2006/relationships/hyperlink" Target="https://www.imf.org/en/Publications/WP/Issues/2022/03/18/Estimating-the-Employment-and-GDP-Multiplier-of-Emergency-Cash-Transfers-in-Brazil-515147" TargetMode="External"/><Relationship Id="rId26" Type="http://schemas.openxmlformats.org/officeDocument/2006/relationships/hyperlink" Target="https://www.ids.ac.uk/download.php?file=files/dmfile/Staunton2011CashtransfersandfoodaidinZimbabweCSPconferencedraft.pdf" TargetMode="External"/><Relationship Id="rId25" Type="http://schemas.openxmlformats.org/officeDocument/2006/relationships/hyperlink" Target="https://socialprotection-humanrights.org/resource/the-local-economy-impacts-of-social-cash-transfers-a-comparative-analysis-of-seven-sub-saharan-countries/" TargetMode="External"/><Relationship Id="rId28" Type="http://schemas.openxmlformats.org/officeDocument/2006/relationships/hyperlink" Target="https://www.aeaweb.org/articles?id=10.1257/aer.99.1.486" TargetMode="External"/><Relationship Id="rId27" Type="http://schemas.openxmlformats.org/officeDocument/2006/relationships/hyperlink" Target="https://www.sciencedirect.com/science/article/abs/pii/S0305750X11001422" TargetMode="External"/><Relationship Id="rId5" Type="http://schemas.openxmlformats.org/officeDocument/2006/relationships/hyperlink" Target="https://www.tandfonline.com/doi/abs/10.1080/19439342.2012.649542" TargetMode="External"/><Relationship Id="rId6" Type="http://schemas.openxmlformats.org/officeDocument/2006/relationships/hyperlink" Target="https://www.rescue.org/report/emergency-economies-impact-cash-assistance-lebanon" TargetMode="External"/><Relationship Id="rId29" Type="http://schemas.openxmlformats.org/officeDocument/2006/relationships/hyperlink" Target="https://www.jstor.org/stable/41951395" TargetMode="External"/><Relationship Id="rId7" Type="http://schemas.openxmlformats.org/officeDocument/2006/relationships/hyperlink" Target="https://www.tandfonline.com/doi/abs/10.1080/19439342.2012.649542" TargetMode="External"/><Relationship Id="rId8" Type="http://schemas.openxmlformats.org/officeDocument/2006/relationships/hyperlink" Target="https://www.sciencedirect.com/science/article/abs/pii/S0305750X18303231" TargetMode="External"/><Relationship Id="rId31" Type="http://schemas.openxmlformats.org/officeDocument/2006/relationships/hyperlink" Target="https://documents.worldbank.org/en/publication/documents-reports/documentdetail/099423212192325062/idu1b5ff3e101c9201420b1895614c04fc38e0af" TargetMode="External"/><Relationship Id="rId30" Type="http://schemas.openxmlformats.org/officeDocument/2006/relationships/hyperlink" Target="https://www.sciencedirect.com/science/article/abs/pii/S0305750X01000183" TargetMode="External"/><Relationship Id="rId11" Type="http://schemas.openxmlformats.org/officeDocument/2006/relationships/hyperlink" Target="https://www.sciencedirect.com/science/article/abs/pii/S0305750X17303121" TargetMode="External"/><Relationship Id="rId33" Type="http://schemas.openxmlformats.org/officeDocument/2006/relationships/vmlDrawing" Target="../drawings/vmlDrawing6.vml"/><Relationship Id="rId10" Type="http://schemas.openxmlformats.org/officeDocument/2006/relationships/hyperlink" Target="https://revistas.uepg.br/index.php/sociais/article/download/14119/209209212610" TargetMode="External"/><Relationship Id="rId32" Type="http://schemas.openxmlformats.org/officeDocument/2006/relationships/drawing" Target="../drawings/drawing20.xml"/><Relationship Id="rId13" Type="http://schemas.openxmlformats.org/officeDocument/2006/relationships/hyperlink" Target="https://openknowledge.fao.org/server/api/core/bitstreams/85e85212-1178-4325-aba5-d46363c67440/content" TargetMode="External"/><Relationship Id="rId12" Type="http://schemas.openxmlformats.org/officeDocument/2006/relationships/hyperlink" Target="https://www.journals.uchicago.edu/doi/full/10.1086/687548" TargetMode="External"/><Relationship Id="rId15" Type="http://schemas.openxmlformats.org/officeDocument/2006/relationships/hyperlink" Target="https://openknowledge.fao.org/server/api/core/bitstreams/56ab458c-9038-4ffa-bda2-ceeddfae561b/content" TargetMode="External"/><Relationship Id="rId14" Type="http://schemas.openxmlformats.org/officeDocument/2006/relationships/hyperlink" Target="https://socialprotection-humanrights.org/resource/the-local-economy-impacts-of-social-cash-transfers-a-comparative-analysis-of-seven-sub-saharan-countries/" TargetMode="External"/><Relationship Id="rId17" Type="http://schemas.openxmlformats.org/officeDocument/2006/relationships/hyperlink" Target="https://onlinelibrary.wiley.com/doi/full/10.3982/ECTA17945" TargetMode="External"/><Relationship Id="rId16" Type="http://schemas.openxmlformats.org/officeDocument/2006/relationships/hyperlink" Target="https://www.jstor.org/stable/24476919" TargetMode="External"/><Relationship Id="rId19" Type="http://schemas.openxmlformats.org/officeDocument/2006/relationships/hyperlink" Target="https://socialprotection-humanrights.org/resource/the-local-economy-impacts-of-social-cash-transfers-a-comparative-analysis-of-seven-sub-saharan-countries/" TargetMode="External"/><Relationship Id="rId18" Type="http://schemas.openxmlformats.org/officeDocument/2006/relationships/hyperlink" Target="https://socialprotection-humanrights.org/resource/the-local-economy-impacts-of-social-cash-transfers-a-comparative-analysis-of-seven-sub-saharan-countries/" TargetMode="External"/></Relationships>
</file>

<file path=xl/worksheets/_rels/sheet21.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www.nature.com/articles/s41586-023-06116-2" TargetMode="External"/><Relationship Id="rId3" Type="http://schemas.openxmlformats.org/officeDocument/2006/relationships/drawing" Target="../drawings/drawing21.xml"/><Relationship Id="rId4" Type="http://schemas.openxmlformats.org/officeDocument/2006/relationships/vmlDrawing" Target="../drawings/vmlDrawing7.v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24.xml"/><Relationship Id="rId3" Type="http://schemas.openxmlformats.org/officeDocument/2006/relationships/vmlDrawing" Target="../drawings/vmlDrawing8.v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http://givedirectly.org/canva" TargetMode="External"/><Relationship Id="rId3" Type="http://schemas.openxmlformats.org/officeDocument/2006/relationships/hyperlink" Target="http://givedirectly.org/poverty-relief" TargetMode="External"/><Relationship Id="rId4" Type="http://schemas.openxmlformats.org/officeDocument/2006/relationships/hyperlink" Target="https://www.populationpyramid.net/rwanda/2023/" TargetMode="External"/><Relationship Id="rId5" Type="http://schemas.openxmlformats.org/officeDocument/2006/relationships/hyperlink" Target="https://data.worldbank.org/indicator/SI.POV.NAHC" TargetMode="External"/><Relationship Id="rId6" Type="http://schemas.openxmlformats.org/officeDocument/2006/relationships/drawing" Target="../drawings/drawing26.xml"/><Relationship Id="rId7"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49.86"/>
    <col customWidth="1" min="2" max="2" width="102.86"/>
  </cols>
  <sheetData>
    <row r="1" ht="22.5" customHeight="1">
      <c r="A1" s="1" t="s">
        <v>0</v>
      </c>
      <c r="B1" s="1"/>
    </row>
    <row r="2" ht="143.25" customHeight="1">
      <c r="A2" s="2" t="s">
        <v>1</v>
      </c>
    </row>
    <row r="3" ht="15.0" customHeight="1">
      <c r="A3" s="3"/>
      <c r="B3" s="3"/>
    </row>
    <row r="4" ht="15.0" customHeight="1">
      <c r="A4" s="4"/>
    </row>
    <row r="5" ht="15.0" customHeight="1">
      <c r="A5" s="5"/>
      <c r="B5" s="5"/>
    </row>
    <row r="6" ht="21.75" customHeight="1">
      <c r="A6" s="6" t="s">
        <v>2</v>
      </c>
      <c r="B6" s="5"/>
    </row>
    <row r="7" ht="15.0" customHeight="1">
      <c r="A7" s="7" t="s">
        <v>3</v>
      </c>
      <c r="B7" s="8"/>
    </row>
    <row r="8" ht="15.0" customHeight="1">
      <c r="A8" s="9" t="s">
        <v>4</v>
      </c>
      <c r="B8" s="8"/>
    </row>
    <row r="9" ht="15.0" customHeight="1">
      <c r="A9" s="5" t="s">
        <v>5</v>
      </c>
      <c r="B9" s="8"/>
    </row>
    <row r="10" ht="15.0" customHeight="1">
      <c r="A10" s="5"/>
      <c r="B10" s="8"/>
    </row>
    <row r="11" ht="21.0" customHeight="1">
      <c r="A11" s="10" t="s">
        <v>6</v>
      </c>
      <c r="B11" s="8"/>
    </row>
    <row r="12" ht="15.0" customHeight="1">
      <c r="A12" s="11" t="s">
        <v>7</v>
      </c>
      <c r="B12" s="12" t="s">
        <v>8</v>
      </c>
    </row>
    <row r="13" ht="15.0" customHeight="1">
      <c r="A13" s="13" t="s">
        <v>9</v>
      </c>
      <c r="B13" s="14" t="s">
        <v>10</v>
      </c>
    </row>
    <row r="14" ht="15.0" customHeight="1">
      <c r="A14" s="13" t="s">
        <v>11</v>
      </c>
      <c r="B14" s="14" t="s">
        <v>12</v>
      </c>
    </row>
    <row r="15" ht="15.0" customHeight="1">
      <c r="A15" s="15" t="s">
        <v>13</v>
      </c>
      <c r="B15" s="14" t="s">
        <v>14</v>
      </c>
    </row>
    <row r="16" ht="15.0" customHeight="1">
      <c r="A16" s="15" t="s">
        <v>15</v>
      </c>
      <c r="B16" s="14" t="s">
        <v>16</v>
      </c>
    </row>
    <row r="17" ht="15.0" customHeight="1">
      <c r="A17" s="15" t="s">
        <v>17</v>
      </c>
      <c r="B17" s="14" t="s">
        <v>18</v>
      </c>
    </row>
    <row r="18" ht="15.0" customHeight="1">
      <c r="A18" s="15" t="s">
        <v>19</v>
      </c>
      <c r="B18" s="14" t="s">
        <v>20</v>
      </c>
    </row>
    <row r="19" ht="15.0" customHeight="1">
      <c r="A19" s="15" t="s">
        <v>21</v>
      </c>
      <c r="B19" s="14" t="s">
        <v>22</v>
      </c>
    </row>
    <row r="20" ht="15.0" customHeight="1">
      <c r="A20" s="16" t="s">
        <v>23</v>
      </c>
      <c r="B20" s="14" t="s">
        <v>24</v>
      </c>
    </row>
    <row r="21" ht="15.0" customHeight="1">
      <c r="A21" s="17" t="s">
        <v>25</v>
      </c>
      <c r="B21" s="18" t="s">
        <v>26</v>
      </c>
    </row>
    <row r="22" ht="15.0" customHeight="1">
      <c r="A22" s="17" t="s">
        <v>27</v>
      </c>
      <c r="B22" s="18" t="s">
        <v>28</v>
      </c>
    </row>
    <row r="23" ht="15.0" customHeight="1">
      <c r="A23" s="8"/>
      <c r="B23" s="19"/>
    </row>
    <row r="24" ht="21.75" customHeight="1">
      <c r="A24" s="10" t="s">
        <v>29</v>
      </c>
      <c r="B24" s="19"/>
    </row>
    <row r="25" ht="15.0" customHeight="1">
      <c r="A25" s="20" t="str">
        <f>HYPERLINK("https://docs.google.com/document/d/1ZKq-MNU-xtn_48uN33L6VvBEZRAduvjwWMeaEffL4K4/","Guide to GiveWell cost-effectiveness analyses")</f>
        <v>Guide to GiveWell cost-effectiveness analyses</v>
      </c>
      <c r="B25" s="19"/>
    </row>
    <row r="26" ht="15.0" customHeight="1">
      <c r="A26" s="20" t="str">
        <f>HYPERLINK("http://www.givewell.org/charities/top-charities","Full reviews of our top charities")</f>
        <v>Full reviews of our top charities</v>
      </c>
      <c r="B26" s="19"/>
    </row>
    <row r="27" ht="15.0" customHeight="1">
      <c r="A27" s="20" t="str">
        <f>HYPERLINK("http://www.givewell.org/international/technical/criteria/cost-effectiveness/cost-effectiveness-models","Past versions of our cost-effectiveness analyses")</f>
        <v>Past versions of our cost-effectiveness analyses</v>
      </c>
      <c r="B27" s="19"/>
    </row>
    <row r="28" ht="15.0" customHeight="1">
      <c r="A28" s="20" t="str">
        <f>HYPERLINK("http://www.givewell.org/international/technical/criteria/cost-effectiveness","Discussion of cost-effectiveness as a criterion")</f>
        <v>Discussion of cost-effectiveness as a criterion</v>
      </c>
      <c r="B28" s="19"/>
    </row>
    <row r="29" ht="15.0" customHeight="1">
      <c r="A29" s="20" t="str">
        <f>HYPERLINK("http://www.givewell.org/international/technical/criteria/cost-effectiveness#MoreonGiveWellsviewsoncosteffectivenessestimates","Blog posts discussing cost-effectiveness")</f>
        <v>Blog posts discussing cost-effectiveness</v>
      </c>
      <c r="B29" s="19"/>
    </row>
  </sheetData>
  <mergeCells count="2">
    <mergeCell ref="A2:B2"/>
    <mergeCell ref="A4:B4"/>
  </mergeCells>
  <hyperlinks>
    <hyperlink r:id="rId1" ref="A2"/>
    <hyperlink display="Moral weights and discount rate" location="null!A1" ref="A12"/>
    <hyperlink display="AMF" location="null!A1" ref="A13"/>
    <hyperlink display="GiveDirectly" location="null!A1" ref="A14"/>
    <hyperlink display="Deworm the World" location="null!A1" ref="A15"/>
    <hyperlink display="Unlimit Health" location="null!A1" ref="A16"/>
    <hyperlink display="Sightsavers" location="null!A1" ref="A17"/>
    <hyperlink display="Malaria Consortium" location="null!A1" ref="A18"/>
    <hyperlink display="Helen Keller International" location="null!A1" ref="A19"/>
    <hyperlink display="New Incentives" location="null!A1" ref="A20"/>
    <hyperlink display="Value of counterfactual spending by other actors" location="null!A1" ref="A21"/>
    <hyperlink display="Supplemental intervention-level adjustments" location="null!A1" ref="A2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7.29" defaultRowHeight="15.0"/>
  <cols>
    <col customWidth="1" min="2" max="2" width="100.71"/>
    <col customWidth="1" min="3" max="3" width="31.57"/>
  </cols>
  <sheetData>
    <row r="1">
      <c r="A1" s="21" t="s">
        <v>6</v>
      </c>
      <c r="B1" s="22"/>
    </row>
    <row r="2">
      <c r="A2" s="23" t="s">
        <v>30</v>
      </c>
      <c r="B2" s="24" t="s">
        <v>31</v>
      </c>
      <c r="D2" s="25"/>
      <c r="E2" s="25"/>
    </row>
    <row r="3">
      <c r="A3" s="26" t="s">
        <v>32</v>
      </c>
      <c r="B3" s="27"/>
      <c r="D3" s="28"/>
      <c r="E3" s="28"/>
    </row>
    <row r="4">
      <c r="A4" s="29" t="s">
        <v>33</v>
      </c>
      <c r="B4" s="30" t="s">
        <v>34</v>
      </c>
      <c r="D4" s="28"/>
      <c r="E4" s="28"/>
    </row>
    <row r="5">
      <c r="A5" s="29" t="s">
        <v>35</v>
      </c>
      <c r="B5" s="31" t="s">
        <v>36</v>
      </c>
      <c r="D5" s="28"/>
      <c r="E5" s="28"/>
    </row>
    <row r="6">
      <c r="A6" s="29" t="s">
        <v>37</v>
      </c>
      <c r="B6" s="32" t="s">
        <v>38</v>
      </c>
    </row>
    <row r="7">
      <c r="A7" s="29" t="s">
        <v>39</v>
      </c>
      <c r="B7" s="32" t="s">
        <v>40</v>
      </c>
    </row>
    <row r="8">
      <c r="A8" s="29" t="s">
        <v>41</v>
      </c>
      <c r="B8" s="32" t="s">
        <v>42</v>
      </c>
    </row>
    <row r="9">
      <c r="A9" s="29" t="s">
        <v>43</v>
      </c>
      <c r="B9" s="32" t="s">
        <v>44</v>
      </c>
    </row>
    <row r="10">
      <c r="A10" s="29" t="s">
        <v>45</v>
      </c>
      <c r="B10" s="32" t="s">
        <v>46</v>
      </c>
    </row>
    <row r="11">
      <c r="A11" s="33" t="s">
        <v>47</v>
      </c>
      <c r="B11" s="33"/>
    </row>
    <row r="12">
      <c r="A12" s="34" t="s">
        <v>48</v>
      </c>
      <c r="B12" s="35" t="s">
        <v>49</v>
      </c>
    </row>
    <row r="13">
      <c r="A13" s="34" t="s">
        <v>50</v>
      </c>
      <c r="B13" s="35" t="s">
        <v>51</v>
      </c>
    </row>
    <row r="14">
      <c r="A14" s="36" t="s">
        <v>52</v>
      </c>
      <c r="B14" s="37"/>
    </row>
    <row r="15">
      <c r="A15" s="38" t="s">
        <v>53</v>
      </c>
      <c r="B15" s="39" t="s">
        <v>54</v>
      </c>
    </row>
    <row r="16">
      <c r="A16" s="38" t="s">
        <v>55</v>
      </c>
      <c r="B16" s="39" t="s">
        <v>56</v>
      </c>
    </row>
    <row r="17">
      <c r="A17" s="38" t="s">
        <v>57</v>
      </c>
      <c r="B17" s="39" t="s">
        <v>58</v>
      </c>
    </row>
    <row r="18">
      <c r="A18" s="38" t="s">
        <v>59</v>
      </c>
      <c r="B18" s="39" t="s">
        <v>60</v>
      </c>
    </row>
    <row r="19">
      <c r="A19" s="38" t="s">
        <v>61</v>
      </c>
      <c r="B19" s="39" t="s">
        <v>62</v>
      </c>
    </row>
    <row r="20">
      <c r="A20" s="38" t="s">
        <v>63</v>
      </c>
      <c r="B20" s="39" t="s">
        <v>64</v>
      </c>
    </row>
    <row r="21">
      <c r="A21" s="40" t="s">
        <v>65</v>
      </c>
      <c r="B21" s="41"/>
    </row>
    <row r="22">
      <c r="A22" s="42" t="s">
        <v>66</v>
      </c>
      <c r="B22" s="43" t="s">
        <v>67</v>
      </c>
    </row>
    <row r="23">
      <c r="A23" s="42" t="s">
        <v>68</v>
      </c>
      <c r="B23" s="43" t="s">
        <v>69</v>
      </c>
    </row>
    <row r="24">
      <c r="A24" s="42" t="s">
        <v>70</v>
      </c>
      <c r="B24" s="43" t="s">
        <v>71</v>
      </c>
    </row>
    <row r="25">
      <c r="A25" s="42" t="s">
        <v>72</v>
      </c>
      <c r="B25" s="43" t="s">
        <v>46</v>
      </c>
    </row>
  </sheetData>
  <hyperlinks>
    <hyperlink display="New CEA" location="'New CEA'!A1" ref="A2"/>
    <hyperlink display="Baseline" location="Baseline!A1" ref="A4"/>
    <hyperlink display="Consumption" location="Consumption!A1" ref="A5"/>
    <hyperlink display="GE" location="GE!A1" ref="A6"/>
    <hyperlink display="Spillover" location="Spillover!A1" ref="A7"/>
    <hyperlink display="Mortality" location="Mortality!A1" ref="A8"/>
    <hyperlink display="Development" location="Development!A1" ref="A9"/>
    <hyperlink display="RFMF" location="RFMF!A1" ref="A10"/>
    <hyperlink display="Inputs" location="Inputs!A1" ref="A12"/>
    <hyperlink display="Sims" location="Sims!A1" ref="A13"/>
    <hyperlink display="WB" location="WB!A1" ref="A15"/>
    <hyperlink display="IHME" location="IHME!A1" ref="A16"/>
    <hyperlink display="UNICEF" location="UNICEF!A1" ref="A17"/>
    <hyperlink display="Equivalence" location="Equivalence!A1" ref="A18"/>
    <hyperlink display="Papers" location="Papers!A1" ref="A19"/>
    <hyperlink display="u5m papers" location="'u5m papers'!A1" ref="A20"/>
    <hyperlink display="Summ" location="Summ!A1" ref="A22"/>
    <hyperlink display="Historic" location="Historic!A1" ref="A23"/>
    <hyperlink display="Flex" location="Flex!A1" ref="A24"/>
    <hyperlink display="Country" location="Country!A1" ref="A25"/>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pane ySplit="2.0" topLeftCell="A3" activePane="bottomLeft" state="frozen"/>
      <selection activeCell="B4" sqref="B4" pane="bottomLeft"/>
    </sheetView>
  </sheetViews>
  <sheetFormatPr customHeight="1" defaultColWidth="17.29" defaultRowHeight="15.0"/>
  <cols>
    <col customWidth="1" min="1" max="1" width="92.0"/>
    <col customWidth="1" min="2" max="6" width="15.29"/>
  </cols>
  <sheetData>
    <row r="1">
      <c r="A1" s="44" t="s">
        <v>73</v>
      </c>
      <c r="B1" s="45"/>
      <c r="C1" s="45"/>
      <c r="D1" s="45"/>
      <c r="E1" s="45"/>
      <c r="F1" s="45"/>
      <c r="G1" s="44"/>
      <c r="H1" s="46"/>
      <c r="I1" s="46"/>
      <c r="J1" s="46"/>
      <c r="K1" s="46"/>
      <c r="L1" s="46"/>
      <c r="M1" s="46"/>
      <c r="N1" s="46"/>
      <c r="O1" s="46"/>
      <c r="P1" s="46"/>
      <c r="Q1" s="46"/>
      <c r="R1" s="46"/>
      <c r="S1" s="46"/>
      <c r="T1" s="46"/>
      <c r="U1" s="46"/>
      <c r="V1" s="46"/>
      <c r="W1" s="46"/>
      <c r="X1" s="46"/>
      <c r="Y1" s="46"/>
      <c r="Z1" s="46"/>
    </row>
    <row r="2">
      <c r="A2" s="47"/>
      <c r="B2" s="48" t="s">
        <v>74</v>
      </c>
      <c r="C2" s="48" t="s">
        <v>75</v>
      </c>
      <c r="D2" s="48" t="s">
        <v>76</v>
      </c>
      <c r="E2" s="48" t="s">
        <v>77</v>
      </c>
      <c r="F2" s="48" t="s">
        <v>78</v>
      </c>
      <c r="G2" s="49"/>
      <c r="H2" s="47"/>
      <c r="I2" s="47"/>
      <c r="J2" s="47"/>
      <c r="K2" s="47"/>
      <c r="L2" s="47"/>
      <c r="M2" s="47"/>
      <c r="N2" s="47"/>
      <c r="O2" s="47"/>
      <c r="P2" s="47"/>
      <c r="Q2" s="47"/>
      <c r="R2" s="47"/>
      <c r="S2" s="47"/>
      <c r="T2" s="47"/>
      <c r="U2" s="47"/>
      <c r="V2" s="47"/>
      <c r="W2" s="47"/>
      <c r="X2" s="47"/>
      <c r="Y2" s="47"/>
      <c r="Z2" s="47"/>
    </row>
    <row r="3">
      <c r="A3" s="50" t="s">
        <v>79</v>
      </c>
      <c r="B3" s="51"/>
      <c r="C3" s="51"/>
      <c r="D3" s="52"/>
      <c r="E3" s="52"/>
      <c r="F3" s="52"/>
      <c r="G3" s="52"/>
      <c r="H3" s="52"/>
      <c r="I3" s="52"/>
      <c r="J3" s="52"/>
      <c r="K3" s="52"/>
      <c r="L3" s="52"/>
      <c r="M3" s="52"/>
      <c r="N3" s="52"/>
      <c r="O3" s="52"/>
      <c r="P3" s="52"/>
      <c r="Q3" s="52"/>
      <c r="R3" s="52"/>
      <c r="S3" s="52"/>
      <c r="T3" s="52"/>
      <c r="U3" s="52"/>
      <c r="V3" s="52"/>
      <c r="W3" s="52"/>
      <c r="X3" s="52"/>
      <c r="Y3" s="52"/>
      <c r="Z3" s="52"/>
    </row>
    <row r="4">
      <c r="A4" s="53" t="s">
        <v>80</v>
      </c>
      <c r="B4" s="54">
        <v>1000000.0</v>
      </c>
      <c r="C4" s="54">
        <v>1000000.0</v>
      </c>
      <c r="D4" s="54">
        <v>1000000.0</v>
      </c>
      <c r="E4" s="54">
        <v>1000000.0</v>
      </c>
      <c r="F4" s="54">
        <v>1000000.0</v>
      </c>
    </row>
    <row r="5">
      <c r="A5" s="55" t="s">
        <v>81</v>
      </c>
      <c r="B5" s="56">
        <v>865.0</v>
      </c>
      <c r="C5" s="56">
        <v>1000.0</v>
      </c>
      <c r="D5" s="57">
        <v>1000.0</v>
      </c>
      <c r="E5" s="56">
        <v>1100.0</v>
      </c>
      <c r="F5" s="56">
        <v>955.0</v>
      </c>
    </row>
    <row r="6">
      <c r="A6" s="58" t="s">
        <v>82</v>
      </c>
      <c r="B6" s="59">
        <v>0.84</v>
      </c>
      <c r="C6" s="59">
        <v>0.84</v>
      </c>
      <c r="D6" s="59">
        <v>0.75</v>
      </c>
      <c r="E6" s="59">
        <v>0.85</v>
      </c>
      <c r="F6" s="59">
        <v>0.71</v>
      </c>
    </row>
    <row r="7">
      <c r="A7" s="53" t="s">
        <v>83</v>
      </c>
      <c r="B7" s="60">
        <f t="shared" ref="B7:F7" si="1">(B4*B6)/B5</f>
        <v>971.0982659</v>
      </c>
      <c r="C7" s="60">
        <f t="shared" si="1"/>
        <v>840</v>
      </c>
      <c r="D7" s="60">
        <f t="shared" si="1"/>
        <v>750</v>
      </c>
      <c r="E7" s="60">
        <f t="shared" si="1"/>
        <v>772.7272727</v>
      </c>
      <c r="F7" s="60">
        <f t="shared" si="1"/>
        <v>743.4554974</v>
      </c>
    </row>
    <row r="8">
      <c r="A8" s="53" t="s">
        <v>84</v>
      </c>
      <c r="B8" s="61">
        <f>Baseline!B22</f>
        <v>2.368992384</v>
      </c>
      <c r="C8" s="61">
        <f>Baseline!C22</f>
        <v>2.931586251</v>
      </c>
      <c r="D8" s="61">
        <f>Baseline!D22</f>
        <v>2.81198484</v>
      </c>
      <c r="E8" s="61">
        <f>Baseline!E22</f>
        <v>2.794023834</v>
      </c>
      <c r="F8" s="61">
        <f>Baseline!F22</f>
        <v>2.961995955</v>
      </c>
    </row>
    <row r="9">
      <c r="A9" s="53" t="s">
        <v>85</v>
      </c>
      <c r="B9" s="62">
        <f t="shared" ref="B9:F9" si="2">B8*B5</f>
        <v>2049.178413</v>
      </c>
      <c r="C9" s="62">
        <f t="shared" si="2"/>
        <v>2931.586251</v>
      </c>
      <c r="D9" s="62">
        <f t="shared" si="2"/>
        <v>2811.98484</v>
      </c>
      <c r="E9" s="62">
        <f t="shared" si="2"/>
        <v>3073.426217</v>
      </c>
      <c r="F9" s="62">
        <f t="shared" si="2"/>
        <v>2828.706137</v>
      </c>
    </row>
    <row r="10">
      <c r="A10" s="53" t="s">
        <v>86</v>
      </c>
      <c r="B10" s="63">
        <f>Baseline!B4</f>
        <v>4.2</v>
      </c>
      <c r="C10" s="63">
        <f>Baseline!C4</f>
        <v>4.5</v>
      </c>
      <c r="D10" s="63">
        <f>Baseline!D4</f>
        <v>4.4</v>
      </c>
      <c r="E10" s="63">
        <f>Baseline!E4</f>
        <v>4.3</v>
      </c>
      <c r="F10" s="63">
        <f>Baseline!F4</f>
        <v>4.8</v>
      </c>
    </row>
    <row r="11">
      <c r="A11" s="53" t="s">
        <v>87</v>
      </c>
      <c r="B11" s="62">
        <f t="shared" ref="B11:F11" si="3">B9/B10</f>
        <v>487.899622</v>
      </c>
      <c r="C11" s="62">
        <f t="shared" si="3"/>
        <v>651.4636114</v>
      </c>
      <c r="D11" s="62">
        <f t="shared" si="3"/>
        <v>639.0874636</v>
      </c>
      <c r="E11" s="62">
        <f t="shared" si="3"/>
        <v>714.7502831</v>
      </c>
      <c r="F11" s="62">
        <f t="shared" si="3"/>
        <v>589.3137785</v>
      </c>
    </row>
    <row r="12">
      <c r="A12" s="64" t="s">
        <v>88</v>
      </c>
      <c r="B12" s="60">
        <f t="shared" ref="B12:F12" si="4">B10*B7</f>
        <v>4078.612717</v>
      </c>
      <c r="C12" s="60">
        <f t="shared" si="4"/>
        <v>3780</v>
      </c>
      <c r="D12" s="60">
        <f t="shared" si="4"/>
        <v>3300</v>
      </c>
      <c r="E12" s="60">
        <f t="shared" si="4"/>
        <v>3322.727273</v>
      </c>
      <c r="F12" s="60">
        <f t="shared" si="4"/>
        <v>3568.586387</v>
      </c>
    </row>
    <row r="13">
      <c r="A13" s="65" t="s">
        <v>89</v>
      </c>
      <c r="B13" s="66"/>
      <c r="C13" s="66"/>
      <c r="D13" s="66"/>
      <c r="E13" s="66"/>
      <c r="F13" s="66"/>
      <c r="G13" s="52"/>
      <c r="H13" s="52"/>
      <c r="I13" s="52"/>
      <c r="J13" s="52"/>
      <c r="K13" s="52"/>
      <c r="L13" s="52"/>
      <c r="M13" s="52"/>
      <c r="N13" s="52"/>
      <c r="O13" s="52"/>
      <c r="P13" s="52"/>
      <c r="Q13" s="52"/>
      <c r="R13" s="52"/>
      <c r="S13" s="52"/>
      <c r="T13" s="52"/>
      <c r="U13" s="52"/>
      <c r="V13" s="52"/>
      <c r="W13" s="52"/>
      <c r="X13" s="52"/>
      <c r="Y13" s="52"/>
      <c r="Z13" s="52"/>
    </row>
    <row r="14">
      <c r="A14" s="58" t="s">
        <v>90</v>
      </c>
      <c r="B14" s="62">
        <f>Baseline!B35</f>
        <v>651.9660358</v>
      </c>
      <c r="C14" s="62">
        <f>Baseline!C35</f>
        <v>469.9848552</v>
      </c>
      <c r="D14" s="62">
        <f>Baseline!D35</f>
        <v>449.7814891</v>
      </c>
      <c r="E14" s="62">
        <f>Baseline!E35</f>
        <v>532.6413912</v>
      </c>
      <c r="F14" s="62">
        <f>Baseline!F35</f>
        <v>625.5532756</v>
      </c>
    </row>
    <row r="15">
      <c r="A15" s="58" t="s">
        <v>91</v>
      </c>
      <c r="B15" s="67">
        <v>0.43</v>
      </c>
      <c r="C15" s="67">
        <f t="shared" ref="C15:F15" si="5">$B15</f>
        <v>0.43</v>
      </c>
      <c r="D15" s="67">
        <f t="shared" si="5"/>
        <v>0.43</v>
      </c>
      <c r="E15" s="67">
        <f t="shared" si="5"/>
        <v>0.43</v>
      </c>
      <c r="F15" s="67">
        <f t="shared" si="5"/>
        <v>0.43</v>
      </c>
    </row>
    <row r="16">
      <c r="A16" s="53" t="s">
        <v>92</v>
      </c>
      <c r="B16" s="67">
        <f t="shared" ref="B16:F16" si="6">1-B15</f>
        <v>0.57</v>
      </c>
      <c r="C16" s="67">
        <f t="shared" si="6"/>
        <v>0.57</v>
      </c>
      <c r="D16" s="67">
        <f t="shared" si="6"/>
        <v>0.57</v>
      </c>
      <c r="E16" s="67">
        <f t="shared" si="6"/>
        <v>0.57</v>
      </c>
      <c r="F16" s="67">
        <f t="shared" si="6"/>
        <v>0.57</v>
      </c>
    </row>
    <row r="17">
      <c r="A17" s="53" t="s">
        <v>93</v>
      </c>
      <c r="B17" s="68">
        <f t="shared" ref="B17:F17" si="7">B16*B11</f>
        <v>278.1027846</v>
      </c>
      <c r="C17" s="68">
        <f t="shared" si="7"/>
        <v>371.3342585</v>
      </c>
      <c r="D17" s="68">
        <f t="shared" si="7"/>
        <v>364.2798543</v>
      </c>
      <c r="E17" s="68">
        <f t="shared" si="7"/>
        <v>407.4076614</v>
      </c>
      <c r="F17" s="68">
        <f t="shared" si="7"/>
        <v>335.9088537</v>
      </c>
    </row>
    <row r="18">
      <c r="A18" s="53" t="s">
        <v>94</v>
      </c>
      <c r="B18" s="67">
        <f t="shared" ref="B18:F18" si="8">((B17+B14)/B14)-1</f>
        <v>0.4265602336</v>
      </c>
      <c r="C18" s="67">
        <f t="shared" si="8"/>
        <v>0.7900983497</v>
      </c>
      <c r="D18" s="67">
        <f t="shared" si="8"/>
        <v>0.8099040603</v>
      </c>
      <c r="E18" s="67">
        <f t="shared" si="8"/>
        <v>0.7648817161</v>
      </c>
      <c r="F18" s="67">
        <f t="shared" si="8"/>
        <v>0.5369788103</v>
      </c>
    </row>
    <row r="19">
      <c r="A19" s="69" t="s">
        <v>95</v>
      </c>
      <c r="B19" s="70">
        <f t="shared" ref="B19:F19" si="9">ln(1+B18)-ln(1)</f>
        <v>0.3552661155</v>
      </c>
      <c r="C19" s="70">
        <f t="shared" si="9"/>
        <v>0.5822705623</v>
      </c>
      <c r="D19" s="70">
        <f t="shared" si="9"/>
        <v>0.5932738385</v>
      </c>
      <c r="E19" s="70">
        <f t="shared" si="9"/>
        <v>0.5680836718</v>
      </c>
      <c r="F19" s="70">
        <f t="shared" si="9"/>
        <v>0.4298186781</v>
      </c>
    </row>
    <row r="20">
      <c r="A20" s="71" t="s">
        <v>96</v>
      </c>
      <c r="B20" s="72">
        <v>1.4426950408889634</v>
      </c>
      <c r="C20" s="72">
        <v>1.4426950408889634</v>
      </c>
      <c r="D20" s="72">
        <v>1.4426950408889634</v>
      </c>
      <c r="E20" s="72">
        <v>1.4426950408889634</v>
      </c>
      <c r="F20" s="72">
        <v>1.4426950408889634</v>
      </c>
    </row>
    <row r="21">
      <c r="A21" s="53" t="s">
        <v>97</v>
      </c>
      <c r="B21" s="73">
        <f t="shared" ref="B21:F21" si="10">B19*B20</f>
        <v>0.5125406631</v>
      </c>
      <c r="C21" s="73">
        <f t="shared" si="10"/>
        <v>0.8400388527</v>
      </c>
      <c r="D21" s="73">
        <f t="shared" si="10"/>
        <v>0.8559132247</v>
      </c>
      <c r="E21" s="73">
        <f t="shared" si="10"/>
        <v>0.8195714961</v>
      </c>
      <c r="F21" s="73">
        <f t="shared" si="10"/>
        <v>0.6200972754</v>
      </c>
    </row>
    <row r="22">
      <c r="A22" s="53" t="s">
        <v>98</v>
      </c>
      <c r="B22" s="74">
        <f t="shared" ref="B22:F22" si="11">B21*B12</f>
        <v>2090.454866</v>
      </c>
      <c r="C22" s="74">
        <f t="shared" si="11"/>
        <v>3175.346863</v>
      </c>
      <c r="D22" s="74">
        <f t="shared" si="11"/>
        <v>2824.513642</v>
      </c>
      <c r="E22" s="74">
        <f t="shared" si="11"/>
        <v>2723.212562</v>
      </c>
      <c r="F22" s="74">
        <f t="shared" si="11"/>
        <v>2212.870696</v>
      </c>
    </row>
    <row r="23">
      <c r="A23" s="53" t="s">
        <v>99</v>
      </c>
      <c r="B23" s="75">
        <f>Consumption!B23</f>
        <v>1.230452749</v>
      </c>
      <c r="C23" s="75">
        <f>Consumption!B37</f>
        <v>1.360583116</v>
      </c>
      <c r="D23" s="75">
        <f>Consumption!B50</f>
        <v>1.397676087</v>
      </c>
      <c r="E23" s="75">
        <f>Consumption!B63</f>
        <v>1.340476633</v>
      </c>
      <c r="F23" s="75">
        <f>Consumption!B76</f>
        <v>1.268022573</v>
      </c>
    </row>
    <row r="24">
      <c r="A24" s="53" t="s">
        <v>100</v>
      </c>
      <c r="B24" s="74">
        <f t="shared" ref="B24:F24" si="12">B22+(B22*B23)</f>
        <v>4662.660804</v>
      </c>
      <c r="C24" s="74">
        <f t="shared" si="12"/>
        <v>7495.670194</v>
      </c>
      <c r="D24" s="74">
        <f t="shared" si="12"/>
        <v>6772.268817</v>
      </c>
      <c r="E24" s="74">
        <f t="shared" si="12"/>
        <v>6373.615367</v>
      </c>
      <c r="F24" s="74">
        <f t="shared" si="12"/>
        <v>5018.840689</v>
      </c>
    </row>
    <row r="25">
      <c r="A25" s="53" t="s">
        <v>101</v>
      </c>
      <c r="B25" s="75">
        <v>0.9</v>
      </c>
      <c r="C25" s="75">
        <v>0.9</v>
      </c>
      <c r="D25" s="75">
        <v>0.9</v>
      </c>
      <c r="E25" s="75">
        <v>0.9</v>
      </c>
      <c r="F25" s="75">
        <v>0.9</v>
      </c>
    </row>
    <row r="26">
      <c r="A26" s="53" t="s">
        <v>102</v>
      </c>
      <c r="B26" s="74">
        <f t="shared" ref="B26:F26" si="13">B24*B25</f>
        <v>4196.394723</v>
      </c>
      <c r="C26" s="74">
        <f t="shared" si="13"/>
        <v>6746.103174</v>
      </c>
      <c r="D26" s="74">
        <f t="shared" si="13"/>
        <v>6095.041935</v>
      </c>
      <c r="E26" s="74">
        <f t="shared" si="13"/>
        <v>5736.253831</v>
      </c>
      <c r="F26" s="74">
        <f t="shared" si="13"/>
        <v>4516.95662</v>
      </c>
    </row>
    <row r="27">
      <c r="A27" s="53" t="s">
        <v>103</v>
      </c>
      <c r="B27" s="76">
        <f t="shared" ref="B27:F27" si="14">B26/B4</f>
        <v>0.004196394723</v>
      </c>
      <c r="C27" s="76">
        <f t="shared" si="14"/>
        <v>0.006746103174</v>
      </c>
      <c r="D27" s="76">
        <f t="shared" si="14"/>
        <v>0.006095041935</v>
      </c>
      <c r="E27" s="76">
        <f t="shared" si="14"/>
        <v>0.005736253831</v>
      </c>
      <c r="F27" s="76">
        <f t="shared" si="14"/>
        <v>0.00451695662</v>
      </c>
    </row>
    <row r="28">
      <c r="A28" s="53" t="s">
        <v>104</v>
      </c>
      <c r="B28" s="76">
        <v>0.003355</v>
      </c>
      <c r="C28" s="76">
        <v>0.003355</v>
      </c>
      <c r="D28" s="76">
        <v>0.003355</v>
      </c>
      <c r="E28" s="76">
        <v>0.003355</v>
      </c>
      <c r="F28" s="76">
        <v>0.003355</v>
      </c>
    </row>
    <row r="29">
      <c r="A29" s="53" t="s">
        <v>105</v>
      </c>
      <c r="B29" s="77">
        <f t="shared" ref="B29:F29" si="15">B27/B28</f>
        <v>1.250788293</v>
      </c>
      <c r="C29" s="77">
        <f t="shared" si="15"/>
        <v>2.010761006</v>
      </c>
      <c r="D29" s="77">
        <f t="shared" si="15"/>
        <v>1.816704005</v>
      </c>
      <c r="E29" s="77">
        <f t="shared" si="15"/>
        <v>1.709762692</v>
      </c>
      <c r="F29" s="77">
        <f t="shared" si="15"/>
        <v>1.346335803</v>
      </c>
    </row>
    <row r="30" ht="15.75" customHeight="1">
      <c r="A30" s="50" t="s">
        <v>106</v>
      </c>
      <c r="B30" s="78"/>
      <c r="C30" s="78"/>
      <c r="D30" s="78"/>
      <c r="E30" s="78"/>
      <c r="F30" s="78"/>
      <c r="G30" s="79"/>
      <c r="H30" s="52"/>
      <c r="I30" s="52"/>
      <c r="J30" s="52"/>
      <c r="K30" s="52"/>
      <c r="L30" s="52"/>
      <c r="M30" s="52"/>
      <c r="N30" s="52"/>
      <c r="O30" s="52"/>
      <c r="P30" s="52"/>
      <c r="Q30" s="52"/>
      <c r="R30" s="52"/>
      <c r="S30" s="52"/>
      <c r="T30" s="52"/>
      <c r="U30" s="52"/>
      <c r="V30" s="52"/>
      <c r="W30" s="52"/>
      <c r="X30" s="52"/>
      <c r="Y30" s="52"/>
      <c r="Z30" s="52"/>
    </row>
    <row r="31" ht="15.75" customHeight="1">
      <c r="A31" s="53" t="s">
        <v>107</v>
      </c>
      <c r="B31" s="63">
        <v>2.5</v>
      </c>
      <c r="C31" s="63">
        <v>2.5</v>
      </c>
      <c r="D31" s="63">
        <v>2.5</v>
      </c>
      <c r="E31" s="63">
        <v>2.5</v>
      </c>
      <c r="F31" s="63">
        <v>2.5</v>
      </c>
    </row>
    <row r="32" ht="15.75" customHeight="1">
      <c r="A32" s="53" t="s">
        <v>108</v>
      </c>
      <c r="B32" s="75">
        <f>GE!$B$7</f>
        <v>0.7032</v>
      </c>
      <c r="C32" s="75">
        <f>GE!$B$7</f>
        <v>0.7032</v>
      </c>
      <c r="D32" s="75">
        <f>GE!$B$7</f>
        <v>0.7032</v>
      </c>
      <c r="E32" s="75">
        <f>GE!$B$7</f>
        <v>0.7032</v>
      </c>
      <c r="F32" s="75">
        <f>GE!$B$7</f>
        <v>0.7032</v>
      </c>
    </row>
    <row r="33" ht="15.75" customHeight="1">
      <c r="A33" s="53" t="s">
        <v>109</v>
      </c>
      <c r="B33" s="75">
        <v>0.6</v>
      </c>
      <c r="C33" s="75">
        <v>0.6</v>
      </c>
      <c r="D33" s="75">
        <v>0.6</v>
      </c>
      <c r="E33" s="75">
        <v>0.6</v>
      </c>
      <c r="F33" s="75">
        <v>0.6</v>
      </c>
    </row>
    <row r="34" ht="15.75" customHeight="1">
      <c r="A34" s="53" t="s">
        <v>110</v>
      </c>
      <c r="B34" s="75">
        <v>0.8</v>
      </c>
      <c r="C34" s="75">
        <v>0.7</v>
      </c>
      <c r="D34" s="75">
        <v>0.7</v>
      </c>
      <c r="E34" s="75">
        <v>0.75</v>
      </c>
      <c r="F34" s="75">
        <v>0.75</v>
      </c>
    </row>
    <row r="35" ht="15.75" customHeight="1">
      <c r="A35" s="53" t="s">
        <v>111</v>
      </c>
      <c r="B35" s="75">
        <v>0.8</v>
      </c>
      <c r="C35" s="75">
        <v>0.8</v>
      </c>
      <c r="D35" s="75">
        <v>0.8</v>
      </c>
      <c r="E35" s="75">
        <v>0.8</v>
      </c>
      <c r="F35" s="75">
        <v>0.8</v>
      </c>
    </row>
    <row r="36">
      <c r="A36" s="53" t="s">
        <v>112</v>
      </c>
      <c r="B36" s="75">
        <f t="shared" ref="B36:F36" si="16">B31*B35*B32*B33*B34</f>
        <v>0.675072</v>
      </c>
      <c r="C36" s="75">
        <f t="shared" si="16"/>
        <v>0.590688</v>
      </c>
      <c r="D36" s="75">
        <f t="shared" si="16"/>
        <v>0.590688</v>
      </c>
      <c r="E36" s="75">
        <f t="shared" si="16"/>
        <v>0.63288</v>
      </c>
      <c r="F36" s="75">
        <f t="shared" si="16"/>
        <v>0.63288</v>
      </c>
    </row>
    <row r="37">
      <c r="A37" s="53" t="s">
        <v>113</v>
      </c>
      <c r="B37" s="60">
        <f t="shared" ref="B37:F37" si="17">B26*B36</f>
        <v>2832.868579</v>
      </c>
      <c r="C37" s="60">
        <f t="shared" si="17"/>
        <v>3984.842192</v>
      </c>
      <c r="D37" s="60">
        <f t="shared" si="17"/>
        <v>3600.268131</v>
      </c>
      <c r="E37" s="60">
        <f t="shared" si="17"/>
        <v>3630.360324</v>
      </c>
      <c r="F37" s="60">
        <f t="shared" si="17"/>
        <v>2858.691506</v>
      </c>
    </row>
    <row r="38">
      <c r="A38" s="53" t="s">
        <v>114</v>
      </c>
      <c r="B38" s="60">
        <f t="shared" ref="B38:F38" si="18">B26+B37</f>
        <v>7029.263302</v>
      </c>
      <c r="C38" s="60">
        <f t="shared" si="18"/>
        <v>10730.94537</v>
      </c>
      <c r="D38" s="60">
        <f t="shared" si="18"/>
        <v>9695.310066</v>
      </c>
      <c r="E38" s="60">
        <f t="shared" si="18"/>
        <v>9366.614155</v>
      </c>
      <c r="F38" s="60">
        <f t="shared" si="18"/>
        <v>7375.648126</v>
      </c>
    </row>
    <row r="39">
      <c r="A39" s="53" t="s">
        <v>115</v>
      </c>
      <c r="B39" s="80">
        <f t="shared" ref="B39:F39" si="19">(B38/B4)/B28</f>
        <v>2.095160448</v>
      </c>
      <c r="C39" s="80">
        <f t="shared" si="19"/>
        <v>3.198493403</v>
      </c>
      <c r="D39" s="80">
        <f t="shared" si="19"/>
        <v>2.88980926</v>
      </c>
      <c r="E39" s="80">
        <f t="shared" si="19"/>
        <v>2.791837304</v>
      </c>
      <c r="F39" s="80">
        <f t="shared" si="19"/>
        <v>2.198404807</v>
      </c>
    </row>
    <row r="40">
      <c r="A40" s="50" t="s">
        <v>116</v>
      </c>
      <c r="B40" s="66"/>
      <c r="C40" s="66"/>
      <c r="D40" s="66"/>
      <c r="E40" s="66"/>
      <c r="F40" s="66"/>
      <c r="G40" s="52"/>
      <c r="H40" s="52"/>
      <c r="I40" s="52"/>
      <c r="J40" s="52"/>
      <c r="K40" s="52"/>
      <c r="L40" s="52"/>
      <c r="M40" s="52"/>
      <c r="N40" s="52"/>
      <c r="O40" s="52"/>
      <c r="P40" s="52"/>
      <c r="Q40" s="52"/>
      <c r="R40" s="52"/>
      <c r="S40" s="52"/>
      <c r="T40" s="52"/>
      <c r="U40" s="52"/>
      <c r="V40" s="52"/>
      <c r="W40" s="52"/>
      <c r="X40" s="52"/>
      <c r="Y40" s="52"/>
      <c r="Z40" s="52"/>
    </row>
    <row r="41">
      <c r="A41" s="53" t="s">
        <v>117</v>
      </c>
      <c r="B41" s="81">
        <f>Equivalence!B20/Equivalence!B41</f>
        <v>0.1287912678</v>
      </c>
      <c r="C41" s="81">
        <f>Equivalence!C20/Equivalence!C41</f>
        <v>0.1512502679</v>
      </c>
      <c r="D41" s="81">
        <f>Equivalence!D20/Equivalence!D41</f>
        <v>0.1613260862</v>
      </c>
      <c r="E41" s="81">
        <f>Equivalence!E20/Equivalence!E41</f>
        <v>0.137321374</v>
      </c>
      <c r="F41" s="81">
        <f>Equivalence!F20/Equivalence!F41</f>
        <v>0.1665377343</v>
      </c>
    </row>
    <row r="42">
      <c r="A42" s="53" t="s">
        <v>118</v>
      </c>
      <c r="B42" s="82">
        <f t="shared" ref="B42:F42" si="20">B41*B12</f>
        <v>525.2897026</v>
      </c>
      <c r="C42" s="82">
        <f t="shared" si="20"/>
        <v>571.7260128</v>
      </c>
      <c r="D42" s="82">
        <f t="shared" si="20"/>
        <v>532.3760843</v>
      </c>
      <c r="E42" s="82">
        <f t="shared" si="20"/>
        <v>456.2814746</v>
      </c>
      <c r="F42" s="82">
        <f t="shared" si="20"/>
        <v>594.3042916</v>
      </c>
    </row>
    <row r="43">
      <c r="A43" s="53" t="s">
        <v>119</v>
      </c>
      <c r="B43" s="83">
        <f t="array" ref="B43">INDEX(UNICEF!$R$12:$R$211,MATCH(B$2,UNICEF!$B$12:$B$211,0))/1000</f>
        <v>0.0410984</v>
      </c>
      <c r="C43" s="83">
        <f t="array" ref="C43">INDEX(UNICEF!$R$12:$R$211,MATCH(C$2,UNICEF!$B$12:$B$211,0))/1000</f>
        <v>0.0400934</v>
      </c>
      <c r="D43" s="83">
        <f t="array" ref="D43">INDEX(UNICEF!$R$12:$R$211,MATCH(D$2,UNICEF!$B$12:$B$211,0))/1000</f>
        <v>0.0662141</v>
      </c>
      <c r="E43" s="83">
        <f t="array" ref="E43">INDEX(UNICEF!$R$12:$R$211,MATCH(E$2,UNICEF!$B$12:$B$211,0))/1000</f>
        <v>0.0380244</v>
      </c>
      <c r="F43" s="83">
        <f t="array" ref="F43">INDEX(UNICEF!$R$12:$R$211,MATCH(F$2,UNICEF!$B$12:$B$211,0))/1000</f>
        <v>0.0405296</v>
      </c>
    </row>
    <row r="44">
      <c r="A44" s="84" t="s">
        <v>120</v>
      </c>
      <c r="B44" s="85">
        <f t="shared" ref="B44:F44" si="21">57/1000</f>
        <v>0.057</v>
      </c>
      <c r="C44" s="85">
        <f t="shared" si="21"/>
        <v>0.057</v>
      </c>
      <c r="D44" s="85">
        <f t="shared" si="21"/>
        <v>0.057</v>
      </c>
      <c r="E44" s="85">
        <f t="shared" si="21"/>
        <v>0.057</v>
      </c>
      <c r="F44" s="85">
        <f t="shared" si="21"/>
        <v>0.057</v>
      </c>
    </row>
    <row r="45">
      <c r="A45" s="84" t="s">
        <v>121</v>
      </c>
      <c r="B45" s="83">
        <f t="array" ref="B45">INDEX(UNICEF!$K$12:$K$211,MATCH($B$2,UNICEF!$B$12:$B$211,0))/1000</f>
        <v>0.0462512</v>
      </c>
      <c r="C45" s="83">
        <f t="array" ref="C45">INDEX(UNICEF!$K$12:$K$211,MATCH($B$2,UNICEF!$B$12:$B$211,0))/1000</f>
        <v>0.0462512</v>
      </c>
      <c r="D45" s="83">
        <f t="array" ref="D45">INDEX(UNICEF!$K$12:$K$211,MATCH($B$2,UNICEF!$B$12:$B$211,0))/1000</f>
        <v>0.0462512</v>
      </c>
      <c r="E45" s="83">
        <f t="array" ref="E45">INDEX(UNICEF!$K$12:$K$211,MATCH($B$2,UNICEF!$B$12:$B$211,0))/1000</f>
        <v>0.0462512</v>
      </c>
      <c r="F45" s="83">
        <f t="array" ref="F45">INDEX(UNICEF!$K$12:$K$211,MATCH($B$2,UNICEF!$B$12:$B$211,0))/1000</f>
        <v>0.0462512</v>
      </c>
    </row>
    <row r="46">
      <c r="A46" s="84" t="s">
        <v>122</v>
      </c>
      <c r="B46" s="86">
        <f t="shared" ref="B46:F46" si="22">B44/B45</f>
        <v>1.232400457</v>
      </c>
      <c r="C46" s="86">
        <f t="shared" si="22"/>
        <v>1.232400457</v>
      </c>
      <c r="D46" s="86">
        <f t="shared" si="22"/>
        <v>1.232400457</v>
      </c>
      <c r="E46" s="86">
        <f t="shared" si="22"/>
        <v>1.232400457</v>
      </c>
      <c r="F46" s="86">
        <f t="shared" si="22"/>
        <v>1.232400457</v>
      </c>
    </row>
    <row r="47">
      <c r="A47" s="84" t="s">
        <v>123</v>
      </c>
      <c r="B47" s="85">
        <f t="shared" ref="B47:F47" si="23">B43*B46</f>
        <v>0.05064968693</v>
      </c>
      <c r="C47" s="85">
        <f t="shared" si="23"/>
        <v>0.04941112447</v>
      </c>
      <c r="D47" s="85">
        <f t="shared" si="23"/>
        <v>0.08160228708</v>
      </c>
      <c r="E47" s="85">
        <f t="shared" si="23"/>
        <v>0.04686128792</v>
      </c>
      <c r="F47" s="85">
        <f t="shared" si="23"/>
        <v>0.04994869755</v>
      </c>
    </row>
    <row r="48">
      <c r="A48" s="84" t="s">
        <v>124</v>
      </c>
      <c r="B48" s="86">
        <v>0.45</v>
      </c>
      <c r="C48" s="86">
        <v>0.45</v>
      </c>
      <c r="D48" s="86">
        <v>0.45</v>
      </c>
      <c r="E48" s="86">
        <v>0.45</v>
      </c>
      <c r="F48" s="86">
        <v>0.45</v>
      </c>
    </row>
    <row r="49">
      <c r="A49" s="53" t="s">
        <v>125</v>
      </c>
      <c r="B49" s="87">
        <v>0.5</v>
      </c>
      <c r="C49" s="87">
        <v>0.5</v>
      </c>
      <c r="D49" s="87">
        <v>0.5</v>
      </c>
      <c r="E49" s="87">
        <v>0.5</v>
      </c>
      <c r="F49" s="87">
        <v>0.5</v>
      </c>
    </row>
    <row r="50">
      <c r="A50" s="53" t="s">
        <v>126</v>
      </c>
      <c r="B50" s="87">
        <f t="shared" ref="B50:F50" si="24">B48*B49</f>
        <v>0.225</v>
      </c>
      <c r="C50" s="87">
        <f t="shared" si="24"/>
        <v>0.225</v>
      </c>
      <c r="D50" s="87">
        <f t="shared" si="24"/>
        <v>0.225</v>
      </c>
      <c r="E50" s="87">
        <f t="shared" si="24"/>
        <v>0.225</v>
      </c>
      <c r="F50" s="87">
        <f t="shared" si="24"/>
        <v>0.225</v>
      </c>
    </row>
    <row r="51">
      <c r="A51" s="53" t="s">
        <v>127</v>
      </c>
      <c r="B51" s="88">
        <f t="shared" ref="B51:F51" si="25">B42*B47*B50</f>
        <v>5.986295771</v>
      </c>
      <c r="C51" s="88">
        <f t="shared" si="25"/>
        <v>6.356165666</v>
      </c>
      <c r="D51" s="88">
        <f t="shared" si="25"/>
        <v>9.774698865</v>
      </c>
      <c r="E51" s="88">
        <f t="shared" si="25"/>
        <v>4.81093595</v>
      </c>
      <c r="F51" s="88">
        <f t="shared" si="25"/>
        <v>6.679063195</v>
      </c>
    </row>
    <row r="52">
      <c r="A52" s="53" t="s">
        <v>128</v>
      </c>
      <c r="B52" s="25">
        <v>116.0</v>
      </c>
      <c r="C52" s="25">
        <v>116.0</v>
      </c>
      <c r="D52" s="25">
        <v>116.0</v>
      </c>
      <c r="E52" s="25">
        <v>116.0</v>
      </c>
      <c r="F52" s="25">
        <v>116.0</v>
      </c>
    </row>
    <row r="53">
      <c r="A53" s="53" t="s">
        <v>129</v>
      </c>
      <c r="B53" s="89">
        <f t="shared" ref="B53:F53" si="26">B51*B52</f>
        <v>694.4103094</v>
      </c>
      <c r="C53" s="89">
        <f t="shared" si="26"/>
        <v>737.3152172</v>
      </c>
      <c r="D53" s="89">
        <f t="shared" si="26"/>
        <v>1133.865068</v>
      </c>
      <c r="E53" s="89">
        <f t="shared" si="26"/>
        <v>558.0685702</v>
      </c>
      <c r="F53" s="89">
        <f t="shared" si="26"/>
        <v>774.7713306</v>
      </c>
    </row>
    <row r="54">
      <c r="A54" s="53" t="s">
        <v>130</v>
      </c>
      <c r="B54" s="87">
        <v>0.5</v>
      </c>
      <c r="C54" s="87">
        <v>0.5</v>
      </c>
      <c r="D54" s="87">
        <v>0.5</v>
      </c>
      <c r="E54" s="87">
        <v>0.5</v>
      </c>
      <c r="F54" s="87">
        <v>0.5</v>
      </c>
    </row>
    <row r="55">
      <c r="A55" s="53" t="s">
        <v>131</v>
      </c>
      <c r="B55" s="90">
        <f t="shared" ref="B55:F55" si="27">B53+(B53*B54)</f>
        <v>1041.615464</v>
      </c>
      <c r="C55" s="90">
        <f t="shared" si="27"/>
        <v>1105.972826</v>
      </c>
      <c r="D55" s="90">
        <f t="shared" si="27"/>
        <v>1700.797602</v>
      </c>
      <c r="E55" s="90">
        <f t="shared" si="27"/>
        <v>837.1028552</v>
      </c>
      <c r="F55" s="90">
        <f t="shared" si="27"/>
        <v>1162.156996</v>
      </c>
    </row>
    <row r="56">
      <c r="A56" s="53" t="s">
        <v>132</v>
      </c>
      <c r="B56" s="90">
        <f t="shared" ref="B56:F56" si="28">B55+B38</f>
        <v>8070.878766</v>
      </c>
      <c r="C56" s="90">
        <f t="shared" si="28"/>
        <v>11836.91819</v>
      </c>
      <c r="D56" s="90">
        <f t="shared" si="28"/>
        <v>11396.10767</v>
      </c>
      <c r="E56" s="90">
        <f t="shared" si="28"/>
        <v>10203.71701</v>
      </c>
      <c r="F56" s="90">
        <f t="shared" si="28"/>
        <v>8537.805122</v>
      </c>
    </row>
    <row r="57">
      <c r="A57" s="53" t="s">
        <v>133</v>
      </c>
      <c r="B57" s="80">
        <f t="shared" ref="B57:F57" si="29">(B56/B4)/B28</f>
        <v>2.405627054</v>
      </c>
      <c r="C57" s="80">
        <f t="shared" si="29"/>
        <v>3.528142531</v>
      </c>
      <c r="D57" s="80">
        <f t="shared" si="29"/>
        <v>3.396753403</v>
      </c>
      <c r="E57" s="80">
        <f t="shared" si="29"/>
        <v>3.041346352</v>
      </c>
      <c r="F57" s="80">
        <f t="shared" si="29"/>
        <v>2.544800334</v>
      </c>
    </row>
    <row r="58">
      <c r="A58" s="50" t="s">
        <v>134</v>
      </c>
      <c r="B58" s="66"/>
      <c r="C58" s="66"/>
      <c r="D58" s="66"/>
      <c r="E58" s="66"/>
      <c r="F58" s="66"/>
      <c r="G58" s="52"/>
      <c r="H58" s="52"/>
      <c r="I58" s="52"/>
      <c r="J58" s="52"/>
      <c r="K58" s="52"/>
      <c r="L58" s="52"/>
      <c r="M58" s="52"/>
      <c r="N58" s="52"/>
      <c r="O58" s="52"/>
      <c r="P58" s="52"/>
      <c r="Q58" s="52"/>
      <c r="R58" s="52"/>
      <c r="S58" s="52"/>
      <c r="T58" s="52"/>
      <c r="U58" s="52"/>
      <c r="V58" s="52"/>
      <c r="W58" s="52"/>
      <c r="X58" s="52"/>
      <c r="Y58" s="52"/>
      <c r="Z58" s="52"/>
    </row>
    <row r="59">
      <c r="A59" s="53" t="s">
        <v>135</v>
      </c>
      <c r="B59" s="75">
        <v>0.1</v>
      </c>
      <c r="C59" s="75">
        <v>0.1</v>
      </c>
      <c r="D59" s="75">
        <v>0.1</v>
      </c>
      <c r="E59" s="75">
        <v>0.1</v>
      </c>
      <c r="F59" s="75">
        <v>0.1</v>
      </c>
    </row>
    <row r="60">
      <c r="A60" s="53" t="s">
        <v>136</v>
      </c>
      <c r="B60" s="81">
        <v>0.05</v>
      </c>
      <c r="C60" s="81">
        <v>0.05</v>
      </c>
      <c r="D60" s="81">
        <v>0.05</v>
      </c>
      <c r="E60" s="81">
        <v>0.05</v>
      </c>
      <c r="F60" s="81">
        <v>0.05</v>
      </c>
    </row>
    <row r="61">
      <c r="A61" s="53" t="s">
        <v>137</v>
      </c>
      <c r="B61" s="75">
        <v>0.02</v>
      </c>
      <c r="C61" s="75">
        <v>0.02</v>
      </c>
      <c r="D61" s="75">
        <v>0.02</v>
      </c>
      <c r="E61" s="75">
        <v>0.02</v>
      </c>
      <c r="F61" s="75">
        <v>0.02</v>
      </c>
    </row>
    <row r="62">
      <c r="A62" s="53" t="s">
        <v>138</v>
      </c>
      <c r="B62" s="75">
        <v>-0.02</v>
      </c>
      <c r="C62" s="75">
        <v>-0.02</v>
      </c>
      <c r="D62" s="75">
        <v>-0.02</v>
      </c>
      <c r="E62" s="75">
        <v>-0.02</v>
      </c>
      <c r="F62" s="75">
        <v>-0.02</v>
      </c>
    </row>
    <row r="63">
      <c r="A63" s="53" t="s">
        <v>139</v>
      </c>
      <c r="B63" s="75">
        <v>-0.05</v>
      </c>
      <c r="C63" s="75">
        <v>-0.05</v>
      </c>
      <c r="D63" s="75">
        <v>-0.05</v>
      </c>
      <c r="E63" s="75">
        <v>-0.05</v>
      </c>
      <c r="F63" s="75">
        <v>-0.05</v>
      </c>
    </row>
    <row r="64">
      <c r="A64" s="53" t="s">
        <v>140</v>
      </c>
      <c r="B64" s="75">
        <v>-0.02</v>
      </c>
      <c r="C64" s="75">
        <v>-0.02</v>
      </c>
      <c r="D64" s="75">
        <v>-0.02</v>
      </c>
      <c r="E64" s="75">
        <v>-0.02</v>
      </c>
      <c r="F64" s="75">
        <v>-0.02</v>
      </c>
    </row>
    <row r="65">
      <c r="A65" s="53" t="s">
        <v>141</v>
      </c>
      <c r="B65" s="81">
        <f t="shared" ref="B65:F65" si="30">1+SUM(B59:B64)</f>
        <v>1.08</v>
      </c>
      <c r="C65" s="81">
        <f t="shared" si="30"/>
        <v>1.08</v>
      </c>
      <c r="D65" s="81">
        <f t="shared" si="30"/>
        <v>1.08</v>
      </c>
      <c r="E65" s="81">
        <f t="shared" si="30"/>
        <v>1.08</v>
      </c>
      <c r="F65" s="81">
        <f t="shared" si="30"/>
        <v>1.08</v>
      </c>
    </row>
    <row r="66">
      <c r="A66" s="91" t="s">
        <v>142</v>
      </c>
      <c r="B66" s="92">
        <f t="shared" ref="B66:F66" si="31">B57*B65</f>
        <v>2.598077218</v>
      </c>
      <c r="C66" s="92">
        <f t="shared" si="31"/>
        <v>3.810393934</v>
      </c>
      <c r="D66" s="92">
        <f t="shared" si="31"/>
        <v>3.668493676</v>
      </c>
      <c r="E66" s="92">
        <f t="shared" si="31"/>
        <v>3.28465406</v>
      </c>
      <c r="F66" s="92">
        <f t="shared" si="31"/>
        <v>2.748384361</v>
      </c>
      <c r="G66" s="93"/>
      <c r="H66" s="93"/>
      <c r="I66" s="93"/>
      <c r="J66" s="93"/>
      <c r="K66" s="93"/>
      <c r="L66" s="93"/>
      <c r="M66" s="93"/>
      <c r="N66" s="93"/>
      <c r="O66" s="93"/>
      <c r="P66" s="93"/>
      <c r="Q66" s="93"/>
      <c r="R66" s="93"/>
      <c r="S66" s="93"/>
      <c r="T66" s="93"/>
      <c r="U66" s="93"/>
      <c r="V66" s="93"/>
      <c r="W66" s="93"/>
      <c r="X66" s="93"/>
      <c r="Y66" s="93"/>
      <c r="Z66" s="93"/>
    </row>
    <row r="67">
      <c r="A67" s="53" t="s">
        <v>143</v>
      </c>
      <c r="B67" s="94">
        <f>Flex!C8</f>
        <v>0.1624627722</v>
      </c>
      <c r="C67" s="94">
        <f>Flex!C5</f>
        <v>0.3325307982</v>
      </c>
      <c r="D67" s="94">
        <f>Flex!C13</f>
        <v>0.02189139438</v>
      </c>
      <c r="E67" s="94">
        <f>Flex!C4</f>
        <v>0.30206188</v>
      </c>
      <c r="F67" s="94">
        <f>Flex!C7</f>
        <v>0.1810531552</v>
      </c>
      <c r="G67" s="95"/>
    </row>
    <row r="68">
      <c r="A68" s="91" t="s">
        <v>144</v>
      </c>
      <c r="B68" s="92">
        <f>IFERROR(__xludf.DUMMYFUNCTION("AVERAGE.WEIGHTED(B66,B67,C66,C67,D66,D67,E66,E67,F66,F67)"),3.2592450461417592)</f>
        <v>3.259245046</v>
      </c>
      <c r="C68" s="96"/>
      <c r="D68" s="93"/>
      <c r="E68" s="93"/>
      <c r="F68" s="93"/>
      <c r="G68" s="93"/>
      <c r="H68" s="93"/>
      <c r="I68" s="93"/>
      <c r="J68" s="93"/>
      <c r="K68" s="93"/>
      <c r="L68" s="93"/>
      <c r="M68" s="93"/>
      <c r="N68" s="93"/>
      <c r="O68" s="93"/>
      <c r="P68" s="93"/>
      <c r="Q68" s="93"/>
      <c r="R68" s="93"/>
      <c r="S68" s="93"/>
      <c r="T68" s="93"/>
      <c r="U68" s="93"/>
      <c r="V68" s="93"/>
      <c r="W68" s="93"/>
      <c r="X68" s="93"/>
      <c r="Y68" s="93"/>
      <c r="Z68" s="93"/>
    </row>
    <row r="69">
      <c r="A69" s="97" t="s">
        <v>145</v>
      </c>
      <c r="B69" s="62">
        <f t="shared" ref="B69:F69" si="32">B4/(B51*(1+B54))</f>
        <v>111365.4741</v>
      </c>
      <c r="C69" s="62">
        <f t="shared" si="32"/>
        <v>104885.0363</v>
      </c>
      <c r="D69" s="62">
        <f t="shared" si="32"/>
        <v>68203.29464</v>
      </c>
      <c r="E69" s="62">
        <f t="shared" si="32"/>
        <v>138573.1745</v>
      </c>
      <c r="F69" s="62">
        <f t="shared" si="32"/>
        <v>99814.3972</v>
      </c>
    </row>
    <row r="70">
      <c r="B70" s="98"/>
      <c r="C70" s="98"/>
    </row>
    <row r="71">
      <c r="A71" s="50" t="s">
        <v>146</v>
      </c>
      <c r="B71" s="66"/>
      <c r="C71" s="66"/>
      <c r="D71" s="52"/>
      <c r="E71" s="52"/>
      <c r="F71" s="52"/>
      <c r="G71" s="52"/>
      <c r="H71" s="52"/>
      <c r="I71" s="52"/>
      <c r="J71" s="52"/>
      <c r="K71" s="52"/>
      <c r="L71" s="52"/>
      <c r="M71" s="52"/>
      <c r="N71" s="52"/>
      <c r="O71" s="52"/>
      <c r="P71" s="52"/>
      <c r="Q71" s="52"/>
      <c r="R71" s="52"/>
      <c r="S71" s="52"/>
      <c r="T71" s="52"/>
      <c r="U71" s="52"/>
      <c r="V71" s="52"/>
      <c r="W71" s="52"/>
      <c r="X71" s="52"/>
      <c r="Y71" s="52"/>
      <c r="Z71" s="52"/>
    </row>
    <row r="72">
      <c r="A72" s="97" t="s">
        <v>147</v>
      </c>
      <c r="B72" s="98"/>
      <c r="C72" s="98"/>
      <c r="D72" s="98"/>
      <c r="E72" s="98"/>
      <c r="F72" s="98"/>
    </row>
    <row r="73">
      <c r="A73" s="53" t="s">
        <v>148</v>
      </c>
      <c r="B73" s="60">
        <f t="shared" ref="B73:F73" si="33">B26</f>
        <v>4196.394723</v>
      </c>
      <c r="C73" s="60">
        <f t="shared" si="33"/>
        <v>6746.103174</v>
      </c>
      <c r="D73" s="60">
        <f t="shared" si="33"/>
        <v>6095.041935</v>
      </c>
      <c r="E73" s="60">
        <f t="shared" si="33"/>
        <v>5736.253831</v>
      </c>
      <c r="F73" s="60">
        <f t="shared" si="33"/>
        <v>4516.95662</v>
      </c>
    </row>
    <row r="74">
      <c r="A74" s="53" t="s">
        <v>149</v>
      </c>
      <c r="B74" s="60">
        <f t="shared" ref="B74:F74" si="34">B73*B36</f>
        <v>2832.868579</v>
      </c>
      <c r="C74" s="60">
        <f t="shared" si="34"/>
        <v>3984.842192</v>
      </c>
      <c r="D74" s="60">
        <f t="shared" si="34"/>
        <v>3600.268131</v>
      </c>
      <c r="E74" s="60">
        <f t="shared" si="34"/>
        <v>3630.360324</v>
      </c>
      <c r="F74" s="60">
        <f t="shared" si="34"/>
        <v>2858.691506</v>
      </c>
      <c r="G74" s="99"/>
      <c r="H74" s="99"/>
      <c r="I74" s="99"/>
      <c r="J74" s="99"/>
      <c r="K74" s="99"/>
    </row>
    <row r="75">
      <c r="A75" s="53" t="s">
        <v>116</v>
      </c>
      <c r="B75" s="60">
        <f t="shared" ref="B75:F75" si="35">B55</f>
        <v>1041.615464</v>
      </c>
      <c r="C75" s="60">
        <f t="shared" si="35"/>
        <v>1105.972826</v>
      </c>
      <c r="D75" s="60">
        <f t="shared" si="35"/>
        <v>1700.797602</v>
      </c>
      <c r="E75" s="60">
        <f t="shared" si="35"/>
        <v>837.1028552</v>
      </c>
      <c r="F75" s="60">
        <f t="shared" si="35"/>
        <v>1162.156996</v>
      </c>
    </row>
    <row r="76">
      <c r="A76" s="53" t="s">
        <v>150</v>
      </c>
      <c r="B76" s="82">
        <f t="shared" ref="B76:F76" si="36">SUM(B73:B75)*B65-SUM(B73:B75)</f>
        <v>645.6703013</v>
      </c>
      <c r="C76" s="82">
        <f t="shared" si="36"/>
        <v>946.9534554</v>
      </c>
      <c r="D76" s="82">
        <f t="shared" si="36"/>
        <v>911.6886135</v>
      </c>
      <c r="E76" s="82">
        <f t="shared" si="36"/>
        <v>816.2973608</v>
      </c>
      <c r="F76" s="82">
        <f t="shared" si="36"/>
        <v>683.0244098</v>
      </c>
    </row>
    <row r="77">
      <c r="A77" s="53" t="s">
        <v>151</v>
      </c>
      <c r="B77" s="74">
        <f t="shared" ref="B77:F77" si="37">SUM(B73:B76)</f>
        <v>8716.549067</v>
      </c>
      <c r="C77" s="74">
        <f t="shared" si="37"/>
        <v>12783.87165</v>
      </c>
      <c r="D77" s="74">
        <f t="shared" si="37"/>
        <v>12307.79628</v>
      </c>
      <c r="E77" s="74">
        <f t="shared" si="37"/>
        <v>11020.01437</v>
      </c>
      <c r="F77" s="74">
        <f t="shared" si="37"/>
        <v>9220.829532</v>
      </c>
    </row>
    <row r="78">
      <c r="A78" s="53" t="s">
        <v>152</v>
      </c>
      <c r="B78" s="76">
        <f t="shared" ref="B78:F78" si="38">B77/B4</f>
        <v>0.008716549067</v>
      </c>
      <c r="C78" s="76">
        <f t="shared" si="38"/>
        <v>0.01278387165</v>
      </c>
      <c r="D78" s="76">
        <f t="shared" si="38"/>
        <v>0.01230779628</v>
      </c>
      <c r="E78" s="76">
        <f t="shared" si="38"/>
        <v>0.01102001437</v>
      </c>
      <c r="F78" s="76">
        <f t="shared" si="38"/>
        <v>0.009220829532</v>
      </c>
    </row>
    <row r="79">
      <c r="A79" s="97" t="s">
        <v>153</v>
      </c>
      <c r="B79" s="100" t="s">
        <v>74</v>
      </c>
      <c r="C79" s="100" t="s">
        <v>75</v>
      </c>
      <c r="D79" s="100" t="s">
        <v>76</v>
      </c>
      <c r="E79" s="100" t="s">
        <v>77</v>
      </c>
      <c r="F79" s="100" t="s">
        <v>78</v>
      </c>
    </row>
    <row r="80">
      <c r="A80" s="53" t="s">
        <v>148</v>
      </c>
      <c r="B80" s="81">
        <f t="shared" ref="B80:F80" si="39">B73/SUM(B$73:B$76)</f>
        <v>0.4814284519</v>
      </c>
      <c r="C80" s="81">
        <f t="shared" si="39"/>
        <v>0.5277042324</v>
      </c>
      <c r="D80" s="81">
        <f t="shared" si="39"/>
        <v>0.4952179737</v>
      </c>
      <c r="E80" s="81">
        <f t="shared" si="39"/>
        <v>0.5205305218</v>
      </c>
      <c r="F80" s="81">
        <f t="shared" si="39"/>
        <v>0.4898644536</v>
      </c>
    </row>
    <row r="81">
      <c r="A81" s="53" t="s">
        <v>149</v>
      </c>
      <c r="B81" s="81">
        <f t="shared" ref="B81:F81" si="40">B74/SUM(B$73:B$76)</f>
        <v>0.3249988679</v>
      </c>
      <c r="C81" s="81">
        <f t="shared" si="40"/>
        <v>0.3117085576</v>
      </c>
      <c r="D81" s="81">
        <f t="shared" si="40"/>
        <v>0.2925193144</v>
      </c>
      <c r="E81" s="81">
        <f t="shared" si="40"/>
        <v>0.3294333566</v>
      </c>
      <c r="F81" s="81">
        <f t="shared" si="40"/>
        <v>0.3100254154</v>
      </c>
    </row>
    <row r="82">
      <c r="A82" s="53" t="s">
        <v>116</v>
      </c>
      <c r="B82" s="81">
        <f t="shared" ref="B82:F82" si="41">B75/SUM(B$73:B$76)</f>
        <v>0.1194986062</v>
      </c>
      <c r="C82" s="81">
        <f t="shared" si="41"/>
        <v>0.08651313595</v>
      </c>
      <c r="D82" s="81">
        <f t="shared" si="41"/>
        <v>0.1381886378</v>
      </c>
      <c r="E82" s="81">
        <f t="shared" si="41"/>
        <v>0.07596204751</v>
      </c>
      <c r="F82" s="81">
        <f t="shared" si="41"/>
        <v>0.1260360569</v>
      </c>
    </row>
    <row r="83">
      <c r="A83" s="53" t="s">
        <v>150</v>
      </c>
      <c r="B83" s="81">
        <f t="shared" ref="B83:F83" si="42">B76/SUM(B$73:B$76)</f>
        <v>0.07407407407</v>
      </c>
      <c r="C83" s="81">
        <f t="shared" si="42"/>
        <v>0.07407407407</v>
      </c>
      <c r="D83" s="81">
        <f t="shared" si="42"/>
        <v>0.07407407407</v>
      </c>
      <c r="E83" s="81">
        <f t="shared" si="42"/>
        <v>0.07407407407</v>
      </c>
      <c r="F83" s="81">
        <f t="shared" si="42"/>
        <v>0.07407407407</v>
      </c>
    </row>
    <row r="84">
      <c r="B84" s="98"/>
      <c r="C84" s="98"/>
    </row>
    <row r="85">
      <c r="B85" s="98"/>
      <c r="C85" s="98"/>
    </row>
    <row r="86">
      <c r="B86" s="98"/>
      <c r="C86" s="98"/>
    </row>
    <row r="87">
      <c r="B87" s="98"/>
      <c r="C87" s="98"/>
    </row>
    <row r="88">
      <c r="B88" s="98"/>
      <c r="C88" s="98"/>
    </row>
    <row r="89">
      <c r="B89" s="98"/>
      <c r="C89" s="98"/>
    </row>
    <row r="90">
      <c r="B90" s="98"/>
      <c r="C90" s="98"/>
    </row>
    <row r="91">
      <c r="B91" s="98"/>
      <c r="C91" s="98"/>
    </row>
    <row r="92">
      <c r="B92" s="98"/>
      <c r="C92" s="98"/>
    </row>
    <row r="93">
      <c r="B93" s="98"/>
      <c r="C93" s="98"/>
    </row>
    <row r="94">
      <c r="B94" s="98"/>
      <c r="C94" s="98"/>
    </row>
    <row r="95">
      <c r="B95" s="98"/>
      <c r="C95" s="98"/>
    </row>
    <row r="96">
      <c r="B96" s="98"/>
      <c r="C96" s="98"/>
    </row>
    <row r="97">
      <c r="B97" s="98"/>
      <c r="C97" s="98"/>
    </row>
    <row r="98">
      <c r="B98" s="98"/>
      <c r="C98" s="98"/>
    </row>
    <row r="99">
      <c r="B99" s="98"/>
      <c r="C99" s="98"/>
    </row>
    <row r="100">
      <c r="B100" s="98"/>
      <c r="C100" s="98"/>
    </row>
    <row r="101">
      <c r="B101" s="98"/>
      <c r="C101" s="98"/>
    </row>
    <row r="102">
      <c r="B102" s="98"/>
      <c r="C102" s="98"/>
    </row>
    <row r="103">
      <c r="B103" s="98"/>
      <c r="C103" s="98"/>
    </row>
    <row r="104">
      <c r="B104" s="98"/>
      <c r="C104" s="98"/>
    </row>
    <row r="105">
      <c r="B105" s="98"/>
      <c r="C105" s="98"/>
    </row>
    <row r="106">
      <c r="B106" s="98"/>
      <c r="C106" s="98"/>
    </row>
    <row r="107">
      <c r="B107" s="98"/>
      <c r="C107" s="98"/>
    </row>
    <row r="108">
      <c r="B108" s="98"/>
      <c r="C108" s="98"/>
    </row>
    <row r="109">
      <c r="B109" s="98"/>
      <c r="C109" s="98"/>
    </row>
    <row r="110">
      <c r="B110" s="98"/>
      <c r="C110" s="98"/>
    </row>
    <row r="111">
      <c r="B111" s="98"/>
      <c r="C111" s="98"/>
    </row>
    <row r="112">
      <c r="B112" s="98"/>
      <c r="C112" s="98"/>
    </row>
    <row r="113">
      <c r="B113" s="98"/>
      <c r="C113" s="98"/>
    </row>
    <row r="114">
      <c r="B114" s="98"/>
      <c r="C114" s="98"/>
    </row>
    <row r="115">
      <c r="B115" s="98"/>
      <c r="C115" s="98"/>
    </row>
    <row r="116">
      <c r="B116" s="98"/>
      <c r="C116" s="98"/>
    </row>
    <row r="117">
      <c r="B117" s="98"/>
      <c r="C117" s="98"/>
    </row>
    <row r="118">
      <c r="B118" s="98"/>
      <c r="C118" s="98"/>
    </row>
    <row r="119">
      <c r="B119" s="98"/>
      <c r="C119" s="98"/>
    </row>
    <row r="120">
      <c r="B120" s="98"/>
      <c r="C120" s="98"/>
    </row>
    <row r="121">
      <c r="B121" s="98"/>
      <c r="C121" s="98"/>
    </row>
    <row r="122">
      <c r="B122" s="98"/>
      <c r="C122" s="98"/>
    </row>
    <row r="123">
      <c r="B123" s="98"/>
      <c r="C123" s="98"/>
    </row>
    <row r="124">
      <c r="B124" s="98"/>
      <c r="C124" s="98"/>
    </row>
    <row r="125">
      <c r="B125" s="98"/>
      <c r="C125" s="98"/>
    </row>
    <row r="126">
      <c r="B126" s="98"/>
      <c r="C126" s="98"/>
    </row>
    <row r="127">
      <c r="B127" s="98"/>
      <c r="C127" s="98"/>
    </row>
    <row r="128">
      <c r="B128" s="98"/>
      <c r="C128" s="98"/>
    </row>
    <row r="129">
      <c r="B129" s="98"/>
      <c r="C129" s="98"/>
    </row>
    <row r="130">
      <c r="B130" s="98"/>
      <c r="C130" s="98"/>
    </row>
    <row r="131">
      <c r="B131" s="98"/>
      <c r="C131" s="98"/>
    </row>
    <row r="132">
      <c r="B132" s="98"/>
      <c r="C132" s="98"/>
    </row>
    <row r="133">
      <c r="B133" s="98"/>
      <c r="C133" s="98"/>
    </row>
    <row r="134">
      <c r="B134" s="98"/>
      <c r="C134" s="98"/>
    </row>
    <row r="135">
      <c r="B135" s="98"/>
      <c r="C135" s="98"/>
    </row>
    <row r="136">
      <c r="B136" s="98"/>
      <c r="C136" s="98"/>
    </row>
    <row r="137">
      <c r="B137" s="98"/>
      <c r="C137" s="98"/>
    </row>
    <row r="138">
      <c r="B138" s="98"/>
      <c r="C138" s="98"/>
    </row>
    <row r="139">
      <c r="B139" s="98"/>
      <c r="C139" s="98"/>
    </row>
    <row r="140">
      <c r="B140" s="98"/>
      <c r="C140" s="98"/>
    </row>
    <row r="141">
      <c r="B141" s="98"/>
      <c r="C141" s="98"/>
    </row>
    <row r="142">
      <c r="B142" s="98"/>
      <c r="C142" s="98"/>
    </row>
    <row r="143">
      <c r="B143" s="98"/>
      <c r="C143" s="98"/>
    </row>
    <row r="144">
      <c r="B144" s="98"/>
      <c r="C144" s="98"/>
    </row>
    <row r="145">
      <c r="B145" s="98"/>
      <c r="C145" s="98"/>
    </row>
    <row r="146">
      <c r="B146" s="98"/>
      <c r="C146" s="98"/>
    </row>
    <row r="147">
      <c r="B147" s="98"/>
      <c r="C147" s="98"/>
    </row>
    <row r="148">
      <c r="B148" s="98"/>
      <c r="C148" s="98"/>
    </row>
    <row r="149">
      <c r="B149" s="98"/>
      <c r="C149" s="98"/>
    </row>
    <row r="150">
      <c r="B150" s="98"/>
      <c r="C150" s="98"/>
    </row>
    <row r="151">
      <c r="B151" s="98"/>
      <c r="C151" s="98"/>
    </row>
    <row r="152">
      <c r="B152" s="98"/>
      <c r="C152" s="98"/>
    </row>
    <row r="153">
      <c r="B153" s="98"/>
      <c r="C153" s="98"/>
    </row>
    <row r="154">
      <c r="B154" s="98"/>
      <c r="C154" s="98"/>
    </row>
    <row r="155">
      <c r="B155" s="98"/>
      <c r="C155" s="98"/>
    </row>
    <row r="156">
      <c r="B156" s="98"/>
      <c r="C156" s="98"/>
    </row>
    <row r="157">
      <c r="B157" s="98"/>
      <c r="C157" s="98"/>
    </row>
    <row r="158">
      <c r="B158" s="98"/>
      <c r="C158" s="98"/>
    </row>
    <row r="159">
      <c r="B159" s="98"/>
      <c r="C159" s="98"/>
    </row>
    <row r="160">
      <c r="B160" s="98"/>
      <c r="C160" s="98"/>
    </row>
    <row r="161">
      <c r="B161" s="98"/>
      <c r="C161" s="98"/>
    </row>
    <row r="162">
      <c r="B162" s="98"/>
      <c r="C162" s="98"/>
    </row>
    <row r="163">
      <c r="B163" s="98"/>
      <c r="C163" s="98"/>
    </row>
    <row r="164">
      <c r="B164" s="98"/>
      <c r="C164" s="98"/>
    </row>
    <row r="165">
      <c r="B165" s="98"/>
      <c r="C165" s="98"/>
    </row>
    <row r="166">
      <c r="B166" s="98"/>
      <c r="C166" s="98"/>
    </row>
    <row r="167">
      <c r="B167" s="98"/>
      <c r="C167" s="98"/>
    </row>
    <row r="168">
      <c r="B168" s="98"/>
      <c r="C168" s="98"/>
    </row>
    <row r="169">
      <c r="B169" s="98"/>
      <c r="C169" s="98"/>
    </row>
    <row r="170">
      <c r="B170" s="98"/>
      <c r="C170" s="98"/>
    </row>
    <row r="171">
      <c r="B171" s="98"/>
      <c r="C171" s="98"/>
    </row>
    <row r="172">
      <c r="B172" s="98"/>
      <c r="C172" s="98"/>
    </row>
    <row r="173">
      <c r="B173" s="98"/>
      <c r="C173" s="98"/>
    </row>
    <row r="174">
      <c r="B174" s="98"/>
      <c r="C174" s="98"/>
    </row>
    <row r="175">
      <c r="B175" s="98"/>
      <c r="C175" s="98"/>
    </row>
    <row r="176">
      <c r="B176" s="98"/>
      <c r="C176" s="98"/>
    </row>
    <row r="177">
      <c r="B177" s="98"/>
      <c r="C177" s="98"/>
    </row>
    <row r="178">
      <c r="B178" s="98"/>
      <c r="C178" s="98"/>
    </row>
    <row r="179">
      <c r="B179" s="98"/>
      <c r="C179" s="98"/>
    </row>
    <row r="180">
      <c r="B180" s="98"/>
      <c r="C180" s="98"/>
    </row>
    <row r="181">
      <c r="B181" s="98"/>
      <c r="C181" s="98"/>
    </row>
    <row r="182">
      <c r="B182" s="98"/>
      <c r="C182" s="98"/>
    </row>
    <row r="183">
      <c r="B183" s="98"/>
      <c r="C183" s="98"/>
    </row>
    <row r="184">
      <c r="B184" s="98"/>
      <c r="C184" s="98"/>
    </row>
    <row r="185">
      <c r="B185" s="98"/>
      <c r="C185" s="98"/>
    </row>
    <row r="186">
      <c r="B186" s="98"/>
      <c r="C186" s="98"/>
    </row>
    <row r="187">
      <c r="B187" s="98"/>
      <c r="C187" s="98"/>
    </row>
    <row r="188">
      <c r="B188" s="98"/>
      <c r="C188" s="98"/>
    </row>
    <row r="189">
      <c r="B189" s="98"/>
      <c r="C189" s="98"/>
    </row>
    <row r="190">
      <c r="B190" s="98"/>
      <c r="C190" s="98"/>
    </row>
    <row r="191">
      <c r="B191" s="98"/>
      <c r="C191" s="98"/>
    </row>
    <row r="192">
      <c r="B192" s="98"/>
      <c r="C192" s="98"/>
    </row>
    <row r="193">
      <c r="B193" s="98"/>
      <c r="C193" s="98"/>
    </row>
    <row r="194">
      <c r="B194" s="98"/>
      <c r="C194" s="98"/>
    </row>
    <row r="195">
      <c r="B195" s="98"/>
      <c r="C195" s="98"/>
    </row>
    <row r="196">
      <c r="B196" s="98"/>
      <c r="C196" s="98"/>
    </row>
    <row r="197">
      <c r="B197" s="98"/>
      <c r="C197" s="98"/>
    </row>
    <row r="198">
      <c r="B198" s="98"/>
      <c r="C198" s="98"/>
    </row>
    <row r="199">
      <c r="B199" s="98"/>
      <c r="C199" s="98"/>
    </row>
    <row r="200">
      <c r="B200" s="98"/>
      <c r="C200" s="98"/>
    </row>
    <row r="201">
      <c r="B201" s="98"/>
      <c r="C201" s="98"/>
    </row>
    <row r="202">
      <c r="B202" s="98"/>
      <c r="C202" s="98"/>
    </row>
    <row r="203">
      <c r="B203" s="98"/>
      <c r="C203" s="98"/>
    </row>
    <row r="204">
      <c r="B204" s="98"/>
      <c r="C204" s="98"/>
    </row>
    <row r="205">
      <c r="B205" s="98"/>
      <c r="C205" s="98"/>
    </row>
    <row r="206">
      <c r="B206" s="98"/>
      <c r="C206" s="98"/>
    </row>
    <row r="207">
      <c r="B207" s="98"/>
      <c r="C207" s="98"/>
    </row>
    <row r="208">
      <c r="B208" s="98"/>
      <c r="C208" s="98"/>
    </row>
    <row r="209">
      <c r="B209" s="98"/>
      <c r="C209" s="98"/>
    </row>
    <row r="210">
      <c r="B210" s="98"/>
      <c r="C210" s="98"/>
    </row>
    <row r="211">
      <c r="B211" s="98"/>
      <c r="C211" s="98"/>
    </row>
    <row r="212">
      <c r="B212" s="98"/>
      <c r="C212" s="98"/>
    </row>
    <row r="213">
      <c r="B213" s="98"/>
      <c r="C213" s="98"/>
    </row>
    <row r="214">
      <c r="B214" s="98"/>
      <c r="C214" s="98"/>
    </row>
    <row r="215">
      <c r="B215" s="98"/>
      <c r="C215" s="98"/>
    </row>
    <row r="216">
      <c r="B216" s="98"/>
      <c r="C216" s="98"/>
    </row>
    <row r="217">
      <c r="B217" s="98"/>
      <c r="C217" s="98"/>
    </row>
    <row r="218">
      <c r="B218" s="98"/>
      <c r="C218" s="98"/>
    </row>
    <row r="219">
      <c r="B219" s="98"/>
      <c r="C219" s="98"/>
    </row>
    <row r="220">
      <c r="B220" s="98"/>
      <c r="C220" s="98"/>
    </row>
    <row r="221">
      <c r="B221" s="98"/>
      <c r="C221" s="98"/>
    </row>
    <row r="222">
      <c r="B222" s="98"/>
      <c r="C222" s="98"/>
    </row>
    <row r="223">
      <c r="B223" s="98"/>
      <c r="C223" s="98"/>
    </row>
    <row r="224">
      <c r="B224" s="98"/>
      <c r="C224" s="98"/>
    </row>
    <row r="225">
      <c r="B225" s="98"/>
      <c r="C225" s="98"/>
    </row>
    <row r="226">
      <c r="B226" s="98"/>
      <c r="C226" s="98"/>
    </row>
    <row r="227">
      <c r="B227" s="98"/>
      <c r="C227" s="98"/>
    </row>
    <row r="228">
      <c r="B228" s="98"/>
      <c r="C228" s="98"/>
    </row>
    <row r="229">
      <c r="B229" s="98"/>
      <c r="C229" s="98"/>
    </row>
    <row r="230">
      <c r="B230" s="98"/>
      <c r="C230" s="98"/>
    </row>
    <row r="231">
      <c r="B231" s="98"/>
      <c r="C231" s="98"/>
    </row>
    <row r="232">
      <c r="B232" s="98"/>
      <c r="C232" s="98"/>
    </row>
    <row r="233">
      <c r="B233" s="98"/>
      <c r="C233" s="98"/>
    </row>
    <row r="234">
      <c r="B234" s="98"/>
      <c r="C234" s="98"/>
    </row>
    <row r="235">
      <c r="B235" s="98"/>
      <c r="C235" s="98"/>
    </row>
    <row r="236">
      <c r="B236" s="98"/>
      <c r="C236" s="98"/>
    </row>
    <row r="237">
      <c r="B237" s="98"/>
      <c r="C237" s="98"/>
    </row>
    <row r="238">
      <c r="B238" s="98"/>
      <c r="C238" s="98"/>
    </row>
    <row r="239">
      <c r="B239" s="98"/>
      <c r="C239" s="98"/>
    </row>
    <row r="240">
      <c r="B240" s="98"/>
      <c r="C240" s="98"/>
    </row>
    <row r="241">
      <c r="B241" s="98"/>
      <c r="C241" s="98"/>
    </row>
    <row r="242">
      <c r="B242" s="98"/>
      <c r="C242" s="98"/>
    </row>
    <row r="243">
      <c r="B243" s="98"/>
      <c r="C243" s="98"/>
    </row>
    <row r="244">
      <c r="B244" s="98"/>
      <c r="C244" s="98"/>
    </row>
    <row r="245">
      <c r="B245" s="98"/>
      <c r="C245" s="98"/>
    </row>
    <row r="246">
      <c r="B246" s="98"/>
      <c r="C246" s="98"/>
    </row>
    <row r="247">
      <c r="B247" s="98"/>
      <c r="C247" s="98"/>
    </row>
    <row r="248">
      <c r="B248" s="98"/>
      <c r="C248" s="98"/>
    </row>
    <row r="249">
      <c r="B249" s="98"/>
      <c r="C249" s="98"/>
    </row>
    <row r="250">
      <c r="B250" s="98"/>
      <c r="C250" s="98"/>
    </row>
    <row r="251">
      <c r="B251" s="98"/>
      <c r="C251" s="98"/>
    </row>
    <row r="252">
      <c r="B252" s="98"/>
      <c r="C252" s="98"/>
    </row>
    <row r="253">
      <c r="B253" s="98"/>
      <c r="C253" s="98"/>
    </row>
    <row r="254">
      <c r="B254" s="98"/>
      <c r="C254" s="98"/>
    </row>
    <row r="255">
      <c r="B255" s="98"/>
      <c r="C255" s="98"/>
    </row>
    <row r="256">
      <c r="B256" s="98"/>
      <c r="C256" s="98"/>
    </row>
    <row r="257">
      <c r="B257" s="98"/>
      <c r="C257" s="98"/>
    </row>
    <row r="258">
      <c r="B258" s="98"/>
      <c r="C258" s="98"/>
    </row>
    <row r="259">
      <c r="B259" s="98"/>
      <c r="C259" s="98"/>
    </row>
    <row r="260">
      <c r="B260" s="98"/>
      <c r="C260" s="98"/>
    </row>
    <row r="261">
      <c r="B261" s="98"/>
      <c r="C261" s="98"/>
    </row>
    <row r="262">
      <c r="B262" s="98"/>
      <c r="C262" s="98"/>
    </row>
    <row r="263">
      <c r="B263" s="98"/>
      <c r="C263" s="98"/>
    </row>
    <row r="264">
      <c r="B264" s="98"/>
      <c r="C264" s="98"/>
    </row>
    <row r="265">
      <c r="B265" s="98"/>
      <c r="C265" s="98"/>
    </row>
    <row r="266">
      <c r="B266" s="98"/>
      <c r="C266" s="98"/>
    </row>
    <row r="267">
      <c r="B267" s="98"/>
      <c r="C267" s="98"/>
    </row>
    <row r="268">
      <c r="B268" s="98"/>
      <c r="C268" s="98"/>
    </row>
    <row r="269">
      <c r="B269" s="98"/>
      <c r="C269" s="98"/>
    </row>
    <row r="270">
      <c r="B270" s="98"/>
      <c r="C270" s="98"/>
    </row>
    <row r="271">
      <c r="B271" s="98"/>
      <c r="C271" s="98"/>
    </row>
    <row r="272">
      <c r="B272" s="98"/>
      <c r="C272" s="98"/>
    </row>
    <row r="273">
      <c r="B273" s="98"/>
      <c r="C273" s="98"/>
    </row>
    <row r="274">
      <c r="B274" s="98"/>
      <c r="C274" s="98"/>
    </row>
    <row r="275">
      <c r="B275" s="98"/>
      <c r="C275" s="98"/>
    </row>
    <row r="276">
      <c r="B276" s="98"/>
      <c r="C276" s="98"/>
    </row>
    <row r="277">
      <c r="B277" s="98"/>
      <c r="C277" s="98"/>
    </row>
    <row r="278">
      <c r="B278" s="98"/>
      <c r="C278" s="98"/>
    </row>
    <row r="279">
      <c r="B279" s="98"/>
      <c r="C279" s="98"/>
    </row>
    <row r="280">
      <c r="B280" s="98"/>
      <c r="C280" s="98"/>
    </row>
    <row r="281">
      <c r="B281" s="98"/>
      <c r="C281" s="98"/>
    </row>
    <row r="282">
      <c r="B282" s="98"/>
      <c r="C282" s="98"/>
    </row>
    <row r="283">
      <c r="B283" s="98"/>
      <c r="C283" s="98"/>
    </row>
    <row r="284">
      <c r="B284" s="98"/>
      <c r="C284" s="98"/>
    </row>
    <row r="285">
      <c r="B285" s="98"/>
      <c r="C285" s="98"/>
    </row>
    <row r="286">
      <c r="B286" s="98"/>
      <c r="C286" s="98"/>
    </row>
    <row r="287">
      <c r="B287" s="98"/>
      <c r="C287" s="98"/>
    </row>
    <row r="288">
      <c r="B288" s="98"/>
      <c r="C288" s="98"/>
    </row>
    <row r="289">
      <c r="B289" s="98"/>
      <c r="C289" s="98"/>
    </row>
    <row r="290">
      <c r="B290" s="98"/>
      <c r="C290" s="98"/>
    </row>
    <row r="291">
      <c r="B291" s="98"/>
      <c r="C291" s="98"/>
    </row>
    <row r="292">
      <c r="B292" s="98"/>
      <c r="C292" s="98"/>
    </row>
    <row r="293">
      <c r="B293" s="98"/>
      <c r="C293" s="98"/>
    </row>
    <row r="294">
      <c r="B294" s="98"/>
      <c r="C294" s="98"/>
    </row>
    <row r="295">
      <c r="B295" s="98"/>
      <c r="C295" s="98"/>
    </row>
    <row r="296">
      <c r="B296" s="98"/>
      <c r="C296" s="98"/>
    </row>
    <row r="297">
      <c r="B297" s="98"/>
      <c r="C297" s="98"/>
    </row>
    <row r="298">
      <c r="B298" s="98"/>
      <c r="C298" s="98"/>
    </row>
    <row r="299">
      <c r="B299" s="98"/>
      <c r="C299" s="98"/>
    </row>
    <row r="300">
      <c r="B300" s="98"/>
      <c r="C300" s="98"/>
    </row>
    <row r="301">
      <c r="B301" s="98"/>
      <c r="C301" s="98"/>
    </row>
    <row r="302">
      <c r="B302" s="98"/>
      <c r="C302" s="98"/>
    </row>
    <row r="303">
      <c r="B303" s="98"/>
      <c r="C303" s="98"/>
    </row>
    <row r="304">
      <c r="B304" s="98"/>
      <c r="C304" s="98"/>
    </row>
    <row r="305">
      <c r="B305" s="98"/>
      <c r="C305" s="98"/>
    </row>
    <row r="306">
      <c r="B306" s="98"/>
      <c r="C306" s="98"/>
    </row>
    <row r="307">
      <c r="B307" s="98"/>
      <c r="C307" s="98"/>
    </row>
    <row r="308">
      <c r="B308" s="98"/>
      <c r="C308" s="98"/>
    </row>
    <row r="309">
      <c r="B309" s="98"/>
      <c r="C309" s="98"/>
    </row>
    <row r="310">
      <c r="B310" s="98"/>
      <c r="C310" s="98"/>
    </row>
    <row r="311">
      <c r="B311" s="98"/>
      <c r="C311" s="98"/>
    </row>
    <row r="312">
      <c r="B312" s="98"/>
      <c r="C312" s="98"/>
    </row>
    <row r="313">
      <c r="B313" s="98"/>
      <c r="C313" s="98"/>
    </row>
    <row r="314">
      <c r="B314" s="98"/>
      <c r="C314" s="98"/>
    </row>
    <row r="315">
      <c r="B315" s="98"/>
      <c r="C315" s="98"/>
    </row>
    <row r="316">
      <c r="B316" s="98"/>
      <c r="C316" s="98"/>
    </row>
    <row r="317">
      <c r="B317" s="98"/>
      <c r="C317" s="98"/>
    </row>
    <row r="318">
      <c r="B318" s="98"/>
      <c r="C318" s="98"/>
    </row>
    <row r="319">
      <c r="B319" s="98"/>
      <c r="C319" s="98"/>
    </row>
    <row r="320">
      <c r="B320" s="98"/>
      <c r="C320" s="98"/>
    </row>
    <row r="321">
      <c r="B321" s="98"/>
      <c r="C321" s="98"/>
    </row>
    <row r="322">
      <c r="B322" s="98"/>
      <c r="C322" s="98"/>
    </row>
    <row r="323">
      <c r="B323" s="98"/>
      <c r="C323" s="98"/>
    </row>
    <row r="324">
      <c r="B324" s="98"/>
      <c r="C324" s="98"/>
    </row>
    <row r="325">
      <c r="B325" s="98"/>
      <c r="C325" s="98"/>
    </row>
    <row r="326">
      <c r="B326" s="98"/>
      <c r="C326" s="98"/>
    </row>
    <row r="327">
      <c r="B327" s="98"/>
      <c r="C327" s="98"/>
    </row>
    <row r="328">
      <c r="B328" s="98"/>
      <c r="C328" s="98"/>
    </row>
    <row r="329">
      <c r="B329" s="98"/>
      <c r="C329" s="98"/>
    </row>
    <row r="330">
      <c r="B330" s="98"/>
      <c r="C330" s="98"/>
    </row>
    <row r="331">
      <c r="B331" s="98"/>
      <c r="C331" s="98"/>
    </row>
    <row r="332">
      <c r="B332" s="98"/>
      <c r="C332" s="98"/>
    </row>
    <row r="333">
      <c r="B333" s="98"/>
      <c r="C333" s="98"/>
    </row>
    <row r="334">
      <c r="B334" s="98"/>
      <c r="C334" s="98"/>
    </row>
    <row r="335">
      <c r="B335" s="98"/>
      <c r="C335" s="98"/>
    </row>
    <row r="336">
      <c r="B336" s="98"/>
      <c r="C336" s="98"/>
    </row>
    <row r="337">
      <c r="B337" s="98"/>
      <c r="C337" s="98"/>
    </row>
    <row r="338">
      <c r="B338" s="98"/>
      <c r="C338" s="98"/>
    </row>
    <row r="339">
      <c r="B339" s="98"/>
      <c r="C339" s="98"/>
    </row>
    <row r="340">
      <c r="B340" s="98"/>
      <c r="C340" s="98"/>
    </row>
    <row r="341">
      <c r="B341" s="98"/>
      <c r="C341" s="98"/>
    </row>
    <row r="342">
      <c r="B342" s="98"/>
      <c r="C342" s="98"/>
    </row>
    <row r="343">
      <c r="B343" s="98"/>
      <c r="C343" s="98"/>
    </row>
    <row r="344">
      <c r="B344" s="98"/>
      <c r="C344" s="98"/>
    </row>
    <row r="345">
      <c r="B345" s="98"/>
      <c r="C345" s="98"/>
    </row>
    <row r="346">
      <c r="B346" s="98"/>
      <c r="C346" s="98"/>
    </row>
    <row r="347">
      <c r="B347" s="98"/>
      <c r="C347" s="98"/>
    </row>
    <row r="348">
      <c r="B348" s="98"/>
      <c r="C348" s="98"/>
    </row>
    <row r="349">
      <c r="B349" s="98"/>
      <c r="C349" s="98"/>
    </row>
    <row r="350">
      <c r="B350" s="98"/>
      <c r="C350" s="98"/>
    </row>
    <row r="351">
      <c r="B351" s="98"/>
      <c r="C351" s="98"/>
    </row>
    <row r="352">
      <c r="B352" s="98"/>
      <c r="C352" s="98"/>
    </row>
    <row r="353">
      <c r="B353" s="98"/>
      <c r="C353" s="98"/>
    </row>
    <row r="354">
      <c r="B354" s="98"/>
      <c r="C354" s="98"/>
    </row>
    <row r="355">
      <c r="B355" s="98"/>
      <c r="C355" s="98"/>
    </row>
    <row r="356">
      <c r="B356" s="98"/>
      <c r="C356" s="98"/>
    </row>
    <row r="357">
      <c r="B357" s="98"/>
      <c r="C357" s="98"/>
    </row>
    <row r="358">
      <c r="B358" s="98"/>
      <c r="C358" s="98"/>
    </row>
    <row r="359">
      <c r="B359" s="98"/>
      <c r="C359" s="98"/>
    </row>
    <row r="360">
      <c r="B360" s="98"/>
      <c r="C360" s="98"/>
    </row>
    <row r="361">
      <c r="B361" s="98"/>
      <c r="C361" s="98"/>
    </row>
    <row r="362">
      <c r="B362" s="98"/>
      <c r="C362" s="98"/>
    </row>
    <row r="363">
      <c r="B363" s="98"/>
      <c r="C363" s="98"/>
    </row>
    <row r="364">
      <c r="B364" s="98"/>
      <c r="C364" s="98"/>
    </row>
    <row r="365">
      <c r="B365" s="98"/>
      <c r="C365" s="98"/>
    </row>
    <row r="366">
      <c r="B366" s="98"/>
      <c r="C366" s="98"/>
    </row>
    <row r="367">
      <c r="B367" s="98"/>
      <c r="C367" s="98"/>
    </row>
    <row r="368">
      <c r="B368" s="98"/>
      <c r="C368" s="98"/>
    </row>
    <row r="369">
      <c r="B369" s="98"/>
      <c r="C369" s="98"/>
    </row>
    <row r="370">
      <c r="B370" s="98"/>
      <c r="C370" s="98"/>
    </row>
    <row r="371">
      <c r="B371" s="98"/>
      <c r="C371" s="98"/>
    </row>
    <row r="372">
      <c r="B372" s="98"/>
      <c r="C372" s="98"/>
    </row>
    <row r="373">
      <c r="B373" s="98"/>
      <c r="C373" s="98"/>
    </row>
    <row r="374">
      <c r="B374" s="98"/>
      <c r="C374" s="98"/>
    </row>
    <row r="375">
      <c r="B375" s="98"/>
      <c r="C375" s="98"/>
    </row>
    <row r="376">
      <c r="B376" s="98"/>
      <c r="C376" s="98"/>
    </row>
    <row r="377">
      <c r="B377" s="98"/>
      <c r="C377" s="98"/>
    </row>
    <row r="378">
      <c r="B378" s="98"/>
      <c r="C378" s="98"/>
    </row>
    <row r="379">
      <c r="B379" s="98"/>
      <c r="C379" s="98"/>
    </row>
    <row r="380">
      <c r="B380" s="98"/>
      <c r="C380" s="98"/>
    </row>
    <row r="381">
      <c r="B381" s="98"/>
      <c r="C381" s="98"/>
    </row>
    <row r="382">
      <c r="B382" s="98"/>
      <c r="C382" s="98"/>
    </row>
    <row r="383">
      <c r="B383" s="98"/>
      <c r="C383" s="98"/>
    </row>
    <row r="384">
      <c r="B384" s="98"/>
      <c r="C384" s="98"/>
    </row>
    <row r="385">
      <c r="B385" s="98"/>
      <c r="C385" s="98"/>
    </row>
    <row r="386">
      <c r="B386" s="98"/>
      <c r="C386" s="98"/>
    </row>
    <row r="387">
      <c r="B387" s="98"/>
      <c r="C387" s="98"/>
    </row>
    <row r="388">
      <c r="B388" s="98"/>
      <c r="C388" s="98"/>
    </row>
    <row r="389">
      <c r="B389" s="98"/>
      <c r="C389" s="98"/>
    </row>
    <row r="390">
      <c r="B390" s="98"/>
      <c r="C390" s="98"/>
    </row>
    <row r="391">
      <c r="B391" s="98"/>
      <c r="C391" s="98"/>
    </row>
    <row r="392">
      <c r="B392" s="98"/>
      <c r="C392" s="98"/>
    </row>
    <row r="393">
      <c r="B393" s="98"/>
      <c r="C393" s="98"/>
    </row>
    <row r="394">
      <c r="B394" s="98"/>
      <c r="C394" s="98"/>
    </row>
    <row r="395">
      <c r="B395" s="98"/>
      <c r="C395" s="98"/>
    </row>
    <row r="396">
      <c r="B396" s="98"/>
      <c r="C396" s="98"/>
    </row>
    <row r="397">
      <c r="B397" s="98"/>
      <c r="C397" s="98"/>
    </row>
    <row r="398">
      <c r="B398" s="98"/>
      <c r="C398" s="98"/>
    </row>
    <row r="399">
      <c r="B399" s="98"/>
      <c r="C399" s="98"/>
    </row>
    <row r="400">
      <c r="B400" s="98"/>
      <c r="C400" s="98"/>
    </row>
    <row r="401">
      <c r="B401" s="98"/>
      <c r="C401" s="98"/>
    </row>
    <row r="402">
      <c r="B402" s="98"/>
      <c r="C402" s="98"/>
    </row>
    <row r="403">
      <c r="B403" s="98"/>
      <c r="C403" s="98"/>
    </row>
    <row r="404">
      <c r="B404" s="98"/>
      <c r="C404" s="98"/>
    </row>
    <row r="405">
      <c r="B405" s="98"/>
      <c r="C405" s="98"/>
    </row>
    <row r="406">
      <c r="B406" s="98"/>
      <c r="C406" s="98"/>
    </row>
    <row r="407">
      <c r="B407" s="98"/>
      <c r="C407" s="98"/>
    </row>
    <row r="408">
      <c r="B408" s="98"/>
      <c r="C408" s="98"/>
    </row>
    <row r="409">
      <c r="B409" s="98"/>
      <c r="C409" s="98"/>
    </row>
    <row r="410">
      <c r="B410" s="98"/>
      <c r="C410" s="98"/>
    </row>
    <row r="411">
      <c r="B411" s="98"/>
      <c r="C411" s="98"/>
    </row>
    <row r="412">
      <c r="B412" s="98"/>
      <c r="C412" s="98"/>
    </row>
    <row r="413">
      <c r="B413" s="98"/>
      <c r="C413" s="98"/>
    </row>
    <row r="414">
      <c r="B414" s="98"/>
      <c r="C414" s="98"/>
    </row>
    <row r="415">
      <c r="B415" s="98"/>
      <c r="C415" s="98"/>
    </row>
    <row r="416">
      <c r="B416" s="98"/>
      <c r="C416" s="98"/>
    </row>
    <row r="417">
      <c r="B417" s="98"/>
      <c r="C417" s="98"/>
    </row>
    <row r="418">
      <c r="B418" s="98"/>
      <c r="C418" s="98"/>
    </row>
    <row r="419">
      <c r="B419" s="98"/>
      <c r="C419" s="98"/>
    </row>
    <row r="420">
      <c r="B420" s="98"/>
      <c r="C420" s="98"/>
    </row>
    <row r="421">
      <c r="B421" s="98"/>
      <c r="C421" s="98"/>
    </row>
    <row r="422">
      <c r="B422" s="98"/>
      <c r="C422" s="98"/>
    </row>
    <row r="423">
      <c r="B423" s="98"/>
      <c r="C423" s="98"/>
    </row>
    <row r="424">
      <c r="B424" s="98"/>
      <c r="C424" s="98"/>
    </row>
    <row r="425">
      <c r="B425" s="98"/>
      <c r="C425" s="98"/>
    </row>
    <row r="426">
      <c r="B426" s="98"/>
      <c r="C426" s="98"/>
    </row>
    <row r="427">
      <c r="B427" s="98"/>
      <c r="C427" s="98"/>
    </row>
    <row r="428">
      <c r="B428" s="98"/>
      <c r="C428" s="98"/>
    </row>
    <row r="429">
      <c r="B429" s="98"/>
      <c r="C429" s="98"/>
    </row>
    <row r="430">
      <c r="B430" s="98"/>
      <c r="C430" s="98"/>
    </row>
    <row r="431">
      <c r="B431" s="98"/>
      <c r="C431" s="98"/>
    </row>
    <row r="432">
      <c r="B432" s="98"/>
      <c r="C432" s="98"/>
    </row>
    <row r="433">
      <c r="B433" s="98"/>
      <c r="C433" s="98"/>
    </row>
    <row r="434">
      <c r="B434" s="98"/>
      <c r="C434" s="98"/>
    </row>
    <row r="435">
      <c r="B435" s="98"/>
      <c r="C435" s="98"/>
    </row>
    <row r="436">
      <c r="B436" s="98"/>
      <c r="C436" s="98"/>
    </row>
    <row r="437">
      <c r="B437" s="98"/>
      <c r="C437" s="98"/>
    </row>
    <row r="438">
      <c r="B438" s="98"/>
      <c r="C438" s="98"/>
    </row>
    <row r="439">
      <c r="B439" s="98"/>
      <c r="C439" s="98"/>
    </row>
    <row r="440">
      <c r="B440" s="98"/>
      <c r="C440" s="98"/>
    </row>
    <row r="441">
      <c r="B441" s="98"/>
      <c r="C441" s="98"/>
    </row>
    <row r="442">
      <c r="B442" s="98"/>
      <c r="C442" s="98"/>
    </row>
    <row r="443">
      <c r="B443" s="98"/>
      <c r="C443" s="98"/>
    </row>
    <row r="444">
      <c r="B444" s="98"/>
      <c r="C444" s="98"/>
    </row>
    <row r="445">
      <c r="B445" s="98"/>
      <c r="C445" s="98"/>
    </row>
    <row r="446">
      <c r="B446" s="98"/>
      <c r="C446" s="98"/>
    </row>
    <row r="447">
      <c r="B447" s="98"/>
      <c r="C447" s="98"/>
    </row>
    <row r="448">
      <c r="B448" s="98"/>
      <c r="C448" s="98"/>
    </row>
    <row r="449">
      <c r="B449" s="98"/>
      <c r="C449" s="98"/>
    </row>
    <row r="450">
      <c r="B450" s="98"/>
      <c r="C450" s="98"/>
    </row>
    <row r="451">
      <c r="B451" s="98"/>
      <c r="C451" s="98"/>
    </row>
    <row r="452">
      <c r="B452" s="98"/>
      <c r="C452" s="98"/>
    </row>
    <row r="453">
      <c r="B453" s="98"/>
      <c r="C453" s="98"/>
    </row>
    <row r="454">
      <c r="B454" s="98"/>
      <c r="C454" s="98"/>
    </row>
    <row r="455">
      <c r="B455" s="98"/>
      <c r="C455" s="98"/>
    </row>
    <row r="456">
      <c r="B456" s="98"/>
      <c r="C456" s="98"/>
    </row>
    <row r="457">
      <c r="B457" s="98"/>
      <c r="C457" s="98"/>
    </row>
    <row r="458">
      <c r="B458" s="98"/>
      <c r="C458" s="98"/>
    </row>
    <row r="459">
      <c r="B459" s="98"/>
      <c r="C459" s="98"/>
    </row>
    <row r="460">
      <c r="B460" s="98"/>
      <c r="C460" s="98"/>
    </row>
    <row r="461">
      <c r="B461" s="98"/>
      <c r="C461" s="98"/>
    </row>
    <row r="462">
      <c r="B462" s="98"/>
      <c r="C462" s="98"/>
    </row>
    <row r="463">
      <c r="B463" s="98"/>
      <c r="C463" s="98"/>
    </row>
    <row r="464">
      <c r="B464" s="98"/>
      <c r="C464" s="98"/>
    </row>
    <row r="465">
      <c r="B465" s="98"/>
      <c r="C465" s="98"/>
    </row>
    <row r="466">
      <c r="B466" s="98"/>
      <c r="C466" s="98"/>
    </row>
    <row r="467">
      <c r="B467" s="98"/>
      <c r="C467" s="98"/>
    </row>
    <row r="468">
      <c r="B468" s="98"/>
      <c r="C468" s="98"/>
    </row>
    <row r="469">
      <c r="B469" s="98"/>
      <c r="C469" s="98"/>
    </row>
    <row r="470">
      <c r="B470" s="98"/>
      <c r="C470" s="98"/>
    </row>
    <row r="471">
      <c r="B471" s="98"/>
      <c r="C471" s="98"/>
    </row>
    <row r="472">
      <c r="B472" s="98"/>
      <c r="C472" s="98"/>
    </row>
    <row r="473">
      <c r="B473" s="98"/>
      <c r="C473" s="98"/>
    </row>
    <row r="474">
      <c r="B474" s="98"/>
      <c r="C474" s="98"/>
    </row>
    <row r="475">
      <c r="B475" s="98"/>
      <c r="C475" s="98"/>
    </row>
    <row r="476">
      <c r="B476" s="98"/>
      <c r="C476" s="98"/>
    </row>
    <row r="477">
      <c r="B477" s="98"/>
      <c r="C477" s="98"/>
    </row>
    <row r="478">
      <c r="B478" s="98"/>
      <c r="C478" s="98"/>
    </row>
    <row r="479">
      <c r="B479" s="98"/>
      <c r="C479" s="98"/>
    </row>
    <row r="480">
      <c r="B480" s="98"/>
      <c r="C480" s="98"/>
    </row>
    <row r="481">
      <c r="B481" s="98"/>
      <c r="C481" s="98"/>
    </row>
    <row r="482">
      <c r="B482" s="98"/>
      <c r="C482" s="98"/>
    </row>
    <row r="483">
      <c r="B483" s="98"/>
      <c r="C483" s="98"/>
    </row>
    <row r="484">
      <c r="B484" s="98"/>
      <c r="C484" s="98"/>
    </row>
    <row r="485">
      <c r="B485" s="98"/>
      <c r="C485" s="98"/>
    </row>
    <row r="486">
      <c r="B486" s="98"/>
      <c r="C486" s="98"/>
    </row>
    <row r="487">
      <c r="B487" s="98"/>
      <c r="C487" s="98"/>
    </row>
    <row r="488">
      <c r="B488" s="98"/>
      <c r="C488" s="98"/>
    </row>
    <row r="489">
      <c r="B489" s="98"/>
      <c r="C489" s="98"/>
    </row>
    <row r="490">
      <c r="B490" s="98"/>
      <c r="C490" s="98"/>
    </row>
    <row r="491">
      <c r="B491" s="98"/>
      <c r="C491" s="98"/>
    </row>
    <row r="492">
      <c r="B492" s="98"/>
      <c r="C492" s="98"/>
    </row>
    <row r="493">
      <c r="B493" s="98"/>
      <c r="C493" s="98"/>
    </row>
    <row r="494">
      <c r="B494" s="98"/>
      <c r="C494" s="98"/>
    </row>
    <row r="495">
      <c r="B495" s="98"/>
      <c r="C495" s="98"/>
    </row>
    <row r="496">
      <c r="B496" s="98"/>
      <c r="C496" s="98"/>
    </row>
    <row r="497">
      <c r="B497" s="98"/>
      <c r="C497" s="98"/>
    </row>
    <row r="498">
      <c r="B498" s="98"/>
      <c r="C498" s="98"/>
    </row>
    <row r="499">
      <c r="B499" s="98"/>
      <c r="C499" s="98"/>
    </row>
    <row r="500">
      <c r="B500" s="98"/>
      <c r="C500" s="98"/>
    </row>
    <row r="501">
      <c r="B501" s="98"/>
      <c r="C501" s="98"/>
    </row>
    <row r="502">
      <c r="B502" s="98"/>
      <c r="C502" s="98"/>
    </row>
    <row r="503">
      <c r="B503" s="98"/>
      <c r="C503" s="98"/>
    </row>
    <row r="504">
      <c r="B504" s="98"/>
      <c r="C504" s="98"/>
    </row>
    <row r="505">
      <c r="B505" s="98"/>
      <c r="C505" s="98"/>
    </row>
    <row r="506">
      <c r="B506" s="98"/>
      <c r="C506" s="98"/>
    </row>
    <row r="507">
      <c r="B507" s="98"/>
      <c r="C507" s="98"/>
    </row>
    <row r="508">
      <c r="B508" s="98"/>
      <c r="C508" s="98"/>
    </row>
    <row r="509">
      <c r="B509" s="98"/>
      <c r="C509" s="98"/>
    </row>
    <row r="510">
      <c r="B510" s="98"/>
      <c r="C510" s="98"/>
    </row>
    <row r="511">
      <c r="B511" s="98"/>
      <c r="C511" s="98"/>
    </row>
    <row r="512">
      <c r="B512" s="98"/>
      <c r="C512" s="98"/>
    </row>
    <row r="513">
      <c r="B513" s="98"/>
      <c r="C513" s="98"/>
    </row>
    <row r="514">
      <c r="B514" s="98"/>
      <c r="C514" s="98"/>
    </row>
    <row r="515">
      <c r="B515" s="98"/>
      <c r="C515" s="98"/>
    </row>
    <row r="516">
      <c r="B516" s="98"/>
      <c r="C516" s="98"/>
    </row>
    <row r="517">
      <c r="B517" s="98"/>
      <c r="C517" s="98"/>
    </row>
    <row r="518">
      <c r="B518" s="98"/>
      <c r="C518" s="98"/>
    </row>
    <row r="519">
      <c r="B519" s="98"/>
      <c r="C519" s="98"/>
    </row>
    <row r="520">
      <c r="B520" s="98"/>
      <c r="C520" s="98"/>
    </row>
    <row r="521">
      <c r="B521" s="98"/>
      <c r="C521" s="98"/>
    </row>
    <row r="522">
      <c r="B522" s="98"/>
      <c r="C522" s="98"/>
    </row>
    <row r="523">
      <c r="B523" s="98"/>
      <c r="C523" s="98"/>
    </row>
    <row r="524">
      <c r="B524" s="98"/>
      <c r="C524" s="98"/>
    </row>
    <row r="525">
      <c r="B525" s="98"/>
      <c r="C525" s="98"/>
    </row>
    <row r="526">
      <c r="B526" s="98"/>
      <c r="C526" s="98"/>
    </row>
    <row r="527">
      <c r="B527" s="98"/>
      <c r="C527" s="98"/>
    </row>
    <row r="528">
      <c r="B528" s="98"/>
      <c r="C528" s="98"/>
    </row>
    <row r="529">
      <c r="B529" s="98"/>
      <c r="C529" s="98"/>
    </row>
    <row r="530">
      <c r="B530" s="98"/>
      <c r="C530" s="98"/>
    </row>
    <row r="531">
      <c r="B531" s="98"/>
      <c r="C531" s="98"/>
    </row>
    <row r="532">
      <c r="B532" s="98"/>
      <c r="C532" s="98"/>
    </row>
    <row r="533">
      <c r="B533" s="98"/>
      <c r="C533" s="98"/>
    </row>
    <row r="534">
      <c r="B534" s="98"/>
      <c r="C534" s="98"/>
    </row>
    <row r="535">
      <c r="B535" s="98"/>
      <c r="C535" s="98"/>
    </row>
    <row r="536">
      <c r="B536" s="98"/>
      <c r="C536" s="98"/>
    </row>
    <row r="537">
      <c r="B537" s="98"/>
      <c r="C537" s="98"/>
    </row>
    <row r="538">
      <c r="B538" s="98"/>
      <c r="C538" s="98"/>
    </row>
    <row r="539">
      <c r="B539" s="98"/>
      <c r="C539" s="98"/>
    </row>
    <row r="540">
      <c r="B540" s="98"/>
      <c r="C540" s="98"/>
    </row>
    <row r="541">
      <c r="B541" s="98"/>
      <c r="C541" s="98"/>
    </row>
    <row r="542">
      <c r="B542" s="98"/>
      <c r="C542" s="98"/>
    </row>
    <row r="543">
      <c r="B543" s="98"/>
      <c r="C543" s="98"/>
    </row>
    <row r="544">
      <c r="B544" s="98"/>
      <c r="C544" s="98"/>
    </row>
    <row r="545">
      <c r="B545" s="98"/>
      <c r="C545" s="98"/>
    </row>
    <row r="546">
      <c r="B546" s="98"/>
      <c r="C546" s="98"/>
    </row>
    <row r="547">
      <c r="B547" s="98"/>
      <c r="C547" s="98"/>
    </row>
    <row r="548">
      <c r="B548" s="98"/>
      <c r="C548" s="98"/>
    </row>
    <row r="549">
      <c r="B549" s="98"/>
      <c r="C549" s="98"/>
    </row>
    <row r="550">
      <c r="B550" s="98"/>
      <c r="C550" s="98"/>
    </row>
    <row r="551">
      <c r="B551" s="98"/>
      <c r="C551" s="98"/>
    </row>
    <row r="552">
      <c r="B552" s="98"/>
      <c r="C552" s="98"/>
    </row>
    <row r="553">
      <c r="B553" s="98"/>
      <c r="C553" s="98"/>
    </row>
    <row r="554">
      <c r="B554" s="98"/>
      <c r="C554" s="98"/>
    </row>
    <row r="555">
      <c r="B555" s="98"/>
      <c r="C555" s="98"/>
    </row>
    <row r="556">
      <c r="B556" s="98"/>
      <c r="C556" s="98"/>
    </row>
    <row r="557">
      <c r="B557" s="98"/>
      <c r="C557" s="98"/>
    </row>
    <row r="558">
      <c r="B558" s="98"/>
      <c r="C558" s="98"/>
    </row>
    <row r="559">
      <c r="B559" s="98"/>
      <c r="C559" s="98"/>
    </row>
    <row r="560">
      <c r="B560" s="98"/>
      <c r="C560" s="98"/>
    </row>
    <row r="561">
      <c r="B561" s="98"/>
      <c r="C561" s="98"/>
    </row>
    <row r="562">
      <c r="B562" s="98"/>
      <c r="C562" s="98"/>
    </row>
    <row r="563">
      <c r="B563" s="98"/>
      <c r="C563" s="98"/>
    </row>
    <row r="564">
      <c r="B564" s="98"/>
      <c r="C564" s="98"/>
    </row>
    <row r="565">
      <c r="B565" s="98"/>
      <c r="C565" s="98"/>
    </row>
    <row r="566">
      <c r="B566" s="98"/>
      <c r="C566" s="98"/>
    </row>
    <row r="567">
      <c r="B567" s="98"/>
      <c r="C567" s="98"/>
    </row>
    <row r="568">
      <c r="B568" s="98"/>
      <c r="C568" s="98"/>
    </row>
    <row r="569">
      <c r="B569" s="98"/>
      <c r="C569" s="98"/>
    </row>
    <row r="570">
      <c r="B570" s="98"/>
      <c r="C570" s="98"/>
    </row>
    <row r="571">
      <c r="B571" s="98"/>
      <c r="C571" s="98"/>
    </row>
    <row r="572">
      <c r="B572" s="98"/>
      <c r="C572" s="98"/>
    </row>
    <row r="573">
      <c r="B573" s="98"/>
      <c r="C573" s="98"/>
    </row>
    <row r="574">
      <c r="B574" s="98"/>
      <c r="C574" s="98"/>
    </row>
    <row r="575">
      <c r="B575" s="98"/>
      <c r="C575" s="98"/>
    </row>
    <row r="576">
      <c r="B576" s="98"/>
      <c r="C576" s="98"/>
    </row>
    <row r="577">
      <c r="B577" s="98"/>
      <c r="C577" s="98"/>
    </row>
    <row r="578">
      <c r="B578" s="98"/>
      <c r="C578" s="98"/>
    </row>
    <row r="579">
      <c r="B579" s="98"/>
      <c r="C579" s="98"/>
    </row>
    <row r="580">
      <c r="B580" s="98"/>
      <c r="C580" s="98"/>
    </row>
    <row r="581">
      <c r="B581" s="98"/>
      <c r="C581" s="98"/>
    </row>
    <row r="582">
      <c r="B582" s="98"/>
      <c r="C582" s="98"/>
    </row>
    <row r="583">
      <c r="B583" s="98"/>
      <c r="C583" s="98"/>
    </row>
    <row r="584">
      <c r="B584" s="98"/>
      <c r="C584" s="98"/>
    </row>
    <row r="585">
      <c r="B585" s="98"/>
      <c r="C585" s="98"/>
    </row>
    <row r="586">
      <c r="B586" s="98"/>
      <c r="C586" s="98"/>
    </row>
    <row r="587">
      <c r="B587" s="98"/>
      <c r="C587" s="98"/>
    </row>
    <row r="588">
      <c r="B588" s="98"/>
      <c r="C588" s="98"/>
    </row>
    <row r="589">
      <c r="B589" s="98"/>
      <c r="C589" s="98"/>
    </row>
    <row r="590">
      <c r="B590" s="98"/>
      <c r="C590" s="98"/>
    </row>
    <row r="591">
      <c r="B591" s="98"/>
      <c r="C591" s="98"/>
    </row>
    <row r="592">
      <c r="B592" s="98"/>
      <c r="C592" s="98"/>
    </row>
    <row r="593">
      <c r="B593" s="98"/>
      <c r="C593" s="98"/>
    </row>
    <row r="594">
      <c r="B594" s="98"/>
      <c r="C594" s="98"/>
    </row>
    <row r="595">
      <c r="B595" s="98"/>
      <c r="C595" s="98"/>
    </row>
    <row r="596">
      <c r="B596" s="98"/>
      <c r="C596" s="98"/>
    </row>
    <row r="597">
      <c r="B597" s="98"/>
      <c r="C597" s="98"/>
    </row>
    <row r="598">
      <c r="B598" s="98"/>
      <c r="C598" s="98"/>
    </row>
    <row r="599">
      <c r="B599" s="98"/>
      <c r="C599" s="98"/>
    </row>
    <row r="600">
      <c r="B600" s="98"/>
      <c r="C600" s="98"/>
    </row>
    <row r="601">
      <c r="B601" s="98"/>
      <c r="C601" s="98"/>
    </row>
    <row r="602">
      <c r="B602" s="98"/>
      <c r="C602" s="98"/>
    </row>
    <row r="603">
      <c r="B603" s="98"/>
      <c r="C603" s="98"/>
    </row>
    <row r="604">
      <c r="B604" s="98"/>
      <c r="C604" s="98"/>
    </row>
    <row r="605">
      <c r="B605" s="98"/>
      <c r="C605" s="98"/>
    </row>
    <row r="606">
      <c r="B606" s="98"/>
      <c r="C606" s="98"/>
    </row>
    <row r="607">
      <c r="B607" s="98"/>
      <c r="C607" s="98"/>
    </row>
    <row r="608">
      <c r="B608" s="98"/>
      <c r="C608" s="98"/>
    </row>
    <row r="609">
      <c r="B609" s="98"/>
      <c r="C609" s="98"/>
    </row>
    <row r="610">
      <c r="B610" s="98"/>
      <c r="C610" s="98"/>
    </row>
    <row r="611">
      <c r="B611" s="98"/>
      <c r="C611" s="98"/>
    </row>
    <row r="612">
      <c r="B612" s="98"/>
      <c r="C612" s="98"/>
    </row>
    <row r="613">
      <c r="B613" s="98"/>
      <c r="C613" s="98"/>
    </row>
    <row r="614">
      <c r="B614" s="98"/>
      <c r="C614" s="98"/>
    </row>
    <row r="615">
      <c r="B615" s="98"/>
      <c r="C615" s="98"/>
    </row>
    <row r="616">
      <c r="B616" s="98"/>
      <c r="C616" s="98"/>
    </row>
    <row r="617">
      <c r="B617" s="98"/>
      <c r="C617" s="98"/>
    </row>
    <row r="618">
      <c r="B618" s="98"/>
      <c r="C618" s="98"/>
    </row>
    <row r="619">
      <c r="B619" s="98"/>
      <c r="C619" s="98"/>
    </row>
    <row r="620">
      <c r="B620" s="98"/>
      <c r="C620" s="98"/>
    </row>
    <row r="621">
      <c r="B621" s="98"/>
      <c r="C621" s="98"/>
    </row>
    <row r="622">
      <c r="B622" s="98"/>
      <c r="C622" s="98"/>
    </row>
    <row r="623">
      <c r="B623" s="98"/>
      <c r="C623" s="98"/>
    </row>
    <row r="624">
      <c r="B624" s="98"/>
      <c r="C624" s="98"/>
    </row>
    <row r="625">
      <c r="B625" s="98"/>
      <c r="C625" s="98"/>
    </row>
    <row r="626">
      <c r="B626" s="98"/>
      <c r="C626" s="98"/>
    </row>
    <row r="627">
      <c r="B627" s="98"/>
      <c r="C627" s="98"/>
    </row>
    <row r="628">
      <c r="B628" s="98"/>
      <c r="C628" s="98"/>
    </row>
    <row r="629">
      <c r="B629" s="98"/>
      <c r="C629" s="98"/>
    </row>
    <row r="630">
      <c r="B630" s="98"/>
      <c r="C630" s="98"/>
    </row>
    <row r="631">
      <c r="B631" s="98"/>
      <c r="C631" s="98"/>
    </row>
    <row r="632">
      <c r="B632" s="98"/>
      <c r="C632" s="98"/>
    </row>
    <row r="633">
      <c r="B633" s="98"/>
      <c r="C633" s="98"/>
    </row>
    <row r="634">
      <c r="B634" s="98"/>
      <c r="C634" s="98"/>
    </row>
    <row r="635">
      <c r="B635" s="98"/>
      <c r="C635" s="98"/>
    </row>
    <row r="636">
      <c r="B636" s="98"/>
      <c r="C636" s="98"/>
    </row>
    <row r="637">
      <c r="B637" s="98"/>
      <c r="C637" s="98"/>
    </row>
    <row r="638">
      <c r="B638" s="98"/>
      <c r="C638" s="98"/>
    </row>
    <row r="639">
      <c r="B639" s="98"/>
      <c r="C639" s="98"/>
    </row>
    <row r="640">
      <c r="B640" s="98"/>
      <c r="C640" s="98"/>
    </row>
    <row r="641">
      <c r="B641" s="98"/>
      <c r="C641" s="98"/>
    </row>
    <row r="642">
      <c r="B642" s="98"/>
      <c r="C642" s="98"/>
    </row>
    <row r="643">
      <c r="B643" s="98"/>
      <c r="C643" s="98"/>
    </row>
    <row r="644">
      <c r="B644" s="98"/>
      <c r="C644" s="98"/>
    </row>
    <row r="645">
      <c r="B645" s="98"/>
      <c r="C645" s="98"/>
    </row>
    <row r="646">
      <c r="B646" s="98"/>
      <c r="C646" s="98"/>
    </row>
    <row r="647">
      <c r="B647" s="98"/>
      <c r="C647" s="98"/>
    </row>
    <row r="648">
      <c r="B648" s="98"/>
      <c r="C648" s="98"/>
    </row>
    <row r="649">
      <c r="B649" s="98"/>
      <c r="C649" s="98"/>
    </row>
    <row r="650">
      <c r="B650" s="98"/>
      <c r="C650" s="98"/>
    </row>
    <row r="651">
      <c r="B651" s="98"/>
      <c r="C651" s="98"/>
    </row>
    <row r="652">
      <c r="B652" s="98"/>
      <c r="C652" s="98"/>
    </row>
    <row r="653">
      <c r="B653" s="98"/>
      <c r="C653" s="98"/>
    </row>
    <row r="654">
      <c r="B654" s="98"/>
      <c r="C654" s="98"/>
    </row>
    <row r="655">
      <c r="B655" s="98"/>
      <c r="C655" s="98"/>
    </row>
    <row r="656">
      <c r="B656" s="98"/>
      <c r="C656" s="98"/>
    </row>
    <row r="657">
      <c r="B657" s="98"/>
      <c r="C657" s="98"/>
    </row>
    <row r="658">
      <c r="B658" s="98"/>
      <c r="C658" s="98"/>
    </row>
    <row r="659">
      <c r="B659" s="98"/>
      <c r="C659" s="98"/>
    </row>
    <row r="660">
      <c r="B660" s="98"/>
      <c r="C660" s="98"/>
    </row>
    <row r="661">
      <c r="B661" s="98"/>
      <c r="C661" s="98"/>
    </row>
    <row r="662">
      <c r="B662" s="98"/>
      <c r="C662" s="98"/>
    </row>
    <row r="663">
      <c r="B663" s="98"/>
      <c r="C663" s="98"/>
    </row>
    <row r="664">
      <c r="B664" s="98"/>
      <c r="C664" s="98"/>
    </row>
    <row r="665">
      <c r="B665" s="98"/>
      <c r="C665" s="98"/>
    </row>
    <row r="666">
      <c r="B666" s="98"/>
      <c r="C666" s="98"/>
    </row>
    <row r="667">
      <c r="B667" s="98"/>
      <c r="C667" s="98"/>
    </row>
    <row r="668">
      <c r="B668" s="98"/>
      <c r="C668" s="98"/>
    </row>
    <row r="669">
      <c r="B669" s="98"/>
      <c r="C669" s="98"/>
    </row>
    <row r="670">
      <c r="B670" s="98"/>
      <c r="C670" s="98"/>
    </row>
    <row r="671">
      <c r="B671" s="98"/>
      <c r="C671" s="98"/>
    </row>
    <row r="672">
      <c r="B672" s="98"/>
      <c r="C672" s="98"/>
    </row>
    <row r="673">
      <c r="B673" s="98"/>
      <c r="C673" s="98"/>
    </row>
    <row r="674">
      <c r="B674" s="98"/>
      <c r="C674" s="98"/>
    </row>
    <row r="675">
      <c r="B675" s="98"/>
      <c r="C675" s="98"/>
    </row>
    <row r="676">
      <c r="B676" s="98"/>
      <c r="C676" s="98"/>
    </row>
    <row r="677">
      <c r="B677" s="98"/>
      <c r="C677" s="98"/>
    </row>
    <row r="678">
      <c r="B678" s="98"/>
      <c r="C678" s="98"/>
    </row>
    <row r="679">
      <c r="B679" s="98"/>
      <c r="C679" s="98"/>
    </row>
    <row r="680">
      <c r="B680" s="98"/>
      <c r="C680" s="98"/>
    </row>
    <row r="681">
      <c r="B681" s="98"/>
      <c r="C681" s="98"/>
    </row>
    <row r="682">
      <c r="B682" s="98"/>
      <c r="C682" s="98"/>
    </row>
    <row r="683">
      <c r="B683" s="98"/>
      <c r="C683" s="98"/>
    </row>
    <row r="684">
      <c r="B684" s="98"/>
      <c r="C684" s="98"/>
    </row>
    <row r="685">
      <c r="B685" s="98"/>
      <c r="C685" s="98"/>
    </row>
    <row r="686">
      <c r="B686" s="98"/>
      <c r="C686" s="98"/>
    </row>
    <row r="687">
      <c r="B687" s="98"/>
      <c r="C687" s="98"/>
    </row>
    <row r="688">
      <c r="B688" s="98"/>
      <c r="C688" s="98"/>
    </row>
    <row r="689">
      <c r="B689" s="98"/>
      <c r="C689" s="98"/>
    </row>
    <row r="690">
      <c r="B690" s="98"/>
      <c r="C690" s="98"/>
    </row>
    <row r="691">
      <c r="B691" s="98"/>
      <c r="C691" s="98"/>
    </row>
    <row r="692">
      <c r="B692" s="98"/>
      <c r="C692" s="98"/>
    </row>
    <row r="693">
      <c r="B693" s="98"/>
      <c r="C693" s="98"/>
    </row>
    <row r="694">
      <c r="B694" s="98"/>
      <c r="C694" s="98"/>
    </row>
    <row r="695">
      <c r="B695" s="98"/>
      <c r="C695" s="98"/>
    </row>
    <row r="696">
      <c r="B696" s="98"/>
      <c r="C696" s="98"/>
    </row>
    <row r="697">
      <c r="B697" s="98"/>
      <c r="C697" s="98"/>
    </row>
    <row r="698">
      <c r="B698" s="98"/>
      <c r="C698" s="98"/>
    </row>
    <row r="699">
      <c r="B699" s="98"/>
      <c r="C699" s="98"/>
    </row>
    <row r="700">
      <c r="B700" s="98"/>
      <c r="C700" s="98"/>
    </row>
    <row r="701">
      <c r="B701" s="98"/>
      <c r="C701" s="98"/>
    </row>
    <row r="702">
      <c r="B702" s="98"/>
      <c r="C702" s="98"/>
    </row>
    <row r="703">
      <c r="B703" s="98"/>
      <c r="C703" s="98"/>
    </row>
    <row r="704">
      <c r="B704" s="98"/>
      <c r="C704" s="98"/>
    </row>
    <row r="705">
      <c r="B705" s="98"/>
      <c r="C705" s="98"/>
    </row>
    <row r="706">
      <c r="B706" s="98"/>
      <c r="C706" s="98"/>
    </row>
    <row r="707">
      <c r="B707" s="98"/>
      <c r="C707" s="98"/>
    </row>
    <row r="708">
      <c r="B708" s="98"/>
      <c r="C708" s="98"/>
    </row>
    <row r="709">
      <c r="B709" s="98"/>
      <c r="C709" s="98"/>
    </row>
    <row r="710">
      <c r="B710" s="98"/>
      <c r="C710" s="98"/>
    </row>
    <row r="711">
      <c r="B711" s="98"/>
      <c r="C711" s="98"/>
    </row>
    <row r="712">
      <c r="B712" s="98"/>
      <c r="C712" s="98"/>
    </row>
    <row r="713">
      <c r="B713" s="98"/>
      <c r="C713" s="98"/>
    </row>
    <row r="714">
      <c r="B714" s="98"/>
      <c r="C714" s="98"/>
    </row>
    <row r="715">
      <c r="B715" s="98"/>
      <c r="C715" s="98"/>
    </row>
    <row r="716">
      <c r="B716" s="98"/>
      <c r="C716" s="98"/>
    </row>
    <row r="717">
      <c r="B717" s="98"/>
      <c r="C717" s="98"/>
    </row>
    <row r="718">
      <c r="B718" s="98"/>
      <c r="C718" s="98"/>
    </row>
    <row r="719">
      <c r="B719" s="98"/>
      <c r="C719" s="98"/>
    </row>
    <row r="720">
      <c r="B720" s="98"/>
      <c r="C720" s="98"/>
    </row>
    <row r="721">
      <c r="B721" s="98"/>
      <c r="C721" s="98"/>
    </row>
    <row r="722">
      <c r="B722" s="98"/>
      <c r="C722" s="98"/>
    </row>
    <row r="723">
      <c r="B723" s="98"/>
      <c r="C723" s="98"/>
    </row>
    <row r="724">
      <c r="B724" s="98"/>
      <c r="C724" s="98"/>
    </row>
    <row r="725">
      <c r="B725" s="98"/>
      <c r="C725" s="98"/>
    </row>
    <row r="726">
      <c r="B726" s="98"/>
      <c r="C726" s="98"/>
    </row>
    <row r="727">
      <c r="B727" s="98"/>
      <c r="C727" s="98"/>
    </row>
    <row r="728">
      <c r="B728" s="98"/>
      <c r="C728" s="98"/>
    </row>
    <row r="729">
      <c r="B729" s="98"/>
      <c r="C729" s="98"/>
    </row>
    <row r="730">
      <c r="B730" s="98"/>
      <c r="C730" s="98"/>
    </row>
    <row r="731">
      <c r="B731" s="98"/>
      <c r="C731" s="98"/>
    </row>
    <row r="732">
      <c r="B732" s="98"/>
      <c r="C732" s="98"/>
    </row>
    <row r="733">
      <c r="B733" s="98"/>
      <c r="C733" s="98"/>
    </row>
    <row r="734">
      <c r="B734" s="98"/>
      <c r="C734" s="98"/>
    </row>
    <row r="735">
      <c r="B735" s="98"/>
      <c r="C735" s="98"/>
    </row>
    <row r="736">
      <c r="B736" s="98"/>
      <c r="C736" s="98"/>
    </row>
    <row r="737">
      <c r="B737" s="98"/>
      <c r="C737" s="98"/>
    </row>
    <row r="738">
      <c r="B738" s="98"/>
      <c r="C738" s="98"/>
    </row>
    <row r="739">
      <c r="B739" s="98"/>
      <c r="C739" s="98"/>
    </row>
    <row r="740">
      <c r="B740" s="98"/>
      <c r="C740" s="98"/>
    </row>
    <row r="741">
      <c r="B741" s="98"/>
      <c r="C741" s="98"/>
    </row>
    <row r="742">
      <c r="B742" s="98"/>
      <c r="C742" s="98"/>
    </row>
    <row r="743">
      <c r="B743" s="98"/>
      <c r="C743" s="98"/>
    </row>
    <row r="744">
      <c r="B744" s="98"/>
      <c r="C744" s="98"/>
    </row>
    <row r="745">
      <c r="B745" s="98"/>
      <c r="C745" s="98"/>
    </row>
    <row r="746">
      <c r="B746" s="98"/>
      <c r="C746" s="98"/>
    </row>
    <row r="747">
      <c r="B747" s="98"/>
      <c r="C747" s="98"/>
    </row>
    <row r="748">
      <c r="B748" s="98"/>
      <c r="C748" s="98"/>
    </row>
    <row r="749">
      <c r="B749" s="98"/>
      <c r="C749" s="98"/>
    </row>
    <row r="750">
      <c r="B750" s="98"/>
      <c r="C750" s="98"/>
    </row>
    <row r="751">
      <c r="B751" s="98"/>
      <c r="C751" s="98"/>
    </row>
    <row r="752">
      <c r="B752" s="98"/>
      <c r="C752" s="98"/>
    </row>
    <row r="753">
      <c r="B753" s="98"/>
      <c r="C753" s="98"/>
    </row>
    <row r="754">
      <c r="B754" s="98"/>
      <c r="C754" s="98"/>
    </row>
    <row r="755">
      <c r="B755" s="98"/>
      <c r="C755" s="98"/>
    </row>
    <row r="756">
      <c r="B756" s="98"/>
      <c r="C756" s="98"/>
    </row>
    <row r="757">
      <c r="B757" s="98"/>
      <c r="C757" s="98"/>
    </row>
    <row r="758">
      <c r="B758" s="98"/>
      <c r="C758" s="98"/>
    </row>
    <row r="759">
      <c r="B759" s="98"/>
      <c r="C759" s="98"/>
    </row>
    <row r="760">
      <c r="B760" s="98"/>
      <c r="C760" s="98"/>
    </row>
    <row r="761">
      <c r="B761" s="98"/>
      <c r="C761" s="98"/>
    </row>
    <row r="762">
      <c r="B762" s="98"/>
      <c r="C762" s="98"/>
    </row>
    <row r="763">
      <c r="B763" s="98"/>
      <c r="C763" s="98"/>
    </row>
    <row r="764">
      <c r="B764" s="98"/>
      <c r="C764" s="98"/>
    </row>
    <row r="765">
      <c r="B765" s="98"/>
      <c r="C765" s="98"/>
    </row>
    <row r="766">
      <c r="B766" s="98"/>
      <c r="C766" s="98"/>
    </row>
    <row r="767">
      <c r="B767" s="98"/>
      <c r="C767" s="98"/>
    </row>
    <row r="768">
      <c r="B768" s="98"/>
      <c r="C768" s="98"/>
    </row>
    <row r="769">
      <c r="B769" s="98"/>
      <c r="C769" s="98"/>
    </row>
    <row r="770">
      <c r="B770" s="98"/>
      <c r="C770" s="98"/>
    </row>
    <row r="771">
      <c r="B771" s="98"/>
      <c r="C771" s="98"/>
    </row>
    <row r="772">
      <c r="B772" s="98"/>
      <c r="C772" s="98"/>
    </row>
    <row r="773">
      <c r="B773" s="98"/>
      <c r="C773" s="98"/>
    </row>
    <row r="774">
      <c r="B774" s="98"/>
      <c r="C774" s="98"/>
    </row>
    <row r="775">
      <c r="B775" s="98"/>
      <c r="C775" s="98"/>
    </row>
    <row r="776">
      <c r="B776" s="98"/>
      <c r="C776" s="98"/>
    </row>
    <row r="777">
      <c r="B777" s="98"/>
      <c r="C777" s="98"/>
    </row>
    <row r="778">
      <c r="B778" s="98"/>
      <c r="C778" s="98"/>
    </row>
    <row r="779">
      <c r="B779" s="98"/>
      <c r="C779" s="98"/>
    </row>
    <row r="780">
      <c r="B780" s="98"/>
      <c r="C780" s="98"/>
    </row>
    <row r="781">
      <c r="B781" s="98"/>
      <c r="C781" s="98"/>
    </row>
    <row r="782">
      <c r="B782" s="98"/>
      <c r="C782" s="98"/>
    </row>
    <row r="783">
      <c r="B783" s="98"/>
      <c r="C783" s="98"/>
    </row>
    <row r="784">
      <c r="B784" s="98"/>
      <c r="C784" s="98"/>
    </row>
    <row r="785">
      <c r="B785" s="98"/>
      <c r="C785" s="98"/>
    </row>
    <row r="786">
      <c r="B786" s="98"/>
      <c r="C786" s="98"/>
    </row>
    <row r="787">
      <c r="B787" s="98"/>
      <c r="C787" s="98"/>
    </row>
    <row r="788">
      <c r="B788" s="98"/>
      <c r="C788" s="98"/>
    </row>
    <row r="789">
      <c r="B789" s="98"/>
      <c r="C789" s="98"/>
    </row>
    <row r="790">
      <c r="B790" s="98"/>
      <c r="C790" s="98"/>
    </row>
    <row r="791">
      <c r="B791" s="98"/>
      <c r="C791" s="98"/>
    </row>
    <row r="792">
      <c r="B792" s="98"/>
      <c r="C792" s="98"/>
    </row>
    <row r="793">
      <c r="B793" s="98"/>
      <c r="C793" s="98"/>
    </row>
    <row r="794">
      <c r="B794" s="98"/>
      <c r="C794" s="98"/>
    </row>
    <row r="795">
      <c r="B795" s="98"/>
      <c r="C795" s="98"/>
    </row>
    <row r="796">
      <c r="B796" s="98"/>
      <c r="C796" s="98"/>
    </row>
    <row r="797">
      <c r="B797" s="98"/>
      <c r="C797" s="98"/>
    </row>
    <row r="798">
      <c r="B798" s="98"/>
      <c r="C798" s="98"/>
    </row>
    <row r="799">
      <c r="B799" s="98"/>
      <c r="C799" s="98"/>
    </row>
    <row r="800">
      <c r="B800" s="98"/>
      <c r="C800" s="98"/>
    </row>
    <row r="801">
      <c r="B801" s="98"/>
      <c r="C801" s="98"/>
    </row>
    <row r="802">
      <c r="B802" s="98"/>
      <c r="C802" s="98"/>
    </row>
    <row r="803">
      <c r="B803" s="98"/>
      <c r="C803" s="98"/>
    </row>
    <row r="804">
      <c r="B804" s="98"/>
      <c r="C804" s="98"/>
    </row>
    <row r="805">
      <c r="B805" s="98"/>
      <c r="C805" s="98"/>
    </row>
    <row r="806">
      <c r="B806" s="98"/>
      <c r="C806" s="98"/>
    </row>
    <row r="807">
      <c r="B807" s="98"/>
      <c r="C807" s="98"/>
    </row>
    <row r="808">
      <c r="B808" s="98"/>
      <c r="C808" s="98"/>
    </row>
    <row r="809">
      <c r="B809" s="98"/>
      <c r="C809" s="98"/>
    </row>
    <row r="810">
      <c r="B810" s="98"/>
      <c r="C810" s="98"/>
    </row>
    <row r="811">
      <c r="B811" s="98"/>
      <c r="C811" s="98"/>
    </row>
    <row r="812">
      <c r="B812" s="98"/>
      <c r="C812" s="98"/>
    </row>
    <row r="813">
      <c r="B813" s="98"/>
      <c r="C813" s="98"/>
    </row>
    <row r="814">
      <c r="B814" s="98"/>
      <c r="C814" s="98"/>
    </row>
    <row r="815">
      <c r="B815" s="98"/>
      <c r="C815" s="98"/>
    </row>
    <row r="816">
      <c r="B816" s="98"/>
      <c r="C816" s="98"/>
    </row>
    <row r="817">
      <c r="B817" s="98"/>
      <c r="C817" s="98"/>
    </row>
    <row r="818">
      <c r="B818" s="98"/>
      <c r="C818" s="98"/>
    </row>
    <row r="819">
      <c r="B819" s="98"/>
      <c r="C819" s="98"/>
    </row>
    <row r="820">
      <c r="B820" s="98"/>
      <c r="C820" s="98"/>
    </row>
    <row r="821">
      <c r="B821" s="98"/>
      <c r="C821" s="98"/>
    </row>
    <row r="822">
      <c r="B822" s="98"/>
      <c r="C822" s="98"/>
    </row>
    <row r="823">
      <c r="B823" s="98"/>
      <c r="C823" s="98"/>
    </row>
    <row r="824">
      <c r="B824" s="98"/>
      <c r="C824" s="98"/>
    </row>
    <row r="825">
      <c r="B825" s="98"/>
      <c r="C825" s="98"/>
    </row>
    <row r="826">
      <c r="B826" s="98"/>
      <c r="C826" s="98"/>
    </row>
    <row r="827">
      <c r="B827" s="98"/>
      <c r="C827" s="98"/>
    </row>
    <row r="828">
      <c r="B828" s="98"/>
      <c r="C828" s="98"/>
    </row>
    <row r="829">
      <c r="B829" s="98"/>
      <c r="C829" s="98"/>
    </row>
    <row r="830">
      <c r="B830" s="98"/>
      <c r="C830" s="98"/>
    </row>
    <row r="831">
      <c r="B831" s="98"/>
      <c r="C831" s="98"/>
    </row>
    <row r="832">
      <c r="B832" s="98"/>
      <c r="C832" s="98"/>
    </row>
    <row r="833">
      <c r="B833" s="98"/>
      <c r="C833" s="98"/>
    </row>
    <row r="834">
      <c r="B834" s="98"/>
      <c r="C834" s="98"/>
    </row>
    <row r="835">
      <c r="B835" s="98"/>
      <c r="C835" s="98"/>
    </row>
    <row r="836">
      <c r="B836" s="98"/>
      <c r="C836" s="98"/>
    </row>
    <row r="837">
      <c r="B837" s="98"/>
      <c r="C837" s="98"/>
    </row>
    <row r="838">
      <c r="B838" s="98"/>
      <c r="C838" s="98"/>
    </row>
    <row r="839">
      <c r="B839" s="98"/>
      <c r="C839" s="98"/>
    </row>
    <row r="840">
      <c r="B840" s="98"/>
      <c r="C840" s="98"/>
    </row>
    <row r="841">
      <c r="B841" s="98"/>
      <c r="C841" s="98"/>
    </row>
    <row r="842">
      <c r="B842" s="98"/>
      <c r="C842" s="98"/>
    </row>
    <row r="843">
      <c r="B843" s="98"/>
      <c r="C843" s="98"/>
    </row>
    <row r="844">
      <c r="B844" s="98"/>
      <c r="C844" s="98"/>
    </row>
    <row r="845">
      <c r="B845" s="98"/>
      <c r="C845" s="98"/>
    </row>
    <row r="846">
      <c r="B846" s="98"/>
      <c r="C846" s="98"/>
    </row>
    <row r="847">
      <c r="B847" s="98"/>
      <c r="C847" s="98"/>
    </row>
    <row r="848">
      <c r="B848" s="98"/>
      <c r="C848" s="98"/>
    </row>
    <row r="849">
      <c r="B849" s="98"/>
      <c r="C849" s="98"/>
    </row>
    <row r="850">
      <c r="B850" s="98"/>
      <c r="C850" s="98"/>
    </row>
    <row r="851">
      <c r="B851" s="98"/>
      <c r="C851" s="98"/>
    </row>
    <row r="852">
      <c r="B852" s="98"/>
      <c r="C852" s="98"/>
    </row>
    <row r="853">
      <c r="B853" s="98"/>
      <c r="C853" s="98"/>
    </row>
    <row r="854">
      <c r="B854" s="98"/>
      <c r="C854" s="98"/>
    </row>
    <row r="855">
      <c r="B855" s="98"/>
      <c r="C855" s="98"/>
    </row>
    <row r="856">
      <c r="B856" s="98"/>
      <c r="C856" s="98"/>
    </row>
    <row r="857">
      <c r="B857" s="98"/>
      <c r="C857" s="98"/>
    </row>
    <row r="858">
      <c r="B858" s="98"/>
      <c r="C858" s="98"/>
    </row>
    <row r="859">
      <c r="B859" s="98"/>
      <c r="C859" s="98"/>
    </row>
    <row r="860">
      <c r="B860" s="98"/>
      <c r="C860" s="98"/>
    </row>
    <row r="861">
      <c r="B861" s="98"/>
      <c r="C861" s="98"/>
    </row>
    <row r="862">
      <c r="B862" s="98"/>
      <c r="C862" s="98"/>
    </row>
    <row r="863">
      <c r="B863" s="98"/>
      <c r="C863" s="98"/>
    </row>
    <row r="864">
      <c r="B864" s="98"/>
      <c r="C864" s="98"/>
    </row>
    <row r="865">
      <c r="B865" s="98"/>
      <c r="C865" s="98"/>
    </row>
    <row r="866">
      <c r="B866" s="98"/>
      <c r="C866" s="98"/>
    </row>
    <row r="867">
      <c r="B867" s="98"/>
      <c r="C867" s="98"/>
    </row>
    <row r="868">
      <c r="B868" s="98"/>
      <c r="C868" s="98"/>
    </row>
    <row r="869">
      <c r="B869" s="98"/>
      <c r="C869" s="98"/>
    </row>
    <row r="870">
      <c r="B870" s="98"/>
      <c r="C870" s="98"/>
    </row>
    <row r="871">
      <c r="B871" s="98"/>
      <c r="C871" s="98"/>
    </row>
    <row r="872">
      <c r="B872" s="98"/>
      <c r="C872" s="98"/>
    </row>
    <row r="873">
      <c r="B873" s="98"/>
      <c r="C873" s="98"/>
    </row>
    <row r="874">
      <c r="B874" s="98"/>
      <c r="C874" s="98"/>
    </row>
    <row r="875">
      <c r="B875" s="98"/>
      <c r="C875" s="98"/>
    </row>
    <row r="876">
      <c r="B876" s="98"/>
      <c r="C876" s="98"/>
    </row>
    <row r="877">
      <c r="B877" s="98"/>
      <c r="C877" s="98"/>
    </row>
    <row r="878">
      <c r="B878" s="98"/>
      <c r="C878" s="98"/>
    </row>
    <row r="879">
      <c r="B879" s="98"/>
      <c r="C879" s="98"/>
    </row>
    <row r="880">
      <c r="B880" s="98"/>
      <c r="C880" s="98"/>
    </row>
    <row r="881">
      <c r="B881" s="98"/>
      <c r="C881" s="98"/>
    </row>
    <row r="882">
      <c r="B882" s="98"/>
      <c r="C882" s="98"/>
    </row>
    <row r="883">
      <c r="B883" s="98"/>
      <c r="C883" s="98"/>
    </row>
    <row r="884">
      <c r="B884" s="98"/>
      <c r="C884" s="98"/>
    </row>
    <row r="885">
      <c r="B885" s="98"/>
      <c r="C885" s="98"/>
    </row>
    <row r="886">
      <c r="B886" s="98"/>
      <c r="C886" s="98"/>
    </row>
    <row r="887">
      <c r="B887" s="98"/>
      <c r="C887" s="98"/>
    </row>
    <row r="888">
      <c r="B888" s="98"/>
      <c r="C888" s="98"/>
    </row>
    <row r="889">
      <c r="B889" s="98"/>
      <c r="C889" s="98"/>
    </row>
    <row r="890">
      <c r="B890" s="98"/>
      <c r="C890" s="98"/>
    </row>
    <row r="891">
      <c r="B891" s="98"/>
      <c r="C891" s="98"/>
    </row>
    <row r="892">
      <c r="B892" s="98"/>
      <c r="C892" s="98"/>
    </row>
    <row r="893">
      <c r="B893" s="98"/>
      <c r="C893" s="98"/>
    </row>
    <row r="894">
      <c r="B894" s="98"/>
      <c r="C894" s="98"/>
    </row>
    <row r="895">
      <c r="B895" s="98"/>
      <c r="C895" s="98"/>
    </row>
    <row r="896">
      <c r="B896" s="98"/>
      <c r="C896" s="98"/>
    </row>
    <row r="897">
      <c r="B897" s="98"/>
      <c r="C897" s="98"/>
    </row>
    <row r="898">
      <c r="B898" s="98"/>
      <c r="C898" s="98"/>
    </row>
    <row r="899">
      <c r="B899" s="98"/>
      <c r="C899" s="98"/>
    </row>
    <row r="900">
      <c r="B900" s="98"/>
      <c r="C900" s="98"/>
    </row>
    <row r="901">
      <c r="B901" s="98"/>
      <c r="C901" s="98"/>
    </row>
    <row r="902">
      <c r="B902" s="98"/>
      <c r="C902" s="98"/>
    </row>
    <row r="903">
      <c r="B903" s="98"/>
      <c r="C903" s="98"/>
    </row>
    <row r="904">
      <c r="B904" s="98"/>
      <c r="C904" s="98"/>
    </row>
    <row r="905">
      <c r="B905" s="98"/>
      <c r="C905" s="98"/>
    </row>
    <row r="906">
      <c r="B906" s="98"/>
      <c r="C906" s="98"/>
    </row>
    <row r="907">
      <c r="B907" s="98"/>
      <c r="C907" s="98"/>
    </row>
    <row r="908">
      <c r="B908" s="98"/>
      <c r="C908" s="98"/>
    </row>
    <row r="909">
      <c r="B909" s="98"/>
      <c r="C909" s="98"/>
    </row>
    <row r="910">
      <c r="B910" s="98"/>
      <c r="C910" s="98"/>
    </row>
    <row r="911">
      <c r="B911" s="98"/>
      <c r="C911" s="98"/>
    </row>
    <row r="912">
      <c r="B912" s="98"/>
      <c r="C912" s="98"/>
    </row>
    <row r="913">
      <c r="B913" s="98"/>
      <c r="C913" s="98"/>
    </row>
    <row r="914">
      <c r="B914" s="98"/>
      <c r="C914" s="98"/>
    </row>
    <row r="915">
      <c r="B915" s="98"/>
      <c r="C915" s="98"/>
    </row>
    <row r="916">
      <c r="B916" s="98"/>
      <c r="C916" s="98"/>
    </row>
    <row r="917">
      <c r="B917" s="98"/>
      <c r="C917" s="98"/>
    </row>
    <row r="918">
      <c r="B918" s="98"/>
      <c r="C918" s="98"/>
    </row>
    <row r="919">
      <c r="B919" s="98"/>
      <c r="C919" s="98"/>
    </row>
    <row r="920">
      <c r="B920" s="98"/>
      <c r="C920" s="98"/>
    </row>
    <row r="921">
      <c r="B921" s="98"/>
      <c r="C921" s="98"/>
    </row>
    <row r="922">
      <c r="B922" s="98"/>
      <c r="C922" s="98"/>
    </row>
    <row r="923">
      <c r="B923" s="98"/>
      <c r="C923" s="98"/>
    </row>
    <row r="924">
      <c r="B924" s="98"/>
      <c r="C924" s="98"/>
    </row>
    <row r="925">
      <c r="B925" s="98"/>
      <c r="C925" s="98"/>
    </row>
    <row r="926">
      <c r="B926" s="98"/>
      <c r="C926" s="98"/>
    </row>
    <row r="927">
      <c r="B927" s="98"/>
      <c r="C927" s="98"/>
    </row>
    <row r="928">
      <c r="B928" s="98"/>
      <c r="C928" s="98"/>
    </row>
    <row r="929">
      <c r="B929" s="98"/>
      <c r="C929" s="98"/>
    </row>
    <row r="930">
      <c r="B930" s="98"/>
      <c r="C930" s="98"/>
    </row>
    <row r="931">
      <c r="B931" s="98"/>
      <c r="C931" s="98"/>
    </row>
    <row r="932">
      <c r="B932" s="98"/>
      <c r="C932" s="98"/>
    </row>
    <row r="933">
      <c r="B933" s="98"/>
      <c r="C933" s="98"/>
    </row>
    <row r="934">
      <c r="B934" s="98"/>
      <c r="C934" s="98"/>
    </row>
    <row r="935">
      <c r="B935" s="98"/>
      <c r="C935" s="98"/>
    </row>
    <row r="936">
      <c r="B936" s="98"/>
      <c r="C936" s="98"/>
    </row>
    <row r="937">
      <c r="B937" s="98"/>
      <c r="C937" s="98"/>
    </row>
    <row r="938">
      <c r="B938" s="98"/>
      <c r="C938" s="98"/>
    </row>
    <row r="939">
      <c r="B939" s="98"/>
      <c r="C939" s="98"/>
    </row>
    <row r="940">
      <c r="B940" s="98"/>
      <c r="C940" s="98"/>
    </row>
    <row r="941">
      <c r="B941" s="98"/>
      <c r="C941" s="98"/>
    </row>
    <row r="942">
      <c r="B942" s="98"/>
      <c r="C942" s="98"/>
    </row>
    <row r="943">
      <c r="B943" s="98"/>
      <c r="C943" s="98"/>
    </row>
    <row r="944">
      <c r="B944" s="98"/>
      <c r="C944" s="98"/>
    </row>
    <row r="945">
      <c r="B945" s="98"/>
      <c r="C945" s="98"/>
    </row>
    <row r="946">
      <c r="B946" s="98"/>
      <c r="C946" s="98"/>
    </row>
    <row r="947">
      <c r="B947" s="98"/>
      <c r="C947" s="98"/>
    </row>
    <row r="948">
      <c r="B948" s="98"/>
      <c r="C948" s="98"/>
    </row>
    <row r="949">
      <c r="B949" s="98"/>
      <c r="C949" s="98"/>
    </row>
    <row r="950">
      <c r="B950" s="98"/>
      <c r="C950" s="98"/>
    </row>
    <row r="951">
      <c r="B951" s="98"/>
      <c r="C951" s="98"/>
    </row>
    <row r="952">
      <c r="B952" s="98"/>
      <c r="C952" s="98"/>
    </row>
    <row r="953">
      <c r="B953" s="98"/>
      <c r="C953" s="98"/>
    </row>
    <row r="954">
      <c r="B954" s="98"/>
      <c r="C954" s="98"/>
    </row>
    <row r="955">
      <c r="B955" s="98"/>
      <c r="C955" s="98"/>
    </row>
    <row r="956">
      <c r="B956" s="98"/>
      <c r="C956" s="98"/>
    </row>
    <row r="957">
      <c r="B957" s="98"/>
      <c r="C957" s="98"/>
    </row>
    <row r="958">
      <c r="B958" s="98"/>
      <c r="C958" s="98"/>
    </row>
    <row r="959">
      <c r="B959" s="98"/>
      <c r="C959" s="98"/>
    </row>
    <row r="960">
      <c r="B960" s="98"/>
      <c r="C960" s="98"/>
    </row>
    <row r="961">
      <c r="B961" s="98"/>
      <c r="C961" s="98"/>
    </row>
    <row r="962">
      <c r="B962" s="98"/>
      <c r="C962" s="98"/>
    </row>
    <row r="963">
      <c r="B963" s="98"/>
      <c r="C963" s="98"/>
    </row>
    <row r="964">
      <c r="B964" s="98"/>
      <c r="C964" s="98"/>
    </row>
    <row r="965">
      <c r="B965" s="98"/>
      <c r="C965" s="98"/>
    </row>
    <row r="966">
      <c r="B966" s="98"/>
      <c r="C966" s="98"/>
    </row>
    <row r="967">
      <c r="B967" s="98"/>
      <c r="C967" s="98"/>
    </row>
    <row r="968">
      <c r="B968" s="98"/>
      <c r="C968" s="98"/>
    </row>
    <row r="969">
      <c r="B969" s="98"/>
      <c r="C969" s="98"/>
    </row>
    <row r="970">
      <c r="B970" s="98"/>
      <c r="C970" s="98"/>
    </row>
    <row r="971">
      <c r="B971" s="98"/>
      <c r="C971" s="98"/>
    </row>
    <row r="972">
      <c r="B972" s="98"/>
      <c r="C972" s="98"/>
    </row>
    <row r="973">
      <c r="B973" s="98"/>
      <c r="C973" s="98"/>
    </row>
    <row r="974">
      <c r="B974" s="98"/>
      <c r="C974" s="98"/>
    </row>
    <row r="975">
      <c r="B975" s="98"/>
      <c r="C975" s="98"/>
    </row>
    <row r="976">
      <c r="B976" s="98"/>
      <c r="C976" s="98"/>
    </row>
    <row r="977">
      <c r="B977" s="98"/>
      <c r="C977" s="98"/>
    </row>
    <row r="978">
      <c r="B978" s="98"/>
      <c r="C978" s="98"/>
    </row>
    <row r="979">
      <c r="B979" s="98"/>
      <c r="C979" s="98"/>
    </row>
    <row r="980">
      <c r="B980" s="98"/>
      <c r="C980" s="98"/>
    </row>
    <row r="981">
      <c r="B981" s="98"/>
      <c r="C981" s="98"/>
    </row>
    <row r="982">
      <c r="B982" s="98"/>
      <c r="C982" s="98"/>
    </row>
    <row r="983">
      <c r="B983" s="98"/>
      <c r="C983" s="98"/>
    </row>
    <row r="984">
      <c r="B984" s="98"/>
      <c r="C984" s="98"/>
    </row>
    <row r="985">
      <c r="B985" s="98"/>
      <c r="C985" s="98"/>
    </row>
    <row r="986">
      <c r="B986" s="98"/>
      <c r="C986" s="98"/>
    </row>
    <row r="987">
      <c r="B987" s="98"/>
      <c r="C987" s="98"/>
    </row>
    <row r="988">
      <c r="B988" s="98"/>
      <c r="C988" s="98"/>
    </row>
    <row r="989">
      <c r="B989" s="98"/>
      <c r="C989" s="98"/>
    </row>
    <row r="990">
      <c r="B990" s="98"/>
      <c r="C990" s="98"/>
    </row>
    <row r="991">
      <c r="B991" s="98"/>
      <c r="C991" s="98"/>
    </row>
    <row r="992">
      <c r="B992" s="98"/>
      <c r="C992" s="98"/>
    </row>
    <row r="993">
      <c r="B993" s="98"/>
      <c r="C993" s="98"/>
    </row>
    <row r="994">
      <c r="B994" s="98"/>
      <c r="C994" s="98"/>
    </row>
    <row r="995">
      <c r="B995" s="98"/>
      <c r="C995" s="98"/>
    </row>
    <row r="996">
      <c r="B996" s="98"/>
      <c r="C996" s="98"/>
    </row>
    <row r="997">
      <c r="B997" s="98"/>
      <c r="C997" s="98"/>
    </row>
    <row r="998">
      <c r="B998" s="98"/>
      <c r="C998" s="98"/>
    </row>
    <row r="999">
      <c r="B999" s="98"/>
      <c r="C999" s="98"/>
    </row>
    <row r="1000">
      <c r="B1000" s="98"/>
      <c r="C1000" s="98"/>
    </row>
    <row r="1001">
      <c r="B1001" s="98"/>
      <c r="C1001" s="98"/>
    </row>
    <row r="1002">
      <c r="B1002" s="98"/>
      <c r="C1002" s="98"/>
    </row>
    <row r="1003">
      <c r="B1003" s="98"/>
      <c r="C1003" s="98"/>
    </row>
    <row r="1004">
      <c r="B1004" s="98"/>
      <c r="C1004" s="98"/>
    </row>
    <row r="1005">
      <c r="B1005" s="98"/>
      <c r="C1005" s="98"/>
    </row>
    <row r="1006">
      <c r="B1006" s="98"/>
      <c r="C1006" s="98"/>
    </row>
    <row r="1007">
      <c r="B1007" s="98"/>
      <c r="C1007" s="98"/>
    </row>
    <row r="1008">
      <c r="B1008" s="98"/>
      <c r="C1008" s="98"/>
    </row>
    <row r="1009">
      <c r="B1009" s="98"/>
      <c r="C1009" s="98"/>
    </row>
    <row r="1010">
      <c r="B1010" s="98"/>
      <c r="C1010" s="98"/>
    </row>
    <row r="1011">
      <c r="B1011" s="98"/>
      <c r="C1011" s="98"/>
    </row>
    <row r="1012">
      <c r="B1012" s="98"/>
      <c r="C1012" s="98"/>
    </row>
    <row r="1013">
      <c r="B1013" s="98"/>
      <c r="C1013" s="98"/>
    </row>
    <row r="1014">
      <c r="B1014" s="98"/>
      <c r="C1014" s="98"/>
    </row>
    <row r="1015">
      <c r="B1015" s="98"/>
      <c r="C1015" s="98"/>
    </row>
    <row r="1016">
      <c r="B1016" s="98"/>
      <c r="C1016" s="98"/>
    </row>
    <row r="1017">
      <c r="B1017" s="98"/>
      <c r="C1017" s="98"/>
    </row>
    <row r="1018">
      <c r="B1018" s="98"/>
      <c r="C1018" s="98"/>
    </row>
    <row r="1019">
      <c r="B1019" s="98"/>
      <c r="C1019" s="98"/>
    </row>
    <row r="1020">
      <c r="B1020" s="98"/>
      <c r="C1020" s="98"/>
    </row>
    <row r="1021">
      <c r="B1021" s="98"/>
      <c r="C1021" s="98"/>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7.29" defaultRowHeight="15.0"/>
  <cols>
    <col customWidth="1" min="2" max="2" width="101.14"/>
  </cols>
  <sheetData>
    <row r="1">
      <c r="A1" s="26" t="s">
        <v>32</v>
      </c>
      <c r="B1" s="27"/>
    </row>
    <row r="2">
      <c r="A2" s="29" t="s">
        <v>33</v>
      </c>
      <c r="B2" s="30" t="s">
        <v>34</v>
      </c>
    </row>
    <row r="3">
      <c r="A3" s="29" t="s">
        <v>35</v>
      </c>
      <c r="B3" s="31" t="s">
        <v>36</v>
      </c>
    </row>
    <row r="4">
      <c r="A4" s="29" t="s">
        <v>37</v>
      </c>
      <c r="B4" s="32" t="s">
        <v>38</v>
      </c>
    </row>
    <row r="5">
      <c r="A5" s="29" t="s">
        <v>39</v>
      </c>
      <c r="B5" s="32" t="s">
        <v>40</v>
      </c>
    </row>
    <row r="6">
      <c r="A6" s="29" t="s">
        <v>41</v>
      </c>
      <c r="B6" s="32" t="s">
        <v>42</v>
      </c>
    </row>
    <row r="7">
      <c r="A7" s="29" t="s">
        <v>43</v>
      </c>
      <c r="B7" s="32" t="s">
        <v>44</v>
      </c>
    </row>
    <row r="8">
      <c r="A8" s="29" t="s">
        <v>45</v>
      </c>
      <c r="B8" s="32" t="s">
        <v>46</v>
      </c>
    </row>
  </sheetData>
  <hyperlinks>
    <hyperlink display="Baseline" location="Baseline!A1" ref="A2"/>
    <hyperlink display="Consumption" location="Consumption!A1" ref="A3"/>
    <hyperlink display="GE" location="GE!A1" ref="A4"/>
    <hyperlink display="Spillover" location="Spillover!A1" ref="A5"/>
    <hyperlink display="Mortality" location="Mortality!A1" ref="A6"/>
    <hyperlink display="Development" location="Development!A1" ref="A7"/>
    <hyperlink display="RFMF" location="RFMF!A1" ref="A8"/>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CB9C"/>
    <outlinePr summaryBelow="0" summaryRight="0"/>
  </sheetPr>
  <sheetViews>
    <sheetView workbookViewId="0">
      <pane ySplit="2.0" topLeftCell="A3" activePane="bottomLeft" state="frozen"/>
      <selection activeCell="B4" sqref="B4" pane="bottomLeft"/>
    </sheetView>
  </sheetViews>
  <sheetFormatPr customHeight="1" defaultColWidth="17.29" defaultRowHeight="15.0"/>
  <cols>
    <col customWidth="1" min="1" max="1" width="89.86"/>
    <col customWidth="1" min="2" max="2" width="14.14"/>
    <col customWidth="1" min="3" max="3" width="14.43"/>
    <col customWidth="1" min="4" max="4" width="15.0"/>
  </cols>
  <sheetData>
    <row r="1">
      <c r="A1" s="101" t="s">
        <v>154</v>
      </c>
      <c r="B1" s="102"/>
      <c r="C1" s="102"/>
      <c r="D1" s="103"/>
      <c r="E1" s="102"/>
      <c r="F1" s="102"/>
      <c r="G1" s="104"/>
      <c r="H1" s="105"/>
      <c r="I1" s="105"/>
      <c r="J1" s="105"/>
      <c r="K1" s="105"/>
      <c r="L1" s="105"/>
      <c r="M1" s="105"/>
      <c r="N1" s="105"/>
      <c r="O1" s="46"/>
      <c r="P1" s="46"/>
      <c r="Q1" s="46"/>
      <c r="R1" s="46"/>
      <c r="S1" s="46"/>
      <c r="T1" s="46"/>
    </row>
    <row r="2">
      <c r="A2" s="106" t="s">
        <v>155</v>
      </c>
      <c r="B2" s="107" t="s">
        <v>74</v>
      </c>
      <c r="C2" s="107" t="s">
        <v>75</v>
      </c>
      <c r="D2" s="108" t="s">
        <v>76</v>
      </c>
      <c r="E2" s="107" t="s">
        <v>77</v>
      </c>
      <c r="F2" s="107" t="s">
        <v>78</v>
      </c>
      <c r="G2" s="109" t="s">
        <v>156</v>
      </c>
      <c r="H2" s="110"/>
      <c r="I2" s="110"/>
      <c r="J2" s="110"/>
      <c r="K2" s="110"/>
      <c r="L2" s="110"/>
      <c r="M2" s="110"/>
      <c r="N2" s="110"/>
    </row>
    <row r="3">
      <c r="A3" s="111" t="s">
        <v>157</v>
      </c>
      <c r="B3" s="112"/>
      <c r="C3" s="112"/>
      <c r="D3" s="112"/>
      <c r="E3" s="112"/>
      <c r="F3" s="112"/>
      <c r="G3" s="113"/>
      <c r="H3" s="113"/>
      <c r="I3" s="113"/>
      <c r="J3" s="113"/>
      <c r="K3" s="113"/>
      <c r="L3" s="113"/>
      <c r="M3" s="113"/>
      <c r="N3" s="113"/>
      <c r="O3" s="52"/>
      <c r="P3" s="52"/>
      <c r="Q3" s="52"/>
      <c r="R3" s="52"/>
      <c r="S3" s="52"/>
      <c r="T3" s="52"/>
    </row>
    <row r="4">
      <c r="A4" s="114" t="s">
        <v>158</v>
      </c>
      <c r="B4" s="115">
        <v>4.2</v>
      </c>
      <c r="C4" s="115">
        <v>4.5</v>
      </c>
      <c r="D4" s="116">
        <v>4.4</v>
      </c>
      <c r="E4" s="115">
        <v>4.3</v>
      </c>
      <c r="F4" s="115">
        <v>4.8</v>
      </c>
      <c r="G4" s="110"/>
      <c r="H4" s="110"/>
      <c r="I4" s="110"/>
      <c r="J4" s="110"/>
      <c r="K4" s="110"/>
      <c r="L4" s="110"/>
      <c r="M4" s="110"/>
      <c r="N4" s="110"/>
    </row>
    <row r="5">
      <c r="A5" s="110"/>
      <c r="B5" s="110"/>
      <c r="C5" s="110"/>
      <c r="D5" s="110"/>
      <c r="E5" s="110"/>
      <c r="F5" s="110"/>
      <c r="G5" s="110"/>
      <c r="H5" s="110"/>
      <c r="I5" s="110"/>
      <c r="J5" s="110"/>
      <c r="K5" s="110"/>
      <c r="L5" s="110"/>
      <c r="M5" s="110"/>
      <c r="N5" s="110"/>
    </row>
    <row r="6">
      <c r="A6" s="117" t="s">
        <v>159</v>
      </c>
      <c r="B6" s="118"/>
      <c r="C6" s="118"/>
      <c r="D6" s="118"/>
      <c r="E6" s="118"/>
      <c r="F6" s="118"/>
      <c r="G6" s="113"/>
      <c r="H6" s="113"/>
      <c r="I6" s="113"/>
      <c r="J6" s="113"/>
      <c r="K6" s="113"/>
      <c r="L6" s="113"/>
      <c r="M6" s="113"/>
      <c r="N6" s="113"/>
      <c r="O6" s="52"/>
      <c r="P6" s="52"/>
      <c r="Q6" s="52"/>
      <c r="R6" s="52"/>
      <c r="S6" s="52"/>
      <c r="T6" s="52"/>
    </row>
    <row r="7">
      <c r="A7" s="119" t="s">
        <v>160</v>
      </c>
      <c r="B7" s="120">
        <f>SUM(3398*12)*(32088/41428)</f>
        <v>31582.9943</v>
      </c>
      <c r="C7" s="121"/>
      <c r="D7" s="121"/>
      <c r="E7" s="120">
        <v>86000.0</v>
      </c>
      <c r="F7" s="120">
        <f>sum(36758*12)</f>
        <v>441096</v>
      </c>
      <c r="G7" s="110"/>
      <c r="H7" s="110"/>
      <c r="I7" s="110"/>
      <c r="J7" s="110"/>
      <c r="K7" s="110"/>
      <c r="L7" s="110"/>
      <c r="M7" s="110"/>
      <c r="N7" s="110"/>
    </row>
    <row r="8">
      <c r="A8" s="122" t="s">
        <v>161</v>
      </c>
      <c r="B8" s="123"/>
      <c r="C8" s="123"/>
      <c r="D8" s="123"/>
      <c r="E8" s="123"/>
      <c r="F8" s="123"/>
      <c r="G8" s="124"/>
      <c r="H8" s="124"/>
      <c r="I8" s="124"/>
      <c r="J8" s="124"/>
      <c r="K8" s="124"/>
      <c r="L8" s="124"/>
      <c r="M8" s="124"/>
      <c r="N8" s="124"/>
      <c r="O8" s="47"/>
      <c r="P8" s="47"/>
      <c r="Q8" s="47"/>
      <c r="R8" s="47"/>
      <c r="S8" s="47"/>
      <c r="T8" s="47"/>
    </row>
    <row r="9">
      <c r="A9" s="119" t="s">
        <v>162</v>
      </c>
      <c r="B9" s="125">
        <f>Equivalence!B90</f>
        <v>0.8491218725</v>
      </c>
      <c r="C9" s="121"/>
      <c r="D9" s="121"/>
      <c r="E9" s="125">
        <f>Equivalence!E90</f>
        <v>0.9254366026</v>
      </c>
      <c r="F9" s="125">
        <f>Equivalence!F90</f>
        <v>0.9211945711</v>
      </c>
      <c r="G9" s="110"/>
      <c r="H9" s="110"/>
      <c r="I9" s="110"/>
      <c r="J9" s="110"/>
      <c r="K9" s="110"/>
      <c r="L9" s="110"/>
      <c r="M9" s="110"/>
      <c r="N9" s="110"/>
    </row>
    <row r="10">
      <c r="A10" s="119" t="s">
        <v>163</v>
      </c>
      <c r="B10" s="120">
        <f>B7*B9</f>
        <v>26817.81126</v>
      </c>
      <c r="C10" s="120">
        <v>76823.0</v>
      </c>
      <c r="D10" s="120">
        <f>224*12</f>
        <v>2688</v>
      </c>
      <c r="E10" s="120">
        <f t="shared" ref="E10:F10" si="1">E7*E9</f>
        <v>79587.54783</v>
      </c>
      <c r="F10" s="120">
        <f t="shared" si="1"/>
        <v>406335.2405</v>
      </c>
      <c r="G10" s="110"/>
      <c r="H10" s="110"/>
      <c r="I10" s="110"/>
      <c r="J10" s="110"/>
      <c r="K10" s="110"/>
      <c r="L10" s="110"/>
      <c r="M10" s="110"/>
      <c r="N10" s="110"/>
    </row>
    <row r="11">
      <c r="A11" s="119" t="s">
        <v>164</v>
      </c>
      <c r="B11" s="116">
        <v>2021.0</v>
      </c>
      <c r="C11" s="116">
        <v>2019.0</v>
      </c>
      <c r="D11" s="116">
        <v>2019.0</v>
      </c>
      <c r="E11" s="116">
        <v>2016.0</v>
      </c>
      <c r="F11" s="116">
        <v>2019.0</v>
      </c>
      <c r="G11" s="126"/>
      <c r="H11" s="110"/>
      <c r="I11" s="110"/>
      <c r="J11" s="110"/>
      <c r="K11" s="110"/>
      <c r="L11" s="110"/>
      <c r="M11" s="110"/>
      <c r="N11" s="110"/>
    </row>
    <row r="12">
      <c r="A12" s="119" t="s">
        <v>165</v>
      </c>
      <c r="B12" s="115">
        <v>2021.0</v>
      </c>
      <c r="C12" s="116">
        <v>2019.0</v>
      </c>
      <c r="D12" s="116">
        <v>2019.0</v>
      </c>
      <c r="E12" s="115">
        <v>2014.0</v>
      </c>
      <c r="F12" s="115">
        <v>2010.0</v>
      </c>
      <c r="G12" s="110"/>
      <c r="H12" s="110"/>
      <c r="I12" s="110"/>
      <c r="J12" s="110"/>
      <c r="K12" s="110"/>
      <c r="L12" s="110"/>
      <c r="M12" s="110"/>
      <c r="N12" s="110"/>
    </row>
    <row r="13">
      <c r="A13" s="122" t="s">
        <v>166</v>
      </c>
      <c r="B13" s="127"/>
      <c r="C13" s="127"/>
      <c r="D13" s="127"/>
      <c r="E13" s="127"/>
      <c r="F13" s="127"/>
      <c r="G13" s="124"/>
      <c r="H13" s="124"/>
      <c r="I13" s="124"/>
      <c r="J13" s="124"/>
      <c r="K13" s="124"/>
      <c r="L13" s="124"/>
      <c r="M13" s="124"/>
      <c r="N13" s="124"/>
      <c r="O13" s="47"/>
      <c r="P13" s="47"/>
      <c r="Q13" s="47"/>
      <c r="R13" s="47"/>
      <c r="S13" s="47"/>
      <c r="T13" s="47"/>
    </row>
    <row r="14">
      <c r="A14" s="119" t="s">
        <v>167</v>
      </c>
      <c r="B14" s="120">
        <f t="shared" ref="B14:F14" si="2">2024-B11</f>
        <v>3</v>
      </c>
      <c r="C14" s="120">
        <f t="shared" si="2"/>
        <v>5</v>
      </c>
      <c r="D14" s="120">
        <f t="shared" si="2"/>
        <v>5</v>
      </c>
      <c r="E14" s="120">
        <f t="shared" si="2"/>
        <v>8</v>
      </c>
      <c r="F14" s="120">
        <f t="shared" si="2"/>
        <v>5</v>
      </c>
      <c r="G14" s="110"/>
      <c r="H14" s="110"/>
      <c r="I14" s="110"/>
      <c r="J14" s="110"/>
      <c r="K14" s="110"/>
      <c r="L14" s="110"/>
      <c r="M14" s="110"/>
      <c r="N14" s="110"/>
    </row>
    <row r="15">
      <c r="A15" s="119" t="s">
        <v>168</v>
      </c>
      <c r="B15" s="86">
        <v>0.02</v>
      </c>
      <c r="C15" s="86">
        <v>0.01</v>
      </c>
      <c r="D15" s="86">
        <v>0.01</v>
      </c>
      <c r="E15" s="86">
        <v>0.02</v>
      </c>
      <c r="F15" s="86">
        <v>0.02</v>
      </c>
      <c r="G15" s="110"/>
      <c r="H15" s="110"/>
      <c r="I15" s="110"/>
      <c r="J15" s="110"/>
      <c r="K15" s="110"/>
      <c r="L15" s="110"/>
      <c r="M15" s="110"/>
      <c r="N15" s="110"/>
    </row>
    <row r="16">
      <c r="A16" s="119" t="s">
        <v>169</v>
      </c>
      <c r="B16" s="120">
        <f t="shared" ref="B16:F16" si="3">B10*(1+B15)^B14</f>
        <v>28459.27585</v>
      </c>
      <c r="C16" s="120">
        <f t="shared" si="3"/>
        <v>80741.74508</v>
      </c>
      <c r="D16" s="120">
        <f t="shared" si="3"/>
        <v>2825.115015</v>
      </c>
      <c r="E16" s="120">
        <f t="shared" si="3"/>
        <v>93249.49702</v>
      </c>
      <c r="F16" s="120">
        <f t="shared" si="3"/>
        <v>448626.9387</v>
      </c>
      <c r="G16" s="110"/>
      <c r="H16" s="110"/>
      <c r="I16" s="110"/>
      <c r="J16" s="110"/>
      <c r="K16" s="110"/>
      <c r="L16" s="110"/>
      <c r="M16" s="110"/>
      <c r="N16" s="110"/>
    </row>
    <row r="17">
      <c r="A17" s="122" t="s">
        <v>170</v>
      </c>
      <c r="B17" s="127"/>
      <c r="C17" s="127"/>
      <c r="D17" s="127"/>
      <c r="E17" s="127"/>
      <c r="F17" s="127"/>
      <c r="G17" s="124"/>
      <c r="H17" s="124"/>
      <c r="I17" s="124"/>
      <c r="J17" s="124"/>
      <c r="K17" s="124"/>
      <c r="L17" s="124"/>
      <c r="M17" s="124"/>
      <c r="N17" s="124"/>
      <c r="O17" s="47"/>
      <c r="P17" s="47"/>
      <c r="Q17" s="47"/>
      <c r="R17" s="47"/>
      <c r="S17" s="47"/>
      <c r="T17" s="47"/>
    </row>
    <row r="18">
      <c r="A18" s="119" t="s">
        <v>171</v>
      </c>
      <c r="B18" s="128">
        <f t="array" ref="B18">INDEX(WB!$E$13:$BO$17,MATCH(B$2,WB!$A$13:$A$17,0),MATCH(2017,WB!$E$12:$BO$12,0))</f>
        <v>103.41</v>
      </c>
      <c r="C18" s="128">
        <f t="array" ref="C18">INDEX(WB!$E$13:$BO$17,MATCH(C$2,WB!$A$13:$A$17,0),MATCH(2017,WB!$E$12:$BO$12,0))</f>
        <v>730.2725</v>
      </c>
      <c r="D18" s="128">
        <f t="array" ref="D18">INDEX(WB!$E$13:$BO$17,MATCH(D$2,WB!$A$13:$A$17,0),MATCH(2017,WB!$E$12:$BO$12,0))</f>
        <v>63.58432</v>
      </c>
      <c r="E18" s="128">
        <f t="array" ref="E18">INDEX(WB!$E$13:$BO$17,MATCH(E$2,WB!$A$13:$A$17,0),MATCH(2017,WB!$E$12:$BO$12,0))</f>
        <v>831.5543</v>
      </c>
      <c r="F18" s="128">
        <f t="array" ref="F18">INDEX(WB!$E$13:$BO$17,MATCH(F$2,WB!$A$13:$A$17,0),MATCH(2017,WB!$E$12:$BO$12,0))</f>
        <v>3611.224</v>
      </c>
      <c r="G18" s="109" t="s">
        <v>172</v>
      </c>
      <c r="H18" s="110"/>
      <c r="I18" s="110"/>
      <c r="J18" s="110"/>
      <c r="K18" s="110"/>
      <c r="L18" s="110"/>
      <c r="M18" s="110"/>
      <c r="N18" s="110"/>
    </row>
    <row r="19">
      <c r="A19" s="119" t="s">
        <v>173</v>
      </c>
      <c r="B19" s="128">
        <f t="array" ref="B19">INDEX(WB!$E$4:$BO$8,MATCH(B$2,WB!$A$4:$A$8,0),MATCH(2017,WB!$E$3:$BO$3,0))</f>
        <v>43.65147</v>
      </c>
      <c r="C19" s="128">
        <f t="array" ref="C19">INDEX(WB!$E$4:$BO$8,MATCH(C$2,WB!$A$4:$A$8,0),MATCH(2017,WB!$E$3:$BO$3,0))</f>
        <v>249.1049</v>
      </c>
      <c r="D19" s="128">
        <f t="array" ref="D19">INDEX(WB!$E$4:$BO$8,MATCH(D$2,WB!$A$4:$A$8,0),MATCH(2017,WB!$E$3:$BO$3,0))</f>
        <v>22.6119</v>
      </c>
      <c r="E19" s="128">
        <f t="array" ref="E19">INDEX(WB!$E$4:$BO$8,MATCH(E$2,WB!$A$4:$A$8,0),MATCH(2017,WB!$E$3:$BO$3,0))</f>
        <v>297.6189</v>
      </c>
      <c r="F19" s="128">
        <f t="array" ref="F19">INDEX(WB!$E$4:$BO$8,MATCH(F$2,WB!$A$4:$A$8,0),MATCH(2017,WB!$E$3:$BO$3,0))</f>
        <v>1219.186</v>
      </c>
      <c r="G19" s="109" t="s">
        <v>174</v>
      </c>
      <c r="H19" s="110"/>
      <c r="I19" s="110"/>
      <c r="J19" s="110"/>
      <c r="K19" s="110"/>
      <c r="L19" s="110"/>
      <c r="M19" s="110"/>
      <c r="N19" s="110"/>
    </row>
    <row r="20">
      <c r="A20" s="129" t="s">
        <v>175</v>
      </c>
      <c r="B20" s="130">
        <f t="shared" ref="B20:F20" si="4">B16/B18</f>
        <v>275.2081603</v>
      </c>
      <c r="C20" s="130">
        <f t="shared" si="4"/>
        <v>110.5638581</v>
      </c>
      <c r="D20" s="130">
        <f t="shared" si="4"/>
        <v>44.43100146</v>
      </c>
      <c r="E20" s="130">
        <f t="shared" si="4"/>
        <v>112.1387948</v>
      </c>
      <c r="F20" s="130">
        <f t="shared" si="4"/>
        <v>124.2312686</v>
      </c>
      <c r="G20" s="110"/>
      <c r="H20" s="110"/>
      <c r="I20" s="110"/>
      <c r="J20" s="110"/>
      <c r="K20" s="110"/>
      <c r="L20" s="110"/>
      <c r="M20" s="110"/>
      <c r="N20" s="110"/>
    </row>
    <row r="21">
      <c r="A21" s="131" t="s">
        <v>176</v>
      </c>
      <c r="B21" s="132">
        <f t="shared" ref="B21:F21" si="5">B16/B19</f>
        <v>651.9660358</v>
      </c>
      <c r="C21" s="132">
        <f t="shared" si="5"/>
        <v>324.1274864</v>
      </c>
      <c r="D21" s="132">
        <f t="shared" si="5"/>
        <v>124.9393025</v>
      </c>
      <c r="E21" s="132">
        <f t="shared" si="5"/>
        <v>313.3184654</v>
      </c>
      <c r="F21" s="132">
        <f t="shared" si="5"/>
        <v>367.9725151</v>
      </c>
      <c r="G21" s="110"/>
      <c r="H21" s="110"/>
      <c r="I21" s="110"/>
      <c r="J21" s="110"/>
      <c r="K21" s="110"/>
      <c r="L21" s="110"/>
      <c r="M21" s="110"/>
      <c r="N21" s="110"/>
    </row>
    <row r="22">
      <c r="A22" s="133" t="s">
        <v>177</v>
      </c>
      <c r="B22" s="134">
        <f t="shared" ref="B22:C22" si="6">B21/B20</f>
        <v>2.368992384</v>
      </c>
      <c r="C22" s="134">
        <f t="shared" si="6"/>
        <v>2.931586251</v>
      </c>
      <c r="D22" s="134">
        <f>D18/D19</f>
        <v>2.81198484</v>
      </c>
      <c r="E22" s="134">
        <f t="shared" ref="E22:F22" si="7">E21/E20</f>
        <v>2.794023834</v>
      </c>
      <c r="F22" s="134">
        <f t="shared" si="7"/>
        <v>2.961995955</v>
      </c>
      <c r="G22" s="110"/>
      <c r="H22" s="110"/>
      <c r="I22" s="110"/>
      <c r="J22" s="110"/>
      <c r="K22" s="110"/>
      <c r="L22" s="110"/>
      <c r="M22" s="110"/>
      <c r="N22" s="110"/>
    </row>
    <row r="23">
      <c r="A23" s="135"/>
      <c r="B23" s="128"/>
      <c r="C23" s="136"/>
      <c r="D23" s="137"/>
      <c r="E23" s="136"/>
      <c r="F23" s="136"/>
      <c r="G23" s="110"/>
      <c r="H23" s="110"/>
      <c r="I23" s="110"/>
      <c r="J23" s="110"/>
      <c r="K23" s="110"/>
      <c r="L23" s="110"/>
      <c r="M23" s="110"/>
      <c r="N23" s="110"/>
    </row>
    <row r="24">
      <c r="A24" s="111" t="s">
        <v>178</v>
      </c>
      <c r="B24" s="112"/>
      <c r="C24" s="112"/>
      <c r="D24" s="112"/>
      <c r="E24" s="112"/>
      <c r="F24" s="112"/>
      <c r="G24" s="113"/>
      <c r="H24" s="113"/>
      <c r="I24" s="113"/>
      <c r="J24" s="113"/>
      <c r="K24" s="113"/>
      <c r="L24" s="113"/>
      <c r="M24" s="113"/>
      <c r="N24" s="113"/>
      <c r="O24" s="52"/>
      <c r="P24" s="52"/>
      <c r="Q24" s="52"/>
      <c r="R24" s="52"/>
      <c r="S24" s="52"/>
      <c r="T24" s="52"/>
    </row>
    <row r="25">
      <c r="A25" s="114" t="s">
        <v>179</v>
      </c>
      <c r="B25" s="136"/>
      <c r="C25" s="136">
        <f>((13.96+19.18)/C4)*12</f>
        <v>88.37333333</v>
      </c>
      <c r="D25" s="136"/>
      <c r="E25" s="136">
        <f>10.7*12</f>
        <v>128.4</v>
      </c>
      <c r="F25" s="136"/>
      <c r="G25" s="110"/>
      <c r="H25" s="110"/>
      <c r="I25" s="110"/>
      <c r="J25" s="110"/>
      <c r="K25" s="110"/>
      <c r="L25" s="110"/>
      <c r="M25" s="110"/>
      <c r="N25" s="110"/>
    </row>
    <row r="26">
      <c r="A26" s="119" t="s">
        <v>180</v>
      </c>
      <c r="B26" s="116">
        <v>2014.0</v>
      </c>
      <c r="C26" s="115">
        <v>2019.0</v>
      </c>
      <c r="D26" s="115"/>
      <c r="E26" s="115">
        <v>2016.0</v>
      </c>
      <c r="F26" s="115">
        <v>2016.0</v>
      </c>
      <c r="G26" s="110"/>
      <c r="H26" s="110"/>
      <c r="I26" s="110"/>
      <c r="J26" s="110"/>
      <c r="K26" s="110"/>
      <c r="L26" s="110"/>
      <c r="M26" s="110"/>
      <c r="N26" s="110"/>
    </row>
    <row r="27">
      <c r="A27" s="119" t="s">
        <v>181</v>
      </c>
      <c r="B27" s="136">
        <f>2536/B4</f>
        <v>603.8095238</v>
      </c>
      <c r="C27" s="136">
        <f>C25*C22</f>
        <v>259.074049</v>
      </c>
      <c r="D27" s="136"/>
      <c r="E27" s="136">
        <f>E25*E22</f>
        <v>358.7526603</v>
      </c>
      <c r="F27" s="136">
        <f>2828/F4</f>
        <v>589.1666667</v>
      </c>
      <c r="G27" s="110"/>
      <c r="H27" s="110"/>
      <c r="I27" s="110"/>
      <c r="J27" s="110"/>
      <c r="K27" s="110"/>
      <c r="L27" s="110"/>
      <c r="M27" s="110"/>
      <c r="N27" s="110"/>
    </row>
    <row r="28">
      <c r="A28" s="119" t="s">
        <v>167</v>
      </c>
      <c r="B28" s="120">
        <f t="shared" ref="B28:C28" si="8">2024-B26</f>
        <v>10</v>
      </c>
      <c r="C28" s="120">
        <f t="shared" si="8"/>
        <v>5</v>
      </c>
      <c r="D28" s="120"/>
      <c r="E28" s="120">
        <f t="shared" ref="E28:F28" si="9">2024-E26</f>
        <v>8</v>
      </c>
      <c r="F28" s="120">
        <f t="shared" si="9"/>
        <v>8</v>
      </c>
      <c r="G28" s="110"/>
      <c r="H28" s="110"/>
      <c r="I28" s="110"/>
      <c r="J28" s="110"/>
      <c r="K28" s="110"/>
      <c r="L28" s="110"/>
      <c r="M28" s="110"/>
      <c r="N28" s="110"/>
    </row>
    <row r="29">
      <c r="A29" s="138" t="s">
        <v>182</v>
      </c>
      <c r="B29" s="139">
        <f t="shared" ref="B29:C29" si="10">B27*(1+B15)^B28</f>
        <v>736.0404403</v>
      </c>
      <c r="C29" s="139">
        <f t="shared" si="10"/>
        <v>272.2894292</v>
      </c>
      <c r="D29" s="136"/>
      <c r="E29" s="139">
        <f t="shared" ref="E29:F29" si="11">E27*(1+E15)^E28</f>
        <v>420.3359199</v>
      </c>
      <c r="F29" s="139">
        <f t="shared" si="11"/>
        <v>690.302652</v>
      </c>
      <c r="G29" s="110"/>
      <c r="H29" s="110"/>
      <c r="I29" s="110"/>
      <c r="J29" s="110"/>
      <c r="K29" s="110"/>
      <c r="L29" s="110"/>
      <c r="M29" s="110"/>
      <c r="N29" s="110"/>
    </row>
    <row r="30">
      <c r="A30" s="119"/>
      <c r="B30" s="130"/>
      <c r="C30" s="130"/>
      <c r="D30" s="130"/>
      <c r="E30" s="130"/>
      <c r="F30" s="130"/>
      <c r="G30" s="110"/>
      <c r="H30" s="110"/>
      <c r="I30" s="110"/>
      <c r="J30" s="110"/>
      <c r="K30" s="110"/>
      <c r="L30" s="110"/>
      <c r="M30" s="110"/>
      <c r="N30" s="110"/>
    </row>
    <row r="31">
      <c r="A31" s="117" t="s">
        <v>183</v>
      </c>
      <c r="B31" s="140"/>
      <c r="C31" s="140"/>
      <c r="D31" s="140"/>
      <c r="E31" s="140"/>
      <c r="F31" s="140"/>
      <c r="G31" s="113"/>
      <c r="H31" s="113"/>
      <c r="I31" s="113"/>
      <c r="J31" s="113"/>
      <c r="K31" s="113"/>
      <c r="L31" s="113"/>
      <c r="M31" s="113"/>
      <c r="N31" s="113"/>
      <c r="O31" s="52"/>
      <c r="P31" s="52"/>
      <c r="Q31" s="52"/>
      <c r="R31" s="52"/>
      <c r="S31" s="52"/>
      <c r="T31" s="52"/>
    </row>
    <row r="32">
      <c r="A32" s="119" t="s">
        <v>184</v>
      </c>
      <c r="B32" s="130">
        <f t="shared" ref="B32:F32" si="12">B21</f>
        <v>651.9660358</v>
      </c>
      <c r="C32" s="130">
        <f t="shared" si="12"/>
        <v>324.1274864</v>
      </c>
      <c r="D32" s="130">
        <f t="shared" si="12"/>
        <v>124.9393025</v>
      </c>
      <c r="E32" s="130">
        <f t="shared" si="12"/>
        <v>313.3184654</v>
      </c>
      <c r="F32" s="130">
        <f t="shared" si="12"/>
        <v>367.9725151</v>
      </c>
      <c r="G32" s="110"/>
      <c r="H32" s="110"/>
      <c r="I32" s="110"/>
      <c r="J32" s="110"/>
      <c r="K32" s="110"/>
      <c r="L32" s="110"/>
      <c r="M32" s="110"/>
      <c r="N32" s="110"/>
    </row>
    <row r="33">
      <c r="A33" s="119" t="s">
        <v>185</v>
      </c>
      <c r="B33" s="130">
        <f t="shared" ref="B33:F33" si="13">B29</f>
        <v>736.0404403</v>
      </c>
      <c r="C33" s="130">
        <f t="shared" si="13"/>
        <v>272.2894292</v>
      </c>
      <c r="D33" s="130" t="str">
        <f t="shared" si="13"/>
        <v/>
      </c>
      <c r="E33" s="130">
        <f t="shared" si="13"/>
        <v>420.3359199</v>
      </c>
      <c r="F33" s="130">
        <f t="shared" si="13"/>
        <v>690.302652</v>
      </c>
      <c r="G33" s="110"/>
      <c r="H33" s="110"/>
      <c r="I33" s="110"/>
      <c r="J33" s="110"/>
      <c r="K33" s="110"/>
      <c r="L33" s="110"/>
      <c r="M33" s="110"/>
      <c r="N33" s="110"/>
    </row>
    <row r="34">
      <c r="A34" s="119" t="s">
        <v>186</v>
      </c>
      <c r="B34" s="141">
        <v>1.0</v>
      </c>
      <c r="C34" s="141">
        <v>1.45</v>
      </c>
      <c r="D34" s="141">
        <v>3.6</v>
      </c>
      <c r="E34" s="141">
        <v>1.7</v>
      </c>
      <c r="F34" s="141">
        <v>1.7</v>
      </c>
      <c r="G34" s="110"/>
      <c r="H34" s="110"/>
      <c r="I34" s="110"/>
      <c r="J34" s="110"/>
      <c r="K34" s="110"/>
      <c r="L34" s="110"/>
      <c r="M34" s="110"/>
      <c r="N34" s="110"/>
    </row>
    <row r="35">
      <c r="A35" s="138" t="s">
        <v>187</v>
      </c>
      <c r="B35" s="132">
        <f t="shared" ref="B35:F35" si="14">B32*B34</f>
        <v>651.9660358</v>
      </c>
      <c r="C35" s="132">
        <f t="shared" si="14"/>
        <v>469.9848552</v>
      </c>
      <c r="D35" s="132">
        <f t="shared" si="14"/>
        <v>449.7814891</v>
      </c>
      <c r="E35" s="132">
        <f t="shared" si="14"/>
        <v>532.6413912</v>
      </c>
      <c r="F35" s="132">
        <f t="shared" si="14"/>
        <v>625.5532756</v>
      </c>
      <c r="G35" s="110"/>
      <c r="H35" s="110"/>
      <c r="I35" s="110"/>
      <c r="J35" s="110"/>
      <c r="K35" s="110"/>
      <c r="L35" s="110"/>
      <c r="M35" s="110"/>
      <c r="N35" s="110"/>
    </row>
    <row r="36">
      <c r="A36" s="119"/>
      <c r="B36" s="130"/>
      <c r="C36" s="130"/>
      <c r="D36" s="130"/>
      <c r="E36" s="130"/>
      <c r="F36" s="130"/>
      <c r="G36" s="110"/>
      <c r="H36" s="110"/>
      <c r="I36" s="110"/>
      <c r="J36" s="110"/>
      <c r="K36" s="110"/>
      <c r="L36" s="110"/>
      <c r="M36" s="110"/>
      <c r="N36" s="110"/>
    </row>
    <row r="37">
      <c r="A37" s="117" t="s">
        <v>188</v>
      </c>
      <c r="B37" s="140"/>
      <c r="C37" s="140"/>
      <c r="D37" s="140"/>
      <c r="E37" s="140"/>
      <c r="F37" s="140"/>
      <c r="G37" s="113"/>
      <c r="H37" s="113"/>
      <c r="I37" s="113"/>
      <c r="J37" s="113"/>
      <c r="K37" s="113"/>
      <c r="L37" s="113"/>
      <c r="M37" s="113"/>
      <c r="N37" s="113"/>
      <c r="O37" s="52"/>
      <c r="P37" s="52"/>
      <c r="Q37" s="52"/>
      <c r="R37" s="52"/>
      <c r="S37" s="52"/>
      <c r="T37" s="52"/>
    </row>
    <row r="38">
      <c r="A38" s="119" t="s">
        <v>189</v>
      </c>
      <c r="B38" s="142">
        <v>1000.0</v>
      </c>
      <c r="C38" s="142">
        <v>1000.0</v>
      </c>
      <c r="D38" s="142">
        <v>1000.0</v>
      </c>
      <c r="E38" s="142">
        <v>1000.0</v>
      </c>
      <c r="F38" s="142">
        <v>1000.0</v>
      </c>
      <c r="G38" s="110"/>
      <c r="H38" s="110"/>
      <c r="I38" s="110"/>
      <c r="J38" s="110"/>
      <c r="K38" s="110"/>
      <c r="L38" s="110"/>
      <c r="M38" s="110"/>
      <c r="N38" s="110"/>
    </row>
    <row r="39">
      <c r="A39" s="119" t="s">
        <v>190</v>
      </c>
      <c r="B39" s="130">
        <f t="shared" ref="B39:F39" si="15">B22*B38</f>
        <v>2368.992384</v>
      </c>
      <c r="C39" s="130">
        <f t="shared" si="15"/>
        <v>2931.586251</v>
      </c>
      <c r="D39" s="130">
        <f t="shared" si="15"/>
        <v>2811.98484</v>
      </c>
      <c r="E39" s="130">
        <f t="shared" si="15"/>
        <v>2794.023834</v>
      </c>
      <c r="F39" s="130">
        <f t="shared" si="15"/>
        <v>2961.995955</v>
      </c>
      <c r="G39" s="109" t="s">
        <v>191</v>
      </c>
      <c r="H39" s="110"/>
      <c r="I39" s="110"/>
      <c r="J39" s="110"/>
      <c r="K39" s="110"/>
      <c r="L39" s="110"/>
      <c r="M39" s="110"/>
      <c r="N39" s="110"/>
    </row>
    <row r="40">
      <c r="A40" s="119"/>
      <c r="B40" s="130"/>
      <c r="C40" s="130"/>
      <c r="D40" s="130"/>
      <c r="E40" s="130"/>
      <c r="F40" s="130"/>
      <c r="G40" s="110"/>
      <c r="H40" s="110"/>
      <c r="I40" s="110"/>
      <c r="J40" s="110"/>
      <c r="K40" s="110"/>
      <c r="L40" s="110"/>
      <c r="M40" s="110"/>
      <c r="N40" s="110"/>
    </row>
    <row r="41">
      <c r="A41" s="143"/>
      <c r="B41" s="144"/>
      <c r="C41" s="144"/>
      <c r="D41" s="144"/>
      <c r="E41" s="144"/>
      <c r="F41" s="144"/>
      <c r="G41" s="144"/>
      <c r="H41" s="144"/>
      <c r="I41" s="144"/>
      <c r="J41" s="144"/>
      <c r="K41" s="144"/>
      <c r="L41" s="144"/>
      <c r="M41" s="144"/>
      <c r="N41" s="144"/>
      <c r="O41" s="145"/>
      <c r="P41" s="145"/>
      <c r="Q41" s="145"/>
      <c r="R41" s="145"/>
      <c r="S41" s="145"/>
      <c r="T41" s="145"/>
    </row>
    <row r="42">
      <c r="A42" s="146"/>
      <c r="B42" s="147"/>
      <c r="C42" s="147"/>
      <c r="D42" s="147"/>
      <c r="E42" s="147"/>
      <c r="F42" s="147"/>
      <c r="G42" s="110"/>
      <c r="H42" s="110"/>
      <c r="I42" s="110"/>
      <c r="J42" s="110"/>
      <c r="K42" s="110"/>
      <c r="L42" s="110"/>
      <c r="M42" s="110"/>
      <c r="N42" s="110"/>
    </row>
    <row r="43">
      <c r="A43" s="148" t="s">
        <v>192</v>
      </c>
      <c r="B43" s="149"/>
      <c r="C43" s="149"/>
      <c r="D43" s="149"/>
      <c r="E43" s="149"/>
      <c r="F43" s="149"/>
      <c r="G43" s="124"/>
      <c r="H43" s="124"/>
      <c r="I43" s="124"/>
      <c r="J43" s="124"/>
      <c r="K43" s="124"/>
      <c r="L43" s="124"/>
      <c r="M43" s="124"/>
      <c r="N43" s="124"/>
      <c r="O43" s="47"/>
      <c r="P43" s="47"/>
      <c r="Q43" s="47"/>
      <c r="R43" s="47"/>
      <c r="S43" s="47"/>
      <c r="T43" s="47"/>
    </row>
    <row r="44">
      <c r="A44" s="150" t="s">
        <v>193</v>
      </c>
      <c r="B44" s="151">
        <v>2.15</v>
      </c>
      <c r="C44" s="151">
        <v>2.15</v>
      </c>
      <c r="D44" s="151">
        <v>2.15</v>
      </c>
      <c r="E44" s="151">
        <v>2.15</v>
      </c>
      <c r="F44" s="152">
        <v>2.15</v>
      </c>
      <c r="G44" s="110"/>
      <c r="H44" s="110"/>
      <c r="I44" s="110"/>
      <c r="J44" s="110"/>
      <c r="K44" s="110"/>
      <c r="L44" s="110"/>
      <c r="M44" s="110"/>
      <c r="N44" s="110"/>
    </row>
    <row r="45">
      <c r="A45" s="153" t="s">
        <v>194</v>
      </c>
      <c r="B45" s="154">
        <v>0.83</v>
      </c>
      <c r="C45" s="154">
        <v>0.83</v>
      </c>
      <c r="D45" s="154">
        <v>0.83</v>
      </c>
      <c r="E45" s="154">
        <v>0.83</v>
      </c>
      <c r="F45" s="155">
        <v>0.83</v>
      </c>
      <c r="G45" s="110"/>
      <c r="H45" s="110"/>
      <c r="I45" s="110"/>
      <c r="J45" s="110"/>
      <c r="K45" s="110"/>
      <c r="L45" s="110"/>
      <c r="M45" s="110"/>
      <c r="N45" s="110"/>
    </row>
    <row r="46">
      <c r="A46" s="109"/>
      <c r="B46" s="107" t="s">
        <v>74</v>
      </c>
      <c r="C46" s="107" t="s">
        <v>75</v>
      </c>
      <c r="D46" s="108" t="s">
        <v>76</v>
      </c>
      <c r="E46" s="107" t="s">
        <v>77</v>
      </c>
      <c r="F46" s="107" t="s">
        <v>78</v>
      </c>
      <c r="G46" s="110"/>
      <c r="H46" s="110"/>
      <c r="I46" s="110"/>
      <c r="J46" s="110"/>
      <c r="K46" s="110"/>
      <c r="L46" s="110"/>
      <c r="M46" s="110"/>
      <c r="N46" s="110"/>
    </row>
    <row r="47">
      <c r="A47" s="109" t="s">
        <v>195</v>
      </c>
      <c r="B47" s="147">
        <f t="shared" ref="B47:F47" si="16">B35/365</f>
        <v>1.786208317</v>
      </c>
      <c r="C47" s="147">
        <f t="shared" si="16"/>
        <v>1.28762974</v>
      </c>
      <c r="D47" s="147">
        <f t="shared" si="16"/>
        <v>1.232278052</v>
      </c>
      <c r="E47" s="147">
        <f t="shared" si="16"/>
        <v>1.459291483</v>
      </c>
      <c r="F47" s="147">
        <f t="shared" si="16"/>
        <v>1.713844591</v>
      </c>
      <c r="G47" s="110"/>
      <c r="H47" s="110"/>
      <c r="I47" s="110"/>
      <c r="J47" s="110"/>
      <c r="K47" s="110"/>
      <c r="L47" s="110"/>
      <c r="M47" s="110"/>
      <c r="N47" s="110"/>
    </row>
    <row r="48">
      <c r="A48" s="109" t="s">
        <v>196</v>
      </c>
      <c r="B48" s="156">
        <f t="shared" ref="B48:F48" si="17">(B44-B47)/B44</f>
        <v>0.1692054338</v>
      </c>
      <c r="C48" s="156">
        <f t="shared" si="17"/>
        <v>0.4011024463</v>
      </c>
      <c r="D48" s="156">
        <f t="shared" si="17"/>
        <v>0.4268474176</v>
      </c>
      <c r="E48" s="156">
        <f t="shared" si="17"/>
        <v>0.3212597755</v>
      </c>
      <c r="F48" s="156">
        <f t="shared" si="17"/>
        <v>0.2028629811</v>
      </c>
      <c r="G48" s="110"/>
      <c r="H48" s="110"/>
      <c r="I48" s="110"/>
      <c r="J48" s="110"/>
      <c r="K48" s="110"/>
      <c r="L48" s="110"/>
      <c r="M48" s="110"/>
      <c r="N48" s="110"/>
    </row>
    <row r="49">
      <c r="A49" s="109"/>
      <c r="B49" s="157"/>
      <c r="C49" s="157"/>
      <c r="D49" s="157"/>
      <c r="E49" s="157"/>
      <c r="F49" s="157"/>
      <c r="G49" s="110"/>
      <c r="H49" s="110"/>
      <c r="I49" s="110"/>
      <c r="J49" s="110"/>
      <c r="K49" s="110"/>
      <c r="L49" s="110"/>
      <c r="M49" s="110"/>
      <c r="N49" s="110"/>
    </row>
    <row r="50">
      <c r="A50" s="109"/>
      <c r="B50" s="107" t="s">
        <v>74</v>
      </c>
      <c r="C50" s="107" t="s">
        <v>75</v>
      </c>
      <c r="D50" s="108" t="s">
        <v>76</v>
      </c>
      <c r="E50" s="107" t="s">
        <v>77</v>
      </c>
      <c r="F50" s="107" t="s">
        <v>78</v>
      </c>
      <c r="G50" s="107" t="s">
        <v>74</v>
      </c>
      <c r="H50" s="107" t="s">
        <v>75</v>
      </c>
      <c r="I50" s="158" t="s">
        <v>76</v>
      </c>
      <c r="J50" s="107" t="s">
        <v>77</v>
      </c>
      <c r="K50" s="107" t="s">
        <v>78</v>
      </c>
      <c r="M50" s="110"/>
      <c r="N50" s="110"/>
    </row>
    <row r="51">
      <c r="A51" s="159" t="s">
        <v>197</v>
      </c>
      <c r="B51" s="130">
        <f t="shared" ref="B51:F51" si="18">B35</f>
        <v>651.9660358</v>
      </c>
      <c r="C51" s="130">
        <f t="shared" si="18"/>
        <v>469.9848552</v>
      </c>
      <c r="D51" s="130">
        <f t="shared" si="18"/>
        <v>449.7814891</v>
      </c>
      <c r="E51" s="130">
        <f t="shared" si="18"/>
        <v>532.6413912</v>
      </c>
      <c r="F51" s="130">
        <f t="shared" si="18"/>
        <v>625.5532756</v>
      </c>
      <c r="G51" s="160">
        <f t="shared" ref="G51:K51" si="19">B51/$B51</f>
        <v>1</v>
      </c>
      <c r="H51" s="161">
        <f t="shared" si="19"/>
        <v>0.7208732195</v>
      </c>
      <c r="I51" s="161">
        <f t="shared" si="19"/>
        <v>0.6898848473</v>
      </c>
      <c r="J51" s="161">
        <f t="shared" si="19"/>
        <v>0.8169772073</v>
      </c>
      <c r="K51" s="162">
        <f t="shared" si="19"/>
        <v>0.9594875211</v>
      </c>
      <c r="M51" s="110"/>
      <c r="N51" s="110"/>
    </row>
    <row r="52">
      <c r="A52" s="109" t="s">
        <v>198</v>
      </c>
      <c r="B52" s="147">
        <f>WB!S88</f>
        <v>3.098574</v>
      </c>
      <c r="C52" s="163">
        <f>WB!S96</f>
        <v>1.533903</v>
      </c>
      <c r="D52" s="147">
        <f>WB!S93</f>
        <v>1.293979</v>
      </c>
      <c r="E52" s="147">
        <f>WB!S100</f>
        <v>2.073805</v>
      </c>
      <c r="F52" s="163">
        <f>WB!S111</f>
        <v>2.43913</v>
      </c>
      <c r="G52" s="156">
        <f t="shared" ref="G52:K52" si="20">B52/$B52</f>
        <v>1</v>
      </c>
      <c r="H52" s="156">
        <f t="shared" si="20"/>
        <v>0.4950351355</v>
      </c>
      <c r="I52" s="156">
        <f t="shared" si="20"/>
        <v>0.4176046788</v>
      </c>
      <c r="J52" s="156">
        <f t="shared" si="20"/>
        <v>0.6692772224</v>
      </c>
      <c r="K52" s="156">
        <f t="shared" si="20"/>
        <v>0.787178231</v>
      </c>
      <c r="M52" s="110"/>
      <c r="N52" s="110"/>
    </row>
    <row r="53">
      <c r="A53" s="109" t="s">
        <v>199</v>
      </c>
      <c r="B53" s="130">
        <f>WB!BP22</f>
        <v>5699.82119</v>
      </c>
      <c r="C53" s="130">
        <f>WB!BP23</f>
        <v>1493.66314</v>
      </c>
      <c r="D53" s="130">
        <f>WB!BP24</f>
        <v>1683.45859</v>
      </c>
      <c r="E53" s="130">
        <f>WB!BP25</f>
        <v>3029.58809</v>
      </c>
      <c r="F53" s="130">
        <f>WB!BP26</f>
        <v>2792.53341</v>
      </c>
      <c r="G53" s="156">
        <f t="shared" ref="G53:K53" si="21">B53/$B53</f>
        <v>1</v>
      </c>
      <c r="H53" s="156">
        <f t="shared" si="21"/>
        <v>0.2620543856</v>
      </c>
      <c r="I53" s="156">
        <f t="shared" si="21"/>
        <v>0.2953528776</v>
      </c>
      <c r="J53" s="156">
        <f t="shared" si="21"/>
        <v>0.5315233564</v>
      </c>
      <c r="K53" s="156">
        <f t="shared" si="21"/>
        <v>0.4899335114</v>
      </c>
      <c r="M53" s="110"/>
      <c r="N53" s="110"/>
    </row>
    <row r="54">
      <c r="A54" s="109" t="s">
        <v>200</v>
      </c>
      <c r="B54" s="156">
        <f>1-WB!C32</f>
        <v>0.546</v>
      </c>
      <c r="C54" s="156">
        <f>1-WB!C33</f>
        <v>0.217</v>
      </c>
      <c r="D54" s="110"/>
      <c r="E54" s="156">
        <f>1-WB!C35</f>
        <v>0.426</v>
      </c>
      <c r="F54" s="156">
        <f>1-WB!C36</f>
        <v>0.477</v>
      </c>
      <c r="G54" s="156">
        <f t="shared" ref="G54:H54" si="22">B54/$B54</f>
        <v>1</v>
      </c>
      <c r="H54" s="156">
        <f t="shared" si="22"/>
        <v>0.3974358974</v>
      </c>
      <c r="I54" s="156"/>
      <c r="J54" s="156">
        <f t="shared" ref="J54:K54" si="23">E54/$B54</f>
        <v>0.7802197802</v>
      </c>
      <c r="K54" s="156">
        <f t="shared" si="23"/>
        <v>0.8736263736</v>
      </c>
      <c r="M54" s="110"/>
      <c r="N54" s="110"/>
    </row>
    <row r="55">
      <c r="A55" s="109" t="s">
        <v>201</v>
      </c>
      <c r="B55" s="156">
        <f>1-WB!C41</f>
        <v>0.806</v>
      </c>
      <c r="C55" s="156">
        <f>1-WB!C42</f>
        <v>0.63</v>
      </c>
      <c r="D55" s="156">
        <f>1-WB!C43</f>
        <v>0.622</v>
      </c>
      <c r="E55" s="156">
        <f>1-WB!C44</f>
        <v>0.674</v>
      </c>
      <c r="F55" s="156">
        <f>1-WB!C45</f>
        <v>0.721</v>
      </c>
      <c r="G55" s="156">
        <f t="shared" ref="G55:K55" si="24">B55/$B$55</f>
        <v>1</v>
      </c>
      <c r="H55" s="156">
        <f t="shared" si="24"/>
        <v>0.7816377171</v>
      </c>
      <c r="I55" s="156">
        <f t="shared" si="24"/>
        <v>0.7717121588</v>
      </c>
      <c r="J55" s="156">
        <f t="shared" si="24"/>
        <v>0.8362282878</v>
      </c>
      <c r="K55" s="156">
        <f t="shared" si="24"/>
        <v>0.8945409429</v>
      </c>
      <c r="M55" s="110"/>
      <c r="N55" s="110"/>
    </row>
    <row r="56">
      <c r="A56" s="109"/>
      <c r="B56" s="110"/>
      <c r="C56" s="110"/>
      <c r="D56" s="110"/>
      <c r="E56" s="110"/>
      <c r="F56" s="110"/>
      <c r="G56" s="110"/>
      <c r="H56" s="110"/>
      <c r="I56" s="110"/>
      <c r="J56" s="110"/>
      <c r="K56" s="110"/>
      <c r="L56" s="110"/>
      <c r="M56" s="110"/>
      <c r="N56" s="110"/>
    </row>
    <row r="57">
      <c r="A57" s="109"/>
      <c r="B57" s="157"/>
      <c r="C57" s="157"/>
      <c r="D57" s="157"/>
      <c r="E57" s="157"/>
      <c r="F57" s="157"/>
      <c r="G57" s="110"/>
      <c r="H57" s="110"/>
      <c r="I57" s="110"/>
      <c r="J57" s="110"/>
      <c r="K57" s="110"/>
      <c r="L57" s="110"/>
      <c r="M57" s="110"/>
      <c r="N57" s="110"/>
    </row>
    <row r="58">
      <c r="A58" s="110"/>
      <c r="B58" s="107" t="s">
        <v>74</v>
      </c>
      <c r="C58" s="107" t="s">
        <v>75</v>
      </c>
      <c r="D58" s="108" t="s">
        <v>76</v>
      </c>
      <c r="E58" s="107" t="s">
        <v>77</v>
      </c>
      <c r="F58" s="107" t="s">
        <v>78</v>
      </c>
      <c r="G58" s="110"/>
      <c r="H58" s="110"/>
      <c r="I58" s="110"/>
      <c r="J58" s="110"/>
      <c r="K58" s="110"/>
      <c r="L58" s="110"/>
      <c r="M58" s="110"/>
      <c r="N58" s="110"/>
    </row>
    <row r="59">
      <c r="A59" s="109" t="s">
        <v>202</v>
      </c>
      <c r="B59" s="130">
        <f t="shared" ref="B59:F59" si="25">B21</f>
        <v>651.9660358</v>
      </c>
      <c r="C59" s="130">
        <f t="shared" si="25"/>
        <v>324.1274864</v>
      </c>
      <c r="D59" s="130">
        <f t="shared" si="25"/>
        <v>124.9393025</v>
      </c>
      <c r="E59" s="130">
        <f t="shared" si="25"/>
        <v>313.3184654</v>
      </c>
      <c r="F59" s="130">
        <f t="shared" si="25"/>
        <v>367.9725151</v>
      </c>
      <c r="G59" s="110"/>
      <c r="H59" s="110"/>
      <c r="I59" s="110"/>
      <c r="J59" s="110"/>
      <c r="K59" s="110"/>
      <c r="L59" s="110"/>
      <c r="M59" s="110"/>
      <c r="N59" s="110"/>
    </row>
    <row r="60">
      <c r="A60" s="109" t="s">
        <v>185</v>
      </c>
      <c r="B60" s="130">
        <f t="shared" ref="B60:F60" si="26">B29</f>
        <v>736.0404403</v>
      </c>
      <c r="C60" s="130">
        <f t="shared" si="26"/>
        <v>272.2894292</v>
      </c>
      <c r="D60" s="130" t="str">
        <f t="shared" si="26"/>
        <v/>
      </c>
      <c r="E60" s="130">
        <f t="shared" si="26"/>
        <v>420.3359199</v>
      </c>
      <c r="F60" s="130">
        <f t="shared" si="26"/>
        <v>690.302652</v>
      </c>
      <c r="G60" s="110"/>
      <c r="H60" s="110"/>
      <c r="I60" s="110"/>
      <c r="J60" s="110"/>
      <c r="K60" s="110"/>
      <c r="L60" s="110"/>
      <c r="M60" s="110"/>
      <c r="N60" s="110"/>
    </row>
    <row r="61">
      <c r="A61" s="109" t="s">
        <v>203</v>
      </c>
      <c r="B61" s="130">
        <f t="shared" ref="B61:F61" si="27">B35</f>
        <v>651.9660358</v>
      </c>
      <c r="C61" s="130">
        <f t="shared" si="27"/>
        <v>469.9848552</v>
      </c>
      <c r="D61" s="130">
        <f t="shared" si="27"/>
        <v>449.7814891</v>
      </c>
      <c r="E61" s="130">
        <f t="shared" si="27"/>
        <v>532.6413912</v>
      </c>
      <c r="F61" s="130">
        <f t="shared" si="27"/>
        <v>625.5532756</v>
      </c>
      <c r="G61" s="110"/>
      <c r="H61" s="110"/>
      <c r="I61" s="110"/>
      <c r="J61" s="110"/>
      <c r="K61" s="110"/>
      <c r="L61" s="110"/>
      <c r="M61" s="110"/>
      <c r="N61" s="110"/>
    </row>
    <row r="62">
      <c r="A62" s="110"/>
      <c r="B62" s="110"/>
      <c r="C62" s="110"/>
      <c r="D62" s="110"/>
      <c r="E62" s="110"/>
      <c r="F62" s="110"/>
      <c r="G62" s="110"/>
      <c r="H62" s="110"/>
      <c r="I62" s="110"/>
      <c r="J62" s="110"/>
      <c r="K62" s="110"/>
      <c r="L62" s="110"/>
      <c r="M62" s="110"/>
      <c r="N62" s="110"/>
    </row>
    <row r="63">
      <c r="A63" s="110"/>
      <c r="B63" s="110"/>
      <c r="C63" s="110"/>
      <c r="D63" s="110"/>
      <c r="E63" s="110"/>
      <c r="F63" s="110"/>
      <c r="G63" s="110"/>
      <c r="H63" s="110"/>
      <c r="I63" s="110"/>
      <c r="J63" s="110"/>
      <c r="K63" s="110"/>
      <c r="L63" s="110"/>
      <c r="M63" s="110"/>
      <c r="N63" s="110"/>
    </row>
    <row r="64">
      <c r="A64" s="110"/>
      <c r="B64" s="110"/>
      <c r="C64" s="110"/>
      <c r="D64" s="109"/>
      <c r="E64" s="109"/>
      <c r="F64" s="110"/>
      <c r="G64" s="110"/>
      <c r="H64" s="110"/>
      <c r="I64" s="110"/>
      <c r="J64" s="110"/>
      <c r="K64" s="110"/>
      <c r="L64" s="110"/>
      <c r="M64" s="110"/>
      <c r="N64" s="110"/>
    </row>
    <row r="65">
      <c r="A65" s="110"/>
      <c r="B65" s="110"/>
      <c r="C65" s="109"/>
      <c r="D65" s="164"/>
      <c r="E65" s="164"/>
      <c r="F65" s="110"/>
      <c r="G65" s="110"/>
      <c r="H65" s="110"/>
      <c r="I65" s="110"/>
      <c r="J65" s="110"/>
      <c r="K65" s="110"/>
      <c r="L65" s="110"/>
      <c r="M65" s="110"/>
      <c r="N65" s="110"/>
    </row>
    <row r="66">
      <c r="A66" s="110"/>
      <c r="B66" s="110"/>
      <c r="C66" s="109"/>
      <c r="D66" s="164"/>
      <c r="E66" s="164"/>
      <c r="F66" s="110"/>
      <c r="G66" s="110"/>
      <c r="H66" s="110"/>
      <c r="I66" s="110"/>
      <c r="J66" s="110"/>
      <c r="K66" s="110"/>
      <c r="L66" s="110"/>
      <c r="M66" s="110"/>
      <c r="N66" s="110"/>
    </row>
    <row r="67">
      <c r="A67" s="110"/>
      <c r="B67" s="110"/>
      <c r="C67" s="110"/>
      <c r="D67" s="110"/>
      <c r="E67" s="110"/>
      <c r="F67" s="110"/>
      <c r="G67" s="110"/>
      <c r="H67" s="110"/>
      <c r="I67" s="110"/>
      <c r="J67" s="110"/>
      <c r="K67" s="110"/>
      <c r="L67" s="110"/>
      <c r="M67" s="110"/>
      <c r="N67" s="110"/>
    </row>
    <row r="68">
      <c r="A68" s="110"/>
      <c r="B68" s="110"/>
      <c r="C68" s="110"/>
      <c r="D68" s="110"/>
      <c r="E68" s="110"/>
      <c r="F68" s="110"/>
      <c r="G68" s="110"/>
      <c r="H68" s="110"/>
      <c r="I68" s="110"/>
      <c r="J68" s="110"/>
      <c r="K68" s="110"/>
      <c r="L68" s="110"/>
      <c r="M68" s="110"/>
      <c r="N68" s="110"/>
    </row>
    <row r="69">
      <c r="A69" s="110"/>
      <c r="B69" s="110"/>
      <c r="C69" s="110"/>
      <c r="D69" s="110"/>
      <c r="E69" s="110"/>
      <c r="F69" s="110"/>
      <c r="G69" s="110"/>
      <c r="H69" s="110"/>
      <c r="I69" s="110"/>
      <c r="J69" s="110"/>
      <c r="K69" s="110"/>
      <c r="L69" s="110"/>
      <c r="M69" s="110"/>
      <c r="N69" s="110"/>
    </row>
    <row r="70">
      <c r="A70" s="110"/>
      <c r="B70" s="110"/>
      <c r="C70" s="110"/>
      <c r="D70" s="110"/>
      <c r="E70" s="110"/>
      <c r="F70" s="110"/>
      <c r="G70" s="110"/>
      <c r="H70" s="110"/>
      <c r="I70" s="110"/>
      <c r="J70" s="110"/>
      <c r="K70" s="110"/>
      <c r="L70" s="110"/>
      <c r="M70" s="110"/>
      <c r="N70" s="110"/>
    </row>
    <row r="71">
      <c r="A71" s="110"/>
      <c r="B71" s="110"/>
      <c r="C71" s="110"/>
      <c r="D71" s="110"/>
      <c r="E71" s="110"/>
      <c r="F71" s="110"/>
      <c r="G71" s="110"/>
      <c r="H71" s="110"/>
      <c r="I71" s="110"/>
      <c r="J71" s="110"/>
      <c r="K71" s="110"/>
      <c r="L71" s="110"/>
      <c r="M71" s="110"/>
      <c r="N71" s="110"/>
    </row>
    <row r="72">
      <c r="A72" s="110"/>
      <c r="B72" s="110"/>
      <c r="C72" s="110"/>
      <c r="D72" s="110"/>
      <c r="E72" s="110"/>
      <c r="F72" s="110"/>
      <c r="G72" s="110"/>
      <c r="H72" s="110"/>
      <c r="I72" s="110"/>
      <c r="J72" s="110"/>
      <c r="K72" s="110"/>
      <c r="L72" s="110"/>
      <c r="M72" s="110"/>
      <c r="N72" s="110"/>
    </row>
    <row r="73">
      <c r="A73" s="110"/>
      <c r="B73" s="110"/>
      <c r="C73" s="110"/>
      <c r="D73" s="110"/>
      <c r="E73" s="110"/>
      <c r="F73" s="110"/>
      <c r="G73" s="110"/>
      <c r="H73" s="110"/>
      <c r="I73" s="110"/>
      <c r="J73" s="110"/>
      <c r="K73" s="110"/>
      <c r="L73" s="110"/>
      <c r="M73" s="110"/>
      <c r="N73" s="110"/>
    </row>
    <row r="74">
      <c r="A74" s="110"/>
      <c r="B74" s="110"/>
      <c r="C74" s="110"/>
      <c r="D74" s="110"/>
      <c r="E74" s="110"/>
      <c r="F74" s="110"/>
      <c r="G74" s="110"/>
      <c r="H74" s="110"/>
      <c r="I74" s="110"/>
      <c r="J74" s="110"/>
      <c r="K74" s="110"/>
      <c r="L74" s="110"/>
      <c r="M74" s="110"/>
      <c r="N74" s="110"/>
    </row>
    <row r="75">
      <c r="A75" s="110"/>
      <c r="B75" s="110"/>
      <c r="C75" s="110"/>
      <c r="D75" s="110"/>
      <c r="E75" s="110"/>
      <c r="F75" s="110"/>
      <c r="G75" s="110"/>
      <c r="H75" s="110"/>
      <c r="I75" s="110"/>
      <c r="J75" s="110"/>
      <c r="K75" s="110"/>
      <c r="L75" s="110"/>
      <c r="M75" s="110"/>
      <c r="N75" s="110"/>
    </row>
    <row r="76">
      <c r="A76" s="110"/>
      <c r="B76" s="110"/>
      <c r="C76" s="110"/>
      <c r="D76" s="110"/>
      <c r="E76" s="110"/>
      <c r="F76" s="110"/>
      <c r="G76" s="110"/>
      <c r="H76" s="110"/>
      <c r="I76" s="110"/>
      <c r="J76" s="110"/>
      <c r="K76" s="110"/>
      <c r="L76" s="110"/>
      <c r="M76" s="110"/>
      <c r="N76" s="110"/>
    </row>
    <row r="77">
      <c r="A77" s="110"/>
      <c r="B77" s="110"/>
      <c r="C77" s="110"/>
      <c r="D77" s="110"/>
      <c r="E77" s="110"/>
      <c r="F77" s="110"/>
      <c r="G77" s="110"/>
      <c r="H77" s="110"/>
      <c r="I77" s="110"/>
      <c r="J77" s="110"/>
      <c r="K77" s="110"/>
      <c r="L77" s="110"/>
      <c r="M77" s="110"/>
      <c r="N77" s="110"/>
    </row>
    <row r="78">
      <c r="A78" s="110"/>
      <c r="B78" s="110"/>
      <c r="C78" s="110"/>
      <c r="D78" s="110"/>
      <c r="E78" s="110"/>
      <c r="F78" s="110"/>
      <c r="G78" s="110"/>
      <c r="H78" s="110"/>
      <c r="I78" s="110"/>
      <c r="J78" s="110"/>
      <c r="K78" s="110"/>
      <c r="L78" s="110"/>
      <c r="M78" s="110"/>
      <c r="N78" s="110"/>
    </row>
    <row r="79">
      <c r="A79" s="110"/>
      <c r="B79" s="110"/>
      <c r="C79" s="110"/>
      <c r="D79" s="110"/>
      <c r="E79" s="110"/>
      <c r="F79" s="110"/>
      <c r="G79" s="110"/>
      <c r="H79" s="110"/>
      <c r="I79" s="110"/>
      <c r="J79" s="110"/>
      <c r="K79" s="110"/>
      <c r="L79" s="110"/>
      <c r="M79" s="110"/>
      <c r="N79" s="110"/>
    </row>
    <row r="80">
      <c r="A80" s="110"/>
      <c r="B80" s="110"/>
      <c r="C80" s="110"/>
      <c r="D80" s="110"/>
      <c r="E80" s="110"/>
      <c r="F80" s="110"/>
      <c r="G80" s="110"/>
      <c r="H80" s="110"/>
      <c r="I80" s="110"/>
      <c r="J80" s="110"/>
      <c r="K80" s="110"/>
      <c r="L80" s="110"/>
      <c r="M80" s="110"/>
      <c r="N80" s="110"/>
    </row>
    <row r="81">
      <c r="A81" s="110"/>
      <c r="B81" s="165" t="s">
        <v>204</v>
      </c>
      <c r="C81" s="166" t="s">
        <v>74</v>
      </c>
      <c r="D81" s="166" t="s">
        <v>75</v>
      </c>
      <c r="E81" s="158" t="s">
        <v>76</v>
      </c>
      <c r="F81" s="166" t="s">
        <v>77</v>
      </c>
      <c r="G81" s="166" t="s">
        <v>78</v>
      </c>
      <c r="H81" s="110"/>
      <c r="I81" s="110"/>
      <c r="J81" s="110"/>
      <c r="K81" s="110"/>
      <c r="L81" s="110"/>
      <c r="M81" s="110"/>
      <c r="N81" s="110"/>
    </row>
    <row r="82">
      <c r="B82" s="28">
        <v>670.0</v>
      </c>
      <c r="C82" s="167">
        <v>651.9660358453941</v>
      </c>
      <c r="D82" s="167">
        <v>469.9848552329033</v>
      </c>
      <c r="E82" s="167">
        <v>449.78148907467676</v>
      </c>
      <c r="F82" s="167">
        <v>532.6413911877204</v>
      </c>
      <c r="G82" s="167">
        <v>625.5532755956834</v>
      </c>
    </row>
    <row r="83">
      <c r="A83" s="53" t="s">
        <v>203</v>
      </c>
      <c r="B83" s="168">
        <f t="shared" ref="B83:G83" si="28">B82/365</f>
        <v>1.835616438</v>
      </c>
      <c r="C83" s="168">
        <f t="shared" si="28"/>
        <v>1.786208317</v>
      </c>
      <c r="D83" s="168">
        <f t="shared" si="28"/>
        <v>1.28762974</v>
      </c>
      <c r="E83" s="168">
        <f t="shared" si="28"/>
        <v>1.232278052</v>
      </c>
      <c r="F83" s="168">
        <f t="shared" si="28"/>
        <v>1.459291483</v>
      </c>
      <c r="G83" s="168">
        <f t="shared" si="28"/>
        <v>1.713844591</v>
      </c>
    </row>
  </sheetData>
  <conditionalFormatting sqref="G51:L55">
    <cfRule type="colorScale" priority="1">
      <colorScale>
        <cfvo type="min"/>
        <cfvo type="percentile" val="50"/>
        <cfvo type="max"/>
        <color rgb="FFE67C73"/>
        <color rgb="FFFFFFFF"/>
        <color rgb="FF57BB8A"/>
      </colorScale>
    </cfRule>
  </conditionalFormatting>
  <hyperlinks>
    <hyperlink r:id="rId2" ref="A2"/>
  </hyperlinks>
  <drawing r:id="rId3"/>
  <legacy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CB9C"/>
    <outlinePr summaryBelow="0" summaryRight="0"/>
  </sheetPr>
  <sheetViews>
    <sheetView workbookViewId="0"/>
  </sheetViews>
  <sheetFormatPr customHeight="1" defaultColWidth="17.29" defaultRowHeight="15.0"/>
  <cols>
    <col customWidth="1" min="1" max="1" width="65.0"/>
  </cols>
  <sheetData>
    <row r="1">
      <c r="A1" s="169" t="s">
        <v>205</v>
      </c>
      <c r="B1" s="46"/>
      <c r="C1" s="46"/>
      <c r="D1" s="46"/>
      <c r="E1" s="46"/>
      <c r="F1" s="46"/>
      <c r="G1" s="46"/>
      <c r="H1" s="46"/>
      <c r="I1" s="46"/>
      <c r="J1" s="46"/>
      <c r="K1" s="46"/>
      <c r="L1" s="46"/>
      <c r="M1" s="46"/>
      <c r="N1" s="46"/>
      <c r="O1" s="46"/>
      <c r="P1" s="46"/>
      <c r="Q1" s="46"/>
      <c r="R1" s="46"/>
      <c r="S1" s="46"/>
      <c r="T1" s="46"/>
      <c r="U1" s="46"/>
      <c r="V1" s="46"/>
      <c r="W1" s="46"/>
      <c r="X1" s="46"/>
      <c r="Y1" s="46"/>
      <c r="Z1" s="46"/>
    </row>
    <row r="3">
      <c r="A3" s="170" t="s">
        <v>206</v>
      </c>
      <c r="B3" s="171" t="s">
        <v>74</v>
      </c>
      <c r="C3" s="171" t="s">
        <v>75</v>
      </c>
      <c r="D3" s="171" t="s">
        <v>76</v>
      </c>
      <c r="E3" s="171" t="s">
        <v>77</v>
      </c>
      <c r="F3" s="172" t="s">
        <v>78</v>
      </c>
      <c r="G3" s="53"/>
    </row>
    <row r="4">
      <c r="A4" s="173" t="s">
        <v>207</v>
      </c>
      <c r="B4" s="87">
        <f>'New CEA'!B15</f>
        <v>0.43</v>
      </c>
      <c r="C4" s="87">
        <f>'New CEA'!C15</f>
        <v>0.43</v>
      </c>
      <c r="D4" s="87">
        <f>'New CEA'!D15</f>
        <v>0.43</v>
      </c>
      <c r="E4" s="87">
        <f>'New CEA'!E15</f>
        <v>0.43</v>
      </c>
      <c r="F4" s="174">
        <f>'New CEA'!F15</f>
        <v>0.43</v>
      </c>
    </row>
    <row r="5">
      <c r="A5" s="173" t="s">
        <v>208</v>
      </c>
      <c r="B5" s="87">
        <v>0.4</v>
      </c>
      <c r="C5" s="87">
        <v>0.4</v>
      </c>
      <c r="D5" s="87">
        <v>0.4</v>
      </c>
      <c r="E5" s="87">
        <v>0.4</v>
      </c>
      <c r="F5" s="174">
        <v>0.4</v>
      </c>
      <c r="G5" s="53"/>
    </row>
    <row r="6">
      <c r="A6" s="173" t="s">
        <v>209</v>
      </c>
      <c r="B6" s="87">
        <v>-0.2</v>
      </c>
      <c r="C6" s="87">
        <f t="shared" ref="C6:F6" si="1">$B6</f>
        <v>-0.2</v>
      </c>
      <c r="D6" s="87">
        <f t="shared" si="1"/>
        <v>-0.2</v>
      </c>
      <c r="E6" s="87">
        <f t="shared" si="1"/>
        <v>-0.2</v>
      </c>
      <c r="F6" s="174">
        <f t="shared" si="1"/>
        <v>-0.2</v>
      </c>
      <c r="G6" s="53"/>
    </row>
    <row r="7">
      <c r="A7" s="173" t="s">
        <v>210</v>
      </c>
      <c r="B7" s="87">
        <f>Baseline!B15</f>
        <v>0.02</v>
      </c>
      <c r="C7" s="87">
        <f>Baseline!C15</f>
        <v>0.01</v>
      </c>
      <c r="D7" s="87">
        <f>Baseline!D15</f>
        <v>0.01</v>
      </c>
      <c r="E7" s="87">
        <f>Baseline!E15</f>
        <v>0.02</v>
      </c>
      <c r="F7" s="174">
        <f>Baseline!F15</f>
        <v>0.02</v>
      </c>
    </row>
    <row r="8">
      <c r="A8" s="175" t="s">
        <v>211</v>
      </c>
      <c r="B8" s="99"/>
      <c r="F8" s="176"/>
    </row>
    <row r="9">
      <c r="A9" s="173" t="s">
        <v>212</v>
      </c>
      <c r="B9" s="99">
        <v>0.04</v>
      </c>
      <c r="F9" s="176"/>
    </row>
    <row r="10">
      <c r="A10" s="177" t="s">
        <v>96</v>
      </c>
      <c r="B10" s="178">
        <f>'New CEA'!$B$20</f>
        <v>1.442695041</v>
      </c>
      <c r="C10" s="179"/>
      <c r="D10" s="179"/>
      <c r="E10" s="179"/>
      <c r="F10" s="180"/>
    </row>
    <row r="12">
      <c r="A12" s="50" t="s">
        <v>74</v>
      </c>
      <c r="B12" s="181">
        <v>2024.0</v>
      </c>
      <c r="C12" s="181">
        <f t="shared" ref="C12:K12" si="2">B12+1</f>
        <v>2025</v>
      </c>
      <c r="D12" s="181">
        <f t="shared" si="2"/>
        <v>2026</v>
      </c>
      <c r="E12" s="181">
        <f t="shared" si="2"/>
        <v>2027</v>
      </c>
      <c r="F12" s="181">
        <f t="shared" si="2"/>
        <v>2028</v>
      </c>
      <c r="G12" s="181">
        <f t="shared" si="2"/>
        <v>2029</v>
      </c>
      <c r="H12" s="181">
        <f t="shared" si="2"/>
        <v>2030</v>
      </c>
      <c r="I12" s="181">
        <f t="shared" si="2"/>
        <v>2031</v>
      </c>
      <c r="J12" s="181">
        <f t="shared" si="2"/>
        <v>2032</v>
      </c>
      <c r="K12" s="181">
        <f t="shared" si="2"/>
        <v>2033</v>
      </c>
      <c r="L12" s="52"/>
      <c r="M12" s="52"/>
      <c r="N12" s="52"/>
      <c r="O12" s="52"/>
      <c r="P12" s="52"/>
      <c r="Q12" s="52"/>
      <c r="R12" s="52"/>
      <c r="S12" s="52"/>
      <c r="T12" s="52"/>
      <c r="U12" s="52"/>
      <c r="V12" s="52"/>
      <c r="W12" s="52"/>
      <c r="X12" s="52"/>
      <c r="Y12" s="52"/>
      <c r="Z12" s="52"/>
    </row>
    <row r="13">
      <c r="A13" s="53" t="s">
        <v>88</v>
      </c>
      <c r="B13" s="90">
        <f>'New CEA'!B12</f>
        <v>4078.612717</v>
      </c>
      <c r="C13" s="182"/>
      <c r="D13" s="182"/>
      <c r="E13" s="182"/>
      <c r="F13" s="182"/>
      <c r="G13" s="182"/>
      <c r="H13" s="182"/>
      <c r="I13" s="182"/>
      <c r="J13" s="182"/>
      <c r="K13" s="182"/>
    </row>
    <row r="14">
      <c r="A14" s="53" t="s">
        <v>213</v>
      </c>
      <c r="B14" s="167">
        <f>'New CEA'!B11</f>
        <v>487.899622</v>
      </c>
      <c r="C14" s="182"/>
      <c r="D14" s="182"/>
      <c r="E14" s="182"/>
      <c r="F14" s="182"/>
      <c r="G14" s="182"/>
      <c r="H14" s="182"/>
      <c r="I14" s="182"/>
      <c r="J14" s="182"/>
      <c r="K14" s="182"/>
    </row>
    <row r="15">
      <c r="A15" s="53" t="s">
        <v>214</v>
      </c>
      <c r="B15" s="167">
        <f>B14*(1-B$4)</f>
        <v>278.1027846</v>
      </c>
      <c r="C15" s="182"/>
      <c r="D15" s="182"/>
      <c r="E15" s="182"/>
      <c r="F15" s="182"/>
      <c r="G15" s="182"/>
      <c r="H15" s="182"/>
      <c r="I15" s="182"/>
      <c r="J15" s="182"/>
      <c r="K15" s="182"/>
    </row>
    <row r="16">
      <c r="A16" s="183" t="s">
        <v>215</v>
      </c>
      <c r="B16" s="184">
        <f>B14-B15</f>
        <v>209.7968375</v>
      </c>
      <c r="C16" s="182"/>
      <c r="D16" s="182"/>
      <c r="E16" s="182"/>
      <c r="F16" s="182"/>
      <c r="G16" s="182"/>
      <c r="H16" s="182"/>
      <c r="I16" s="182"/>
      <c r="J16" s="182"/>
      <c r="K16" s="182"/>
    </row>
    <row r="17">
      <c r="A17" s="53" t="s">
        <v>216</v>
      </c>
      <c r="B17" s="167">
        <f>'New CEA'!$B$14</f>
        <v>651.9660358</v>
      </c>
      <c r="C17" s="167">
        <f t="shared" ref="C17:K17" si="3">B17*(1+$B$7)</f>
        <v>665.0053566</v>
      </c>
      <c r="D17" s="167">
        <f t="shared" si="3"/>
        <v>678.3054637</v>
      </c>
      <c r="E17" s="167">
        <f t="shared" si="3"/>
        <v>691.871573</v>
      </c>
      <c r="F17" s="167">
        <f t="shared" si="3"/>
        <v>705.7090044</v>
      </c>
      <c r="G17" s="167">
        <f t="shared" si="3"/>
        <v>719.8231845</v>
      </c>
      <c r="H17" s="167">
        <f t="shared" si="3"/>
        <v>734.2196482</v>
      </c>
      <c r="I17" s="167">
        <f t="shared" si="3"/>
        <v>748.9040412</v>
      </c>
      <c r="J17" s="167">
        <f t="shared" si="3"/>
        <v>763.882122</v>
      </c>
      <c r="K17" s="167">
        <f t="shared" si="3"/>
        <v>779.1597644</v>
      </c>
    </row>
    <row r="18">
      <c r="A18" s="53" t="s">
        <v>217</v>
      </c>
      <c r="B18" s="167">
        <f>B15</f>
        <v>278.1027846</v>
      </c>
      <c r="C18" s="167">
        <f>B16*$B$5</f>
        <v>83.91873499</v>
      </c>
      <c r="D18" s="167">
        <f t="shared" ref="D18:K18" si="4">C18*(1+$B$6)</f>
        <v>67.13498799</v>
      </c>
      <c r="E18" s="167">
        <f t="shared" si="4"/>
        <v>53.70799039</v>
      </c>
      <c r="F18" s="167">
        <f t="shared" si="4"/>
        <v>42.96639231</v>
      </c>
      <c r="G18" s="167">
        <f t="shared" si="4"/>
        <v>34.37311385</v>
      </c>
      <c r="H18" s="167">
        <f t="shared" si="4"/>
        <v>27.49849108</v>
      </c>
      <c r="I18" s="167">
        <f t="shared" si="4"/>
        <v>21.99879287</v>
      </c>
      <c r="J18" s="167">
        <f t="shared" si="4"/>
        <v>17.59903429</v>
      </c>
      <c r="K18" s="167">
        <f t="shared" si="4"/>
        <v>14.07922743</v>
      </c>
      <c r="L18" s="182"/>
      <c r="N18" s="185"/>
    </row>
    <row r="19">
      <c r="A19" s="53" t="s">
        <v>218</v>
      </c>
      <c r="B19" s="186">
        <f t="shared" ref="B19:K19" si="5">ln(B17+B18)-ln(B17)</f>
        <v>0.3552661155</v>
      </c>
      <c r="C19" s="186">
        <f t="shared" si="5"/>
        <v>0.1188425364</v>
      </c>
      <c r="D19" s="186">
        <f t="shared" si="5"/>
        <v>0.0943775311</v>
      </c>
      <c r="E19" s="186">
        <f t="shared" si="5"/>
        <v>0.07476150314</v>
      </c>
      <c r="F19" s="186">
        <f t="shared" si="5"/>
        <v>0.0591025299</v>
      </c>
      <c r="G19" s="186">
        <f t="shared" si="5"/>
        <v>0.046647072</v>
      </c>
      <c r="H19" s="186">
        <f t="shared" si="5"/>
        <v>0.03676835922</v>
      </c>
      <c r="I19" s="186">
        <f t="shared" si="5"/>
        <v>0.02895148035</v>
      </c>
      <c r="J19" s="186">
        <f t="shared" si="5"/>
        <v>0.02277755065</v>
      </c>
      <c r="K19" s="186">
        <f t="shared" si="5"/>
        <v>0.01790843914</v>
      </c>
      <c r="L19" s="187"/>
      <c r="M19" s="115"/>
      <c r="N19" s="188"/>
    </row>
    <row r="20">
      <c r="A20" s="53" t="s">
        <v>219</v>
      </c>
      <c r="B20" s="186">
        <f t="shared" ref="B20:K20" si="6">B19/(1+$B$9)^(B$12-2024)</f>
        <v>0.3552661155</v>
      </c>
      <c r="C20" s="186">
        <f t="shared" si="6"/>
        <v>0.1142716696</v>
      </c>
      <c r="D20" s="186">
        <f t="shared" si="6"/>
        <v>0.08725733275</v>
      </c>
      <c r="E20" s="186">
        <f t="shared" si="6"/>
        <v>0.06646270406</v>
      </c>
      <c r="F20" s="186">
        <f t="shared" si="6"/>
        <v>0.05052109026</v>
      </c>
      <c r="G20" s="186">
        <f t="shared" si="6"/>
        <v>0.03834049293</v>
      </c>
      <c r="H20" s="186">
        <f t="shared" si="6"/>
        <v>0.02905856838</v>
      </c>
      <c r="I20" s="186">
        <f t="shared" si="6"/>
        <v>0.02200074563</v>
      </c>
      <c r="J20" s="186">
        <f t="shared" si="6"/>
        <v>0.01664333316</v>
      </c>
      <c r="K20" s="186">
        <f t="shared" si="6"/>
        <v>0.01258223179</v>
      </c>
      <c r="L20" s="22"/>
      <c r="M20" s="22"/>
      <c r="N20" s="188"/>
    </row>
    <row r="21">
      <c r="A21" s="53" t="s">
        <v>220</v>
      </c>
      <c r="B21" s="189">
        <f t="shared" ref="B21:K21" si="7">B20*$B$10</f>
        <v>0.5125406631</v>
      </c>
      <c r="C21" s="189">
        <f t="shared" si="7"/>
        <v>0.164859171</v>
      </c>
      <c r="D21" s="189">
        <f t="shared" si="7"/>
        <v>0.1258857212</v>
      </c>
      <c r="E21" s="189">
        <f t="shared" si="7"/>
        <v>0.09588541356</v>
      </c>
      <c r="F21" s="189">
        <f t="shared" si="7"/>
        <v>0.07288652638</v>
      </c>
      <c r="G21" s="189">
        <f t="shared" si="7"/>
        <v>0.05531363901</v>
      </c>
      <c r="H21" s="189">
        <f t="shared" si="7"/>
        <v>0.0419226525</v>
      </c>
      <c r="I21" s="189">
        <f t="shared" si="7"/>
        <v>0.03174036662</v>
      </c>
      <c r="J21" s="189">
        <f t="shared" si="7"/>
        <v>0.02401125421</v>
      </c>
      <c r="K21" s="189">
        <f t="shared" si="7"/>
        <v>0.01815232341</v>
      </c>
      <c r="L21" s="22"/>
      <c r="M21" s="22"/>
      <c r="N21" s="188"/>
    </row>
    <row r="22">
      <c r="A22" s="53" t="s">
        <v>221</v>
      </c>
      <c r="B22" s="90">
        <f t="shared" ref="B22:K22" si="8">B21*$B$13</f>
        <v>2090.454866</v>
      </c>
      <c r="C22" s="90">
        <f t="shared" si="8"/>
        <v>672.3967115</v>
      </c>
      <c r="D22" s="90">
        <f t="shared" si="8"/>
        <v>513.4391035</v>
      </c>
      <c r="E22" s="90">
        <f t="shared" si="8"/>
        <v>391.0794671</v>
      </c>
      <c r="F22" s="90">
        <f t="shared" si="8"/>
        <v>297.2759134</v>
      </c>
      <c r="G22" s="90">
        <f t="shared" si="8"/>
        <v>225.6029115</v>
      </c>
      <c r="H22" s="90">
        <f t="shared" si="8"/>
        <v>170.9862636</v>
      </c>
      <c r="I22" s="90">
        <f t="shared" si="8"/>
        <v>129.4566629</v>
      </c>
      <c r="J22" s="90">
        <f t="shared" si="8"/>
        <v>97.93260676</v>
      </c>
      <c r="K22" s="90">
        <f t="shared" si="8"/>
        <v>74.0362971</v>
      </c>
      <c r="L22" s="22"/>
      <c r="M22" s="22"/>
      <c r="N22" s="188"/>
    </row>
    <row r="23">
      <c r="A23" s="53" t="s">
        <v>222</v>
      </c>
      <c r="B23" s="99">
        <f>SUM(C22:K22)/B22</f>
        <v>1.230452749</v>
      </c>
      <c r="C23" s="190"/>
      <c r="D23" s="190"/>
      <c r="E23" s="190"/>
      <c r="F23" s="190"/>
      <c r="G23" s="190"/>
      <c r="H23" s="190"/>
      <c r="I23" s="190"/>
      <c r="J23" s="190"/>
      <c r="K23" s="190"/>
      <c r="L23" s="22"/>
      <c r="M23" s="22"/>
      <c r="N23" s="188"/>
    </row>
    <row r="24">
      <c r="A24" s="97" t="s">
        <v>223</v>
      </c>
      <c r="B24" s="190">
        <f t="shared" ref="B24:K24" si="9">B18/B17</f>
        <v>0.4265602336</v>
      </c>
      <c r="C24" s="190">
        <f t="shared" si="9"/>
        <v>0.12619257</v>
      </c>
      <c r="D24" s="190">
        <f t="shared" si="9"/>
        <v>0.09897456468</v>
      </c>
      <c r="E24" s="190">
        <f t="shared" si="9"/>
        <v>0.07762710956</v>
      </c>
      <c r="F24" s="190">
        <f t="shared" si="9"/>
        <v>0.0608840075</v>
      </c>
      <c r="G24" s="190">
        <f t="shared" si="9"/>
        <v>0.04775216274</v>
      </c>
      <c r="H24" s="190">
        <f t="shared" si="9"/>
        <v>0.03745267666</v>
      </c>
      <c r="I24" s="190">
        <f t="shared" si="9"/>
        <v>0.02937464836</v>
      </c>
      <c r="J24" s="190">
        <f t="shared" si="9"/>
        <v>0.02303893989</v>
      </c>
      <c r="K24" s="190">
        <f t="shared" si="9"/>
        <v>0.01806975678</v>
      </c>
    </row>
    <row r="25">
      <c r="A25" s="191"/>
    </row>
    <row r="26">
      <c r="A26" s="50" t="s">
        <v>75</v>
      </c>
      <c r="B26" s="181">
        <v>2024.0</v>
      </c>
      <c r="C26" s="181">
        <f t="shared" ref="C26:K26" si="10">B26+1</f>
        <v>2025</v>
      </c>
      <c r="D26" s="181">
        <f t="shared" si="10"/>
        <v>2026</v>
      </c>
      <c r="E26" s="181">
        <f t="shared" si="10"/>
        <v>2027</v>
      </c>
      <c r="F26" s="181">
        <f t="shared" si="10"/>
        <v>2028</v>
      </c>
      <c r="G26" s="181">
        <f t="shared" si="10"/>
        <v>2029</v>
      </c>
      <c r="H26" s="181">
        <f t="shared" si="10"/>
        <v>2030</v>
      </c>
      <c r="I26" s="181">
        <f t="shared" si="10"/>
        <v>2031</v>
      </c>
      <c r="J26" s="181">
        <f t="shared" si="10"/>
        <v>2032</v>
      </c>
      <c r="K26" s="181">
        <f t="shared" si="10"/>
        <v>2033</v>
      </c>
      <c r="L26" s="52"/>
      <c r="M26" s="52"/>
      <c r="N26" s="52"/>
      <c r="O26" s="52"/>
      <c r="P26" s="52"/>
      <c r="Q26" s="52"/>
      <c r="R26" s="52"/>
      <c r="S26" s="52"/>
      <c r="T26" s="52"/>
      <c r="U26" s="52"/>
      <c r="V26" s="52"/>
      <c r="W26" s="52"/>
      <c r="X26" s="52"/>
      <c r="Y26" s="52"/>
      <c r="Z26" s="52"/>
    </row>
    <row r="27">
      <c r="A27" s="53" t="s">
        <v>88</v>
      </c>
      <c r="B27" s="90">
        <f>'New CEA'!C12</f>
        <v>3780</v>
      </c>
    </row>
    <row r="28">
      <c r="A28" s="53" t="s">
        <v>213</v>
      </c>
      <c r="B28" s="167">
        <f>'New CEA'!C11</f>
        <v>651.4636114</v>
      </c>
    </row>
    <row r="29">
      <c r="A29" s="53" t="s">
        <v>214</v>
      </c>
      <c r="B29" s="167">
        <f>B28*(1-C$4)</f>
        <v>371.3342585</v>
      </c>
    </row>
    <row r="30">
      <c r="A30" s="183" t="s">
        <v>215</v>
      </c>
      <c r="B30" s="184">
        <f>B28-B29</f>
        <v>280.1293529</v>
      </c>
    </row>
    <row r="31">
      <c r="A31" s="53" t="s">
        <v>216</v>
      </c>
      <c r="B31" s="167">
        <f>'New CEA'!C14</f>
        <v>469.9848552</v>
      </c>
      <c r="C31" s="167">
        <f>B31*(1+$C$7)</f>
        <v>474.6847038</v>
      </c>
      <c r="D31" s="167">
        <f t="shared" ref="D31:K31" si="11">C31*(1+$B$7)</f>
        <v>484.1783979</v>
      </c>
      <c r="E31" s="167">
        <f t="shared" si="11"/>
        <v>493.8619658</v>
      </c>
      <c r="F31" s="167">
        <f t="shared" si="11"/>
        <v>503.7392051</v>
      </c>
      <c r="G31" s="167">
        <f t="shared" si="11"/>
        <v>513.8139892</v>
      </c>
      <c r="H31" s="167">
        <f t="shared" si="11"/>
        <v>524.090269</v>
      </c>
      <c r="I31" s="167">
        <f t="shared" si="11"/>
        <v>534.5720744</v>
      </c>
      <c r="J31" s="167">
        <f t="shared" si="11"/>
        <v>545.2635159</v>
      </c>
      <c r="K31" s="167">
        <f t="shared" si="11"/>
        <v>556.1687862</v>
      </c>
    </row>
    <row r="32">
      <c r="A32" s="53" t="s">
        <v>217</v>
      </c>
      <c r="B32" s="167">
        <f>B29</f>
        <v>371.3342585</v>
      </c>
      <c r="C32" s="167">
        <f>B30*$C$5</f>
        <v>112.0517412</v>
      </c>
      <c r="D32" s="167">
        <f t="shared" ref="D32:K32" si="12">C32*(1+$C$6)</f>
        <v>89.64139293</v>
      </c>
      <c r="E32" s="167">
        <f t="shared" si="12"/>
        <v>71.71311435</v>
      </c>
      <c r="F32" s="167">
        <f t="shared" si="12"/>
        <v>57.37049148</v>
      </c>
      <c r="G32" s="167">
        <f t="shared" si="12"/>
        <v>45.89639318</v>
      </c>
      <c r="H32" s="167">
        <f t="shared" si="12"/>
        <v>36.71711455</v>
      </c>
      <c r="I32" s="167">
        <f t="shared" si="12"/>
        <v>29.37369164</v>
      </c>
      <c r="J32" s="167">
        <f t="shared" si="12"/>
        <v>23.49895331</v>
      </c>
      <c r="K32" s="167">
        <f t="shared" si="12"/>
        <v>18.79916265</v>
      </c>
    </row>
    <row r="33">
      <c r="A33" s="53" t="s">
        <v>218</v>
      </c>
      <c r="B33" s="186">
        <f t="shared" ref="B33:K33" si="13">ln(B31+B32)-ln(B31)</f>
        <v>0.5822705623</v>
      </c>
      <c r="C33" s="186">
        <f t="shared" si="13"/>
        <v>0.2119249304</v>
      </c>
      <c r="D33" s="186">
        <f t="shared" si="13"/>
        <v>0.1698619643</v>
      </c>
      <c r="E33" s="186">
        <f t="shared" si="13"/>
        <v>0.1355869978</v>
      </c>
      <c r="F33" s="186">
        <f t="shared" si="13"/>
        <v>0.10785774</v>
      </c>
      <c r="G33" s="186">
        <f t="shared" si="13"/>
        <v>0.08555816438</v>
      </c>
      <c r="H33" s="186">
        <f t="shared" si="13"/>
        <v>0.06771356316</v>
      </c>
      <c r="I33" s="186">
        <f t="shared" si="13"/>
        <v>0.05349152146</v>
      </c>
      <c r="J33" s="186">
        <f t="shared" si="13"/>
        <v>0.04219370069</v>
      </c>
      <c r="K33" s="186">
        <f t="shared" si="13"/>
        <v>0.03324247762</v>
      </c>
    </row>
    <row r="34">
      <c r="A34" s="53" t="s">
        <v>219</v>
      </c>
      <c r="B34" s="186">
        <f t="shared" ref="B34:K34" si="14">B33/(1+$B$9)^(B$12-2024)</f>
        <v>0.5822705623</v>
      </c>
      <c r="C34" s="186">
        <f t="shared" si="14"/>
        <v>0.2037739716</v>
      </c>
      <c r="D34" s="186">
        <f t="shared" si="14"/>
        <v>0.1570469344</v>
      </c>
      <c r="E34" s="186">
        <f t="shared" si="14"/>
        <v>0.1205363473</v>
      </c>
      <c r="F34" s="186">
        <f t="shared" si="14"/>
        <v>0.0921972482</v>
      </c>
      <c r="G34" s="186">
        <f t="shared" si="14"/>
        <v>0.07032257451</v>
      </c>
      <c r="H34" s="186">
        <f t="shared" si="14"/>
        <v>0.05351501255</v>
      </c>
      <c r="I34" s="186">
        <f t="shared" si="14"/>
        <v>0.04064916001</v>
      </c>
      <c r="J34" s="186">
        <f t="shared" si="14"/>
        <v>0.03083052381</v>
      </c>
      <c r="K34" s="186">
        <f t="shared" si="14"/>
        <v>0.02335572384</v>
      </c>
    </row>
    <row r="35">
      <c r="A35" s="53" t="s">
        <v>220</v>
      </c>
      <c r="B35" s="189">
        <f t="shared" ref="B35:K35" si="15">B34*$B$10</f>
        <v>0.8400388527</v>
      </c>
      <c r="C35" s="189">
        <f t="shared" si="15"/>
        <v>0.2939836982</v>
      </c>
      <c r="D35" s="189">
        <f t="shared" si="15"/>
        <v>0.2265708335</v>
      </c>
      <c r="E35" s="189">
        <f t="shared" si="15"/>
        <v>0.1738971905</v>
      </c>
      <c r="F35" s="189">
        <f t="shared" si="15"/>
        <v>0.1330125128</v>
      </c>
      <c r="G35" s="189">
        <f t="shared" si="15"/>
        <v>0.1014540295</v>
      </c>
      <c r="H35" s="189">
        <f t="shared" si="15"/>
        <v>0.07720584322</v>
      </c>
      <c r="I35" s="189">
        <f t="shared" si="15"/>
        <v>0.05864434157</v>
      </c>
      <c r="J35" s="189">
        <f t="shared" si="15"/>
        <v>0.0444790438</v>
      </c>
      <c r="K35" s="189">
        <f t="shared" si="15"/>
        <v>0.03369518695</v>
      </c>
    </row>
    <row r="36">
      <c r="A36" s="53" t="s">
        <v>221</v>
      </c>
      <c r="B36" s="90">
        <f t="shared" ref="B36:K36" si="16">B35*$B$13</f>
        <v>3426.193147</v>
      </c>
      <c r="C36" s="90">
        <f t="shared" si="16"/>
        <v>1199.04565</v>
      </c>
      <c r="D36" s="90">
        <f t="shared" si="16"/>
        <v>924.0946827</v>
      </c>
      <c r="E36" s="90">
        <f t="shared" si="16"/>
        <v>709.2592926</v>
      </c>
      <c r="F36" s="90">
        <f t="shared" si="16"/>
        <v>542.5065261</v>
      </c>
      <c r="G36" s="90">
        <f t="shared" si="16"/>
        <v>413.7916949</v>
      </c>
      <c r="H36" s="90">
        <f t="shared" si="16"/>
        <v>314.892734</v>
      </c>
      <c r="I36" s="90">
        <f t="shared" si="16"/>
        <v>239.1875573</v>
      </c>
      <c r="J36" s="90">
        <f t="shared" si="16"/>
        <v>181.4127937</v>
      </c>
      <c r="K36" s="90">
        <f t="shared" si="16"/>
        <v>137.429618</v>
      </c>
    </row>
    <row r="37">
      <c r="A37" s="53" t="s">
        <v>222</v>
      </c>
      <c r="B37" s="99">
        <f>SUM(C36:K36)/B36</f>
        <v>1.360583116</v>
      </c>
    </row>
    <row r="38">
      <c r="B38" s="192"/>
      <c r="C38" s="192"/>
      <c r="D38" s="192"/>
      <c r="E38" s="192"/>
      <c r="F38" s="192"/>
      <c r="G38" s="192"/>
      <c r="H38" s="192"/>
      <c r="I38" s="192"/>
      <c r="J38" s="192"/>
      <c r="K38" s="192"/>
    </row>
    <row r="39">
      <c r="A39" s="50" t="s">
        <v>76</v>
      </c>
      <c r="B39" s="181">
        <v>2024.0</v>
      </c>
      <c r="C39" s="181">
        <f t="shared" ref="C39:K39" si="17">B39+1</f>
        <v>2025</v>
      </c>
      <c r="D39" s="181">
        <f t="shared" si="17"/>
        <v>2026</v>
      </c>
      <c r="E39" s="181">
        <f t="shared" si="17"/>
        <v>2027</v>
      </c>
      <c r="F39" s="181">
        <f t="shared" si="17"/>
        <v>2028</v>
      </c>
      <c r="G39" s="181">
        <f t="shared" si="17"/>
        <v>2029</v>
      </c>
      <c r="H39" s="181">
        <f t="shared" si="17"/>
        <v>2030</v>
      </c>
      <c r="I39" s="181">
        <f t="shared" si="17"/>
        <v>2031</v>
      </c>
      <c r="J39" s="181">
        <f t="shared" si="17"/>
        <v>2032</v>
      </c>
      <c r="K39" s="181">
        <f t="shared" si="17"/>
        <v>2033</v>
      </c>
      <c r="L39" s="52"/>
      <c r="M39" s="52"/>
      <c r="N39" s="52"/>
      <c r="O39" s="52"/>
      <c r="P39" s="52"/>
      <c r="Q39" s="52"/>
      <c r="R39" s="52"/>
      <c r="S39" s="52"/>
      <c r="T39" s="52"/>
      <c r="U39" s="52"/>
      <c r="V39" s="52"/>
      <c r="W39" s="52"/>
      <c r="X39" s="52"/>
      <c r="Y39" s="52"/>
      <c r="Z39" s="52"/>
    </row>
    <row r="40">
      <c r="A40" s="53" t="s">
        <v>88</v>
      </c>
      <c r="B40" s="90">
        <f>'New CEA'!D12</f>
        <v>3300</v>
      </c>
      <c r="C40" s="182"/>
      <c r="D40" s="182"/>
      <c r="E40" s="182"/>
      <c r="F40" s="182"/>
      <c r="G40" s="182"/>
      <c r="H40" s="182"/>
      <c r="I40" s="182"/>
      <c r="J40" s="182"/>
      <c r="K40" s="182"/>
    </row>
    <row r="41">
      <c r="A41" s="53" t="s">
        <v>213</v>
      </c>
      <c r="B41" s="167">
        <f>'New CEA'!D11</f>
        <v>639.0874636</v>
      </c>
      <c r="C41" s="182"/>
      <c r="D41" s="182"/>
      <c r="E41" s="182"/>
      <c r="F41" s="182"/>
      <c r="G41" s="182"/>
      <c r="H41" s="182"/>
      <c r="I41" s="182"/>
      <c r="J41" s="182"/>
      <c r="K41" s="182"/>
    </row>
    <row r="42">
      <c r="A42" s="53" t="s">
        <v>214</v>
      </c>
      <c r="B42" s="167">
        <f>B41*(1-D$4)</f>
        <v>364.2798543</v>
      </c>
      <c r="C42" s="182"/>
      <c r="D42" s="182"/>
      <c r="E42" s="182"/>
      <c r="F42" s="182"/>
      <c r="G42" s="182"/>
      <c r="H42" s="182"/>
      <c r="I42" s="182"/>
      <c r="J42" s="182"/>
      <c r="K42" s="182"/>
    </row>
    <row r="43">
      <c r="A43" s="183" t="s">
        <v>215</v>
      </c>
      <c r="B43" s="184">
        <f>B41-B42</f>
        <v>274.8076093</v>
      </c>
      <c r="C43" s="182"/>
      <c r="D43" s="182"/>
      <c r="E43" s="182"/>
      <c r="F43" s="182"/>
      <c r="G43" s="182"/>
      <c r="H43" s="182"/>
      <c r="I43" s="182"/>
      <c r="J43" s="182"/>
      <c r="K43" s="182"/>
    </row>
    <row r="44">
      <c r="A44" s="53" t="s">
        <v>216</v>
      </c>
      <c r="B44" s="167">
        <f>'New CEA'!D14</f>
        <v>449.7814891</v>
      </c>
      <c r="C44" s="167">
        <f t="shared" ref="C44:K44" si="18">B44*(1+$D$7)</f>
        <v>454.279304</v>
      </c>
      <c r="D44" s="167">
        <f t="shared" si="18"/>
        <v>458.822097</v>
      </c>
      <c r="E44" s="167">
        <f t="shared" si="18"/>
        <v>463.410318</v>
      </c>
      <c r="F44" s="167">
        <f t="shared" si="18"/>
        <v>468.0444212</v>
      </c>
      <c r="G44" s="167">
        <f t="shared" si="18"/>
        <v>472.7248654</v>
      </c>
      <c r="H44" s="167">
        <f t="shared" si="18"/>
        <v>477.452114</v>
      </c>
      <c r="I44" s="167">
        <f t="shared" si="18"/>
        <v>482.2266352</v>
      </c>
      <c r="J44" s="167">
        <f t="shared" si="18"/>
        <v>487.0489015</v>
      </c>
      <c r="K44" s="167">
        <f t="shared" si="18"/>
        <v>491.9193905</v>
      </c>
    </row>
    <row r="45">
      <c r="A45" s="53" t="s">
        <v>217</v>
      </c>
      <c r="B45" s="167">
        <f>B42</f>
        <v>364.2798543</v>
      </c>
      <c r="C45" s="167">
        <f>B43*$D$5</f>
        <v>109.9230437</v>
      </c>
      <c r="D45" s="167">
        <f t="shared" ref="D45:K45" si="19">C45*(1+$D$6)</f>
        <v>87.93843499</v>
      </c>
      <c r="E45" s="167">
        <f t="shared" si="19"/>
        <v>70.35074799</v>
      </c>
      <c r="F45" s="167">
        <f t="shared" si="19"/>
        <v>56.28059839</v>
      </c>
      <c r="G45" s="167">
        <f t="shared" si="19"/>
        <v>45.02447872</v>
      </c>
      <c r="H45" s="167">
        <f t="shared" si="19"/>
        <v>36.01958297</v>
      </c>
      <c r="I45" s="167">
        <f t="shared" si="19"/>
        <v>28.81566638</v>
      </c>
      <c r="J45" s="167">
        <f t="shared" si="19"/>
        <v>23.0525331</v>
      </c>
      <c r="K45" s="167">
        <f t="shared" si="19"/>
        <v>18.44202648</v>
      </c>
    </row>
    <row r="46">
      <c r="A46" s="53" t="s">
        <v>218</v>
      </c>
      <c r="B46" s="186">
        <f t="shared" ref="B46:K46" si="20">ln(B44+B45)-ln(B44)</f>
        <v>0.5932738385</v>
      </c>
      <c r="C46" s="186">
        <f t="shared" si="20"/>
        <v>0.2167007438</v>
      </c>
      <c r="D46" s="186">
        <f t="shared" si="20"/>
        <v>0.1753483756</v>
      </c>
      <c r="E46" s="186">
        <f t="shared" si="20"/>
        <v>0.1413354193</v>
      </c>
      <c r="F46" s="186">
        <f t="shared" si="20"/>
        <v>0.1135485499</v>
      </c>
      <c r="G46" s="186">
        <f t="shared" si="20"/>
        <v>0.09097769415</v>
      </c>
      <c r="H46" s="186">
        <f t="shared" si="20"/>
        <v>0.0727310399</v>
      </c>
      <c r="I46" s="186">
        <f t="shared" si="20"/>
        <v>0.05803816768</v>
      </c>
      <c r="J46" s="186">
        <f t="shared" si="20"/>
        <v>0.04624506552</v>
      </c>
      <c r="K46" s="186">
        <f t="shared" si="20"/>
        <v>0.03680427286</v>
      </c>
    </row>
    <row r="47">
      <c r="A47" s="53" t="s">
        <v>219</v>
      </c>
      <c r="B47" s="186">
        <f t="shared" ref="B47:K47" si="21">B46/(1+$B$9)^(B$12-2024)</f>
        <v>0.5932738385</v>
      </c>
      <c r="C47" s="186">
        <f t="shared" si="21"/>
        <v>0.2083660998</v>
      </c>
      <c r="D47" s="186">
        <f t="shared" si="21"/>
        <v>0.1621194301</v>
      </c>
      <c r="E47" s="186">
        <f t="shared" si="21"/>
        <v>0.1256466731</v>
      </c>
      <c r="F47" s="186">
        <f t="shared" si="21"/>
        <v>0.09706177637</v>
      </c>
      <c r="G47" s="186">
        <f t="shared" si="21"/>
        <v>0.07477703293</v>
      </c>
      <c r="H47" s="186">
        <f t="shared" si="21"/>
        <v>0.0574803973</v>
      </c>
      <c r="I47" s="186">
        <f t="shared" si="21"/>
        <v>0.04410423747</v>
      </c>
      <c r="J47" s="186">
        <f t="shared" si="21"/>
        <v>0.0337908164</v>
      </c>
      <c r="K47" s="186">
        <f t="shared" si="21"/>
        <v>0.02585819393</v>
      </c>
    </row>
    <row r="48">
      <c r="A48" s="53" t="s">
        <v>220</v>
      </c>
      <c r="B48" s="189">
        <f t="shared" ref="B48:K48" si="22">B47*$B$10</f>
        <v>0.8559132247</v>
      </c>
      <c r="C48" s="189">
        <f t="shared" si="22"/>
        <v>0.3006087389</v>
      </c>
      <c r="D48" s="189">
        <f t="shared" si="22"/>
        <v>0.2338888978</v>
      </c>
      <c r="E48" s="189">
        <f t="shared" si="22"/>
        <v>0.1812698322</v>
      </c>
      <c r="F48" s="189">
        <f t="shared" si="22"/>
        <v>0.1400305434</v>
      </c>
      <c r="G48" s="189">
        <f t="shared" si="22"/>
        <v>0.1078804546</v>
      </c>
      <c r="H48" s="189">
        <f t="shared" si="22"/>
        <v>0.08292668414</v>
      </c>
      <c r="I48" s="189">
        <f t="shared" si="22"/>
        <v>0.06362896468</v>
      </c>
      <c r="J48" s="189">
        <f t="shared" si="22"/>
        <v>0.04874984325</v>
      </c>
      <c r="K48" s="189">
        <f t="shared" si="22"/>
        <v>0.03730548814</v>
      </c>
    </row>
    <row r="49">
      <c r="A49" s="53" t="s">
        <v>221</v>
      </c>
      <c r="B49" s="90">
        <f t="shared" ref="B49:K49" si="23">B48*$B$13</f>
        <v>3490.938563</v>
      </c>
      <c r="C49" s="90">
        <f t="shared" si="23"/>
        <v>1226.066625</v>
      </c>
      <c r="D49" s="90">
        <f t="shared" si="23"/>
        <v>953.9422329</v>
      </c>
      <c r="E49" s="90">
        <f t="shared" si="23"/>
        <v>739.3294426</v>
      </c>
      <c r="F49" s="90">
        <f t="shared" si="23"/>
        <v>571.1303552</v>
      </c>
      <c r="G49" s="90">
        <f t="shared" si="23"/>
        <v>440.0025939</v>
      </c>
      <c r="H49" s="90">
        <f t="shared" si="23"/>
        <v>338.2258285</v>
      </c>
      <c r="I49" s="90">
        <f t="shared" si="23"/>
        <v>259.5179045</v>
      </c>
      <c r="J49" s="90">
        <f t="shared" si="23"/>
        <v>198.8317306</v>
      </c>
      <c r="K49" s="90">
        <f t="shared" si="23"/>
        <v>152.1546383</v>
      </c>
    </row>
    <row r="50">
      <c r="A50" s="53" t="s">
        <v>222</v>
      </c>
      <c r="B50" s="99">
        <f>SUM(C49:K49)/B49</f>
        <v>1.397676087</v>
      </c>
    </row>
    <row r="51">
      <c r="A51" s="53"/>
      <c r="B51" s="182"/>
      <c r="C51" s="182"/>
      <c r="D51" s="182"/>
      <c r="E51" s="182"/>
      <c r="F51" s="182"/>
      <c r="G51" s="182"/>
      <c r="H51" s="182"/>
      <c r="I51" s="182"/>
      <c r="J51" s="182"/>
      <c r="K51" s="182"/>
    </row>
    <row r="52">
      <c r="A52" s="50" t="s">
        <v>77</v>
      </c>
      <c r="B52" s="181">
        <v>2024.0</v>
      </c>
      <c r="C52" s="181">
        <f t="shared" ref="C52:K52" si="24">B52+1</f>
        <v>2025</v>
      </c>
      <c r="D52" s="181">
        <f t="shared" si="24"/>
        <v>2026</v>
      </c>
      <c r="E52" s="181">
        <f t="shared" si="24"/>
        <v>2027</v>
      </c>
      <c r="F52" s="181">
        <f t="shared" si="24"/>
        <v>2028</v>
      </c>
      <c r="G52" s="181">
        <f t="shared" si="24"/>
        <v>2029</v>
      </c>
      <c r="H52" s="181">
        <f t="shared" si="24"/>
        <v>2030</v>
      </c>
      <c r="I52" s="181">
        <f t="shared" si="24"/>
        <v>2031</v>
      </c>
      <c r="J52" s="181">
        <f t="shared" si="24"/>
        <v>2032</v>
      </c>
      <c r="K52" s="181">
        <f t="shared" si="24"/>
        <v>2033</v>
      </c>
      <c r="L52" s="52"/>
      <c r="M52" s="52"/>
      <c r="N52" s="52"/>
      <c r="O52" s="52"/>
      <c r="P52" s="52"/>
      <c r="Q52" s="52"/>
      <c r="R52" s="52"/>
      <c r="S52" s="52"/>
      <c r="T52" s="52"/>
      <c r="U52" s="52"/>
      <c r="V52" s="52"/>
      <c r="W52" s="52"/>
      <c r="X52" s="52"/>
      <c r="Y52" s="52"/>
      <c r="Z52" s="52"/>
    </row>
    <row r="53">
      <c r="A53" s="53" t="s">
        <v>88</v>
      </c>
      <c r="B53" s="90">
        <f>'New CEA'!E12</f>
        <v>3322.727273</v>
      </c>
      <c r="C53" s="182"/>
      <c r="D53" s="182"/>
      <c r="E53" s="182"/>
      <c r="F53" s="182"/>
      <c r="G53" s="182"/>
      <c r="H53" s="182"/>
      <c r="I53" s="182"/>
      <c r="J53" s="182"/>
      <c r="K53" s="182"/>
    </row>
    <row r="54">
      <c r="A54" s="53" t="s">
        <v>213</v>
      </c>
      <c r="B54" s="167">
        <f>'New CEA'!E11</f>
        <v>714.7502831</v>
      </c>
      <c r="C54" s="182"/>
      <c r="D54" s="182"/>
      <c r="E54" s="182"/>
      <c r="F54" s="182"/>
      <c r="G54" s="182"/>
      <c r="H54" s="182"/>
      <c r="I54" s="182"/>
      <c r="J54" s="182"/>
      <c r="K54" s="182"/>
    </row>
    <row r="55">
      <c r="A55" s="53" t="s">
        <v>214</v>
      </c>
      <c r="B55" s="167">
        <f>B54*(1-E$4)</f>
        <v>407.4076614</v>
      </c>
      <c r="C55" s="182"/>
      <c r="D55" s="182"/>
      <c r="E55" s="182"/>
      <c r="F55" s="182"/>
      <c r="G55" s="182"/>
      <c r="H55" s="182"/>
      <c r="I55" s="182"/>
      <c r="J55" s="182"/>
      <c r="K55" s="182"/>
    </row>
    <row r="56">
      <c r="A56" s="183" t="s">
        <v>215</v>
      </c>
      <c r="B56" s="184">
        <f>B54-B55</f>
        <v>307.3426217</v>
      </c>
      <c r="C56" s="182"/>
      <c r="D56" s="182"/>
      <c r="E56" s="182"/>
      <c r="F56" s="182"/>
      <c r="G56" s="182"/>
      <c r="H56" s="182"/>
      <c r="I56" s="182"/>
      <c r="J56" s="182"/>
      <c r="K56" s="182"/>
    </row>
    <row r="57">
      <c r="A57" s="53" t="s">
        <v>216</v>
      </c>
      <c r="B57" s="167">
        <f>'New CEA'!E14</f>
        <v>532.6413912</v>
      </c>
      <c r="C57" s="167">
        <f t="shared" ref="C57:K57" si="25">B57*(1+$E$7)</f>
        <v>543.294219</v>
      </c>
      <c r="D57" s="167">
        <f t="shared" si="25"/>
        <v>554.1601034</v>
      </c>
      <c r="E57" s="167">
        <f t="shared" si="25"/>
        <v>565.2433055</v>
      </c>
      <c r="F57" s="167">
        <f t="shared" si="25"/>
        <v>576.5481716</v>
      </c>
      <c r="G57" s="167">
        <f t="shared" si="25"/>
        <v>588.079135</v>
      </c>
      <c r="H57" s="167">
        <f t="shared" si="25"/>
        <v>599.8407177</v>
      </c>
      <c r="I57" s="167">
        <f t="shared" si="25"/>
        <v>611.8375321</v>
      </c>
      <c r="J57" s="167">
        <f t="shared" si="25"/>
        <v>624.0742827</v>
      </c>
      <c r="K57" s="167">
        <f t="shared" si="25"/>
        <v>636.5557683</v>
      </c>
    </row>
    <row r="58">
      <c r="A58" s="53" t="s">
        <v>217</v>
      </c>
      <c r="B58" s="167">
        <f>B55</f>
        <v>407.4076614</v>
      </c>
      <c r="C58" s="167">
        <f>B56*$E$5</f>
        <v>122.9370487</v>
      </c>
      <c r="D58" s="167">
        <f t="shared" ref="D58:K58" si="26">C58*(1+$E$6)</f>
        <v>98.34963895</v>
      </c>
      <c r="E58" s="167">
        <f t="shared" si="26"/>
        <v>78.67971116</v>
      </c>
      <c r="F58" s="167">
        <f t="shared" si="26"/>
        <v>62.94376893</v>
      </c>
      <c r="G58" s="167">
        <f t="shared" si="26"/>
        <v>50.35501514</v>
      </c>
      <c r="H58" s="167">
        <f t="shared" si="26"/>
        <v>40.28401211</v>
      </c>
      <c r="I58" s="167">
        <f t="shared" si="26"/>
        <v>32.22720969</v>
      </c>
      <c r="J58" s="167">
        <f t="shared" si="26"/>
        <v>25.78176775</v>
      </c>
      <c r="K58" s="167">
        <f t="shared" si="26"/>
        <v>20.6254142</v>
      </c>
      <c r="L58">
        <f>B58/sum(B58:K58)</f>
        <v>0.4336009538</v>
      </c>
    </row>
    <row r="59">
      <c r="A59" s="53" t="s">
        <v>218</v>
      </c>
      <c r="B59" s="186">
        <f t="shared" ref="B59:K59" si="27">ln(B57+B58)-ln(B57)</f>
        <v>0.5680836718</v>
      </c>
      <c r="C59" s="186">
        <f t="shared" si="27"/>
        <v>0.2039858461</v>
      </c>
      <c r="D59" s="186">
        <f t="shared" si="27"/>
        <v>0.1633724296</v>
      </c>
      <c r="E59" s="186">
        <f t="shared" si="27"/>
        <v>0.130322912</v>
      </c>
      <c r="F59" s="186">
        <f t="shared" si="27"/>
        <v>0.1036151232</v>
      </c>
      <c r="G59" s="186">
        <f t="shared" si="27"/>
        <v>0.08215701586</v>
      </c>
      <c r="H59" s="186">
        <f t="shared" si="27"/>
        <v>0.06499889823</v>
      </c>
      <c r="I59" s="186">
        <f t="shared" si="27"/>
        <v>0.05133247494</v>
      </c>
      <c r="J59" s="186">
        <f t="shared" si="27"/>
        <v>0.04048147345</v>
      </c>
      <c r="K59" s="186">
        <f t="shared" si="27"/>
        <v>0.03188772163</v>
      </c>
    </row>
    <row r="60">
      <c r="A60" s="53" t="s">
        <v>219</v>
      </c>
      <c r="B60" s="186">
        <f t="shared" ref="B60:K60" si="28">B59/(1+$B$9)^(B$12-2024)</f>
        <v>0.5680836718</v>
      </c>
      <c r="C60" s="186">
        <f t="shared" si="28"/>
        <v>0.1961402366</v>
      </c>
      <c r="D60" s="186">
        <f t="shared" si="28"/>
        <v>0.1510469948</v>
      </c>
      <c r="E60" s="186">
        <f t="shared" si="28"/>
        <v>0.1158565942</v>
      </c>
      <c r="F60" s="186">
        <f t="shared" si="28"/>
        <v>0.0885706416</v>
      </c>
      <c r="G60" s="186">
        <f t="shared" si="28"/>
        <v>0.06752707835</v>
      </c>
      <c r="H60" s="186">
        <f t="shared" si="28"/>
        <v>0.05136957343</v>
      </c>
      <c r="I60" s="186">
        <f t="shared" si="28"/>
        <v>0.03900846211</v>
      </c>
      <c r="J60" s="186">
        <f t="shared" si="28"/>
        <v>0.02957941613</v>
      </c>
      <c r="K60" s="186">
        <f t="shared" si="28"/>
        <v>0.02240389025</v>
      </c>
    </row>
    <row r="61">
      <c r="A61" s="53" t="s">
        <v>220</v>
      </c>
      <c r="B61" s="189">
        <f t="shared" ref="B61:K61" si="29">B60*$B$10</f>
        <v>0.8195714961</v>
      </c>
      <c r="C61" s="189">
        <f t="shared" si="29"/>
        <v>0.2829705467</v>
      </c>
      <c r="D61" s="189">
        <f t="shared" si="29"/>
        <v>0.2179147504</v>
      </c>
      <c r="E61" s="189">
        <f t="shared" si="29"/>
        <v>0.1671457339</v>
      </c>
      <c r="F61" s="189">
        <f t="shared" si="29"/>
        <v>0.1277804254</v>
      </c>
      <c r="G61" s="189">
        <f t="shared" si="29"/>
        <v>0.09742098106</v>
      </c>
      <c r="H61" s="189">
        <f t="shared" si="29"/>
        <v>0.07411062883</v>
      </c>
      <c r="I61" s="189">
        <f t="shared" si="29"/>
        <v>0.05627731483</v>
      </c>
      <c r="J61" s="189">
        <f t="shared" si="29"/>
        <v>0.04267407697</v>
      </c>
      <c r="K61" s="189">
        <f t="shared" si="29"/>
        <v>0.03232198136</v>
      </c>
    </row>
    <row r="62">
      <c r="A62" s="53" t="s">
        <v>221</v>
      </c>
      <c r="B62" s="90">
        <f t="shared" ref="B62:K62" si="30">B61*$B$13</f>
        <v>3342.714726</v>
      </c>
      <c r="C62" s="90">
        <f t="shared" si="30"/>
        <v>1154.12727</v>
      </c>
      <c r="D62" s="90">
        <f t="shared" si="30"/>
        <v>888.789872</v>
      </c>
      <c r="E62" s="90">
        <f t="shared" si="30"/>
        <v>681.7227158</v>
      </c>
      <c r="F62" s="90">
        <f t="shared" si="30"/>
        <v>521.166868</v>
      </c>
      <c r="G62" s="90">
        <f t="shared" si="30"/>
        <v>397.3424522</v>
      </c>
      <c r="H62" s="90">
        <f t="shared" si="30"/>
        <v>302.2685532</v>
      </c>
      <c r="I62" s="90">
        <f t="shared" si="30"/>
        <v>229.5333719</v>
      </c>
      <c r="J62" s="90">
        <f t="shared" si="30"/>
        <v>174.051033</v>
      </c>
      <c r="K62" s="90">
        <f t="shared" si="30"/>
        <v>131.8288442</v>
      </c>
    </row>
    <row r="63">
      <c r="A63" s="53" t="s">
        <v>222</v>
      </c>
      <c r="B63" s="99">
        <f>SUM(C62:K62)/B62</f>
        <v>1.340476633</v>
      </c>
    </row>
    <row r="64">
      <c r="A64" s="53"/>
      <c r="B64" s="182"/>
      <c r="C64" s="182"/>
      <c r="D64" s="182"/>
      <c r="E64" s="182"/>
      <c r="F64" s="182"/>
      <c r="G64" s="182"/>
      <c r="H64" s="182"/>
      <c r="I64" s="182"/>
      <c r="J64" s="182"/>
      <c r="K64" s="182"/>
    </row>
    <row r="65">
      <c r="A65" s="50" t="s">
        <v>78</v>
      </c>
      <c r="B65" s="181">
        <v>2024.0</v>
      </c>
      <c r="C65" s="181">
        <f t="shared" ref="C65:K65" si="31">B65+1</f>
        <v>2025</v>
      </c>
      <c r="D65" s="181">
        <f t="shared" si="31"/>
        <v>2026</v>
      </c>
      <c r="E65" s="181">
        <f t="shared" si="31"/>
        <v>2027</v>
      </c>
      <c r="F65" s="181">
        <f t="shared" si="31"/>
        <v>2028</v>
      </c>
      <c r="G65" s="181">
        <f t="shared" si="31"/>
        <v>2029</v>
      </c>
      <c r="H65" s="181">
        <f t="shared" si="31"/>
        <v>2030</v>
      </c>
      <c r="I65" s="181">
        <f t="shared" si="31"/>
        <v>2031</v>
      </c>
      <c r="J65" s="181">
        <f t="shared" si="31"/>
        <v>2032</v>
      </c>
      <c r="K65" s="181">
        <f t="shared" si="31"/>
        <v>2033</v>
      </c>
      <c r="L65" s="52"/>
      <c r="M65" s="52"/>
      <c r="N65" s="52"/>
      <c r="O65" s="52"/>
      <c r="P65" s="52"/>
      <c r="Q65" s="52"/>
      <c r="R65" s="52"/>
      <c r="S65" s="52"/>
      <c r="T65" s="52"/>
      <c r="U65" s="52"/>
      <c r="V65" s="52"/>
      <c r="W65" s="52"/>
      <c r="X65" s="52"/>
      <c r="Y65" s="52"/>
      <c r="Z65" s="52"/>
    </row>
    <row r="66">
      <c r="A66" s="53" t="s">
        <v>88</v>
      </c>
      <c r="B66" s="90">
        <f>'New CEA'!F12</f>
        <v>3568.586387</v>
      </c>
      <c r="C66" s="182"/>
      <c r="D66" s="182"/>
      <c r="E66" s="182"/>
      <c r="F66" s="182"/>
      <c r="G66" s="182"/>
      <c r="H66" s="182"/>
      <c r="I66" s="182"/>
      <c r="J66" s="182"/>
      <c r="K66" s="182"/>
    </row>
    <row r="67">
      <c r="A67" s="53" t="s">
        <v>213</v>
      </c>
      <c r="B67" s="167">
        <f>'New CEA'!F11</f>
        <v>589.3137785</v>
      </c>
      <c r="C67" s="182"/>
      <c r="D67" s="182"/>
      <c r="E67" s="182"/>
      <c r="F67" s="182"/>
      <c r="G67" s="182"/>
      <c r="H67" s="182"/>
      <c r="I67" s="182"/>
      <c r="J67" s="182"/>
      <c r="K67" s="182"/>
    </row>
    <row r="68">
      <c r="A68" s="53" t="s">
        <v>214</v>
      </c>
      <c r="B68" s="167">
        <f>B67*(1-F$4)</f>
        <v>335.9088537</v>
      </c>
      <c r="C68" s="182"/>
      <c r="D68" s="182"/>
      <c r="E68" s="182"/>
      <c r="F68" s="182"/>
      <c r="G68" s="182"/>
      <c r="H68" s="182"/>
      <c r="I68" s="182"/>
      <c r="J68" s="182"/>
      <c r="K68" s="182"/>
    </row>
    <row r="69">
      <c r="A69" s="183" t="s">
        <v>215</v>
      </c>
      <c r="B69" s="184">
        <f>B67-B68</f>
        <v>253.4049247</v>
      </c>
      <c r="C69" s="182"/>
      <c r="D69" s="182"/>
      <c r="E69" s="182"/>
      <c r="F69" s="182"/>
      <c r="G69" s="182"/>
      <c r="H69" s="182"/>
      <c r="I69" s="182"/>
      <c r="J69" s="182"/>
      <c r="K69" s="182"/>
    </row>
    <row r="70">
      <c r="A70" s="53" t="s">
        <v>216</v>
      </c>
      <c r="B70" s="167">
        <f>'New CEA'!F14</f>
        <v>625.5532756</v>
      </c>
      <c r="C70" s="167">
        <f t="shared" ref="C70:K70" si="32">B70*(1+$F$7)</f>
        <v>638.0643411</v>
      </c>
      <c r="D70" s="167">
        <f t="shared" si="32"/>
        <v>650.8256279</v>
      </c>
      <c r="E70" s="167">
        <f t="shared" si="32"/>
        <v>663.8421405</v>
      </c>
      <c r="F70" s="167">
        <f t="shared" si="32"/>
        <v>677.1189833</v>
      </c>
      <c r="G70" s="167">
        <f t="shared" si="32"/>
        <v>690.661363</v>
      </c>
      <c r="H70" s="167">
        <f t="shared" si="32"/>
        <v>704.4745902</v>
      </c>
      <c r="I70" s="167">
        <f t="shared" si="32"/>
        <v>718.564082</v>
      </c>
      <c r="J70" s="167">
        <f t="shared" si="32"/>
        <v>732.9353637</v>
      </c>
      <c r="K70" s="167">
        <f t="shared" si="32"/>
        <v>747.5940709</v>
      </c>
    </row>
    <row r="71">
      <c r="A71" s="53" t="s">
        <v>217</v>
      </c>
      <c r="B71" s="167">
        <f>B68</f>
        <v>335.9088537</v>
      </c>
      <c r="C71" s="167">
        <f>B69*$F$5</f>
        <v>101.3619699</v>
      </c>
      <c r="D71" s="167">
        <f t="shared" ref="D71:K71" si="33">C71*(1+$F$6)</f>
        <v>81.08957592</v>
      </c>
      <c r="E71" s="167">
        <f t="shared" si="33"/>
        <v>64.87166074</v>
      </c>
      <c r="F71" s="167">
        <f t="shared" si="33"/>
        <v>51.89732859</v>
      </c>
      <c r="G71" s="167">
        <f t="shared" si="33"/>
        <v>41.51786287</v>
      </c>
      <c r="H71" s="167">
        <f t="shared" si="33"/>
        <v>33.2142903</v>
      </c>
      <c r="I71" s="167">
        <f t="shared" si="33"/>
        <v>26.57143224</v>
      </c>
      <c r="J71" s="167">
        <f t="shared" si="33"/>
        <v>21.25714579</v>
      </c>
      <c r="K71" s="167">
        <f t="shared" si="33"/>
        <v>17.00571663</v>
      </c>
    </row>
    <row r="72">
      <c r="A72" s="53" t="s">
        <v>218</v>
      </c>
      <c r="B72" s="186">
        <f t="shared" ref="B72:K72" si="34">ln(B70+B71)-ln(B70)</f>
        <v>0.4298186781</v>
      </c>
      <c r="C72" s="186">
        <f t="shared" si="34"/>
        <v>0.1474355037</v>
      </c>
      <c r="D72" s="186">
        <f t="shared" si="34"/>
        <v>0.1174229118</v>
      </c>
      <c r="E72" s="186">
        <f t="shared" si="34"/>
        <v>0.09323668303</v>
      </c>
      <c r="F72" s="186">
        <f t="shared" si="34"/>
        <v>0.07384909918</v>
      </c>
      <c r="G72" s="186">
        <f t="shared" si="34"/>
        <v>0.05837569245</v>
      </c>
      <c r="H72" s="186">
        <f t="shared" si="34"/>
        <v>0.04606990173</v>
      </c>
      <c r="I72" s="186">
        <f t="shared" si="34"/>
        <v>0.03631121001</v>
      </c>
      <c r="J72" s="186">
        <f t="shared" si="34"/>
        <v>0.02859013554</v>
      </c>
      <c r="K72" s="186">
        <f t="shared" si="34"/>
        <v>0.02249239867</v>
      </c>
    </row>
    <row r="73">
      <c r="A73" s="53" t="s">
        <v>219</v>
      </c>
      <c r="B73" s="186">
        <f t="shared" ref="B73:K73" si="35">B72/(1+$B$9)^(B$12-2024)</f>
        <v>0.4298186781</v>
      </c>
      <c r="C73" s="186">
        <f t="shared" si="35"/>
        <v>0.1417649074</v>
      </c>
      <c r="D73" s="186">
        <f t="shared" si="35"/>
        <v>0.1085640827</v>
      </c>
      <c r="E73" s="186">
        <f t="shared" si="35"/>
        <v>0.08288707171</v>
      </c>
      <c r="F73" s="186">
        <f t="shared" si="35"/>
        <v>0.06312651948</v>
      </c>
      <c r="G73" s="186">
        <f t="shared" si="35"/>
        <v>0.047980564</v>
      </c>
      <c r="H73" s="186">
        <f t="shared" si="35"/>
        <v>0.03640971254</v>
      </c>
      <c r="I73" s="186">
        <f t="shared" si="35"/>
        <v>0.02759353531</v>
      </c>
      <c r="J73" s="186">
        <f t="shared" si="35"/>
        <v>0.020890532</v>
      </c>
      <c r="K73" s="186">
        <f t="shared" si="35"/>
        <v>0.01580286096</v>
      </c>
    </row>
    <row r="74">
      <c r="A74" s="53" t="s">
        <v>220</v>
      </c>
      <c r="B74" s="189">
        <f t="shared" ref="B74:K74" si="36">B73*$B$10</f>
        <v>0.6200972754</v>
      </c>
      <c r="C74" s="189">
        <f t="shared" si="36"/>
        <v>0.2045235289</v>
      </c>
      <c r="D74" s="189">
        <f t="shared" si="36"/>
        <v>0.1566248637</v>
      </c>
      <c r="E74" s="189">
        <f t="shared" si="36"/>
        <v>0.1195807673</v>
      </c>
      <c r="F74" s="189">
        <f t="shared" si="36"/>
        <v>0.09107231661</v>
      </c>
      <c r="G74" s="189">
        <f t="shared" si="36"/>
        <v>0.06922132175</v>
      </c>
      <c r="H74" s="189">
        <f t="shared" si="36"/>
        <v>0.05252811172</v>
      </c>
      <c r="I74" s="189">
        <f t="shared" si="36"/>
        <v>0.03980905655</v>
      </c>
      <c r="J74" s="189">
        <f t="shared" si="36"/>
        <v>0.03013866692</v>
      </c>
      <c r="K74" s="189">
        <f t="shared" si="36"/>
        <v>0.02279870914</v>
      </c>
    </row>
    <row r="75">
      <c r="A75" s="53" t="s">
        <v>221</v>
      </c>
      <c r="B75" s="90">
        <f t="shared" ref="B75:K75" si="37">B74*$B$13</f>
        <v>2529.136633</v>
      </c>
      <c r="C75" s="90">
        <f t="shared" si="37"/>
        <v>834.172266</v>
      </c>
      <c r="D75" s="90">
        <f t="shared" si="37"/>
        <v>638.8121609</v>
      </c>
      <c r="E75" s="90">
        <f t="shared" si="37"/>
        <v>487.7236382</v>
      </c>
      <c r="F75" s="90">
        <f t="shared" si="37"/>
        <v>371.4487087</v>
      </c>
      <c r="G75" s="90">
        <f t="shared" si="37"/>
        <v>282.3269631</v>
      </c>
      <c r="H75" s="90">
        <f t="shared" si="37"/>
        <v>214.2418244</v>
      </c>
      <c r="I75" s="90">
        <f t="shared" si="37"/>
        <v>162.3657243</v>
      </c>
      <c r="J75" s="90">
        <f t="shared" si="37"/>
        <v>122.9239501</v>
      </c>
      <c r="K75" s="90">
        <f t="shared" si="37"/>
        <v>92.98710502</v>
      </c>
    </row>
    <row r="76">
      <c r="A76" s="53" t="s">
        <v>222</v>
      </c>
      <c r="B76" s="99">
        <f>SUM(C75:K75)/B75</f>
        <v>1.268022573</v>
      </c>
    </row>
    <row r="77">
      <c r="A77" s="53"/>
      <c r="B77" s="99"/>
      <c r="C77" s="182"/>
      <c r="D77" s="182"/>
      <c r="E77" s="182"/>
      <c r="F77" s="182"/>
      <c r="G77" s="182"/>
      <c r="H77" s="182"/>
      <c r="I77" s="182"/>
      <c r="J77" s="182"/>
      <c r="K77" s="182"/>
    </row>
    <row r="78">
      <c r="A78" s="143" t="s">
        <v>224</v>
      </c>
      <c r="B78" s="144"/>
      <c r="C78" s="144"/>
      <c r="D78" s="144"/>
      <c r="E78" s="144"/>
      <c r="F78" s="144"/>
      <c r="G78" s="144"/>
      <c r="H78" s="144"/>
      <c r="I78" s="144"/>
      <c r="J78" s="144"/>
      <c r="K78" s="144"/>
      <c r="L78" s="144"/>
      <c r="M78" s="144"/>
      <c r="N78" s="144"/>
      <c r="O78" s="145"/>
      <c r="P78" s="145"/>
      <c r="Q78" s="145"/>
      <c r="R78" s="145"/>
      <c r="S78" s="145"/>
      <c r="T78" s="145"/>
    </row>
    <row r="79">
      <c r="A79" s="53"/>
      <c r="B79" s="182"/>
      <c r="C79" s="182"/>
      <c r="D79" s="182"/>
      <c r="E79" s="182"/>
      <c r="F79" s="182"/>
      <c r="G79" s="182"/>
      <c r="H79" s="182"/>
      <c r="I79" s="182"/>
      <c r="J79" s="182"/>
      <c r="K79" s="182"/>
    </row>
    <row r="80">
      <c r="A80" s="97" t="s">
        <v>225</v>
      </c>
      <c r="B80" s="165"/>
      <c r="C80" s="165"/>
      <c r="D80" s="165"/>
      <c r="E80" s="165"/>
      <c r="F80" s="165"/>
      <c r="G80" s="182"/>
      <c r="H80" s="182"/>
      <c r="I80" s="182"/>
      <c r="J80" s="182"/>
      <c r="K80" s="182"/>
    </row>
    <row r="81">
      <c r="A81" s="53"/>
      <c r="B81" s="165" t="s">
        <v>74</v>
      </c>
      <c r="C81" s="165" t="s">
        <v>75</v>
      </c>
      <c r="D81" s="165" t="s">
        <v>76</v>
      </c>
      <c r="E81" s="165" t="s">
        <v>77</v>
      </c>
      <c r="F81" s="165" t="s">
        <v>78</v>
      </c>
      <c r="G81" s="182"/>
      <c r="H81" s="182"/>
      <c r="I81" s="182"/>
      <c r="J81" s="182"/>
      <c r="K81" s="182"/>
    </row>
    <row r="82">
      <c r="A82" s="53" t="s">
        <v>226</v>
      </c>
      <c r="B82" s="186">
        <f>SUM(B18:C18)/B14</f>
        <v>0.742</v>
      </c>
      <c r="C82" s="186">
        <f>SUM(B32:C32)/B28</f>
        <v>0.742</v>
      </c>
      <c r="D82" s="186">
        <f>SUM(B45:C45)/B41</f>
        <v>0.742</v>
      </c>
      <c r="E82" s="186">
        <f>SUM(B58:C58)/B54</f>
        <v>0.742</v>
      </c>
      <c r="F82" s="186">
        <f>SUM(B71:C71)/B67</f>
        <v>0.742</v>
      </c>
      <c r="G82" s="182"/>
      <c r="H82" s="182"/>
      <c r="I82" s="182"/>
      <c r="J82" s="182"/>
      <c r="K82" s="182"/>
    </row>
    <row r="83">
      <c r="A83" s="53"/>
      <c r="B83" s="182"/>
      <c r="C83" s="182"/>
      <c r="D83" s="182"/>
      <c r="E83" s="182"/>
      <c r="F83" s="182"/>
      <c r="G83" s="182"/>
      <c r="H83" s="182"/>
      <c r="I83" s="182"/>
      <c r="J83" s="182"/>
      <c r="K83" s="182"/>
    </row>
    <row r="84">
      <c r="A84" s="97" t="s">
        <v>227</v>
      </c>
      <c r="B84" s="182"/>
      <c r="C84" s="182"/>
      <c r="D84" s="182"/>
      <c r="E84" s="182"/>
      <c r="F84" s="182"/>
      <c r="G84" s="182"/>
      <c r="H84" s="182"/>
      <c r="I84" s="182"/>
      <c r="J84" s="182"/>
      <c r="K84" s="182"/>
    </row>
    <row r="85">
      <c r="A85" s="191" t="s">
        <v>74</v>
      </c>
      <c r="B85" s="165" t="s">
        <v>228</v>
      </c>
      <c r="C85" s="165" t="s">
        <v>229</v>
      </c>
      <c r="D85" s="165" t="s">
        <v>230</v>
      </c>
      <c r="E85" s="165" t="s">
        <v>231</v>
      </c>
      <c r="F85" s="165" t="s">
        <v>232</v>
      </c>
      <c r="G85" s="165" t="s">
        <v>233</v>
      </c>
      <c r="H85" s="165" t="s">
        <v>234</v>
      </c>
      <c r="I85" s="165" t="s">
        <v>235</v>
      </c>
      <c r="J85" s="165" t="s">
        <v>236</v>
      </c>
      <c r="K85" s="165" t="s">
        <v>237</v>
      </c>
    </row>
    <row r="86">
      <c r="A86" s="53" t="s">
        <v>238</v>
      </c>
      <c r="B86" s="99">
        <f t="shared" ref="B86:K86" si="38">B24</f>
        <v>0.4265602336</v>
      </c>
      <c r="C86" s="99">
        <f t="shared" si="38"/>
        <v>0.12619257</v>
      </c>
      <c r="D86" s="99">
        <f t="shared" si="38"/>
        <v>0.09897456468</v>
      </c>
      <c r="E86" s="99">
        <f t="shared" si="38"/>
        <v>0.07762710956</v>
      </c>
      <c r="F86" s="99">
        <f t="shared" si="38"/>
        <v>0.0608840075</v>
      </c>
      <c r="G86" s="99">
        <f t="shared" si="38"/>
        <v>0.04775216274</v>
      </c>
      <c r="H86" s="99">
        <f t="shared" si="38"/>
        <v>0.03745267666</v>
      </c>
      <c r="I86" s="99">
        <f t="shared" si="38"/>
        <v>0.02937464836</v>
      </c>
      <c r="J86" s="99">
        <f t="shared" si="38"/>
        <v>0.02303893989</v>
      </c>
      <c r="K86" s="99">
        <f t="shared" si="38"/>
        <v>0.01806975678</v>
      </c>
    </row>
    <row r="87">
      <c r="A87" s="53" t="s">
        <v>239</v>
      </c>
      <c r="B87" s="87"/>
      <c r="C87" s="87">
        <v>0.13</v>
      </c>
      <c r="D87" s="87"/>
      <c r="E87" s="87"/>
      <c r="F87" s="87"/>
      <c r="G87" s="87">
        <v>0.12</v>
      </c>
      <c r="H87" s="87"/>
      <c r="I87" s="87"/>
      <c r="J87" s="87"/>
      <c r="K87" s="87"/>
    </row>
    <row r="88">
      <c r="A88" s="53" t="s">
        <v>240</v>
      </c>
      <c r="B88" s="87">
        <f>36/157</f>
        <v>0.2292993631</v>
      </c>
      <c r="C88" s="87"/>
      <c r="D88" s="87">
        <f>17/187</f>
        <v>0.09090909091</v>
      </c>
      <c r="E88" s="87"/>
      <c r="F88" s="87"/>
      <c r="G88" s="87"/>
      <c r="H88" s="87"/>
      <c r="I88" s="87"/>
      <c r="J88" s="87"/>
      <c r="K88" s="87"/>
    </row>
    <row r="89">
      <c r="A89" s="53" t="s">
        <v>241</v>
      </c>
      <c r="B89" s="87"/>
      <c r="C89" s="87"/>
      <c r="D89" s="87"/>
      <c r="E89" s="87">
        <f>21.6/201</f>
        <v>0.1074626866</v>
      </c>
      <c r="F89" s="87"/>
      <c r="G89" s="87"/>
      <c r="H89" s="87"/>
      <c r="I89" s="87"/>
      <c r="J89" s="87">
        <v>0.01</v>
      </c>
      <c r="K89" s="87"/>
    </row>
    <row r="90">
      <c r="A90" s="53" t="s">
        <v>242</v>
      </c>
      <c r="B90" s="193">
        <v>0.1</v>
      </c>
      <c r="C90" s="193"/>
      <c r="D90" s="193"/>
      <c r="E90" s="193"/>
      <c r="F90" s="193">
        <v>0.0</v>
      </c>
      <c r="G90" s="193"/>
      <c r="H90" s="193"/>
      <c r="I90" s="193"/>
      <c r="J90" s="193"/>
      <c r="K90" s="193"/>
    </row>
    <row r="91">
      <c r="A91" s="53"/>
      <c r="B91" s="182"/>
      <c r="C91" s="182"/>
      <c r="D91" s="182"/>
      <c r="E91" s="182"/>
      <c r="F91" s="182"/>
      <c r="G91" s="182"/>
      <c r="H91" s="182"/>
      <c r="I91" s="182"/>
      <c r="J91" s="182"/>
      <c r="K91" s="182"/>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CB9C"/>
    <outlinePr summaryBelow="0" summaryRight="0"/>
  </sheetPr>
  <sheetViews>
    <sheetView workbookViewId="0"/>
  </sheetViews>
  <sheetFormatPr customHeight="1" defaultColWidth="17.29" defaultRowHeight="15.0"/>
  <cols>
    <col customWidth="1" min="1" max="1" width="72.71"/>
    <col customWidth="1" min="2" max="2" width="19.43"/>
    <col customWidth="1" min="3" max="3" width="20.14"/>
  </cols>
  <sheetData>
    <row r="1">
      <c r="A1" s="44" t="s">
        <v>243</v>
      </c>
      <c r="B1" s="46"/>
      <c r="C1" s="46"/>
      <c r="D1" s="46"/>
      <c r="E1" s="46"/>
      <c r="F1" s="46"/>
      <c r="G1" s="46"/>
      <c r="H1" s="46"/>
      <c r="I1" s="46"/>
      <c r="J1" s="46"/>
      <c r="K1" s="46"/>
      <c r="L1" s="46"/>
      <c r="M1" s="46"/>
      <c r="N1" s="46"/>
      <c r="O1" s="46"/>
      <c r="P1" s="46"/>
      <c r="Q1" s="46"/>
      <c r="R1" s="46"/>
      <c r="S1" s="46"/>
      <c r="T1" s="46"/>
      <c r="U1" s="46"/>
      <c r="V1" s="46"/>
      <c r="W1" s="46"/>
      <c r="X1" s="46"/>
      <c r="Y1" s="46"/>
      <c r="Z1" s="46"/>
    </row>
    <row r="2">
      <c r="A2" s="50" t="s">
        <v>244</v>
      </c>
      <c r="B2" s="52"/>
      <c r="C2" s="50" t="s">
        <v>156</v>
      </c>
      <c r="D2" s="52"/>
      <c r="E2" s="52"/>
      <c r="F2" s="52"/>
      <c r="G2" s="52"/>
      <c r="H2" s="52"/>
      <c r="I2" s="52"/>
      <c r="J2" s="52"/>
      <c r="K2" s="52"/>
      <c r="L2" s="52"/>
      <c r="M2" s="52"/>
      <c r="N2" s="52"/>
      <c r="O2" s="52"/>
      <c r="P2" s="52"/>
      <c r="Q2" s="52"/>
      <c r="R2" s="52"/>
      <c r="S2" s="52"/>
      <c r="T2" s="52"/>
      <c r="U2" s="52"/>
      <c r="V2" s="52"/>
      <c r="W2" s="52"/>
      <c r="X2" s="52"/>
      <c r="Y2" s="52"/>
      <c r="Z2" s="52"/>
    </row>
    <row r="3">
      <c r="A3" s="53" t="s">
        <v>245</v>
      </c>
      <c r="B3" s="167">
        <f>Consumption!$B$14</f>
        <v>487.899622</v>
      </c>
    </row>
    <row r="4">
      <c r="A4" s="53" t="s">
        <v>246</v>
      </c>
      <c r="B4" s="25">
        <v>2.5</v>
      </c>
      <c r="C4" s="53" t="s">
        <v>247</v>
      </c>
    </row>
    <row r="5">
      <c r="A5" s="53" t="s">
        <v>248</v>
      </c>
      <c r="B5" s="167">
        <f>B3*B4</f>
        <v>1219.749055</v>
      </c>
      <c r="C5" s="53" t="s">
        <v>249</v>
      </c>
    </row>
    <row r="6">
      <c r="A6" s="53" t="s">
        <v>250</v>
      </c>
      <c r="B6" s="167">
        <f>SUM(Consumption!$B$18:$C$18)</f>
        <v>362.0215196</v>
      </c>
      <c r="C6" s="53" t="s">
        <v>251</v>
      </c>
    </row>
    <row r="7">
      <c r="A7" s="191" t="s">
        <v>252</v>
      </c>
      <c r="B7" s="194">
        <f>(B5-B6)/B5</f>
        <v>0.7032</v>
      </c>
    </row>
    <row r="8">
      <c r="A8" s="53"/>
      <c r="B8" s="182"/>
    </row>
    <row r="9">
      <c r="A9" s="39" t="s">
        <v>253</v>
      </c>
      <c r="B9" s="145"/>
      <c r="C9" s="145"/>
      <c r="D9" s="145"/>
      <c r="E9" s="145"/>
      <c r="F9" s="145"/>
      <c r="G9" s="145"/>
      <c r="H9" s="145"/>
      <c r="I9" s="145"/>
      <c r="J9" s="145"/>
      <c r="K9" s="145"/>
      <c r="L9" s="145"/>
      <c r="M9" s="145"/>
      <c r="N9" s="145"/>
      <c r="O9" s="145"/>
      <c r="P9" s="145"/>
      <c r="Q9" s="145"/>
      <c r="R9" s="145"/>
      <c r="S9" s="145"/>
      <c r="T9" s="145"/>
      <c r="U9" s="145"/>
      <c r="V9" s="145"/>
      <c r="W9" s="145"/>
      <c r="X9" s="145"/>
      <c r="Y9" s="145"/>
      <c r="Z9" s="145"/>
    </row>
    <row r="10">
      <c r="A10" s="53"/>
      <c r="B10" s="165" t="s">
        <v>74</v>
      </c>
      <c r="C10" s="165" t="s">
        <v>75</v>
      </c>
      <c r="D10" s="165" t="s">
        <v>76</v>
      </c>
      <c r="E10" s="165" t="s">
        <v>77</v>
      </c>
      <c r="F10" s="165" t="s">
        <v>78</v>
      </c>
      <c r="G10" s="53" t="s">
        <v>254</v>
      </c>
    </row>
    <row r="11">
      <c r="A11" s="53" t="s">
        <v>245</v>
      </c>
      <c r="B11" s="167">
        <f>'New CEA'!B11</f>
        <v>487.899622</v>
      </c>
      <c r="C11" s="167">
        <f>'New CEA'!C11</f>
        <v>651.4636114</v>
      </c>
      <c r="D11" s="167">
        <f>'New CEA'!D11</f>
        <v>639.0874636</v>
      </c>
      <c r="E11" s="167">
        <f>'New CEA'!E11</f>
        <v>714.7502831</v>
      </c>
      <c r="F11" s="167">
        <f>'New CEA'!F11</f>
        <v>589.3137785</v>
      </c>
      <c r="G11" s="53"/>
    </row>
    <row r="12">
      <c r="A12" s="53" t="s">
        <v>250</v>
      </c>
      <c r="B12" s="167">
        <f>SUM(Consumption!$B$18:$C$18)</f>
        <v>362.0215196</v>
      </c>
      <c r="C12" s="167">
        <f>SUM(Consumption!$B$32:$C$32)</f>
        <v>483.3859997</v>
      </c>
      <c r="D12" s="167">
        <f>SUM(Consumption!$B$45:$C$45)</f>
        <v>474.202898</v>
      </c>
      <c r="E12" s="167">
        <f>SUM(Consumption!$B$58:$C$58)</f>
        <v>530.34471</v>
      </c>
      <c r="F12" s="167">
        <f>SUM(Consumption!$B$71:$C$71)</f>
        <v>437.2708236</v>
      </c>
      <c r="G12" s="53" t="s">
        <v>255</v>
      </c>
    </row>
    <row r="13">
      <c r="A13" s="53" t="s">
        <v>256</v>
      </c>
      <c r="B13" s="87">
        <f>'New CEA'!B36</f>
        <v>0.675072</v>
      </c>
      <c r="C13" s="87">
        <f>'New CEA'!C36</f>
        <v>0.590688</v>
      </c>
      <c r="D13" s="87">
        <f>'New CEA'!D36</f>
        <v>0.590688</v>
      </c>
      <c r="E13" s="87">
        <f>'New CEA'!E36</f>
        <v>0.63288</v>
      </c>
      <c r="F13" s="87">
        <f>'New CEA'!F36</f>
        <v>0.63288</v>
      </c>
    </row>
    <row r="14">
      <c r="A14" s="53" t="s">
        <v>257</v>
      </c>
      <c r="B14" s="87">
        <f>'New CEA'!B35</f>
        <v>0.8</v>
      </c>
      <c r="C14" s="87">
        <f>'New CEA'!C35</f>
        <v>0.8</v>
      </c>
      <c r="D14" s="87">
        <f>'New CEA'!D35</f>
        <v>0.8</v>
      </c>
      <c r="E14" s="87">
        <f>'New CEA'!E35</f>
        <v>0.8</v>
      </c>
      <c r="F14" s="87">
        <f>'New CEA'!F35</f>
        <v>0.8</v>
      </c>
    </row>
    <row r="15">
      <c r="A15" s="53" t="s">
        <v>258</v>
      </c>
      <c r="B15" s="28">
        <f t="shared" ref="B15:F15" si="1">(B12*B13)/B14</f>
        <v>305.4882391</v>
      </c>
      <c r="C15" s="28">
        <f t="shared" si="1"/>
        <v>356.9128867</v>
      </c>
      <c r="D15" s="28">
        <f t="shared" si="1"/>
        <v>350.1324518</v>
      </c>
      <c r="E15" s="28">
        <f t="shared" si="1"/>
        <v>419.5557001</v>
      </c>
      <c r="F15" s="28">
        <f t="shared" si="1"/>
        <v>345.9249486</v>
      </c>
    </row>
    <row r="16">
      <c r="A16" s="53" t="s">
        <v>259</v>
      </c>
      <c r="B16" s="28">
        <f t="shared" ref="B16:F16" si="2">B15+B12</f>
        <v>667.5097586</v>
      </c>
      <c r="C16" s="28">
        <f t="shared" si="2"/>
        <v>840.2988864</v>
      </c>
      <c r="D16" s="28">
        <f t="shared" si="2"/>
        <v>824.3353498</v>
      </c>
      <c r="E16" s="28">
        <f t="shared" si="2"/>
        <v>949.9004102</v>
      </c>
      <c r="F16" s="28">
        <f t="shared" si="2"/>
        <v>783.1957722</v>
      </c>
    </row>
    <row r="17">
      <c r="A17" s="53" t="s">
        <v>260</v>
      </c>
      <c r="B17" s="195">
        <f t="shared" ref="B17:F17" si="3">B16/B11</f>
        <v>1.36812928</v>
      </c>
      <c r="C17" s="195">
        <f t="shared" si="3"/>
        <v>1.28986312</v>
      </c>
      <c r="D17" s="195">
        <f t="shared" si="3"/>
        <v>1.28986312</v>
      </c>
      <c r="E17" s="195">
        <f t="shared" si="3"/>
        <v>1.3289962</v>
      </c>
      <c r="F17" s="195">
        <f t="shared" si="3"/>
        <v>1.3289962</v>
      </c>
    </row>
    <row r="18">
      <c r="A18" s="53"/>
      <c r="B18" s="165"/>
      <c r="C18" s="165"/>
      <c r="D18" s="165"/>
      <c r="E18" s="165"/>
      <c r="F18" s="165"/>
    </row>
    <row r="20">
      <c r="A20" s="39" t="s">
        <v>261</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row>
    <row r="21">
      <c r="A21" s="191" t="s">
        <v>74</v>
      </c>
      <c r="B21" s="165" t="s">
        <v>229</v>
      </c>
      <c r="C21" s="165" t="s">
        <v>230</v>
      </c>
      <c r="D21" s="165" t="s">
        <v>231</v>
      </c>
      <c r="E21" s="165" t="s">
        <v>232</v>
      </c>
      <c r="F21" s="165" t="s">
        <v>233</v>
      </c>
      <c r="G21" s="165" t="s">
        <v>234</v>
      </c>
      <c r="H21" s="165" t="s">
        <v>235</v>
      </c>
      <c r="I21" s="165" t="s">
        <v>236</v>
      </c>
      <c r="J21" s="165" t="s">
        <v>237</v>
      </c>
    </row>
    <row r="22">
      <c r="A22" s="53" t="s">
        <v>262</v>
      </c>
      <c r="B22" s="167">
        <f>SUM(Consumption!$B18:C18)</f>
        <v>362.0215196</v>
      </c>
      <c r="C22" s="167">
        <f>SUM(Consumption!$B18:D18)</f>
        <v>429.1565075</v>
      </c>
      <c r="D22" s="167">
        <f>SUM(Consumption!$B18:E18)</f>
        <v>482.8644979</v>
      </c>
      <c r="E22" s="167">
        <f>SUM(Consumption!$B18:F18)</f>
        <v>525.8308903</v>
      </c>
      <c r="F22" s="167">
        <f>SUM(Consumption!$B18:G18)</f>
        <v>560.2040041</v>
      </c>
      <c r="G22" s="167">
        <f>SUM(Consumption!$B18:H18)</f>
        <v>587.7024952</v>
      </c>
      <c r="H22" s="167">
        <f>SUM(Consumption!$B18:I18)</f>
        <v>609.701288</v>
      </c>
      <c r="I22" s="167">
        <f>SUM(Consumption!$B18:J18)</f>
        <v>627.3003223</v>
      </c>
      <c r="J22" s="167">
        <f>SUM(Consumption!$B18:K18)</f>
        <v>641.3795498</v>
      </c>
    </row>
    <row r="23">
      <c r="A23" s="53" t="s">
        <v>263</v>
      </c>
      <c r="B23" s="182"/>
      <c r="C23" s="99">
        <f t="shared" ref="C23:J23" si="4">(C22-B22)/B22</f>
        <v>0.1854447439</v>
      </c>
      <c r="D23" s="99">
        <f t="shared" si="4"/>
        <v>0.1251477945</v>
      </c>
      <c r="E23" s="99">
        <f t="shared" si="4"/>
        <v>0.08898229731</v>
      </c>
      <c r="F23" s="99">
        <f t="shared" si="4"/>
        <v>0.06536914147</v>
      </c>
      <c r="G23" s="99">
        <f t="shared" si="4"/>
        <v>0.04908656647</v>
      </c>
      <c r="H23" s="99">
        <f t="shared" si="4"/>
        <v>0.03743185208</v>
      </c>
      <c r="I23" s="99">
        <f t="shared" si="4"/>
        <v>0.02886501085</v>
      </c>
      <c r="J23" s="99">
        <f t="shared" si="4"/>
        <v>0.02244415782</v>
      </c>
    </row>
    <row r="24">
      <c r="A24" s="53" t="s">
        <v>264</v>
      </c>
      <c r="B24" s="196">
        <f>B17</f>
        <v>1.36812928</v>
      </c>
      <c r="C24" s="196">
        <f t="shared" ref="C24:J24" si="5">B24*(1+C23)</f>
        <v>1.621841664</v>
      </c>
      <c r="D24" s="196">
        <f t="shared" si="5"/>
        <v>1.824811571</v>
      </c>
      <c r="E24" s="196">
        <f t="shared" si="5"/>
        <v>1.987187497</v>
      </c>
      <c r="F24" s="196">
        <f t="shared" si="5"/>
        <v>2.117088238</v>
      </c>
      <c r="G24" s="196">
        <f t="shared" si="5"/>
        <v>2.22100883</v>
      </c>
      <c r="H24" s="196">
        <f t="shared" si="5"/>
        <v>2.304145304</v>
      </c>
      <c r="I24" s="196">
        <f t="shared" si="5"/>
        <v>2.370654483</v>
      </c>
      <c r="J24" s="196">
        <f t="shared" si="5"/>
        <v>2.423861827</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CB9C"/>
    <outlinePr summaryBelow="0" summaryRight="0"/>
  </sheetPr>
  <sheetViews>
    <sheetView workbookViewId="0"/>
  </sheetViews>
  <sheetFormatPr customHeight="1" defaultColWidth="17.29" defaultRowHeight="15.0"/>
  <cols>
    <col customWidth="1" min="1" max="1" width="105.14"/>
  </cols>
  <sheetData>
    <row r="1">
      <c r="A1" s="44" t="s">
        <v>265</v>
      </c>
      <c r="B1" s="46"/>
      <c r="C1" s="46"/>
      <c r="D1" s="46"/>
      <c r="E1" s="46"/>
      <c r="F1" s="46"/>
      <c r="G1" s="46"/>
      <c r="H1" s="46"/>
      <c r="I1" s="46"/>
      <c r="J1" s="46"/>
      <c r="K1" s="46"/>
      <c r="L1" s="46"/>
      <c r="M1" s="46"/>
      <c r="N1" s="46"/>
      <c r="O1" s="46"/>
      <c r="P1" s="46"/>
      <c r="Q1" s="46"/>
      <c r="R1" s="46"/>
      <c r="S1" s="46"/>
      <c r="T1" s="46"/>
      <c r="U1" s="46"/>
      <c r="V1" s="46"/>
      <c r="W1" s="46"/>
      <c r="X1" s="46"/>
      <c r="Y1" s="46"/>
      <c r="Z1" s="46"/>
    </row>
    <row r="2">
      <c r="A2" s="191" t="s">
        <v>266</v>
      </c>
      <c r="B2" s="165" t="s">
        <v>267</v>
      </c>
      <c r="D2" s="191" t="s">
        <v>156</v>
      </c>
      <c r="E2" s="191" t="s">
        <v>268</v>
      </c>
    </row>
    <row r="3">
      <c r="A3" s="53" t="s">
        <v>269</v>
      </c>
      <c r="B3" s="197">
        <v>10500.0</v>
      </c>
      <c r="D3" s="53"/>
      <c r="E3" s="53" t="s">
        <v>270</v>
      </c>
    </row>
    <row r="4">
      <c r="A4" s="53" t="s">
        <v>271</v>
      </c>
      <c r="B4" s="28">
        <v>1871.0</v>
      </c>
      <c r="D4" s="53"/>
      <c r="E4" s="53" t="s">
        <v>272</v>
      </c>
    </row>
    <row r="5">
      <c r="A5" s="53" t="s">
        <v>273</v>
      </c>
      <c r="B5" s="167">
        <f>B3*B4</f>
        <v>19645500</v>
      </c>
      <c r="D5" s="53" t="s">
        <v>274</v>
      </c>
    </row>
    <row r="6">
      <c r="A6" s="191" t="s">
        <v>275</v>
      </c>
      <c r="B6" s="197"/>
      <c r="D6" s="53"/>
      <c r="E6" s="53"/>
    </row>
    <row r="7">
      <c r="A7" s="97" t="s">
        <v>276</v>
      </c>
      <c r="B7" s="197"/>
      <c r="D7" s="53"/>
      <c r="E7" s="53"/>
    </row>
    <row r="8">
      <c r="A8" s="53" t="s">
        <v>277</v>
      </c>
      <c r="B8" s="28">
        <v>338.0</v>
      </c>
      <c r="D8" s="53"/>
      <c r="E8" s="53" t="s">
        <v>278</v>
      </c>
    </row>
    <row r="9">
      <c r="A9" s="53" t="s">
        <v>279</v>
      </c>
      <c r="B9" s="25">
        <v>19.0</v>
      </c>
      <c r="D9" s="53"/>
      <c r="E9" s="53" t="s">
        <v>280</v>
      </c>
    </row>
    <row r="10">
      <c r="A10" s="53" t="s">
        <v>281</v>
      </c>
      <c r="B10" s="25">
        <v>2.0</v>
      </c>
    </row>
    <row r="11">
      <c r="A11" s="53" t="s">
        <v>282</v>
      </c>
      <c r="B11" s="167">
        <f>B10*B8</f>
        <v>676</v>
      </c>
      <c r="E11" s="198" t="s">
        <v>283</v>
      </c>
    </row>
    <row r="12">
      <c r="A12" s="53" t="s">
        <v>284</v>
      </c>
      <c r="B12" s="167">
        <f>B11*B3</f>
        <v>7098000</v>
      </c>
      <c r="D12" s="53" t="s">
        <v>285</v>
      </c>
    </row>
    <row r="13">
      <c r="A13" s="97" t="s">
        <v>286</v>
      </c>
    </row>
    <row r="14">
      <c r="A14" s="53" t="s">
        <v>287</v>
      </c>
      <c r="B14" s="197">
        <v>65000.0</v>
      </c>
      <c r="D14" s="53"/>
      <c r="E14" s="53" t="s">
        <v>288</v>
      </c>
    </row>
    <row r="15">
      <c r="A15" s="53" t="s">
        <v>289</v>
      </c>
      <c r="B15" s="87">
        <v>0.67</v>
      </c>
      <c r="D15" s="53"/>
      <c r="E15" s="53" t="s">
        <v>290</v>
      </c>
    </row>
    <row r="16">
      <c r="A16" s="53" t="s">
        <v>291</v>
      </c>
      <c r="B16" s="197">
        <f>B14*B15</f>
        <v>43550</v>
      </c>
    </row>
    <row r="17">
      <c r="A17" s="53" t="s">
        <v>292</v>
      </c>
      <c r="B17" s="197">
        <f>B14-B3-B16</f>
        <v>10950</v>
      </c>
      <c r="D17" s="53"/>
      <c r="E17" s="53"/>
    </row>
    <row r="18">
      <c r="A18" s="53" t="s">
        <v>293</v>
      </c>
      <c r="B18" s="28">
        <v>334.0</v>
      </c>
      <c r="D18" s="53"/>
      <c r="E18" s="53" t="s">
        <v>294</v>
      </c>
    </row>
    <row r="19">
      <c r="A19" s="53" t="s">
        <v>295</v>
      </c>
      <c r="B19" s="167">
        <f>B18*B10</f>
        <v>668</v>
      </c>
      <c r="D19" s="53" t="s">
        <v>296</v>
      </c>
    </row>
    <row r="20">
      <c r="A20" s="53" t="s">
        <v>297</v>
      </c>
      <c r="B20" s="167">
        <f>B19*B16</f>
        <v>29091400</v>
      </c>
    </row>
    <row r="22">
      <c r="A22" s="53" t="s">
        <v>298</v>
      </c>
      <c r="B22" s="167">
        <f>B20+B12</f>
        <v>36189400</v>
      </c>
    </row>
    <row r="23">
      <c r="A23" s="191" t="s">
        <v>299</v>
      </c>
      <c r="B23" s="199">
        <f>B22/B5</f>
        <v>1.842121605</v>
      </c>
      <c r="D23" s="53" t="s">
        <v>300</v>
      </c>
    </row>
    <row r="25">
      <c r="A25" s="53" t="s">
        <v>301</v>
      </c>
      <c r="B25" s="167">
        <f>B5-B12</f>
        <v>12547500</v>
      </c>
      <c r="D25" s="53" t="s">
        <v>302</v>
      </c>
    </row>
    <row r="26">
      <c r="A26" s="53" t="s">
        <v>303</v>
      </c>
      <c r="B26" s="167">
        <f>B25+B22</f>
        <v>48736900</v>
      </c>
      <c r="D26" s="53" t="s">
        <v>304</v>
      </c>
    </row>
    <row r="27">
      <c r="A27" s="53" t="s">
        <v>305</v>
      </c>
      <c r="B27" s="196">
        <f>B26/B5</f>
        <v>2.48081749</v>
      </c>
      <c r="D27" s="53" t="s">
        <v>306</v>
      </c>
    </row>
    <row r="29">
      <c r="A29" s="200" t="s">
        <v>224</v>
      </c>
      <c r="B29" s="201"/>
      <c r="C29" s="145"/>
      <c r="D29" s="145"/>
      <c r="E29" s="145"/>
      <c r="F29" s="145"/>
      <c r="G29" s="145"/>
      <c r="H29" s="145"/>
      <c r="I29" s="145"/>
      <c r="J29" s="145"/>
      <c r="K29" s="145"/>
      <c r="L29" s="145"/>
      <c r="M29" s="145"/>
      <c r="N29" s="145"/>
      <c r="O29" s="145"/>
      <c r="P29" s="145"/>
      <c r="Q29" s="145"/>
      <c r="R29" s="145"/>
      <c r="S29" s="145"/>
      <c r="T29" s="145"/>
      <c r="U29" s="145"/>
      <c r="V29" s="145"/>
      <c r="W29" s="145"/>
      <c r="X29" s="145"/>
      <c r="Y29" s="145"/>
      <c r="Z29" s="145"/>
    </row>
    <row r="30">
      <c r="A30" s="53"/>
      <c r="B30" s="99"/>
    </row>
    <row r="31">
      <c r="A31" s="53"/>
      <c r="B31" s="25" t="s">
        <v>307</v>
      </c>
      <c r="C31" s="25" t="s">
        <v>239</v>
      </c>
      <c r="D31" s="25"/>
    </row>
    <row r="32">
      <c r="A32" s="53" t="s">
        <v>89</v>
      </c>
      <c r="B32" s="202">
        <f>B12/$B$26</f>
        <v>0.1456391358</v>
      </c>
      <c r="C32" s="202">
        <f>0.8*0.18</f>
        <v>0.144</v>
      </c>
      <c r="E32" s="53" t="s">
        <v>308</v>
      </c>
    </row>
    <row r="33">
      <c r="A33" s="53" t="s">
        <v>309</v>
      </c>
      <c r="B33" s="202">
        <f>B25/$B$26</f>
        <v>0.2574537978</v>
      </c>
      <c r="C33" s="203">
        <v>0.2</v>
      </c>
    </row>
    <row r="34">
      <c r="A34" s="53" t="s">
        <v>310</v>
      </c>
      <c r="B34" s="202">
        <f>B20/$B$26</f>
        <v>0.5969070663</v>
      </c>
      <c r="C34" s="202">
        <f>0.8*0.82</f>
        <v>0.656</v>
      </c>
      <c r="E34" s="53" t="s">
        <v>308</v>
      </c>
    </row>
    <row r="35">
      <c r="A35" s="53"/>
      <c r="B35" s="99"/>
    </row>
    <row r="36">
      <c r="A36" s="53"/>
      <c r="B36" s="99"/>
    </row>
    <row r="38">
      <c r="B38" s="202"/>
      <c r="C38" s="203"/>
      <c r="D38" s="202"/>
    </row>
    <row r="39">
      <c r="B39" s="182"/>
      <c r="C39" s="182"/>
    </row>
    <row r="41">
      <c r="B41" s="204"/>
    </row>
    <row r="42">
      <c r="B42" s="25"/>
    </row>
  </sheetData>
  <hyperlinks>
    <hyperlink r:id="rId1" ref="E11"/>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CB9C"/>
    <outlinePr summaryBelow="0" summaryRight="0"/>
  </sheetPr>
  <sheetViews>
    <sheetView workbookViewId="0"/>
  </sheetViews>
  <sheetFormatPr customHeight="1" defaultColWidth="17.29" defaultRowHeight="15.0"/>
  <cols>
    <col customWidth="1" min="1" max="1" width="74.86"/>
    <col customWidth="1" min="2" max="2" width="20.71"/>
  </cols>
  <sheetData>
    <row r="1">
      <c r="A1" s="200" t="s">
        <v>224</v>
      </c>
      <c r="B1" s="145"/>
      <c r="C1" s="145"/>
      <c r="D1" s="145"/>
      <c r="E1" s="145"/>
      <c r="F1" s="145"/>
      <c r="G1" s="145"/>
      <c r="H1" s="145"/>
      <c r="I1" s="145"/>
      <c r="J1" s="145"/>
      <c r="K1" s="145"/>
      <c r="L1" s="145"/>
      <c r="M1" s="145"/>
      <c r="N1" s="145"/>
      <c r="O1" s="145"/>
      <c r="P1" s="145"/>
      <c r="Q1" s="145"/>
      <c r="R1" s="145"/>
      <c r="S1" s="145"/>
      <c r="T1" s="145"/>
      <c r="U1" s="145"/>
      <c r="V1" s="145"/>
      <c r="W1" s="145"/>
      <c r="X1" s="145"/>
    </row>
    <row r="2">
      <c r="A2" s="50" t="s">
        <v>311</v>
      </c>
      <c r="B2" s="52"/>
      <c r="C2" s="52"/>
      <c r="D2" s="52"/>
      <c r="E2" s="52"/>
      <c r="F2" s="52"/>
      <c r="G2" s="52"/>
      <c r="H2" s="52"/>
      <c r="I2" s="52"/>
      <c r="J2" s="52"/>
      <c r="K2" s="52"/>
      <c r="L2" s="52"/>
      <c r="M2" s="52"/>
      <c r="N2" s="52"/>
      <c r="O2" s="52"/>
      <c r="P2" s="52"/>
      <c r="Q2" s="52"/>
      <c r="R2" s="52"/>
      <c r="S2" s="52"/>
      <c r="T2" s="52"/>
      <c r="U2" s="52"/>
      <c r="V2" s="52"/>
      <c r="W2" s="52"/>
      <c r="X2" s="52"/>
    </row>
    <row r="3">
      <c r="C3" s="191" t="s">
        <v>268</v>
      </c>
    </row>
    <row r="4">
      <c r="A4" s="53" t="s">
        <v>312</v>
      </c>
      <c r="B4" s="83">
        <v>0.057</v>
      </c>
      <c r="C4" s="198" t="s">
        <v>313</v>
      </c>
    </row>
    <row r="5">
      <c r="A5" s="53" t="s">
        <v>314</v>
      </c>
      <c r="B5" s="87">
        <v>0.45</v>
      </c>
      <c r="C5" s="198" t="s">
        <v>315</v>
      </c>
    </row>
    <row r="6">
      <c r="A6" s="53" t="s">
        <v>316</v>
      </c>
      <c r="B6" s="83">
        <f>B4*(1-B5)</f>
        <v>0.03135</v>
      </c>
    </row>
    <row r="8">
      <c r="A8" s="53" t="s">
        <v>317</v>
      </c>
      <c r="B8" s="28">
        <v>2536.0</v>
      </c>
      <c r="C8" s="53" t="s">
        <v>318</v>
      </c>
    </row>
    <row r="9">
      <c r="A9" s="53" t="s">
        <v>319</v>
      </c>
      <c r="B9" s="28">
        <v>1871.0</v>
      </c>
      <c r="C9" s="53" t="s">
        <v>320</v>
      </c>
    </row>
    <row r="10">
      <c r="A10" s="53" t="s">
        <v>86</v>
      </c>
      <c r="B10" s="182">
        <f>Baseline!B4</f>
        <v>4.2</v>
      </c>
    </row>
    <row r="11">
      <c r="A11" s="53" t="s">
        <v>321</v>
      </c>
      <c r="B11" s="28">
        <f>B9/B10</f>
        <v>445.4761905</v>
      </c>
    </row>
    <row r="12">
      <c r="A12" s="53" t="s">
        <v>322</v>
      </c>
      <c r="B12" s="25">
        <v>0.76</v>
      </c>
      <c r="C12" s="53" t="s">
        <v>323</v>
      </c>
    </row>
    <row r="13">
      <c r="A13" s="53" t="s">
        <v>324</v>
      </c>
      <c r="B13" s="25">
        <v>1.5</v>
      </c>
      <c r="C13" s="53" t="s">
        <v>325</v>
      </c>
    </row>
    <row r="14">
      <c r="A14" s="53" t="s">
        <v>326</v>
      </c>
      <c r="B14" s="167">
        <f>B8/B10</f>
        <v>603.8095238</v>
      </c>
    </row>
    <row r="15">
      <c r="A15" s="53" t="s">
        <v>327</v>
      </c>
      <c r="B15" s="167">
        <f>B14+(B11*B12)/B13</f>
        <v>829.5174603</v>
      </c>
    </row>
    <row r="17">
      <c r="B17" s="53" t="s">
        <v>328</v>
      </c>
      <c r="C17" s="53" t="s">
        <v>329</v>
      </c>
      <c r="D17" s="53" t="s">
        <v>330</v>
      </c>
    </row>
    <row r="18">
      <c r="A18" s="53" t="s">
        <v>331</v>
      </c>
      <c r="B18" s="25" t="s">
        <v>332</v>
      </c>
      <c r="C18" s="167">
        <f t="shared" ref="C18:C19" si="1">B14</f>
        <v>603.8095238</v>
      </c>
      <c r="D18" s="83">
        <f>B4</f>
        <v>0.057</v>
      </c>
    </row>
    <row r="19">
      <c r="A19" s="53" t="s">
        <v>333</v>
      </c>
      <c r="B19" s="25" t="s">
        <v>332</v>
      </c>
      <c r="C19" s="167">
        <f t="shared" si="1"/>
        <v>829.5174603</v>
      </c>
      <c r="D19" s="83">
        <f>B6</f>
        <v>0.03135</v>
      </c>
      <c r="E19" s="185">
        <f>(D23-D19)/D23</f>
        <v>0.3221797488</v>
      </c>
    </row>
    <row r="20">
      <c r="A20" s="205" t="s">
        <v>334</v>
      </c>
      <c r="B20" s="206">
        <f t="array" ref="B20">ROUND(INDEX(WB!$I$70:$I$114,MATCH($A20,WB!$C$70:$C$524,0)),0)</f>
        <v>2020</v>
      </c>
      <c r="C20" s="167">
        <f t="array" ref="C20">INDEX(WB!$R$70:$R$114,MATCH($A20,WB!$C$70:$C$524,0))*365</f>
        <v>854.58326</v>
      </c>
      <c r="D20" s="83">
        <f t="array" ref="D20">INDEX(UNICEF!$H$12:$R$211,MATCH($A20,UNICEF!$B$12:$B$211,0),MATCH($B20,UNICEF!$H$11:$R$11,0))/1000</f>
        <v>0.0542285</v>
      </c>
    </row>
    <row r="21">
      <c r="A21" s="205" t="s">
        <v>335</v>
      </c>
      <c r="B21" s="206">
        <f t="array" ref="B21">ROUND(INDEX(WB!$I$70:$I$114,MATCH($A21,WB!$C$70:$C$524,0)),0)</f>
        <v>2020</v>
      </c>
      <c r="C21" s="167">
        <f t="array" ref="C21">INDEX(WB!$R$70:$R$114,MATCH($A21,WB!$C$70:$C$524,0))*365</f>
        <v>637.925465</v>
      </c>
      <c r="D21" s="83">
        <f t="array" ref="D21">INDEX(UNICEF!$H$12:$R$211,MATCH($A21,UNICEF!$B$12:$B$211,0),MATCH($B21,UNICEF!$H$11:$R$11,0))/1000</f>
        <v>0.0808046</v>
      </c>
    </row>
    <row r="22">
      <c r="A22" s="205" t="s">
        <v>336</v>
      </c>
      <c r="B22" s="206">
        <f t="array" ref="B22">ROUND(INDEX(WB!$I$70:$I$114,MATCH($A22,WB!$C$70:$C$524,0)),0)</f>
        <v>2016</v>
      </c>
      <c r="C22" s="167">
        <f t="array" ref="C22">INDEX(WB!$R$70:$R$114,MATCH($A22,WB!$C$70:$C$524,0))*365</f>
        <v>1364.72989</v>
      </c>
      <c r="D22" s="83">
        <f t="array" ref="D22">INDEX(UNICEF!$H$12:$R$211,MATCH($A22,UNICEF!$B$12:$B$211,0),MATCH($B22,UNICEF!$H$11:$R$11,0))/1000</f>
        <v>0.0598782</v>
      </c>
    </row>
    <row r="23">
      <c r="A23" s="205" t="s">
        <v>74</v>
      </c>
      <c r="B23" s="206">
        <f t="array" ref="B23">ROUND(INDEX(WB!$I$70:$I$114,MATCH($A23,WB!$C$70:$C$524,0)),0)</f>
        <v>2016</v>
      </c>
      <c r="C23" s="167">
        <f t="array" ref="C23">INDEX(WB!$R$70:$R$114,MATCH($A23,WB!$C$70:$C$524,0))*365</f>
        <v>1549.830515</v>
      </c>
      <c r="D23" s="83">
        <f t="array" ref="D23">INDEX(UNICEF!$H$12:$R$211,MATCH($A23,UNICEF!$B$12:$B$211,0),MATCH($B23,UNICEF!$H$11:$R$11,0))/1000</f>
        <v>0.0462512</v>
      </c>
    </row>
    <row r="24">
      <c r="A24" s="205" t="s">
        <v>337</v>
      </c>
      <c r="B24" s="206">
        <f t="array" ref="B24">ROUND(INDEX(WB!$I$70:$I$114,MATCH($A24,WB!$C$70:$C$524,0)),0)</f>
        <v>2017</v>
      </c>
      <c r="C24" s="167">
        <f t="array" ref="C24">INDEX(WB!$R$70:$R$114,MATCH($A24,WB!$C$70:$C$524,0))*365</f>
        <v>1694.839905</v>
      </c>
      <c r="D24" s="83">
        <f t="array" ref="D24">INDEX(UNICEF!$H$12:$R$211,MATCH($A24,UNICEF!$B$12:$B$211,0),MATCH($B24,UNICEF!$H$11:$R$11,0))/1000</f>
        <v>0.075958</v>
      </c>
    </row>
    <row r="25">
      <c r="A25" s="205" t="s">
        <v>338</v>
      </c>
      <c r="B25" s="206">
        <f t="array" ref="B25">ROUND(INDEX(WB!$I$70:$I$114,MATCH($A25,WB!$C$70:$C$524,0)),0)</f>
        <v>2013</v>
      </c>
      <c r="C25" s="167">
        <f t="array" ref="C25">INDEX(WB!$R$70:$R$114,MATCH($A25,WB!$C$70:$C$524,0))*365</f>
        <v>580.591995</v>
      </c>
      <c r="D25" s="83">
        <f t="array" ref="D25">INDEX(UNICEF!$H$12:$R$211,MATCH($A25,UNICEF!$B$12:$B$211,0),MATCH($B25,UNICEF!$H$11:$R$11,0))/1000</f>
        <v>0.0668041</v>
      </c>
    </row>
    <row r="26">
      <c r="A26" s="205" t="s">
        <v>76</v>
      </c>
      <c r="B26" s="206">
        <f t="array" ref="B26">ROUND(INDEX(WB!$I$70:$I$114,MATCH($A26,WB!$C$70:$C$524,0)),0)</f>
        <v>2020</v>
      </c>
      <c r="C26" s="167">
        <f t="array" ref="C26">INDEX(WB!$R$70:$R$114,MATCH($A26,WB!$C$70:$C$524,0))*365</f>
        <v>765.08453</v>
      </c>
      <c r="D26" s="83">
        <f t="array" ref="D26">INDEX(UNICEF!$H$12:$R$211,MATCH($A26,UNICEF!$B$12:$B$211,0),MATCH($B26,UNICEF!$H$11:$R$11,0))/1000</f>
        <v>0.0701006</v>
      </c>
    </row>
    <row r="27">
      <c r="A27" s="205" t="s">
        <v>75</v>
      </c>
      <c r="B27" s="206">
        <f t="array" ref="B27">ROUND(INDEX(WB!$I$70:$I$114,MATCH($A27,WB!$C$70:$C$524,0)),0)</f>
        <v>2019</v>
      </c>
      <c r="C27" s="167">
        <f t="array" ref="C27">INDEX(WB!$R$70:$R$114,MATCH($A27,WB!$C$70:$C$524,0))*365</f>
        <v>755.317495</v>
      </c>
      <c r="D27" s="83">
        <f t="array" ref="D27">INDEX(UNICEF!$H$12:$R$211,MATCH($A27,UNICEF!$B$12:$B$211,0),MATCH($B27,UNICEF!$H$11:$R$11,0))/1000</f>
        <v>0.0454005</v>
      </c>
    </row>
    <row r="28">
      <c r="A28" s="205" t="s">
        <v>77</v>
      </c>
      <c r="B28" s="206">
        <f t="array" ref="B28">ROUND(INDEX(WB!$I$70:$I$114,MATCH($A28,WB!$C$70:$C$524,0)),0)</f>
        <v>2017</v>
      </c>
      <c r="C28" s="167">
        <f t="array" ref="C28">INDEX(WB!$R$70:$R$114,MATCH($A28,WB!$C$70:$C$524,0))*365</f>
        <v>1126.68054</v>
      </c>
      <c r="D28" s="83">
        <f t="array" ref="D28">INDEX(UNICEF!$H$12:$R$211,MATCH($A28,UNICEF!$B$12:$B$211,0),MATCH($B28,UNICEF!$H$11:$R$11,0))/1000</f>
        <v>0.0447029</v>
      </c>
    </row>
    <row r="29">
      <c r="A29" s="205" t="s">
        <v>339</v>
      </c>
      <c r="B29" s="206">
        <f t="array" ref="B29">ROUND(INDEX(WB!$I$70:$I$114,MATCH($A29,WB!$C$70:$C$524,0)),0)</f>
        <v>2018</v>
      </c>
      <c r="C29" s="167">
        <f t="array" ref="C29">INDEX(WB!$R$70:$R$114,MATCH($A29,WB!$C$70:$C$524,0))*365</f>
        <v>1202.58375</v>
      </c>
      <c r="D29" s="83">
        <f t="array" ref="D29">INDEX(UNICEF!$H$12:$R$211,MATCH($A29,UNICEF!$B$12:$B$211,0),MATCH($B29,UNICEF!$H$11:$R$11,0))/1000</f>
        <v>0.0478895</v>
      </c>
    </row>
    <row r="30">
      <c r="A30" s="205" t="s">
        <v>78</v>
      </c>
      <c r="B30" s="206">
        <f t="array" ref="B30">ROUND(INDEX(WB!$I$70:$I$114,MATCH($A30,WB!$C$70:$C$524,0)),0)</f>
        <v>2017</v>
      </c>
      <c r="C30" s="167">
        <f t="array" ref="C30">INDEX(WB!$R$70:$R$114,MATCH($A30,WB!$C$70:$C$524,0))*365</f>
        <v>1290.87141</v>
      </c>
      <c r="D30" s="83">
        <f t="array" ref="D30">INDEX(UNICEF!$H$12:$R$211,MATCH($A30,UNICEF!$B$12:$B$211,0),MATCH($B30,UNICEF!$H$11:$R$11,0))/1000</f>
        <v>0.0500448</v>
      </c>
    </row>
    <row r="31">
      <c r="A31" s="205" t="s">
        <v>340</v>
      </c>
      <c r="B31" s="206">
        <f t="array" ref="B31">ROUND(INDEX(WB!$I$70:$I$114,MATCH($A31,WB!$C$70:$C$524,0)),0)</f>
        <v>2015</v>
      </c>
      <c r="C31" s="167">
        <f t="array" ref="C31">INDEX(WB!$R$70:$R$114,MATCH($A31,WB!$C$70:$C$524,0))*365</f>
        <v>1085.66184</v>
      </c>
      <c r="D31" s="83">
        <f t="array" ref="D31">INDEX(UNICEF!$H$12:$R$211,MATCH($A31,UNICEF!$B$12:$B$211,0),MATCH($B31,UNICEF!$H$11:$R$11,0))/1000</f>
        <v>0.0680389</v>
      </c>
    </row>
    <row r="32">
      <c r="A32" s="205" t="s">
        <v>341</v>
      </c>
      <c r="B32" s="206">
        <f t="array" ref="B32">ROUND(INDEX(WB!$I$70:$I$114,MATCH($A32,WB!$C$70:$C$524,0)),0)</f>
        <v>2017</v>
      </c>
      <c r="C32" s="167">
        <f t="array" ref="C32">INDEX(WB!$R$70:$R$114,MATCH($A32,WB!$C$70:$C$524,0))*365</f>
        <v>1609.359825</v>
      </c>
      <c r="D32" s="83">
        <f t="array" ref="D32">INDEX(UNICEF!$H$12:$R$211,MATCH($A32,UNICEF!$B$12:$B$211,0),MATCH($B32,UNICEF!$H$11:$R$11,0))/1000</f>
        <v>0.0557896</v>
      </c>
    </row>
    <row r="34">
      <c r="D34" s="182"/>
    </row>
  </sheetData>
  <hyperlinks>
    <hyperlink r:id="rId2" ref="C4"/>
    <hyperlink r:id="rId3" ref="C5"/>
  </hyperlinks>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CB9C"/>
    <outlinePr summaryBelow="0" summaryRight="0"/>
  </sheetPr>
  <sheetViews>
    <sheetView workbookViewId="0"/>
  </sheetViews>
  <sheetFormatPr customHeight="1" defaultColWidth="17.29" defaultRowHeight="15.0"/>
  <cols>
    <col customWidth="1" min="1" max="1" width="73.29"/>
    <col customWidth="1" min="2" max="6" width="14.0"/>
  </cols>
  <sheetData>
    <row r="1">
      <c r="A1" s="44" t="s">
        <v>342</v>
      </c>
      <c r="B1" s="45"/>
      <c r="C1" s="45"/>
      <c r="D1" s="207"/>
      <c r="E1" s="208"/>
      <c r="F1" s="208"/>
      <c r="G1" s="44"/>
      <c r="H1" s="46"/>
      <c r="I1" s="46"/>
      <c r="J1" s="46"/>
      <c r="K1" s="46"/>
      <c r="L1" s="46"/>
      <c r="M1" s="46"/>
      <c r="N1" s="46"/>
      <c r="O1" s="46"/>
      <c r="P1" s="46"/>
      <c r="Q1" s="46"/>
      <c r="R1" s="46"/>
      <c r="S1" s="46"/>
      <c r="T1" s="46"/>
      <c r="U1" s="46"/>
      <c r="V1" s="46"/>
      <c r="W1" s="46"/>
      <c r="X1" s="46"/>
      <c r="Y1" s="46"/>
      <c r="Z1" s="46"/>
      <c r="AA1" s="46"/>
    </row>
    <row r="2">
      <c r="A2" s="47"/>
      <c r="B2" s="48" t="s">
        <v>74</v>
      </c>
      <c r="C2" s="48" t="s">
        <v>75</v>
      </c>
      <c r="D2" s="209" t="s">
        <v>76</v>
      </c>
      <c r="E2" s="210" t="s">
        <v>77</v>
      </c>
      <c r="F2" s="210" t="s">
        <v>78</v>
      </c>
      <c r="G2" s="49" t="s">
        <v>156</v>
      </c>
      <c r="H2" s="47"/>
      <c r="I2" s="47"/>
      <c r="J2" s="47"/>
      <c r="K2" s="47"/>
      <c r="L2" s="47"/>
      <c r="M2" s="47"/>
      <c r="N2" s="47"/>
      <c r="O2" s="47"/>
      <c r="P2" s="47"/>
      <c r="Q2" s="47"/>
      <c r="R2" s="47"/>
      <c r="S2" s="47"/>
      <c r="T2" s="47"/>
      <c r="U2" s="47"/>
      <c r="V2" s="47"/>
      <c r="W2" s="47"/>
      <c r="X2" s="47"/>
      <c r="Y2" s="47"/>
      <c r="Z2" s="47"/>
    </row>
    <row r="3">
      <c r="A3" s="50" t="s">
        <v>188</v>
      </c>
      <c r="B3" s="51"/>
      <c r="C3" s="51"/>
      <c r="D3" s="52"/>
      <c r="E3" s="52"/>
      <c r="F3" s="52"/>
      <c r="G3" s="52"/>
      <c r="H3" s="52"/>
      <c r="I3" s="52"/>
      <c r="J3" s="52"/>
      <c r="K3" s="52"/>
      <c r="L3" s="52"/>
      <c r="M3" s="52"/>
      <c r="N3" s="52"/>
      <c r="O3" s="52"/>
      <c r="P3" s="52"/>
      <c r="Q3" s="52"/>
      <c r="R3" s="52"/>
      <c r="S3" s="52"/>
      <c r="T3" s="52"/>
      <c r="U3" s="52"/>
      <c r="V3" s="52"/>
      <c r="W3" s="52"/>
      <c r="X3" s="52"/>
      <c r="Y3" s="52"/>
      <c r="Z3" s="52"/>
    </row>
    <row r="4">
      <c r="A4" s="53" t="s">
        <v>80</v>
      </c>
      <c r="B4" s="54">
        <f>'New CEA'!$B$4</f>
        <v>1000000</v>
      </c>
      <c r="C4" s="54">
        <f>'New CEA'!$B$4</f>
        <v>1000000</v>
      </c>
      <c r="D4" s="54">
        <f>'New CEA'!$B$4</f>
        <v>1000000</v>
      </c>
      <c r="E4" s="54">
        <f>'New CEA'!$B$4</f>
        <v>1000000</v>
      </c>
      <c r="F4" s="54">
        <f>'New CEA'!$B$4</f>
        <v>1000000</v>
      </c>
    </row>
    <row r="5">
      <c r="A5" s="53" t="s">
        <v>83</v>
      </c>
      <c r="B5" s="90">
        <f>'New CEA'!B$7</f>
        <v>971.0982659</v>
      </c>
      <c r="C5" s="90">
        <f>'New CEA'!C$7</f>
        <v>840</v>
      </c>
      <c r="D5" s="90">
        <f>'New CEA'!D$7</f>
        <v>750</v>
      </c>
      <c r="E5" s="90">
        <f>'New CEA'!E$7</f>
        <v>772.7272727</v>
      </c>
      <c r="F5" s="90">
        <f>'New CEA'!F$7</f>
        <v>743.4554974</v>
      </c>
    </row>
    <row r="6">
      <c r="A6" s="53" t="s">
        <v>86</v>
      </c>
      <c r="B6" s="211">
        <f>'New CEA'!B10</f>
        <v>4.2</v>
      </c>
      <c r="C6" s="211">
        <f>'New CEA'!C10</f>
        <v>4.5</v>
      </c>
      <c r="D6" s="211">
        <f>'New CEA'!D10</f>
        <v>4.4</v>
      </c>
      <c r="E6" s="211">
        <f>'New CEA'!E10</f>
        <v>4.3</v>
      </c>
      <c r="F6" s="211">
        <f>'New CEA'!F10</f>
        <v>4.8</v>
      </c>
    </row>
    <row r="7">
      <c r="A7" s="53" t="s">
        <v>343</v>
      </c>
      <c r="B7" s="197">
        <f t="shared" ref="B7:F7" si="1">B6*B5</f>
        <v>4078.612717</v>
      </c>
      <c r="C7" s="197">
        <f t="shared" si="1"/>
        <v>3780</v>
      </c>
      <c r="D7" s="197">
        <f t="shared" si="1"/>
        <v>3300</v>
      </c>
      <c r="E7" s="197">
        <f t="shared" si="1"/>
        <v>3322.727273</v>
      </c>
      <c r="F7" s="197">
        <f t="shared" si="1"/>
        <v>3568.586387</v>
      </c>
    </row>
    <row r="8">
      <c r="A8" s="53" t="s">
        <v>344</v>
      </c>
      <c r="B8" s="99">
        <f>SUM(Equivalence!B20:B22)/Equivalence!B41</f>
        <v>0.3781143946</v>
      </c>
      <c r="C8" s="99">
        <f>SUM(Equivalence!C20:C22)/Equivalence!C41</f>
        <v>0.4259267663</v>
      </c>
      <c r="D8" s="99">
        <f>SUM(Equivalence!D20:D22)/Equivalence!D41</f>
        <v>0.4329106306</v>
      </c>
      <c r="E8" s="99">
        <f>SUM(Equivalence!E20:E22)/Equivalence!E41</f>
        <v>0.3806647107</v>
      </c>
      <c r="F8" s="99">
        <f>SUM(Equivalence!F20:F22)/Equivalence!F41</f>
        <v>0.447813921</v>
      </c>
    </row>
    <row r="9">
      <c r="A9" s="53" t="s">
        <v>345</v>
      </c>
      <c r="B9" s="90">
        <f t="shared" ref="B9:F9" si="2">B8*B7</f>
        <v>1542.182178</v>
      </c>
      <c r="C9" s="90">
        <f t="shared" si="2"/>
        <v>1610.003177</v>
      </c>
      <c r="D9" s="90">
        <f t="shared" si="2"/>
        <v>1428.605081</v>
      </c>
      <c r="E9" s="90">
        <f t="shared" si="2"/>
        <v>1264.845016</v>
      </c>
      <c r="F9" s="90">
        <f t="shared" si="2"/>
        <v>1598.062663</v>
      </c>
    </row>
    <row r="10">
      <c r="A10" s="58" t="s">
        <v>90</v>
      </c>
      <c r="B10" s="167">
        <f>'New CEA'!B14</f>
        <v>651.9660358</v>
      </c>
      <c r="C10" s="167">
        <f>'New CEA'!C14</f>
        <v>469.9848552</v>
      </c>
      <c r="D10" s="167">
        <f>'New CEA'!D14</f>
        <v>449.7814891</v>
      </c>
      <c r="E10" s="167">
        <f>'New CEA'!E14</f>
        <v>532.6413912</v>
      </c>
      <c r="F10" s="167">
        <f>'New CEA'!F14</f>
        <v>625.5532756</v>
      </c>
    </row>
    <row r="11">
      <c r="A11" s="53" t="s">
        <v>346</v>
      </c>
      <c r="B11" s="87">
        <v>0.02</v>
      </c>
      <c r="C11" s="87">
        <v>0.02</v>
      </c>
      <c r="D11" s="87">
        <v>0.02</v>
      </c>
      <c r="E11" s="87">
        <v>0.02</v>
      </c>
      <c r="F11" s="87">
        <v>0.02</v>
      </c>
    </row>
    <row r="12">
      <c r="A12" s="53" t="s">
        <v>347</v>
      </c>
      <c r="B12" s="212">
        <f t="shared" ref="B12:F12" si="3">ln(B10*(1+B11))-ln(B10)</f>
        <v>0.0198026273</v>
      </c>
      <c r="C12" s="212">
        <f t="shared" si="3"/>
        <v>0.0198026273</v>
      </c>
      <c r="D12" s="212">
        <f t="shared" si="3"/>
        <v>0.0198026273</v>
      </c>
      <c r="E12" s="212">
        <f t="shared" si="3"/>
        <v>0.0198026273</v>
      </c>
      <c r="F12" s="212">
        <f t="shared" si="3"/>
        <v>0.0198026273</v>
      </c>
    </row>
    <row r="13">
      <c r="A13" s="53" t="s">
        <v>348</v>
      </c>
      <c r="B13" s="25">
        <v>10.0</v>
      </c>
      <c r="C13" s="25">
        <v>10.0</v>
      </c>
      <c r="D13" s="25">
        <v>10.0</v>
      </c>
      <c r="E13" s="25">
        <v>10.0</v>
      </c>
      <c r="F13" s="25">
        <v>10.0</v>
      </c>
    </row>
    <row r="14">
      <c r="A14" s="53" t="s">
        <v>212</v>
      </c>
      <c r="B14" s="87">
        <v>0.04</v>
      </c>
      <c r="C14" s="87">
        <v>0.04</v>
      </c>
      <c r="D14" s="87">
        <v>0.04</v>
      </c>
      <c r="E14" s="87">
        <v>0.04</v>
      </c>
      <c r="F14" s="87">
        <v>0.04</v>
      </c>
    </row>
    <row r="15">
      <c r="A15" s="53" t="s">
        <v>349</v>
      </c>
      <c r="B15" s="212">
        <f t="shared" ref="B15:F15" si="4">B12/(1+B14)^B13</f>
        <v>0.01337794545</v>
      </c>
      <c r="C15" s="212">
        <f t="shared" si="4"/>
        <v>0.01337794545</v>
      </c>
      <c r="D15" s="212">
        <f t="shared" si="4"/>
        <v>0.01337794545</v>
      </c>
      <c r="E15" s="212">
        <f t="shared" si="4"/>
        <v>0.01337794545</v>
      </c>
      <c r="F15" s="212">
        <f t="shared" si="4"/>
        <v>0.01337794545</v>
      </c>
    </row>
    <row r="16">
      <c r="A16" s="53" t="s">
        <v>350</v>
      </c>
      <c r="B16" s="25">
        <v>40.0</v>
      </c>
      <c r="C16" s="25">
        <v>40.0</v>
      </c>
      <c r="D16" s="25">
        <v>40.0</v>
      </c>
      <c r="E16" s="25">
        <v>40.0</v>
      </c>
      <c r="F16" s="25">
        <v>40.0</v>
      </c>
    </row>
    <row r="17">
      <c r="A17" s="53" t="s">
        <v>351</v>
      </c>
      <c r="B17" s="213">
        <f t="shared" ref="B17:F17" si="5">pv(B14,B16,-B15)</f>
        <v>0.2647866493</v>
      </c>
      <c r="C17" s="213">
        <f t="shared" si="5"/>
        <v>0.2647866493</v>
      </c>
      <c r="D17" s="213">
        <f t="shared" si="5"/>
        <v>0.2647866493</v>
      </c>
      <c r="E17" s="213">
        <f t="shared" si="5"/>
        <v>0.2647866493</v>
      </c>
      <c r="F17" s="213">
        <f t="shared" si="5"/>
        <v>0.2647866493</v>
      </c>
    </row>
    <row r="18">
      <c r="A18" s="71" t="s">
        <v>352</v>
      </c>
      <c r="B18" s="25">
        <v>2.0</v>
      </c>
      <c r="C18" s="25">
        <v>2.0</v>
      </c>
      <c r="D18" s="25">
        <v>2.0</v>
      </c>
      <c r="E18" s="25">
        <v>2.0</v>
      </c>
      <c r="F18" s="25">
        <v>2.0</v>
      </c>
    </row>
    <row r="19">
      <c r="A19" s="71" t="s">
        <v>96</v>
      </c>
      <c r="B19" s="25">
        <v>1.44</v>
      </c>
      <c r="C19" s="25">
        <v>1.44</v>
      </c>
      <c r="D19" s="25">
        <v>1.44</v>
      </c>
      <c r="E19" s="25">
        <v>1.44</v>
      </c>
      <c r="F19" s="25">
        <v>1.44</v>
      </c>
    </row>
    <row r="20">
      <c r="A20" s="53" t="s">
        <v>353</v>
      </c>
      <c r="B20" s="89">
        <f t="shared" ref="B20:F20" si="6">B17*B18*B19*B9</f>
        <v>1176.045845</v>
      </c>
      <c r="C20" s="89">
        <f t="shared" si="6"/>
        <v>1227.765158</v>
      </c>
      <c r="D20" s="89">
        <f t="shared" si="6"/>
        <v>1089.433591</v>
      </c>
      <c r="E20" s="89">
        <f t="shared" si="6"/>
        <v>964.5525321</v>
      </c>
      <c r="F20" s="89">
        <f t="shared" si="6"/>
        <v>1218.659495</v>
      </c>
    </row>
    <row r="21">
      <c r="A21" s="53" t="s">
        <v>152</v>
      </c>
      <c r="B21" s="213">
        <f t="shared" ref="B21:F21" si="7">B20/B4</f>
        <v>0.001176045845</v>
      </c>
      <c r="C21" s="213">
        <f t="shared" si="7"/>
        <v>0.001227765158</v>
      </c>
      <c r="D21" s="213">
        <f t="shared" si="7"/>
        <v>0.001089433591</v>
      </c>
      <c r="E21" s="213">
        <f t="shared" si="7"/>
        <v>0.0009645525321</v>
      </c>
      <c r="F21" s="213">
        <f t="shared" si="7"/>
        <v>0.001218659495</v>
      </c>
    </row>
    <row r="22">
      <c r="A22" s="191" t="s">
        <v>354</v>
      </c>
      <c r="B22" s="196">
        <f t="shared" ref="B22:F22" si="8">B21/0.003355</f>
        <v>0.3505352741</v>
      </c>
      <c r="C22" s="196">
        <f t="shared" si="8"/>
        <v>0.3659508668</v>
      </c>
      <c r="D22" s="196">
        <f t="shared" si="8"/>
        <v>0.3247194013</v>
      </c>
      <c r="E22" s="196">
        <f t="shared" si="8"/>
        <v>0.2874970289</v>
      </c>
      <c r="F22" s="196">
        <f t="shared" si="8"/>
        <v>0.3632368091</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CB9C"/>
    <outlinePr summaryBelow="0" summaryRight="0"/>
  </sheetPr>
  <sheetViews>
    <sheetView workbookViewId="0"/>
  </sheetViews>
  <sheetFormatPr customHeight="1" defaultColWidth="17.29" defaultRowHeight="15.0"/>
  <cols>
    <col customWidth="1" min="1" max="1" width="97.0"/>
  </cols>
  <sheetData>
    <row r="1">
      <c r="B1" s="107" t="s">
        <v>74</v>
      </c>
      <c r="C1" s="107" t="s">
        <v>75</v>
      </c>
      <c r="D1" s="108" t="s">
        <v>76</v>
      </c>
      <c r="E1" s="107" t="s">
        <v>77</v>
      </c>
      <c r="F1" s="107" t="s">
        <v>78</v>
      </c>
    </row>
    <row r="2">
      <c r="A2" s="53" t="s">
        <v>355</v>
      </c>
      <c r="B2" s="214">
        <f>Equivalence!B41/1000000</f>
        <v>54.027475</v>
      </c>
      <c r="C2" s="214">
        <f>Equivalence!C41/1000000</f>
        <v>20.405306</v>
      </c>
      <c r="D2" s="214">
        <f>Equivalence!D41/1000000</f>
        <v>33.897345</v>
      </c>
      <c r="E2" s="214">
        <f>Equivalence!E41/1000000</f>
        <v>14.094674</v>
      </c>
      <c r="F2" s="214">
        <f>Equivalence!F41/1000000</f>
        <v>47.249574</v>
      </c>
    </row>
    <row r="3">
      <c r="A3" s="53" t="s">
        <v>86</v>
      </c>
      <c r="B3" s="182">
        <f>Baseline!B4</f>
        <v>4.2</v>
      </c>
      <c r="C3" s="182">
        <f>Baseline!C4</f>
        <v>4.5</v>
      </c>
      <c r="D3" s="182">
        <f>Baseline!D4</f>
        <v>4.4</v>
      </c>
      <c r="E3" s="182">
        <f>Baseline!E4</f>
        <v>4.3</v>
      </c>
      <c r="F3" s="182">
        <f>Baseline!F4</f>
        <v>4.8</v>
      </c>
    </row>
    <row r="4">
      <c r="A4" s="53" t="s">
        <v>356</v>
      </c>
      <c r="B4" s="213">
        <f t="shared" ref="B4:F4" si="1">B2/B3</f>
        <v>12.86368452</v>
      </c>
      <c r="C4" s="213">
        <f t="shared" si="1"/>
        <v>4.534512444</v>
      </c>
      <c r="D4" s="213">
        <f t="shared" si="1"/>
        <v>7.703942045</v>
      </c>
      <c r="E4" s="213">
        <f t="shared" si="1"/>
        <v>3.277831163</v>
      </c>
      <c r="F4" s="213">
        <f t="shared" si="1"/>
        <v>9.84366125</v>
      </c>
    </row>
    <row r="5">
      <c r="A5" s="53" t="s">
        <v>357</v>
      </c>
      <c r="B5" s="99">
        <f t="array" ref="B5">INDEX(WB!$N$70:$N$114,MATCH(B$1,WB!$C$70:$C$114,0))</f>
        <v>0.293651</v>
      </c>
      <c r="C5" s="99">
        <f t="array" ref="C5">INDEX(WB!$N$70:$N$114,MATCH(C$1,WB!$C$70:$C$114,0))</f>
        <v>0.700606</v>
      </c>
      <c r="D5" s="99">
        <f t="array" ref="D5">INDEX(WB!$N$70:$N$114,MATCH(D$1,WB!$C$70:$C$114,0))</f>
        <v>0.745284</v>
      </c>
      <c r="E5" s="99">
        <f t="array" ref="E5">INDEX(WB!$N$70:$N$114,MATCH(E$1,WB!$C$70:$C$114,0))</f>
        <v>0.520054</v>
      </c>
      <c r="F5" s="99">
        <f t="array" ref="F5">INDEX(WB!$N$70:$N$114,MATCH(F$1,WB!$C$70:$C$114,0))</f>
        <v>0.428616</v>
      </c>
    </row>
    <row r="6">
      <c r="A6" s="53" t="s">
        <v>358</v>
      </c>
      <c r="B6" s="213">
        <f t="shared" ref="B6:F6" si="2">B4*B5</f>
        <v>3.777433824</v>
      </c>
      <c r="C6" s="213">
        <f t="shared" si="2"/>
        <v>3.176906626</v>
      </c>
      <c r="D6" s="213">
        <f t="shared" si="2"/>
        <v>5.741624743</v>
      </c>
      <c r="E6" s="213">
        <f t="shared" si="2"/>
        <v>1.704649208</v>
      </c>
      <c r="F6" s="213">
        <f t="shared" si="2"/>
        <v>4.21915071</v>
      </c>
    </row>
    <row r="7">
      <c r="A7" s="53" t="s">
        <v>359</v>
      </c>
      <c r="B7" s="197">
        <f>Country!B28</f>
        <v>122997</v>
      </c>
      <c r="C7" s="197">
        <f>Country!C28</f>
        <v>78579</v>
      </c>
      <c r="D7" s="197">
        <f>Country!D28</f>
        <v>5485</v>
      </c>
      <c r="E7" s="197">
        <f>Country!E28</f>
        <v>120393</v>
      </c>
      <c r="F7" s="197">
        <f>Country!F28</f>
        <v>78929</v>
      </c>
    </row>
    <row r="8">
      <c r="A8" s="53" t="s">
        <v>360</v>
      </c>
      <c r="B8" s="197">
        <f>406932-B7</f>
        <v>283935</v>
      </c>
      <c r="C8" s="197">
        <f>186900-C7</f>
        <v>108321</v>
      </c>
      <c r="E8" s="197">
        <f>221157-E7</f>
        <v>100764</v>
      </c>
      <c r="F8" s="197">
        <f>120520-F7</f>
        <v>41591</v>
      </c>
    </row>
    <row r="9">
      <c r="A9" s="53" t="s">
        <v>361</v>
      </c>
      <c r="B9" s="83">
        <f t="shared" ref="B9:F9" si="3">B7/(B6*1000000)</f>
        <v>0.03256099398</v>
      </c>
      <c r="C9" s="83">
        <f t="shared" si="3"/>
        <v>0.02473443801</v>
      </c>
      <c r="D9" s="83">
        <f t="shared" si="3"/>
        <v>0.0009553045079</v>
      </c>
      <c r="E9" s="83">
        <f t="shared" si="3"/>
        <v>0.07062626109</v>
      </c>
      <c r="F9" s="83">
        <f t="shared" si="3"/>
        <v>0.01870731942</v>
      </c>
    </row>
    <row r="10">
      <c r="A10" s="53" t="s">
        <v>362</v>
      </c>
      <c r="B10" s="83">
        <f t="shared" ref="B10:C10" si="4">(B7+B8)/(B6*1000000)</f>
        <v>0.1077271023</v>
      </c>
      <c r="C10" s="83">
        <f t="shared" si="4"/>
        <v>0.05883081312</v>
      </c>
      <c r="D10" s="83"/>
      <c r="E10" s="83">
        <f t="shared" ref="E10:F10" si="5">(E7+E8)/(E6*1000000)</f>
        <v>0.1297375431</v>
      </c>
      <c r="F10" s="83">
        <f t="shared" si="5"/>
        <v>0.02856499051</v>
      </c>
    </row>
    <row r="11">
      <c r="A11" s="53" t="s">
        <v>363</v>
      </c>
      <c r="B11" s="99">
        <f t="shared" ref="B11:C11" si="6">1-B9</f>
        <v>0.967439006</v>
      </c>
      <c r="C11" s="99">
        <f t="shared" si="6"/>
        <v>0.975265562</v>
      </c>
      <c r="D11" s="99"/>
      <c r="E11" s="99">
        <f t="shared" ref="E11:F11" si="7">1-E9</f>
        <v>0.9293737389</v>
      </c>
      <c r="F11" s="99">
        <f t="shared" si="7"/>
        <v>0.9812926806</v>
      </c>
    </row>
  </sheetData>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1C00"/>
    <outlinePr summaryBelow="0" summaryRight="0"/>
  </sheetPr>
  <sheetViews>
    <sheetView workbookViewId="0"/>
  </sheetViews>
  <sheetFormatPr customHeight="1" defaultColWidth="17.29" defaultRowHeight="15.0"/>
  <cols>
    <col customWidth="1" min="2" max="2" width="64.86"/>
  </cols>
  <sheetData>
    <row r="1">
      <c r="A1" s="33" t="s">
        <v>47</v>
      </c>
      <c r="B1" s="33"/>
    </row>
    <row r="2">
      <c r="A2" s="34" t="s">
        <v>48</v>
      </c>
      <c r="B2" s="35" t="s">
        <v>49</v>
      </c>
    </row>
    <row r="3">
      <c r="A3" s="34" t="s">
        <v>50</v>
      </c>
      <c r="B3" s="35" t="s">
        <v>51</v>
      </c>
    </row>
  </sheetData>
  <hyperlinks>
    <hyperlink display="Inputs" location="Inputs!A1" ref="A2"/>
    <hyperlink display="Sims" location="Sims!A1" ref="A3"/>
  </hyperlink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B8AF"/>
    <outlinePr summaryBelow="0" summaryRight="0"/>
  </sheetPr>
  <sheetViews>
    <sheetView workbookViewId="0"/>
  </sheetViews>
  <sheetFormatPr customHeight="1" defaultColWidth="17.29" defaultRowHeight="15.0"/>
  <cols>
    <col customWidth="1" min="1" max="1" width="92.0"/>
    <col customWidth="1" min="2" max="2" width="15.29"/>
    <col customWidth="1" min="3" max="4" width="12.29"/>
    <col customWidth="1" min="5" max="5" width="15.29"/>
    <col customWidth="1" min="6" max="7" width="12.86"/>
  </cols>
  <sheetData>
    <row r="1">
      <c r="A1" s="44" t="s">
        <v>364</v>
      </c>
      <c r="B1" s="45"/>
      <c r="C1" s="45"/>
      <c r="D1" s="45"/>
      <c r="E1" s="45"/>
      <c r="F1" s="45"/>
      <c r="G1" s="45"/>
      <c r="H1" s="44"/>
      <c r="I1" s="46"/>
      <c r="J1" s="46"/>
      <c r="K1" s="46"/>
      <c r="L1" s="46"/>
      <c r="M1" s="46"/>
      <c r="N1" s="46"/>
      <c r="O1" s="46"/>
      <c r="P1" s="46"/>
      <c r="Q1" s="46"/>
      <c r="R1" s="46"/>
      <c r="S1" s="46"/>
      <c r="T1" s="46"/>
      <c r="U1" s="46"/>
      <c r="V1" s="46"/>
      <c r="W1" s="46"/>
      <c r="X1" s="46"/>
      <c r="Y1" s="46"/>
      <c r="Z1" s="46"/>
      <c r="AA1" s="46"/>
    </row>
    <row r="2">
      <c r="A2" s="47"/>
      <c r="B2" s="48" t="s">
        <v>365</v>
      </c>
      <c r="C2" s="48" t="s">
        <v>366</v>
      </c>
      <c r="D2" s="48" t="s">
        <v>367</v>
      </c>
      <c r="E2" s="48" t="s">
        <v>74</v>
      </c>
      <c r="F2" s="48" t="s">
        <v>368</v>
      </c>
      <c r="G2" s="48" t="s">
        <v>369</v>
      </c>
      <c r="H2" s="49"/>
      <c r="I2" s="47"/>
      <c r="J2" s="47"/>
      <c r="K2" s="47"/>
      <c r="L2" s="47"/>
      <c r="M2" s="47"/>
      <c r="N2" s="47"/>
      <c r="O2" s="47"/>
      <c r="P2" s="47"/>
      <c r="Q2" s="47"/>
      <c r="R2" s="47"/>
      <c r="S2" s="47"/>
      <c r="T2" s="47"/>
      <c r="U2" s="47"/>
      <c r="V2" s="47"/>
      <c r="W2" s="47"/>
      <c r="X2" s="47"/>
      <c r="Y2" s="47"/>
      <c r="Z2" s="47"/>
      <c r="AA2" s="47"/>
    </row>
    <row r="3">
      <c r="A3" s="50" t="s">
        <v>79</v>
      </c>
      <c r="B3" s="51"/>
      <c r="C3" s="51"/>
      <c r="D3" s="51"/>
      <c r="E3" s="51"/>
      <c r="F3" s="51"/>
      <c r="G3" s="52"/>
      <c r="H3" s="52"/>
      <c r="I3" s="52"/>
      <c r="J3" s="52"/>
      <c r="K3" s="52"/>
      <c r="L3" s="52"/>
      <c r="M3" s="52"/>
      <c r="N3" s="52"/>
      <c r="O3" s="52"/>
      <c r="P3" s="52"/>
      <c r="Q3" s="52"/>
      <c r="R3" s="52"/>
      <c r="S3" s="52"/>
      <c r="T3" s="52"/>
      <c r="U3" s="52"/>
      <c r="V3" s="52"/>
      <c r="W3" s="52"/>
      <c r="X3" s="52"/>
      <c r="Y3" s="52"/>
      <c r="Z3" s="52"/>
      <c r="AA3" s="52"/>
    </row>
    <row r="4">
      <c r="A4" s="53" t="s">
        <v>80</v>
      </c>
      <c r="B4" s="54"/>
      <c r="C4" s="54"/>
      <c r="D4" s="54"/>
      <c r="E4" s="54">
        <f t="array" ref="E4">INDEX('New CEA'!$B4:$F4,MATCH($E$2,'New CEA'!B$2:F$2,0))</f>
        <v>1000000</v>
      </c>
      <c r="F4" s="54"/>
      <c r="G4" s="54"/>
    </row>
    <row r="5">
      <c r="A5" s="58" t="s">
        <v>82</v>
      </c>
      <c r="B5" s="59"/>
      <c r="C5" s="59"/>
      <c r="D5" s="125">
        <f>$E5-($E5*$H5)</f>
        <v>0.7896</v>
      </c>
      <c r="E5" s="75">
        <f t="array" ref="E5">INDEX('New CEA'!$B6:$F6,MATCH($E$2,'New CEA'!B$2:F$2,0))</f>
        <v>0.84</v>
      </c>
      <c r="F5" s="125">
        <f>$E5+($E5*$H5)</f>
        <v>0.8904</v>
      </c>
      <c r="G5" s="59"/>
      <c r="H5" s="87">
        <v>0.06</v>
      </c>
    </row>
    <row r="6">
      <c r="A6" s="55" t="s">
        <v>81</v>
      </c>
      <c r="B6" s="56"/>
      <c r="C6" s="56"/>
      <c r="D6" s="56"/>
      <c r="E6" s="54">
        <f t="array" ref="E6">INDEX('New CEA'!$B5:$F5,MATCH($E$2,'New CEA'!B$2:F$2,0))</f>
        <v>865</v>
      </c>
      <c r="F6" s="56"/>
      <c r="G6" s="57"/>
    </row>
    <row r="7">
      <c r="A7" s="53" t="s">
        <v>83</v>
      </c>
      <c r="B7" s="60"/>
      <c r="C7" s="60"/>
      <c r="D7" s="60"/>
      <c r="E7" s="60">
        <f>(E4*E5)/E6</f>
        <v>971.0982659</v>
      </c>
      <c r="F7" s="60"/>
      <c r="G7" s="60"/>
    </row>
    <row r="8">
      <c r="A8" s="53" t="s">
        <v>86</v>
      </c>
      <c r="B8" s="63"/>
      <c r="C8" s="63"/>
      <c r="D8" s="63"/>
      <c r="E8" s="77">
        <f t="array" ref="E8">INDEX('New CEA'!$B10:$F10,MATCH($E$2,'New CEA'!B$2:F$2,0))</f>
        <v>4.2</v>
      </c>
      <c r="F8" s="61"/>
      <c r="G8" s="63"/>
    </row>
    <row r="9">
      <c r="A9" s="64" t="s">
        <v>88</v>
      </c>
      <c r="B9" s="60"/>
      <c r="C9" s="60"/>
      <c r="D9" s="60"/>
      <c r="E9" s="60">
        <f>E8*E7</f>
        <v>4078.612717</v>
      </c>
      <c r="F9" s="60"/>
      <c r="G9" s="60"/>
    </row>
    <row r="10">
      <c r="A10" s="65" t="s">
        <v>89</v>
      </c>
      <c r="B10" s="66"/>
      <c r="C10" s="66"/>
      <c r="D10" s="66"/>
      <c r="E10" s="66"/>
      <c r="F10" s="66"/>
      <c r="G10" s="66"/>
      <c r="H10" s="52"/>
      <c r="I10" s="52"/>
      <c r="J10" s="52"/>
      <c r="K10" s="52"/>
      <c r="L10" s="52"/>
      <c r="M10" s="52"/>
      <c r="N10" s="52"/>
      <c r="O10" s="52"/>
      <c r="P10" s="52"/>
      <c r="Q10" s="52"/>
      <c r="R10" s="52"/>
      <c r="S10" s="52"/>
      <c r="T10" s="52"/>
      <c r="U10" s="52"/>
      <c r="V10" s="52"/>
      <c r="W10" s="52"/>
      <c r="X10" s="52"/>
      <c r="Y10" s="52"/>
      <c r="Z10" s="52"/>
      <c r="AA10" s="52"/>
    </row>
    <row r="11">
      <c r="A11" s="58" t="s">
        <v>90</v>
      </c>
      <c r="B11" s="215" t="s">
        <v>370</v>
      </c>
      <c r="C11" s="62"/>
      <c r="D11" s="136">
        <f>$E11-($E11*$H11)</f>
        <v>554.1711305</v>
      </c>
      <c r="E11" s="54">
        <f t="array" ref="E11">INDEX('New CEA'!$B14:$F14,MATCH($E$2,'New CEA'!B$2:F$2,0))</f>
        <v>651.9660358</v>
      </c>
      <c r="F11" s="136">
        <f>$E11+($E11*$H11)</f>
        <v>749.7609412</v>
      </c>
      <c r="G11" s="62"/>
      <c r="H11" s="87">
        <v>0.15</v>
      </c>
    </row>
    <row r="12">
      <c r="A12" s="53" t="s">
        <v>84</v>
      </c>
      <c r="B12" s="61"/>
      <c r="C12" s="61"/>
      <c r="D12" s="61"/>
      <c r="E12" s="77">
        <f t="array" ref="E12">INDEX('New CEA'!$B8:$F8,MATCH($E$2,'New CEA'!B$2:F$2,0))</f>
        <v>2.368992384</v>
      </c>
      <c r="F12" s="61"/>
      <c r="G12" s="61"/>
    </row>
    <row r="13">
      <c r="A13" s="53" t="s">
        <v>85</v>
      </c>
      <c r="B13" s="62"/>
      <c r="C13" s="62"/>
      <c r="D13" s="62"/>
      <c r="E13" s="62">
        <f>E12*E6</f>
        <v>2049.178413</v>
      </c>
      <c r="F13" s="62"/>
      <c r="G13" s="62"/>
    </row>
    <row r="14">
      <c r="A14" s="53" t="s">
        <v>87</v>
      </c>
      <c r="B14" s="98"/>
      <c r="C14" s="98"/>
      <c r="D14" s="98"/>
      <c r="E14" s="62">
        <f>E13/E8</f>
        <v>487.899622</v>
      </c>
      <c r="F14" s="98"/>
      <c r="G14" s="98"/>
    </row>
    <row r="15">
      <c r="A15" s="58" t="s">
        <v>91</v>
      </c>
      <c r="B15" s="67"/>
      <c r="C15" s="67"/>
      <c r="D15" s="67"/>
      <c r="E15" s="75">
        <f t="array" ref="E15">INDEX('New CEA'!$B15:$F15,MATCH($E$2,'New CEA'!B$2:F$2,0))</f>
        <v>0.43</v>
      </c>
      <c r="F15" s="67"/>
      <c r="G15" s="67"/>
    </row>
    <row r="16">
      <c r="A16" s="53" t="s">
        <v>92</v>
      </c>
      <c r="B16" s="67"/>
      <c r="C16" s="67"/>
      <c r="D16" s="67"/>
      <c r="E16" s="67">
        <f>1-E15</f>
        <v>0.57</v>
      </c>
      <c r="F16" s="67"/>
      <c r="G16" s="67"/>
    </row>
    <row r="17">
      <c r="A17" s="53" t="s">
        <v>93</v>
      </c>
      <c r="B17" s="68"/>
      <c r="C17" s="68"/>
      <c r="D17" s="68"/>
      <c r="E17" s="68">
        <f>E16*E14</f>
        <v>278.1027846</v>
      </c>
      <c r="F17" s="68"/>
      <c r="G17" s="68"/>
    </row>
    <row r="18">
      <c r="A18" s="53" t="s">
        <v>94</v>
      </c>
      <c r="B18" s="67"/>
      <c r="C18" s="67"/>
      <c r="D18" s="125">
        <f>$E18-($E18*$H18)</f>
        <v>0.3625761986</v>
      </c>
      <c r="E18" s="67">
        <f>((E17+E11)/E11)-1</f>
        <v>0.4265602336</v>
      </c>
      <c r="F18" s="125">
        <f>$E18+($E18*$H18)</f>
        <v>0.4905442687</v>
      </c>
      <c r="G18" s="67"/>
      <c r="H18" s="87">
        <v>0.15</v>
      </c>
    </row>
    <row r="19">
      <c r="A19" s="69" t="s">
        <v>95</v>
      </c>
      <c r="B19" s="70"/>
      <c r="C19" s="70"/>
      <c r="D19" s="70"/>
      <c r="E19" s="70">
        <f>ln(1+E18)-ln(1)</f>
        <v>0.3552661155</v>
      </c>
      <c r="F19" s="70"/>
      <c r="G19" s="70"/>
    </row>
    <row r="20">
      <c r="A20" s="71" t="s">
        <v>96</v>
      </c>
      <c r="B20" s="215" t="s">
        <v>370</v>
      </c>
      <c r="C20" s="72"/>
      <c r="D20" s="216">
        <f>$E20-($E20*$H20)</f>
        <v>1.082021281</v>
      </c>
      <c r="E20" s="217">
        <f t="array" ref="E20">INDEX('New CEA'!$B20:$F20,MATCH($E$2,'New CEA'!B$2:F$2,0))</f>
        <v>1.442695041</v>
      </c>
      <c r="F20" s="216">
        <f>$E20+($E20*$H20)</f>
        <v>1.803368801</v>
      </c>
      <c r="G20" s="72"/>
      <c r="H20" s="86">
        <v>0.25</v>
      </c>
    </row>
    <row r="21">
      <c r="A21" s="53" t="s">
        <v>97</v>
      </c>
      <c r="B21" s="73"/>
      <c r="C21" s="73"/>
      <c r="D21" s="73"/>
      <c r="E21" s="73">
        <f>E19*E20</f>
        <v>0.5125406631</v>
      </c>
      <c r="F21" s="73"/>
      <c r="G21" s="73"/>
    </row>
    <row r="22">
      <c r="A22" s="53" t="s">
        <v>98</v>
      </c>
      <c r="B22" s="74"/>
      <c r="C22" s="74"/>
      <c r="D22" s="74"/>
      <c r="E22" s="74">
        <f>E21*E9</f>
        <v>2090.454866</v>
      </c>
      <c r="F22" s="74"/>
      <c r="G22" s="74"/>
    </row>
    <row r="23">
      <c r="A23" s="53" t="s">
        <v>99</v>
      </c>
      <c r="B23" s="215" t="s">
        <v>370</v>
      </c>
      <c r="C23" s="75"/>
      <c r="D23" s="125">
        <f>$E23-($E23*$H23)</f>
        <v>0.7382716495</v>
      </c>
      <c r="E23" s="75">
        <f t="array" ref="E23">INDEX('New CEA'!$B23:$F23,MATCH($E$2,'New CEA'!B$2:F$2,0))</f>
        <v>1.230452749</v>
      </c>
      <c r="F23" s="125">
        <f>$E23+($E23*$H23)</f>
        <v>1.722633849</v>
      </c>
      <c r="G23" s="75"/>
      <c r="H23" s="86">
        <v>0.4</v>
      </c>
    </row>
    <row r="24">
      <c r="A24" s="53" t="s">
        <v>100</v>
      </c>
      <c r="B24" s="74"/>
      <c r="C24" s="74"/>
      <c r="D24" s="74"/>
      <c r="E24" s="74">
        <f>E22+(E22*E23)</f>
        <v>4662.660804</v>
      </c>
      <c r="F24" s="74"/>
      <c r="G24" s="74"/>
    </row>
    <row r="25">
      <c r="A25" s="53" t="s">
        <v>101</v>
      </c>
      <c r="B25" s="75"/>
      <c r="C25" s="75"/>
      <c r="D25" s="75"/>
      <c r="E25" s="75">
        <f t="array" ref="E25">INDEX('New CEA'!$B25:$F25,MATCH($E$2,'New CEA'!B$2:F$2,0))</f>
        <v>0.9</v>
      </c>
      <c r="F25" s="75"/>
      <c r="G25" s="75"/>
    </row>
    <row r="26">
      <c r="A26" s="53" t="s">
        <v>102</v>
      </c>
      <c r="B26" s="74"/>
      <c r="C26" s="74"/>
      <c r="D26" s="74">
        <f>PERCENTILE(Sims!$G26:$SL26,0.25)</f>
        <v>2839.191084</v>
      </c>
      <c r="E26" s="74">
        <f>E24*E25</f>
        <v>4196.394723</v>
      </c>
      <c r="F26" s="74">
        <f>PERCENTILE(Sims!$G26:$SL26,0.75)</f>
        <v>5238.553991</v>
      </c>
      <c r="G26" s="74"/>
    </row>
    <row r="27">
      <c r="A27" s="53" t="s">
        <v>103</v>
      </c>
      <c r="B27" s="76"/>
      <c r="C27" s="76"/>
      <c r="D27" s="76"/>
      <c r="E27" s="76">
        <f>E26/E4</f>
        <v>0.004196394723</v>
      </c>
      <c r="F27" s="76"/>
      <c r="G27" s="76"/>
    </row>
    <row r="28">
      <c r="A28" s="53" t="s">
        <v>104</v>
      </c>
      <c r="B28" s="76"/>
      <c r="C28" s="76"/>
      <c r="D28" s="76"/>
      <c r="E28" s="218">
        <f t="array" ref="E28">INDEX('New CEA'!$B28:$F28,MATCH($E$2,'New CEA'!B$2:F$2,0))</f>
        <v>0.003355</v>
      </c>
      <c r="F28" s="76"/>
      <c r="G28" s="76"/>
    </row>
    <row r="29">
      <c r="A29" s="53" t="s">
        <v>105</v>
      </c>
      <c r="B29" s="77"/>
      <c r="C29" s="77"/>
      <c r="D29" s="77">
        <f>PERCENTILE(Sims!$G$29:$SL$29,0.25)</f>
        <v>0.8462566569</v>
      </c>
      <c r="E29" s="77">
        <f>E27/E28</f>
        <v>1.250788293</v>
      </c>
      <c r="F29" s="77">
        <f>PERCENTILE(Sims!$G$29:$SL$29,0.75)</f>
        <v>1.561416987</v>
      </c>
      <c r="G29" s="77"/>
    </row>
    <row r="30" ht="15.75" customHeight="1">
      <c r="A30" s="50" t="s">
        <v>106</v>
      </c>
      <c r="B30" s="78"/>
      <c r="C30" s="78"/>
      <c r="D30" s="78"/>
      <c r="E30" s="78"/>
      <c r="F30" s="78"/>
      <c r="G30" s="78"/>
      <c r="H30" s="79"/>
      <c r="I30" s="52"/>
      <c r="J30" s="52"/>
      <c r="K30" s="52"/>
      <c r="L30" s="52"/>
      <c r="M30" s="52"/>
      <c r="N30" s="52"/>
      <c r="O30" s="52"/>
      <c r="P30" s="52"/>
      <c r="Q30" s="52"/>
      <c r="R30" s="52"/>
      <c r="S30" s="52"/>
      <c r="T30" s="52"/>
      <c r="U30" s="52"/>
      <c r="V30" s="52"/>
      <c r="W30" s="52"/>
      <c r="X30" s="52"/>
      <c r="Y30" s="52"/>
      <c r="Z30" s="52"/>
      <c r="AA30" s="52"/>
    </row>
    <row r="31" ht="15.75" customHeight="1">
      <c r="A31" s="53" t="s">
        <v>107</v>
      </c>
      <c r="B31" s="63"/>
      <c r="C31" s="63"/>
      <c r="D31" s="63"/>
      <c r="E31" s="77">
        <f t="array" ref="E31">INDEX('New CEA'!$B31:$F31,MATCH($E$2,'New CEA'!B$2:F$2,0))</f>
        <v>2.5</v>
      </c>
      <c r="F31" s="63"/>
      <c r="G31" s="63"/>
    </row>
    <row r="32" ht="15.75" customHeight="1">
      <c r="A32" s="53" t="s">
        <v>108</v>
      </c>
      <c r="B32" s="75"/>
      <c r="C32" s="75"/>
      <c r="D32" s="75"/>
      <c r="E32" s="75">
        <f t="array" ref="E32">INDEX('New CEA'!$B32:$F32,MATCH($E$2,'New CEA'!B$2:F$2,0))</f>
        <v>0.7032</v>
      </c>
      <c r="F32" s="75"/>
      <c r="G32" s="75"/>
    </row>
    <row r="33" ht="15.75" customHeight="1">
      <c r="A33" s="53" t="s">
        <v>109</v>
      </c>
      <c r="B33" s="219" t="s">
        <v>370</v>
      </c>
      <c r="C33" s="75"/>
      <c r="D33" s="125">
        <f t="shared" ref="D33:D35" si="1">$E33-($E33*$H33)</f>
        <v>0.27</v>
      </c>
      <c r="E33" s="75">
        <f t="array" ref="E33">INDEX('New CEA'!$B33:$F33,MATCH($E$2,'New CEA'!B$2:F$2,0))</f>
        <v>0.6</v>
      </c>
      <c r="F33" s="125">
        <f t="shared" ref="F33:F35" si="2">$E33+($E33*$H33)</f>
        <v>0.93</v>
      </c>
      <c r="G33" s="75"/>
      <c r="H33" s="125">
        <v>0.55</v>
      </c>
    </row>
    <row r="34" ht="15.75" customHeight="1">
      <c r="A34" s="53" t="s">
        <v>110</v>
      </c>
      <c r="B34" s="219" t="s">
        <v>370</v>
      </c>
      <c r="C34" s="75"/>
      <c r="D34" s="125">
        <f t="shared" si="1"/>
        <v>0.32</v>
      </c>
      <c r="E34" s="75">
        <f t="array" ref="E34">INDEX('New CEA'!$B34:$F34,MATCH($E$2,'New CEA'!B$2:F$2,0))</f>
        <v>0.8</v>
      </c>
      <c r="F34" s="125">
        <f t="shared" si="2"/>
        <v>1.28</v>
      </c>
      <c r="G34" s="75"/>
      <c r="H34" s="125">
        <v>0.6</v>
      </c>
    </row>
    <row r="35" ht="15.75" customHeight="1">
      <c r="A35" s="53" t="s">
        <v>111</v>
      </c>
      <c r="B35" s="219" t="s">
        <v>370</v>
      </c>
      <c r="C35" s="75"/>
      <c r="D35" s="125">
        <f t="shared" si="1"/>
        <v>0.6</v>
      </c>
      <c r="E35" s="75">
        <f t="array" ref="E35">INDEX('New CEA'!$B35:$F35,MATCH($E$2,'New CEA'!B$2:F$2,0))</f>
        <v>0.8</v>
      </c>
      <c r="F35" s="125">
        <f t="shared" si="2"/>
        <v>1</v>
      </c>
      <c r="G35" s="75"/>
      <c r="H35" s="125">
        <v>0.25</v>
      </c>
    </row>
    <row r="36">
      <c r="A36" s="53" t="s">
        <v>112</v>
      </c>
      <c r="B36" s="75"/>
      <c r="C36" s="75"/>
      <c r="D36" s="75"/>
      <c r="E36" s="75">
        <f>E31*E35*E32*E33*E34</f>
        <v>0.675072</v>
      </c>
      <c r="F36" s="75"/>
      <c r="G36" s="63"/>
    </row>
    <row r="37">
      <c r="A37" s="53" t="s">
        <v>113</v>
      </c>
      <c r="B37" s="60"/>
      <c r="C37" s="60"/>
      <c r="D37" s="74">
        <f>PERCENTILE(Sims!$G37:$SL37,0.25)</f>
        <v>384.8750872</v>
      </c>
      <c r="E37" s="60">
        <f>E26*E36</f>
        <v>2832.868579</v>
      </c>
      <c r="F37" s="74">
        <f>PERCENTILE(Sims!$G37:$SL37,0.75)</f>
        <v>4152.021044</v>
      </c>
      <c r="G37" s="60"/>
    </row>
    <row r="38">
      <c r="A38" s="53" t="s">
        <v>114</v>
      </c>
      <c r="B38" s="60"/>
      <c r="C38" s="60"/>
      <c r="D38" s="60"/>
      <c r="E38" s="60">
        <f>E26+E37</f>
        <v>7029.263302</v>
      </c>
      <c r="F38" s="60"/>
      <c r="G38" s="60"/>
    </row>
    <row r="39">
      <c r="A39" s="53" t="s">
        <v>115</v>
      </c>
      <c r="B39" s="80"/>
      <c r="C39" s="80"/>
      <c r="D39" s="80"/>
      <c r="E39" s="80">
        <f>(E38/E4)/E28</f>
        <v>2.095160448</v>
      </c>
      <c r="F39" s="80"/>
      <c r="G39" s="80"/>
    </row>
    <row r="40">
      <c r="A40" s="50" t="s">
        <v>116</v>
      </c>
      <c r="B40" s="66"/>
      <c r="C40" s="66"/>
      <c r="D40" s="66"/>
      <c r="E40" s="66"/>
      <c r="F40" s="66"/>
      <c r="G40" s="66"/>
      <c r="H40" s="52"/>
      <c r="I40" s="52"/>
      <c r="J40" s="52"/>
      <c r="K40" s="52"/>
      <c r="L40" s="52"/>
      <c r="M40" s="52"/>
      <c r="N40" s="52"/>
      <c r="O40" s="52"/>
      <c r="P40" s="52"/>
      <c r="Q40" s="52"/>
      <c r="R40" s="52"/>
      <c r="S40" s="52"/>
      <c r="T40" s="52"/>
      <c r="U40" s="52"/>
      <c r="V40" s="52"/>
      <c r="W40" s="52"/>
      <c r="X40" s="52"/>
      <c r="Y40" s="52"/>
      <c r="Z40" s="52"/>
      <c r="AA40" s="52"/>
    </row>
    <row r="41">
      <c r="A41" s="53" t="s">
        <v>371</v>
      </c>
      <c r="B41" s="81"/>
      <c r="C41" s="81"/>
      <c r="D41" s="81"/>
      <c r="E41" s="75">
        <f t="array" ref="E41">INDEX('New CEA'!$B41:$F41,MATCH($E$2,'New CEA'!B$2:F$2,0))</f>
        <v>0.1287912678</v>
      </c>
      <c r="F41" s="81"/>
      <c r="G41" s="81"/>
    </row>
    <row r="42">
      <c r="A42" s="53" t="s">
        <v>372</v>
      </c>
      <c r="B42" s="82"/>
      <c r="C42" s="82"/>
      <c r="D42" s="82"/>
      <c r="E42" s="82">
        <f>E41*E9</f>
        <v>525.2897026</v>
      </c>
      <c r="F42" s="82"/>
      <c r="G42" s="82"/>
    </row>
    <row r="43">
      <c r="A43" s="53" t="s">
        <v>373</v>
      </c>
      <c r="B43" s="83"/>
      <c r="C43" s="83"/>
      <c r="D43" s="83"/>
      <c r="E43" s="220">
        <f t="array" ref="E43">INDEX('New CEA'!$B43:$F43,MATCH($E$2,'New CEA'!B$2:F$2,0))</f>
        <v>0.0410984</v>
      </c>
      <c r="F43" s="83"/>
      <c r="G43" s="83"/>
    </row>
    <row r="44">
      <c r="A44" s="84" t="s">
        <v>374</v>
      </c>
      <c r="B44" s="85"/>
      <c r="C44" s="85"/>
      <c r="D44" s="85"/>
      <c r="E44" s="220">
        <f t="array" ref="E44">INDEX('New CEA'!$B44:$F44,MATCH($E$2,'New CEA'!B$2:F$2,0))</f>
        <v>0.057</v>
      </c>
      <c r="F44" s="85"/>
      <c r="G44" s="85"/>
    </row>
    <row r="45">
      <c r="A45" s="84" t="s">
        <v>375</v>
      </c>
      <c r="B45" s="83"/>
      <c r="C45" s="83"/>
      <c r="D45" s="83"/>
      <c r="E45" s="220">
        <f t="array" ref="E45">INDEX('New CEA'!$B45:$F45,MATCH($E$2,'New CEA'!B$2:F$2,0))</f>
        <v>0.0462512</v>
      </c>
      <c r="F45" s="83"/>
      <c r="G45" s="83"/>
    </row>
    <row r="46">
      <c r="A46" s="84" t="s">
        <v>376</v>
      </c>
      <c r="B46" s="86"/>
      <c r="C46" s="86"/>
      <c r="D46" s="86"/>
      <c r="E46" s="86">
        <f>E44/E45</f>
        <v>1.232400457</v>
      </c>
      <c r="F46" s="86"/>
      <c r="G46" s="86"/>
    </row>
    <row r="47">
      <c r="A47" s="84" t="s">
        <v>377</v>
      </c>
      <c r="B47" s="85"/>
      <c r="C47" s="85"/>
      <c r="D47" s="85"/>
      <c r="E47" s="85">
        <f>E43*E46</f>
        <v>0.05064968693</v>
      </c>
      <c r="F47" s="85"/>
      <c r="G47" s="85"/>
    </row>
    <row r="48">
      <c r="A48" s="84" t="s">
        <v>124</v>
      </c>
      <c r="B48" s="86"/>
      <c r="C48" s="86"/>
      <c r="D48" s="86"/>
      <c r="E48" s="75">
        <f t="array" ref="E48">INDEX('New CEA'!$B48:$F48,MATCH($E$2,'New CEA'!B$2:F$2,0))</f>
        <v>0.45</v>
      </c>
      <c r="F48" s="86"/>
      <c r="G48" s="86"/>
    </row>
    <row r="49">
      <c r="A49" s="53" t="s">
        <v>378</v>
      </c>
      <c r="B49" s="219" t="s">
        <v>370</v>
      </c>
      <c r="C49" s="87"/>
      <c r="D49" s="125">
        <f>$E49-($E49*$H49)</f>
        <v>0.25</v>
      </c>
      <c r="E49" s="75">
        <f t="array" ref="E49">INDEX('New CEA'!$B49:$F49,MATCH($E$2,'New CEA'!B$2:F$2,0))</f>
        <v>0.5</v>
      </c>
      <c r="F49" s="125">
        <f>$E49+($E49*$H49)</f>
        <v>0.75</v>
      </c>
      <c r="G49" s="87"/>
      <c r="H49" s="86">
        <v>0.5</v>
      </c>
    </row>
    <row r="50">
      <c r="A50" s="53" t="s">
        <v>126</v>
      </c>
      <c r="B50" s="87"/>
      <c r="C50" s="87"/>
      <c r="D50" s="87"/>
      <c r="E50" s="87">
        <f>E48*E49</f>
        <v>0.225</v>
      </c>
      <c r="F50" s="87"/>
      <c r="G50" s="87"/>
    </row>
    <row r="51">
      <c r="A51" s="53" t="s">
        <v>379</v>
      </c>
      <c r="B51" s="88"/>
      <c r="C51" s="88"/>
      <c r="D51" s="88"/>
      <c r="E51" s="88">
        <f>E42*E47*E50</f>
        <v>5.986295771</v>
      </c>
      <c r="F51" s="88"/>
      <c r="G51" s="88"/>
    </row>
    <row r="52">
      <c r="A52" s="53" t="s">
        <v>128</v>
      </c>
      <c r="B52" s="25"/>
      <c r="C52" s="25"/>
      <c r="D52" s="25"/>
      <c r="E52" s="74">
        <f t="array" ref="E52">INDEX('New CEA'!$B52:$F52,MATCH($E$2,'New CEA'!B$2:F$2,0))</f>
        <v>116</v>
      </c>
      <c r="F52" s="25"/>
      <c r="G52" s="25"/>
    </row>
    <row r="53">
      <c r="A53" s="53" t="s">
        <v>129</v>
      </c>
      <c r="B53" s="89"/>
      <c r="C53" s="89"/>
      <c r="D53" s="89"/>
      <c r="E53" s="89">
        <f>E51*E52</f>
        <v>694.4103094</v>
      </c>
      <c r="F53" s="89"/>
      <c r="G53" s="89"/>
    </row>
    <row r="54">
      <c r="A54" s="53" t="s">
        <v>130</v>
      </c>
      <c r="B54" s="87"/>
      <c r="C54" s="87"/>
      <c r="D54" s="87"/>
      <c r="E54" s="75">
        <f t="array" ref="E54">INDEX('New CEA'!$B54:$F54,MATCH($E$2,'New CEA'!B$2:F$2,0))</f>
        <v>0.5</v>
      </c>
      <c r="F54" s="87"/>
      <c r="G54" s="87"/>
    </row>
    <row r="55">
      <c r="A55" s="53" t="s">
        <v>131</v>
      </c>
      <c r="B55" s="90"/>
      <c r="C55" s="90"/>
      <c r="D55" s="74">
        <f>PERCENTILE(Sims!$G55:$SL55,0.25)</f>
        <v>510.9121991</v>
      </c>
      <c r="E55" s="90">
        <f>E53+(E53*E54)</f>
        <v>1041.615464</v>
      </c>
      <c r="F55" s="74">
        <f>PERCENTILE(Sims!$G55:$SL55,0.75)</f>
        <v>1535.400548</v>
      </c>
      <c r="G55" s="90"/>
    </row>
    <row r="56">
      <c r="A56" s="53" t="s">
        <v>132</v>
      </c>
      <c r="B56" s="90"/>
      <c r="C56" s="90"/>
      <c r="D56" s="90"/>
      <c r="E56" s="90">
        <f>E55+E38</f>
        <v>8070.878766</v>
      </c>
      <c r="F56" s="90"/>
      <c r="G56" s="90"/>
    </row>
    <row r="57">
      <c r="A57" s="53" t="s">
        <v>133</v>
      </c>
      <c r="B57" s="80"/>
      <c r="C57" s="80"/>
      <c r="D57" s="80"/>
      <c r="E57" s="80">
        <f>(E56/E4)/E28</f>
        <v>2.405627054</v>
      </c>
      <c r="F57" s="80"/>
      <c r="G57" s="80"/>
    </row>
    <row r="58">
      <c r="A58" s="50" t="s">
        <v>134</v>
      </c>
      <c r="B58" s="66"/>
      <c r="C58" s="66"/>
      <c r="D58" s="66"/>
      <c r="E58" s="66"/>
      <c r="F58" s="66"/>
      <c r="G58" s="66"/>
      <c r="H58" s="52"/>
      <c r="I58" s="52"/>
      <c r="J58" s="52"/>
      <c r="K58" s="52"/>
      <c r="L58" s="52"/>
      <c r="M58" s="52"/>
      <c r="N58" s="52"/>
      <c r="O58" s="52"/>
      <c r="P58" s="52"/>
      <c r="Q58" s="52"/>
      <c r="R58" s="52"/>
      <c r="S58" s="52"/>
      <c r="T58" s="52"/>
      <c r="U58" s="52"/>
      <c r="V58" s="52"/>
      <c r="W58" s="52"/>
      <c r="X58" s="52"/>
      <c r="Y58" s="52"/>
      <c r="Z58" s="52"/>
      <c r="AA58" s="52"/>
    </row>
    <row r="59">
      <c r="A59" s="53" t="s">
        <v>135</v>
      </c>
      <c r="B59" s="75"/>
      <c r="C59" s="75"/>
      <c r="D59" s="75"/>
      <c r="E59" s="75">
        <f t="array" ref="E59">INDEX('New CEA'!$B59:$F59,MATCH($E$2,'New CEA'!B$2:F$2,0))</f>
        <v>0.1</v>
      </c>
      <c r="F59" s="75"/>
      <c r="G59" s="75"/>
    </row>
    <row r="60">
      <c r="A60" s="53" t="s">
        <v>136</v>
      </c>
      <c r="B60" s="81"/>
      <c r="C60" s="81"/>
      <c r="D60" s="81"/>
      <c r="E60" s="75">
        <f t="array" ref="E60">INDEX('New CEA'!$B60:$F60,MATCH($E$2,'New CEA'!B$2:F$2,0))</f>
        <v>0.05</v>
      </c>
      <c r="F60" s="81"/>
      <c r="G60" s="81"/>
    </row>
    <row r="61">
      <c r="A61" s="53" t="s">
        <v>137</v>
      </c>
      <c r="B61" s="75"/>
      <c r="C61" s="75"/>
      <c r="D61" s="75"/>
      <c r="E61" s="75">
        <f t="array" ref="E61">INDEX('New CEA'!$B61:$F61,MATCH($E$2,'New CEA'!B$2:F$2,0))</f>
        <v>0.02</v>
      </c>
      <c r="F61" s="75"/>
      <c r="G61" s="75"/>
    </row>
    <row r="62">
      <c r="A62" s="53" t="s">
        <v>138</v>
      </c>
      <c r="B62" s="75"/>
      <c r="C62" s="75"/>
      <c r="D62" s="75"/>
      <c r="E62" s="75">
        <f t="array" ref="E62">INDEX('New CEA'!$B62:$F62,MATCH($E$2,'New CEA'!B$2:F$2,0))</f>
        <v>-0.02</v>
      </c>
      <c r="F62" s="75"/>
      <c r="G62" s="75"/>
    </row>
    <row r="63">
      <c r="A63" s="53" t="s">
        <v>139</v>
      </c>
      <c r="B63" s="75"/>
      <c r="C63" s="75"/>
      <c r="D63" s="75"/>
      <c r="E63" s="75">
        <f t="array" ref="E63">INDEX('New CEA'!$B63:$F63,MATCH($E$2,'New CEA'!B$2:F$2,0))</f>
        <v>-0.05</v>
      </c>
      <c r="F63" s="75"/>
      <c r="G63" s="75"/>
    </row>
    <row r="64">
      <c r="A64" s="53" t="s">
        <v>140</v>
      </c>
      <c r="B64" s="75"/>
      <c r="C64" s="75"/>
      <c r="D64" s="75"/>
      <c r="E64" s="75">
        <f t="array" ref="E64">INDEX('New CEA'!$B64:$F64,MATCH($E$2,'New CEA'!B$2:F$2,0))</f>
        <v>-0.02</v>
      </c>
      <c r="F64" s="75"/>
      <c r="G64" s="75"/>
    </row>
    <row r="65">
      <c r="A65" s="53" t="s">
        <v>141</v>
      </c>
      <c r="B65" s="81"/>
      <c r="C65" s="81"/>
      <c r="D65" s="81"/>
      <c r="E65" s="81">
        <f>1+SUM(E59:E64)</f>
        <v>1.08</v>
      </c>
      <c r="F65" s="81"/>
      <c r="G65" s="81"/>
    </row>
    <row r="66">
      <c r="A66" s="91" t="s">
        <v>142</v>
      </c>
      <c r="B66" s="92"/>
      <c r="C66" s="92">
        <f>PERCENTILE(Sims!$G$66:$SL$66,0.05)</f>
        <v>1.009174156</v>
      </c>
      <c r="D66" s="92">
        <f>PERCENTILE(Sims!$G$66:$SL$66,0.25)</f>
        <v>1.605650204</v>
      </c>
      <c r="E66" s="92">
        <f>E57*E65</f>
        <v>2.598077218</v>
      </c>
      <c r="F66" s="92">
        <f>PERCENTILE(Sims!$G$66:$SL$66,0.75)</f>
        <v>3.242792113</v>
      </c>
      <c r="G66" s="92">
        <f>PERCENTILE(Sims!$G$66:$SL$66,0.95)</f>
        <v>5.319962384</v>
      </c>
      <c r="H66" s="93"/>
      <c r="I66" s="93"/>
      <c r="J66" s="93"/>
      <c r="K66" s="93"/>
      <c r="L66" s="93"/>
      <c r="M66" s="93"/>
      <c r="N66" s="93"/>
      <c r="O66" s="93"/>
      <c r="P66" s="93"/>
      <c r="Q66" s="93"/>
      <c r="R66" s="93"/>
      <c r="S66" s="93"/>
      <c r="T66" s="93"/>
      <c r="U66" s="93"/>
      <c r="V66" s="93"/>
      <c r="W66" s="93"/>
      <c r="X66" s="93"/>
      <c r="Y66" s="93"/>
      <c r="Z66" s="93"/>
      <c r="AA66" s="93"/>
    </row>
    <row r="67">
      <c r="B67" s="98"/>
      <c r="C67" s="98"/>
      <c r="D67" s="98"/>
      <c r="E67" s="98"/>
      <c r="F67" s="98"/>
    </row>
    <row r="68">
      <c r="B68" s="98"/>
      <c r="C68" s="98"/>
      <c r="D68" s="98"/>
      <c r="E68" s="98"/>
      <c r="F68" s="98"/>
    </row>
    <row r="69">
      <c r="B69" s="98"/>
      <c r="C69" s="98"/>
      <c r="D69" s="98"/>
      <c r="E69" s="98"/>
      <c r="F69" s="98"/>
    </row>
    <row r="70">
      <c r="B70" s="98"/>
      <c r="C70" s="98"/>
      <c r="D70" s="98"/>
      <c r="E70" s="98"/>
      <c r="F70" s="98"/>
    </row>
    <row r="71">
      <c r="B71" s="98"/>
      <c r="C71" s="98"/>
      <c r="D71" s="98"/>
      <c r="E71" s="98"/>
      <c r="F71" s="98"/>
    </row>
    <row r="72">
      <c r="B72" s="98"/>
      <c r="C72" s="98"/>
      <c r="D72" s="98"/>
      <c r="E72" s="98"/>
      <c r="F72" s="98"/>
    </row>
    <row r="73">
      <c r="B73" s="98"/>
      <c r="C73" s="98"/>
      <c r="D73" s="98"/>
      <c r="E73" s="98"/>
      <c r="F73" s="98"/>
    </row>
    <row r="74">
      <c r="B74" s="98"/>
      <c r="C74" s="98"/>
      <c r="D74" s="98"/>
      <c r="E74" s="98"/>
      <c r="F74" s="98"/>
    </row>
    <row r="75">
      <c r="B75" s="98"/>
      <c r="C75" s="98"/>
      <c r="D75" s="98"/>
      <c r="E75" s="98"/>
      <c r="F75" s="98"/>
    </row>
    <row r="76">
      <c r="B76" s="98"/>
      <c r="C76" s="98"/>
      <c r="D76" s="98"/>
      <c r="E76" s="98"/>
      <c r="F76" s="98"/>
    </row>
    <row r="77">
      <c r="B77" s="98"/>
      <c r="C77" s="98"/>
      <c r="D77" s="98"/>
      <c r="E77" s="98"/>
      <c r="F77" s="98"/>
    </row>
    <row r="78">
      <c r="B78" s="98"/>
      <c r="C78" s="98"/>
      <c r="D78" s="98"/>
      <c r="E78" s="98"/>
      <c r="F78" s="98"/>
    </row>
    <row r="79">
      <c r="B79" s="98"/>
      <c r="C79" s="98"/>
      <c r="D79" s="98"/>
      <c r="E79" s="98"/>
      <c r="F79" s="98"/>
    </row>
    <row r="80">
      <c r="B80" s="98"/>
      <c r="C80" s="98"/>
      <c r="D80" s="98"/>
      <c r="E80" s="98"/>
      <c r="F80" s="98"/>
    </row>
    <row r="81">
      <c r="B81" s="98"/>
      <c r="C81" s="98"/>
      <c r="D81" s="98"/>
      <c r="E81" s="98"/>
      <c r="F81" s="98"/>
    </row>
    <row r="82">
      <c r="B82" s="98"/>
      <c r="C82" s="98"/>
      <c r="D82" s="98"/>
      <c r="E82" s="98"/>
      <c r="F82" s="98"/>
    </row>
    <row r="83">
      <c r="B83" s="98"/>
      <c r="C83" s="98"/>
      <c r="D83" s="98"/>
      <c r="E83" s="98"/>
      <c r="F83" s="98"/>
    </row>
    <row r="84">
      <c r="B84" s="98"/>
      <c r="C84" s="98"/>
      <c r="D84" s="98"/>
      <c r="E84" s="98"/>
      <c r="F84" s="98"/>
    </row>
    <row r="85">
      <c r="B85" s="98"/>
      <c r="C85" s="98"/>
      <c r="D85" s="98"/>
      <c r="E85" s="98"/>
      <c r="F85" s="98"/>
    </row>
    <row r="86">
      <c r="B86" s="98"/>
      <c r="C86" s="98"/>
      <c r="D86" s="98"/>
      <c r="E86" s="98"/>
      <c r="F86" s="98"/>
    </row>
    <row r="87">
      <c r="B87" s="98"/>
      <c r="C87" s="98"/>
      <c r="D87" s="98"/>
      <c r="E87" s="98"/>
      <c r="F87" s="98"/>
    </row>
    <row r="88">
      <c r="B88" s="98"/>
      <c r="C88" s="98"/>
      <c r="D88" s="98"/>
      <c r="E88" s="98"/>
      <c r="F88" s="98"/>
    </row>
    <row r="89">
      <c r="B89" s="98"/>
      <c r="C89" s="98"/>
      <c r="D89" s="98"/>
      <c r="E89" s="98"/>
      <c r="F89" s="98"/>
    </row>
    <row r="90">
      <c r="B90" s="98"/>
      <c r="C90" s="98"/>
      <c r="D90" s="98"/>
      <c r="E90" s="98"/>
      <c r="F90" s="98"/>
    </row>
    <row r="91">
      <c r="B91" s="98"/>
      <c r="C91" s="98"/>
      <c r="D91" s="98"/>
      <c r="E91" s="98"/>
      <c r="F91" s="98"/>
    </row>
    <row r="92">
      <c r="B92" s="98"/>
      <c r="C92" s="98"/>
      <c r="D92" s="98"/>
      <c r="E92" s="98"/>
      <c r="F92" s="98"/>
    </row>
    <row r="93">
      <c r="B93" s="98"/>
      <c r="C93" s="98"/>
      <c r="D93" s="98"/>
      <c r="E93" s="98"/>
      <c r="F93" s="98"/>
    </row>
    <row r="94">
      <c r="B94" s="98"/>
      <c r="C94" s="98"/>
      <c r="D94" s="98"/>
      <c r="E94" s="98"/>
      <c r="F94" s="98"/>
    </row>
    <row r="95">
      <c r="B95" s="98"/>
      <c r="C95" s="98"/>
      <c r="D95" s="98"/>
      <c r="E95" s="98"/>
      <c r="F95" s="98"/>
    </row>
    <row r="96">
      <c r="B96" s="98"/>
      <c r="C96" s="98"/>
      <c r="D96" s="98"/>
      <c r="E96" s="98"/>
      <c r="F96" s="98"/>
    </row>
    <row r="97">
      <c r="B97" s="98"/>
      <c r="C97" s="98"/>
      <c r="D97" s="98"/>
      <c r="E97" s="98"/>
      <c r="F97" s="98"/>
    </row>
    <row r="98">
      <c r="B98" s="98"/>
      <c r="C98" s="98"/>
      <c r="D98" s="98"/>
      <c r="E98" s="98"/>
      <c r="F98" s="98"/>
    </row>
    <row r="99">
      <c r="B99" s="98"/>
      <c r="C99" s="98"/>
      <c r="D99" s="98"/>
      <c r="E99" s="98"/>
      <c r="F99" s="98"/>
    </row>
    <row r="100">
      <c r="B100" s="98"/>
      <c r="C100" s="98"/>
      <c r="D100" s="98"/>
      <c r="E100" s="98"/>
      <c r="F100" s="98"/>
    </row>
    <row r="101">
      <c r="B101" s="98"/>
      <c r="C101" s="98"/>
      <c r="D101" s="98"/>
      <c r="E101" s="98"/>
      <c r="F101" s="98"/>
    </row>
    <row r="102">
      <c r="B102" s="98"/>
      <c r="C102" s="98"/>
      <c r="D102" s="98"/>
      <c r="E102" s="98"/>
      <c r="F102" s="98"/>
    </row>
    <row r="103">
      <c r="B103" s="98"/>
      <c r="C103" s="98"/>
      <c r="D103" s="98"/>
      <c r="E103" s="98"/>
      <c r="F103" s="98"/>
    </row>
    <row r="104">
      <c r="B104" s="98"/>
      <c r="C104" s="98"/>
      <c r="D104" s="98"/>
      <c r="E104" s="98"/>
      <c r="F104" s="98"/>
    </row>
    <row r="105">
      <c r="B105" s="98"/>
      <c r="C105" s="98"/>
      <c r="D105" s="98"/>
      <c r="E105" s="98"/>
      <c r="F105" s="98"/>
    </row>
    <row r="106">
      <c r="B106" s="98"/>
      <c r="C106" s="98"/>
      <c r="D106" s="98"/>
      <c r="E106" s="98"/>
      <c r="F106" s="98"/>
    </row>
    <row r="107">
      <c r="B107" s="98"/>
      <c r="C107" s="98"/>
      <c r="D107" s="98"/>
      <c r="E107" s="98"/>
      <c r="F107" s="98"/>
    </row>
    <row r="108">
      <c r="B108" s="98"/>
      <c r="C108" s="98"/>
      <c r="D108" s="98"/>
      <c r="E108" s="98"/>
      <c r="F108" s="98"/>
    </row>
    <row r="109">
      <c r="B109" s="98"/>
      <c r="C109" s="98"/>
      <c r="D109" s="98"/>
      <c r="E109" s="98"/>
      <c r="F109" s="98"/>
    </row>
    <row r="110">
      <c r="B110" s="98"/>
      <c r="C110" s="98"/>
      <c r="D110" s="98"/>
      <c r="E110" s="98"/>
      <c r="F110" s="98"/>
    </row>
    <row r="111">
      <c r="B111" s="98"/>
      <c r="C111" s="98"/>
      <c r="D111" s="98"/>
      <c r="E111" s="98"/>
      <c r="F111" s="98"/>
    </row>
    <row r="112">
      <c r="B112" s="98"/>
      <c r="C112" s="98"/>
      <c r="D112" s="98"/>
      <c r="E112" s="98"/>
      <c r="F112" s="98"/>
    </row>
    <row r="113">
      <c r="B113" s="98"/>
      <c r="C113" s="98"/>
      <c r="D113" s="98"/>
      <c r="E113" s="98"/>
      <c r="F113" s="98"/>
    </row>
    <row r="114">
      <c r="B114" s="98"/>
      <c r="C114" s="98"/>
      <c r="D114" s="98"/>
      <c r="E114" s="98"/>
      <c r="F114" s="98"/>
    </row>
    <row r="115">
      <c r="B115" s="98"/>
      <c r="C115" s="98"/>
      <c r="D115" s="98"/>
      <c r="E115" s="98"/>
      <c r="F115" s="98"/>
    </row>
    <row r="116">
      <c r="B116" s="98"/>
      <c r="C116" s="98"/>
      <c r="D116" s="98"/>
      <c r="E116" s="98"/>
      <c r="F116" s="98"/>
    </row>
    <row r="117">
      <c r="B117" s="98"/>
      <c r="C117" s="98"/>
      <c r="D117" s="98"/>
      <c r="E117" s="98"/>
      <c r="F117" s="98"/>
    </row>
    <row r="118">
      <c r="B118" s="98"/>
      <c r="C118" s="98"/>
      <c r="D118" s="98"/>
      <c r="E118" s="98"/>
      <c r="F118" s="98"/>
    </row>
    <row r="119">
      <c r="B119" s="98"/>
      <c r="C119" s="98"/>
      <c r="D119" s="98"/>
      <c r="E119" s="98"/>
      <c r="F119" s="98"/>
    </row>
    <row r="120">
      <c r="B120" s="98"/>
      <c r="C120" s="98"/>
      <c r="D120" s="98"/>
      <c r="E120" s="98"/>
      <c r="F120" s="98"/>
    </row>
    <row r="121">
      <c r="B121" s="98"/>
      <c r="C121" s="98"/>
      <c r="D121" s="98"/>
      <c r="E121" s="98"/>
      <c r="F121" s="98"/>
    </row>
    <row r="122">
      <c r="B122" s="98"/>
      <c r="C122" s="98"/>
      <c r="D122" s="98"/>
      <c r="E122" s="98"/>
      <c r="F122" s="98"/>
    </row>
    <row r="123">
      <c r="B123" s="98"/>
      <c r="C123" s="98"/>
      <c r="D123" s="98"/>
      <c r="E123" s="98"/>
      <c r="F123" s="98"/>
    </row>
    <row r="124">
      <c r="B124" s="98"/>
      <c r="C124" s="98"/>
      <c r="D124" s="98"/>
      <c r="E124" s="98"/>
      <c r="F124" s="98"/>
    </row>
    <row r="125">
      <c r="B125" s="98"/>
      <c r="C125" s="98"/>
      <c r="D125" s="98"/>
      <c r="E125" s="98"/>
      <c r="F125" s="98"/>
    </row>
    <row r="126">
      <c r="B126" s="98"/>
      <c r="C126" s="98"/>
      <c r="D126" s="98"/>
      <c r="E126" s="98"/>
      <c r="F126" s="98"/>
    </row>
    <row r="127">
      <c r="B127" s="98"/>
      <c r="C127" s="98"/>
      <c r="D127" s="98"/>
      <c r="E127" s="98"/>
      <c r="F127" s="98"/>
    </row>
    <row r="128">
      <c r="B128" s="98"/>
      <c r="C128" s="98"/>
      <c r="D128" s="98"/>
      <c r="E128" s="98"/>
      <c r="F128" s="98"/>
    </row>
    <row r="129">
      <c r="B129" s="98"/>
      <c r="C129" s="98"/>
      <c r="D129" s="98"/>
      <c r="E129" s="98"/>
      <c r="F129" s="98"/>
    </row>
    <row r="130">
      <c r="B130" s="98"/>
      <c r="C130" s="98"/>
      <c r="D130" s="98"/>
      <c r="E130" s="98"/>
      <c r="F130" s="98"/>
    </row>
    <row r="131">
      <c r="B131" s="98"/>
      <c r="C131" s="98"/>
      <c r="D131" s="98"/>
      <c r="E131" s="98"/>
      <c r="F131" s="98"/>
    </row>
    <row r="132">
      <c r="B132" s="98"/>
      <c r="C132" s="98"/>
      <c r="D132" s="98"/>
      <c r="E132" s="98"/>
      <c r="F132" s="98"/>
    </row>
    <row r="133">
      <c r="B133" s="98"/>
      <c r="C133" s="98"/>
      <c r="D133" s="98"/>
      <c r="E133" s="98"/>
      <c r="F133" s="98"/>
    </row>
    <row r="134">
      <c r="B134" s="98"/>
      <c r="C134" s="98"/>
      <c r="D134" s="98"/>
      <c r="E134" s="98"/>
      <c r="F134" s="98"/>
    </row>
    <row r="135">
      <c r="B135" s="98"/>
      <c r="C135" s="98"/>
      <c r="D135" s="98"/>
      <c r="E135" s="98"/>
      <c r="F135" s="98"/>
    </row>
    <row r="136">
      <c r="B136" s="98"/>
      <c r="C136" s="98"/>
      <c r="D136" s="98"/>
      <c r="E136" s="98"/>
      <c r="F136" s="98"/>
    </row>
    <row r="137">
      <c r="B137" s="98"/>
      <c r="C137" s="98"/>
      <c r="D137" s="98"/>
      <c r="E137" s="98"/>
      <c r="F137" s="98"/>
    </row>
    <row r="138">
      <c r="B138" s="98"/>
      <c r="C138" s="98"/>
      <c r="D138" s="98"/>
      <c r="E138" s="98"/>
      <c r="F138" s="98"/>
    </row>
    <row r="139">
      <c r="B139" s="98"/>
      <c r="C139" s="98"/>
      <c r="D139" s="98"/>
      <c r="E139" s="98"/>
      <c r="F139" s="98"/>
    </row>
    <row r="140">
      <c r="B140" s="98"/>
      <c r="C140" s="98"/>
      <c r="D140" s="98"/>
      <c r="E140" s="98"/>
      <c r="F140" s="98"/>
    </row>
    <row r="141">
      <c r="B141" s="98"/>
      <c r="C141" s="98"/>
      <c r="D141" s="98"/>
      <c r="E141" s="98"/>
      <c r="F141" s="98"/>
    </row>
    <row r="142">
      <c r="B142" s="98"/>
      <c r="C142" s="98"/>
      <c r="D142" s="98"/>
      <c r="E142" s="98"/>
      <c r="F142" s="98"/>
    </row>
    <row r="143">
      <c r="B143" s="98"/>
      <c r="C143" s="98"/>
      <c r="D143" s="98"/>
      <c r="E143" s="98"/>
      <c r="F143" s="98"/>
    </row>
    <row r="144">
      <c r="B144" s="98"/>
      <c r="C144" s="98"/>
      <c r="D144" s="98"/>
      <c r="E144" s="98"/>
      <c r="F144" s="98"/>
    </row>
    <row r="145">
      <c r="B145" s="98"/>
      <c r="C145" s="98"/>
      <c r="D145" s="98"/>
      <c r="E145" s="98"/>
      <c r="F145" s="98"/>
    </row>
    <row r="146">
      <c r="B146" s="98"/>
      <c r="C146" s="98"/>
      <c r="D146" s="98"/>
      <c r="E146" s="98"/>
      <c r="F146" s="98"/>
    </row>
    <row r="147">
      <c r="B147" s="98"/>
      <c r="C147" s="98"/>
      <c r="D147" s="98"/>
      <c r="E147" s="98"/>
      <c r="F147" s="98"/>
    </row>
    <row r="148">
      <c r="B148" s="98"/>
      <c r="C148" s="98"/>
      <c r="D148" s="98"/>
      <c r="E148" s="98"/>
      <c r="F148" s="98"/>
    </row>
    <row r="149">
      <c r="B149" s="98"/>
      <c r="C149" s="98"/>
      <c r="D149" s="98"/>
      <c r="E149" s="98"/>
      <c r="F149" s="98"/>
    </row>
    <row r="150">
      <c r="B150" s="98"/>
      <c r="C150" s="98"/>
      <c r="D150" s="98"/>
      <c r="E150" s="98"/>
      <c r="F150" s="98"/>
    </row>
    <row r="151">
      <c r="B151" s="98"/>
      <c r="C151" s="98"/>
      <c r="D151" s="98"/>
      <c r="E151" s="98"/>
      <c r="F151" s="98"/>
    </row>
    <row r="152">
      <c r="B152" s="98"/>
      <c r="C152" s="98"/>
      <c r="D152" s="98"/>
      <c r="E152" s="98"/>
      <c r="F152" s="98"/>
    </row>
    <row r="153">
      <c r="B153" s="98"/>
      <c r="C153" s="98"/>
      <c r="D153" s="98"/>
      <c r="E153" s="98"/>
      <c r="F153" s="98"/>
    </row>
    <row r="154">
      <c r="B154" s="98"/>
      <c r="C154" s="98"/>
      <c r="D154" s="98"/>
      <c r="E154" s="98"/>
      <c r="F154" s="98"/>
    </row>
    <row r="155">
      <c r="B155" s="98"/>
      <c r="C155" s="98"/>
      <c r="D155" s="98"/>
      <c r="E155" s="98"/>
      <c r="F155" s="98"/>
    </row>
    <row r="156">
      <c r="B156" s="98"/>
      <c r="C156" s="98"/>
      <c r="D156" s="98"/>
      <c r="E156" s="98"/>
      <c r="F156" s="98"/>
    </row>
    <row r="157">
      <c r="B157" s="98"/>
      <c r="C157" s="98"/>
      <c r="D157" s="98"/>
      <c r="E157" s="98"/>
      <c r="F157" s="98"/>
    </row>
    <row r="158">
      <c r="B158" s="98"/>
      <c r="C158" s="98"/>
      <c r="D158" s="98"/>
      <c r="E158" s="98"/>
      <c r="F158" s="98"/>
    </row>
    <row r="159">
      <c r="B159" s="98"/>
      <c r="C159" s="98"/>
      <c r="D159" s="98"/>
      <c r="E159" s="98"/>
      <c r="F159" s="98"/>
    </row>
    <row r="160">
      <c r="B160" s="98"/>
      <c r="C160" s="98"/>
      <c r="D160" s="98"/>
      <c r="E160" s="98"/>
      <c r="F160" s="98"/>
    </row>
    <row r="161">
      <c r="B161" s="98"/>
      <c r="C161" s="98"/>
      <c r="D161" s="98"/>
      <c r="E161" s="98"/>
      <c r="F161" s="98"/>
    </row>
    <row r="162">
      <c r="B162" s="98"/>
      <c r="C162" s="98"/>
      <c r="D162" s="98"/>
      <c r="E162" s="98"/>
      <c r="F162" s="98"/>
    </row>
    <row r="163">
      <c r="B163" s="98"/>
      <c r="C163" s="98"/>
      <c r="D163" s="98"/>
      <c r="E163" s="98"/>
      <c r="F163" s="98"/>
    </row>
    <row r="164">
      <c r="B164" s="98"/>
      <c r="C164" s="98"/>
      <c r="D164" s="98"/>
      <c r="E164" s="98"/>
      <c r="F164" s="98"/>
    </row>
    <row r="165">
      <c r="B165" s="98"/>
      <c r="C165" s="98"/>
      <c r="D165" s="98"/>
      <c r="E165" s="98"/>
      <c r="F165" s="98"/>
    </row>
    <row r="166">
      <c r="B166" s="98"/>
      <c r="C166" s="98"/>
      <c r="D166" s="98"/>
      <c r="E166" s="98"/>
      <c r="F166" s="98"/>
    </row>
    <row r="167">
      <c r="B167" s="98"/>
      <c r="C167" s="98"/>
      <c r="D167" s="98"/>
      <c r="E167" s="98"/>
      <c r="F167" s="98"/>
    </row>
    <row r="168">
      <c r="B168" s="98"/>
      <c r="C168" s="98"/>
      <c r="D168" s="98"/>
      <c r="E168" s="98"/>
      <c r="F168" s="98"/>
    </row>
    <row r="169">
      <c r="B169" s="98"/>
      <c r="C169" s="98"/>
      <c r="D169" s="98"/>
      <c r="E169" s="98"/>
      <c r="F169" s="98"/>
    </row>
    <row r="170">
      <c r="B170" s="98"/>
      <c r="C170" s="98"/>
      <c r="D170" s="98"/>
      <c r="E170" s="98"/>
      <c r="F170" s="98"/>
    </row>
    <row r="171">
      <c r="B171" s="98"/>
      <c r="C171" s="98"/>
      <c r="D171" s="98"/>
      <c r="E171" s="98"/>
      <c r="F171" s="98"/>
    </row>
    <row r="172">
      <c r="B172" s="98"/>
      <c r="C172" s="98"/>
      <c r="D172" s="98"/>
      <c r="E172" s="98"/>
      <c r="F172" s="98"/>
    </row>
    <row r="173">
      <c r="B173" s="98"/>
      <c r="C173" s="98"/>
      <c r="D173" s="98"/>
      <c r="E173" s="98"/>
      <c r="F173" s="98"/>
    </row>
    <row r="174">
      <c r="B174" s="98"/>
      <c r="C174" s="98"/>
      <c r="D174" s="98"/>
      <c r="E174" s="98"/>
      <c r="F174" s="98"/>
    </row>
    <row r="175">
      <c r="B175" s="98"/>
      <c r="C175" s="98"/>
      <c r="D175" s="98"/>
      <c r="E175" s="98"/>
      <c r="F175" s="98"/>
    </row>
    <row r="176">
      <c r="B176" s="98"/>
      <c r="C176" s="98"/>
      <c r="D176" s="98"/>
      <c r="E176" s="98"/>
      <c r="F176" s="98"/>
    </row>
    <row r="177">
      <c r="B177" s="98"/>
      <c r="C177" s="98"/>
      <c r="D177" s="98"/>
      <c r="E177" s="98"/>
      <c r="F177" s="98"/>
    </row>
    <row r="178">
      <c r="B178" s="98"/>
      <c r="C178" s="98"/>
      <c r="D178" s="98"/>
      <c r="E178" s="98"/>
      <c r="F178" s="98"/>
    </row>
    <row r="179">
      <c r="B179" s="98"/>
      <c r="C179" s="98"/>
      <c r="D179" s="98"/>
      <c r="E179" s="98"/>
      <c r="F179" s="98"/>
    </row>
    <row r="180">
      <c r="B180" s="98"/>
      <c r="C180" s="98"/>
      <c r="D180" s="98"/>
      <c r="E180" s="98"/>
      <c r="F180" s="98"/>
    </row>
    <row r="181">
      <c r="B181" s="98"/>
      <c r="C181" s="98"/>
      <c r="D181" s="98"/>
      <c r="E181" s="98"/>
      <c r="F181" s="98"/>
    </row>
    <row r="182">
      <c r="B182" s="98"/>
      <c r="C182" s="98"/>
      <c r="D182" s="98"/>
      <c r="E182" s="98"/>
      <c r="F182" s="98"/>
    </row>
    <row r="183">
      <c r="B183" s="98"/>
      <c r="C183" s="98"/>
      <c r="D183" s="98"/>
      <c r="E183" s="98"/>
      <c r="F183" s="98"/>
    </row>
    <row r="184">
      <c r="B184" s="98"/>
      <c r="C184" s="98"/>
      <c r="D184" s="98"/>
      <c r="E184" s="98"/>
      <c r="F184" s="98"/>
    </row>
    <row r="185">
      <c r="B185" s="98"/>
      <c r="C185" s="98"/>
      <c r="D185" s="98"/>
      <c r="E185" s="98"/>
      <c r="F185" s="98"/>
    </row>
    <row r="186">
      <c r="B186" s="98"/>
      <c r="C186" s="98"/>
      <c r="D186" s="98"/>
      <c r="E186" s="98"/>
      <c r="F186" s="98"/>
    </row>
    <row r="187">
      <c r="B187" s="98"/>
      <c r="C187" s="98"/>
      <c r="D187" s="98"/>
      <c r="E187" s="98"/>
      <c r="F187" s="98"/>
    </row>
    <row r="188">
      <c r="B188" s="98"/>
      <c r="C188" s="98"/>
      <c r="D188" s="98"/>
      <c r="E188" s="98"/>
      <c r="F188" s="98"/>
    </row>
    <row r="189">
      <c r="B189" s="98"/>
      <c r="C189" s="98"/>
      <c r="D189" s="98"/>
      <c r="E189" s="98"/>
      <c r="F189" s="98"/>
    </row>
    <row r="190">
      <c r="B190" s="98"/>
      <c r="C190" s="98"/>
      <c r="D190" s="98"/>
      <c r="E190" s="98"/>
      <c r="F190" s="98"/>
    </row>
    <row r="191">
      <c r="B191" s="98"/>
      <c r="C191" s="98"/>
      <c r="D191" s="98"/>
      <c r="E191" s="98"/>
      <c r="F191" s="98"/>
    </row>
    <row r="192">
      <c r="B192" s="98"/>
      <c r="C192" s="98"/>
      <c r="D192" s="98"/>
      <c r="E192" s="98"/>
      <c r="F192" s="98"/>
    </row>
    <row r="193">
      <c r="B193" s="98"/>
      <c r="C193" s="98"/>
      <c r="D193" s="98"/>
      <c r="E193" s="98"/>
      <c r="F193" s="98"/>
    </row>
    <row r="194">
      <c r="B194" s="98"/>
      <c r="C194" s="98"/>
      <c r="D194" s="98"/>
      <c r="E194" s="98"/>
      <c r="F194" s="98"/>
    </row>
    <row r="195">
      <c r="B195" s="98"/>
      <c r="C195" s="98"/>
      <c r="D195" s="98"/>
      <c r="E195" s="98"/>
      <c r="F195" s="98"/>
    </row>
    <row r="196">
      <c r="B196" s="98"/>
      <c r="C196" s="98"/>
      <c r="D196" s="98"/>
      <c r="E196" s="98"/>
      <c r="F196" s="98"/>
    </row>
    <row r="197">
      <c r="B197" s="98"/>
      <c r="C197" s="98"/>
      <c r="D197" s="98"/>
      <c r="E197" s="98"/>
      <c r="F197" s="98"/>
    </row>
    <row r="198">
      <c r="B198" s="98"/>
      <c r="C198" s="98"/>
      <c r="D198" s="98"/>
      <c r="E198" s="98"/>
      <c r="F198" s="98"/>
    </row>
    <row r="199">
      <c r="B199" s="98"/>
      <c r="C199" s="98"/>
      <c r="D199" s="98"/>
      <c r="E199" s="98"/>
      <c r="F199" s="98"/>
    </row>
    <row r="200">
      <c r="B200" s="98"/>
      <c r="C200" s="98"/>
      <c r="D200" s="98"/>
      <c r="E200" s="98"/>
      <c r="F200" s="98"/>
    </row>
    <row r="201">
      <c r="B201" s="98"/>
      <c r="C201" s="98"/>
      <c r="D201" s="98"/>
      <c r="E201" s="98"/>
      <c r="F201" s="98"/>
    </row>
    <row r="202">
      <c r="B202" s="98"/>
      <c r="C202" s="98"/>
      <c r="D202" s="98"/>
      <c r="E202" s="98"/>
      <c r="F202" s="98"/>
    </row>
    <row r="203">
      <c r="B203" s="98"/>
      <c r="C203" s="98"/>
      <c r="D203" s="98"/>
      <c r="E203" s="98"/>
      <c r="F203" s="98"/>
    </row>
    <row r="204">
      <c r="B204" s="98"/>
      <c r="C204" s="98"/>
      <c r="D204" s="98"/>
      <c r="E204" s="98"/>
      <c r="F204" s="98"/>
    </row>
    <row r="205">
      <c r="B205" s="98"/>
      <c r="C205" s="98"/>
      <c r="D205" s="98"/>
      <c r="E205" s="98"/>
      <c r="F205" s="98"/>
    </row>
    <row r="206">
      <c r="B206" s="98"/>
      <c r="C206" s="98"/>
      <c r="D206" s="98"/>
      <c r="E206" s="98"/>
      <c r="F206" s="98"/>
    </row>
    <row r="207">
      <c r="B207" s="98"/>
      <c r="C207" s="98"/>
      <c r="D207" s="98"/>
      <c r="E207" s="98"/>
      <c r="F207" s="98"/>
    </row>
    <row r="208">
      <c r="B208" s="98"/>
      <c r="C208" s="98"/>
      <c r="D208" s="98"/>
      <c r="E208" s="98"/>
      <c r="F208" s="98"/>
    </row>
    <row r="209">
      <c r="B209" s="98"/>
      <c r="C209" s="98"/>
      <c r="D209" s="98"/>
      <c r="E209" s="98"/>
      <c r="F209" s="98"/>
    </row>
    <row r="210">
      <c r="B210" s="98"/>
      <c r="C210" s="98"/>
      <c r="D210" s="98"/>
      <c r="E210" s="98"/>
      <c r="F210" s="98"/>
    </row>
    <row r="211">
      <c r="B211" s="98"/>
      <c r="C211" s="98"/>
      <c r="D211" s="98"/>
      <c r="E211" s="98"/>
      <c r="F211" s="98"/>
    </row>
    <row r="212">
      <c r="B212" s="98"/>
      <c r="C212" s="98"/>
      <c r="D212" s="98"/>
      <c r="E212" s="98"/>
      <c r="F212" s="98"/>
    </row>
    <row r="213">
      <c r="B213" s="98"/>
      <c r="C213" s="98"/>
      <c r="D213" s="98"/>
      <c r="E213" s="98"/>
      <c r="F213" s="98"/>
    </row>
    <row r="214">
      <c r="B214" s="98"/>
      <c r="C214" s="98"/>
      <c r="D214" s="98"/>
      <c r="E214" s="98"/>
      <c r="F214" s="98"/>
    </row>
    <row r="215">
      <c r="B215" s="98"/>
      <c r="C215" s="98"/>
      <c r="D215" s="98"/>
      <c r="E215" s="98"/>
      <c r="F215" s="98"/>
    </row>
    <row r="216">
      <c r="B216" s="98"/>
      <c r="C216" s="98"/>
      <c r="D216" s="98"/>
      <c r="E216" s="98"/>
      <c r="F216" s="98"/>
    </row>
    <row r="217">
      <c r="B217" s="98"/>
      <c r="C217" s="98"/>
      <c r="D217" s="98"/>
      <c r="E217" s="98"/>
      <c r="F217" s="98"/>
    </row>
    <row r="218">
      <c r="B218" s="98"/>
      <c r="C218" s="98"/>
      <c r="D218" s="98"/>
      <c r="E218" s="98"/>
      <c r="F218" s="98"/>
    </row>
    <row r="219">
      <c r="B219" s="98"/>
      <c r="C219" s="98"/>
      <c r="D219" s="98"/>
      <c r="E219" s="98"/>
      <c r="F219" s="98"/>
    </row>
    <row r="220">
      <c r="B220" s="98"/>
      <c r="C220" s="98"/>
      <c r="D220" s="98"/>
      <c r="E220" s="98"/>
      <c r="F220" s="98"/>
    </row>
    <row r="221">
      <c r="B221" s="98"/>
      <c r="C221" s="98"/>
      <c r="D221" s="98"/>
      <c r="E221" s="98"/>
      <c r="F221" s="98"/>
    </row>
    <row r="222">
      <c r="B222" s="98"/>
      <c r="C222" s="98"/>
      <c r="D222" s="98"/>
      <c r="E222" s="98"/>
      <c r="F222" s="98"/>
    </row>
    <row r="223">
      <c r="B223" s="98"/>
      <c r="C223" s="98"/>
      <c r="D223" s="98"/>
      <c r="E223" s="98"/>
      <c r="F223" s="98"/>
    </row>
    <row r="224">
      <c r="B224" s="98"/>
      <c r="C224" s="98"/>
      <c r="D224" s="98"/>
      <c r="E224" s="98"/>
      <c r="F224" s="98"/>
    </row>
    <row r="225">
      <c r="B225" s="98"/>
      <c r="C225" s="98"/>
      <c r="D225" s="98"/>
      <c r="E225" s="98"/>
      <c r="F225" s="98"/>
    </row>
    <row r="226">
      <c r="B226" s="98"/>
      <c r="C226" s="98"/>
      <c r="D226" s="98"/>
      <c r="E226" s="98"/>
      <c r="F226" s="98"/>
    </row>
    <row r="227">
      <c r="B227" s="98"/>
      <c r="C227" s="98"/>
      <c r="D227" s="98"/>
      <c r="E227" s="98"/>
      <c r="F227" s="98"/>
    </row>
    <row r="228">
      <c r="B228" s="98"/>
      <c r="C228" s="98"/>
      <c r="D228" s="98"/>
      <c r="E228" s="98"/>
      <c r="F228" s="98"/>
    </row>
    <row r="229">
      <c r="B229" s="98"/>
      <c r="C229" s="98"/>
      <c r="D229" s="98"/>
      <c r="E229" s="98"/>
      <c r="F229" s="98"/>
    </row>
    <row r="230">
      <c r="B230" s="98"/>
      <c r="C230" s="98"/>
      <c r="D230" s="98"/>
      <c r="E230" s="98"/>
      <c r="F230" s="98"/>
    </row>
    <row r="231">
      <c r="B231" s="98"/>
      <c r="C231" s="98"/>
      <c r="D231" s="98"/>
      <c r="E231" s="98"/>
      <c r="F231" s="98"/>
    </row>
    <row r="232">
      <c r="B232" s="98"/>
      <c r="C232" s="98"/>
      <c r="D232" s="98"/>
      <c r="E232" s="98"/>
      <c r="F232" s="98"/>
    </row>
    <row r="233">
      <c r="B233" s="98"/>
      <c r="C233" s="98"/>
      <c r="D233" s="98"/>
      <c r="E233" s="98"/>
      <c r="F233" s="98"/>
    </row>
    <row r="234">
      <c r="B234" s="98"/>
      <c r="C234" s="98"/>
      <c r="D234" s="98"/>
      <c r="E234" s="98"/>
      <c r="F234" s="98"/>
    </row>
    <row r="235">
      <c r="B235" s="98"/>
      <c r="C235" s="98"/>
      <c r="D235" s="98"/>
      <c r="E235" s="98"/>
      <c r="F235" s="98"/>
    </row>
    <row r="236">
      <c r="B236" s="98"/>
      <c r="C236" s="98"/>
      <c r="D236" s="98"/>
      <c r="E236" s="98"/>
      <c r="F236" s="98"/>
    </row>
    <row r="237">
      <c r="B237" s="98"/>
      <c r="C237" s="98"/>
      <c r="D237" s="98"/>
      <c r="E237" s="98"/>
      <c r="F237" s="98"/>
    </row>
    <row r="238">
      <c r="B238" s="98"/>
      <c r="C238" s="98"/>
      <c r="D238" s="98"/>
      <c r="E238" s="98"/>
      <c r="F238" s="98"/>
    </row>
    <row r="239">
      <c r="B239" s="98"/>
      <c r="C239" s="98"/>
      <c r="D239" s="98"/>
      <c r="E239" s="98"/>
      <c r="F239" s="98"/>
    </row>
    <row r="240">
      <c r="B240" s="98"/>
      <c r="C240" s="98"/>
      <c r="D240" s="98"/>
      <c r="E240" s="98"/>
      <c r="F240" s="98"/>
    </row>
    <row r="241">
      <c r="B241" s="98"/>
      <c r="C241" s="98"/>
      <c r="D241" s="98"/>
      <c r="E241" s="98"/>
      <c r="F241" s="98"/>
    </row>
    <row r="242">
      <c r="B242" s="98"/>
      <c r="C242" s="98"/>
      <c r="D242" s="98"/>
      <c r="E242" s="98"/>
      <c r="F242" s="98"/>
    </row>
    <row r="243">
      <c r="B243" s="98"/>
      <c r="C243" s="98"/>
      <c r="D243" s="98"/>
      <c r="E243" s="98"/>
      <c r="F243" s="98"/>
    </row>
    <row r="244">
      <c r="B244" s="98"/>
      <c r="C244" s="98"/>
      <c r="D244" s="98"/>
      <c r="E244" s="98"/>
      <c r="F244" s="98"/>
    </row>
    <row r="245">
      <c r="B245" s="98"/>
      <c r="C245" s="98"/>
      <c r="D245" s="98"/>
      <c r="E245" s="98"/>
      <c r="F245" s="98"/>
    </row>
    <row r="246">
      <c r="B246" s="98"/>
      <c r="C246" s="98"/>
      <c r="D246" s="98"/>
      <c r="E246" s="98"/>
      <c r="F246" s="98"/>
    </row>
    <row r="247">
      <c r="B247" s="98"/>
      <c r="C247" s="98"/>
      <c r="D247" s="98"/>
      <c r="E247" s="98"/>
      <c r="F247" s="98"/>
    </row>
    <row r="248">
      <c r="B248" s="98"/>
      <c r="C248" s="98"/>
      <c r="D248" s="98"/>
      <c r="E248" s="98"/>
      <c r="F248" s="98"/>
    </row>
    <row r="249">
      <c r="B249" s="98"/>
      <c r="C249" s="98"/>
      <c r="D249" s="98"/>
      <c r="E249" s="98"/>
      <c r="F249" s="98"/>
    </row>
    <row r="250">
      <c r="B250" s="98"/>
      <c r="C250" s="98"/>
      <c r="D250" s="98"/>
      <c r="E250" s="98"/>
      <c r="F250" s="98"/>
    </row>
    <row r="251">
      <c r="B251" s="98"/>
      <c r="C251" s="98"/>
      <c r="D251" s="98"/>
      <c r="E251" s="98"/>
      <c r="F251" s="98"/>
    </row>
    <row r="252">
      <c r="B252" s="98"/>
      <c r="C252" s="98"/>
      <c r="D252" s="98"/>
      <c r="E252" s="98"/>
      <c r="F252" s="98"/>
    </row>
    <row r="253">
      <c r="B253" s="98"/>
      <c r="C253" s="98"/>
      <c r="D253" s="98"/>
      <c r="E253" s="98"/>
      <c r="F253" s="98"/>
    </row>
    <row r="254">
      <c r="B254" s="98"/>
      <c r="C254" s="98"/>
      <c r="D254" s="98"/>
      <c r="E254" s="98"/>
      <c r="F254" s="98"/>
    </row>
    <row r="255">
      <c r="B255" s="98"/>
      <c r="C255" s="98"/>
      <c r="D255" s="98"/>
      <c r="E255" s="98"/>
      <c r="F255" s="98"/>
    </row>
    <row r="256">
      <c r="B256" s="98"/>
      <c r="C256" s="98"/>
      <c r="D256" s="98"/>
      <c r="E256" s="98"/>
      <c r="F256" s="98"/>
    </row>
    <row r="257">
      <c r="B257" s="98"/>
      <c r="C257" s="98"/>
      <c r="D257" s="98"/>
      <c r="E257" s="98"/>
      <c r="F257" s="98"/>
    </row>
    <row r="258">
      <c r="B258" s="98"/>
      <c r="C258" s="98"/>
      <c r="D258" s="98"/>
      <c r="E258" s="98"/>
      <c r="F258" s="98"/>
    </row>
    <row r="259">
      <c r="B259" s="98"/>
      <c r="C259" s="98"/>
      <c r="D259" s="98"/>
      <c r="E259" s="98"/>
      <c r="F259" s="98"/>
    </row>
    <row r="260">
      <c r="B260" s="98"/>
      <c r="C260" s="98"/>
      <c r="D260" s="98"/>
      <c r="E260" s="98"/>
      <c r="F260" s="98"/>
    </row>
    <row r="261">
      <c r="B261" s="98"/>
      <c r="C261" s="98"/>
      <c r="D261" s="98"/>
      <c r="E261" s="98"/>
      <c r="F261" s="98"/>
    </row>
    <row r="262">
      <c r="B262" s="98"/>
      <c r="C262" s="98"/>
      <c r="D262" s="98"/>
      <c r="E262" s="98"/>
      <c r="F262" s="98"/>
    </row>
    <row r="263">
      <c r="B263" s="98"/>
      <c r="C263" s="98"/>
      <c r="D263" s="98"/>
      <c r="E263" s="98"/>
      <c r="F263" s="98"/>
    </row>
    <row r="264">
      <c r="B264" s="98"/>
      <c r="C264" s="98"/>
      <c r="D264" s="98"/>
      <c r="E264" s="98"/>
      <c r="F264" s="98"/>
    </row>
    <row r="265">
      <c r="B265" s="98"/>
      <c r="C265" s="98"/>
      <c r="D265" s="98"/>
      <c r="E265" s="98"/>
      <c r="F265" s="98"/>
    </row>
    <row r="266">
      <c r="B266" s="98"/>
      <c r="C266" s="98"/>
      <c r="D266" s="98"/>
      <c r="E266" s="98"/>
      <c r="F266" s="98"/>
    </row>
    <row r="267">
      <c r="B267" s="98"/>
      <c r="C267" s="98"/>
      <c r="D267" s="98"/>
      <c r="E267" s="98"/>
      <c r="F267" s="98"/>
    </row>
    <row r="268">
      <c r="B268" s="98"/>
      <c r="C268" s="98"/>
      <c r="D268" s="98"/>
      <c r="E268" s="98"/>
      <c r="F268" s="98"/>
    </row>
    <row r="269">
      <c r="B269" s="98"/>
      <c r="C269" s="98"/>
      <c r="D269" s="98"/>
      <c r="E269" s="98"/>
      <c r="F269" s="98"/>
    </row>
    <row r="270">
      <c r="B270" s="98"/>
      <c r="C270" s="98"/>
      <c r="D270" s="98"/>
      <c r="E270" s="98"/>
      <c r="F270" s="98"/>
    </row>
    <row r="271">
      <c r="B271" s="98"/>
      <c r="C271" s="98"/>
      <c r="D271" s="98"/>
      <c r="E271" s="98"/>
      <c r="F271" s="98"/>
    </row>
    <row r="272">
      <c r="B272" s="98"/>
      <c r="C272" s="98"/>
      <c r="D272" s="98"/>
      <c r="E272" s="98"/>
      <c r="F272" s="98"/>
    </row>
    <row r="273">
      <c r="B273" s="98"/>
      <c r="C273" s="98"/>
      <c r="D273" s="98"/>
      <c r="E273" s="98"/>
      <c r="F273" s="98"/>
    </row>
    <row r="274">
      <c r="B274" s="98"/>
      <c r="C274" s="98"/>
      <c r="D274" s="98"/>
      <c r="E274" s="98"/>
      <c r="F274" s="98"/>
    </row>
    <row r="275">
      <c r="B275" s="98"/>
      <c r="C275" s="98"/>
      <c r="D275" s="98"/>
      <c r="E275" s="98"/>
      <c r="F275" s="98"/>
    </row>
    <row r="276">
      <c r="B276" s="98"/>
      <c r="C276" s="98"/>
      <c r="D276" s="98"/>
      <c r="E276" s="98"/>
      <c r="F276" s="98"/>
    </row>
    <row r="277">
      <c r="B277" s="98"/>
      <c r="C277" s="98"/>
      <c r="D277" s="98"/>
      <c r="E277" s="98"/>
      <c r="F277" s="98"/>
    </row>
    <row r="278">
      <c r="B278" s="98"/>
      <c r="C278" s="98"/>
      <c r="D278" s="98"/>
      <c r="E278" s="98"/>
      <c r="F278" s="98"/>
    </row>
    <row r="279">
      <c r="B279" s="98"/>
      <c r="C279" s="98"/>
      <c r="D279" s="98"/>
      <c r="E279" s="98"/>
      <c r="F279" s="98"/>
    </row>
    <row r="280">
      <c r="B280" s="98"/>
      <c r="C280" s="98"/>
      <c r="D280" s="98"/>
      <c r="E280" s="98"/>
      <c r="F280" s="98"/>
    </row>
    <row r="281">
      <c r="B281" s="98"/>
      <c r="C281" s="98"/>
      <c r="D281" s="98"/>
      <c r="E281" s="98"/>
      <c r="F281" s="98"/>
    </row>
    <row r="282">
      <c r="B282" s="98"/>
      <c r="C282" s="98"/>
      <c r="D282" s="98"/>
      <c r="E282" s="98"/>
      <c r="F282" s="98"/>
    </row>
    <row r="283">
      <c r="B283" s="98"/>
      <c r="C283" s="98"/>
      <c r="D283" s="98"/>
      <c r="E283" s="98"/>
      <c r="F283" s="98"/>
    </row>
    <row r="284">
      <c r="B284" s="98"/>
      <c r="C284" s="98"/>
      <c r="D284" s="98"/>
      <c r="E284" s="98"/>
      <c r="F284" s="98"/>
    </row>
    <row r="285">
      <c r="B285" s="98"/>
      <c r="C285" s="98"/>
      <c r="D285" s="98"/>
      <c r="E285" s="98"/>
      <c r="F285" s="98"/>
    </row>
    <row r="286">
      <c r="B286" s="98"/>
      <c r="C286" s="98"/>
      <c r="D286" s="98"/>
      <c r="E286" s="98"/>
      <c r="F286" s="98"/>
    </row>
    <row r="287">
      <c r="B287" s="98"/>
      <c r="C287" s="98"/>
      <c r="D287" s="98"/>
      <c r="E287" s="98"/>
      <c r="F287" s="98"/>
    </row>
    <row r="288">
      <c r="B288" s="98"/>
      <c r="C288" s="98"/>
      <c r="D288" s="98"/>
      <c r="E288" s="98"/>
      <c r="F288" s="98"/>
    </row>
    <row r="289">
      <c r="B289" s="98"/>
      <c r="C289" s="98"/>
      <c r="D289" s="98"/>
      <c r="E289" s="98"/>
      <c r="F289" s="98"/>
    </row>
    <row r="290">
      <c r="B290" s="98"/>
      <c r="C290" s="98"/>
      <c r="D290" s="98"/>
      <c r="E290" s="98"/>
      <c r="F290" s="98"/>
    </row>
    <row r="291">
      <c r="B291" s="98"/>
      <c r="C291" s="98"/>
      <c r="D291" s="98"/>
      <c r="E291" s="98"/>
      <c r="F291" s="98"/>
    </row>
    <row r="292">
      <c r="B292" s="98"/>
      <c r="C292" s="98"/>
      <c r="D292" s="98"/>
      <c r="E292" s="98"/>
      <c r="F292" s="98"/>
    </row>
    <row r="293">
      <c r="B293" s="98"/>
      <c r="C293" s="98"/>
      <c r="D293" s="98"/>
      <c r="E293" s="98"/>
      <c r="F293" s="98"/>
    </row>
    <row r="294">
      <c r="B294" s="98"/>
      <c r="C294" s="98"/>
      <c r="D294" s="98"/>
      <c r="E294" s="98"/>
      <c r="F294" s="98"/>
    </row>
    <row r="295">
      <c r="B295" s="98"/>
      <c r="C295" s="98"/>
      <c r="D295" s="98"/>
      <c r="E295" s="98"/>
      <c r="F295" s="98"/>
    </row>
    <row r="296">
      <c r="B296" s="98"/>
      <c r="C296" s="98"/>
      <c r="D296" s="98"/>
      <c r="E296" s="98"/>
      <c r="F296" s="98"/>
    </row>
    <row r="297">
      <c r="B297" s="98"/>
      <c r="C297" s="98"/>
      <c r="D297" s="98"/>
      <c r="E297" s="98"/>
      <c r="F297" s="98"/>
    </row>
    <row r="298">
      <c r="B298" s="98"/>
      <c r="C298" s="98"/>
      <c r="D298" s="98"/>
      <c r="E298" s="98"/>
      <c r="F298" s="98"/>
    </row>
    <row r="299">
      <c r="B299" s="98"/>
      <c r="C299" s="98"/>
      <c r="D299" s="98"/>
      <c r="E299" s="98"/>
      <c r="F299" s="98"/>
    </row>
    <row r="300">
      <c r="B300" s="98"/>
      <c r="C300" s="98"/>
      <c r="D300" s="98"/>
      <c r="E300" s="98"/>
      <c r="F300" s="98"/>
    </row>
    <row r="301">
      <c r="B301" s="98"/>
      <c r="C301" s="98"/>
      <c r="D301" s="98"/>
      <c r="E301" s="98"/>
      <c r="F301" s="98"/>
    </row>
    <row r="302">
      <c r="B302" s="98"/>
      <c r="C302" s="98"/>
      <c r="D302" s="98"/>
      <c r="E302" s="98"/>
      <c r="F302" s="98"/>
    </row>
    <row r="303">
      <c r="B303" s="98"/>
      <c r="C303" s="98"/>
      <c r="D303" s="98"/>
      <c r="E303" s="98"/>
      <c r="F303" s="98"/>
    </row>
    <row r="304">
      <c r="B304" s="98"/>
      <c r="C304" s="98"/>
      <c r="D304" s="98"/>
      <c r="E304" s="98"/>
      <c r="F304" s="98"/>
    </row>
    <row r="305">
      <c r="B305" s="98"/>
      <c r="C305" s="98"/>
      <c r="D305" s="98"/>
      <c r="E305" s="98"/>
      <c r="F305" s="98"/>
    </row>
    <row r="306">
      <c r="B306" s="98"/>
      <c r="C306" s="98"/>
      <c r="D306" s="98"/>
      <c r="E306" s="98"/>
      <c r="F306" s="98"/>
    </row>
    <row r="307">
      <c r="B307" s="98"/>
      <c r="C307" s="98"/>
      <c r="D307" s="98"/>
      <c r="E307" s="98"/>
      <c r="F307" s="98"/>
    </row>
    <row r="308">
      <c r="B308" s="98"/>
      <c r="C308" s="98"/>
      <c r="D308" s="98"/>
      <c r="E308" s="98"/>
      <c r="F308" s="98"/>
    </row>
    <row r="309">
      <c r="B309" s="98"/>
      <c r="C309" s="98"/>
      <c r="D309" s="98"/>
      <c r="E309" s="98"/>
      <c r="F309" s="98"/>
    </row>
    <row r="310">
      <c r="B310" s="98"/>
      <c r="C310" s="98"/>
      <c r="D310" s="98"/>
      <c r="E310" s="98"/>
      <c r="F310" s="98"/>
    </row>
    <row r="311">
      <c r="B311" s="98"/>
      <c r="C311" s="98"/>
      <c r="D311" s="98"/>
      <c r="E311" s="98"/>
      <c r="F311" s="98"/>
    </row>
    <row r="312">
      <c r="B312" s="98"/>
      <c r="C312" s="98"/>
      <c r="D312" s="98"/>
      <c r="E312" s="98"/>
      <c r="F312" s="98"/>
    </row>
    <row r="313">
      <c r="B313" s="98"/>
      <c r="C313" s="98"/>
      <c r="D313" s="98"/>
      <c r="E313" s="98"/>
      <c r="F313" s="98"/>
    </row>
    <row r="314">
      <c r="B314" s="98"/>
      <c r="C314" s="98"/>
      <c r="D314" s="98"/>
      <c r="E314" s="98"/>
      <c r="F314" s="98"/>
    </row>
    <row r="315">
      <c r="B315" s="98"/>
      <c r="C315" s="98"/>
      <c r="D315" s="98"/>
      <c r="E315" s="98"/>
      <c r="F315" s="98"/>
    </row>
    <row r="316">
      <c r="B316" s="98"/>
      <c r="C316" s="98"/>
      <c r="D316" s="98"/>
      <c r="E316" s="98"/>
      <c r="F316" s="98"/>
    </row>
    <row r="317">
      <c r="B317" s="98"/>
      <c r="C317" s="98"/>
      <c r="D317" s="98"/>
      <c r="E317" s="98"/>
      <c r="F317" s="98"/>
    </row>
    <row r="318">
      <c r="B318" s="98"/>
      <c r="C318" s="98"/>
      <c r="D318" s="98"/>
      <c r="E318" s="98"/>
      <c r="F318" s="98"/>
    </row>
    <row r="319">
      <c r="B319" s="98"/>
      <c r="C319" s="98"/>
      <c r="D319" s="98"/>
      <c r="E319" s="98"/>
      <c r="F319" s="98"/>
    </row>
    <row r="320">
      <c r="B320" s="98"/>
      <c r="C320" s="98"/>
      <c r="D320" s="98"/>
      <c r="E320" s="98"/>
      <c r="F320" s="98"/>
    </row>
    <row r="321">
      <c r="B321" s="98"/>
      <c r="C321" s="98"/>
      <c r="D321" s="98"/>
      <c r="E321" s="98"/>
      <c r="F321" s="98"/>
    </row>
    <row r="322">
      <c r="B322" s="98"/>
      <c r="C322" s="98"/>
      <c r="D322" s="98"/>
      <c r="E322" s="98"/>
      <c r="F322" s="98"/>
    </row>
    <row r="323">
      <c r="B323" s="98"/>
      <c r="C323" s="98"/>
      <c r="D323" s="98"/>
      <c r="E323" s="98"/>
      <c r="F323" s="98"/>
    </row>
    <row r="324">
      <c r="B324" s="98"/>
      <c r="C324" s="98"/>
      <c r="D324" s="98"/>
      <c r="E324" s="98"/>
      <c r="F324" s="98"/>
    </row>
    <row r="325">
      <c r="B325" s="98"/>
      <c r="C325" s="98"/>
      <c r="D325" s="98"/>
      <c r="E325" s="98"/>
      <c r="F325" s="98"/>
    </row>
    <row r="326">
      <c r="B326" s="98"/>
      <c r="C326" s="98"/>
      <c r="D326" s="98"/>
      <c r="E326" s="98"/>
      <c r="F326" s="98"/>
    </row>
    <row r="327">
      <c r="B327" s="98"/>
      <c r="C327" s="98"/>
      <c r="D327" s="98"/>
      <c r="E327" s="98"/>
      <c r="F327" s="98"/>
    </row>
    <row r="328">
      <c r="B328" s="98"/>
      <c r="C328" s="98"/>
      <c r="D328" s="98"/>
      <c r="E328" s="98"/>
      <c r="F328" s="98"/>
    </row>
    <row r="329">
      <c r="B329" s="98"/>
      <c r="C329" s="98"/>
      <c r="D329" s="98"/>
      <c r="E329" s="98"/>
      <c r="F329" s="98"/>
    </row>
    <row r="330">
      <c r="B330" s="98"/>
      <c r="C330" s="98"/>
      <c r="D330" s="98"/>
      <c r="E330" s="98"/>
      <c r="F330" s="98"/>
    </row>
    <row r="331">
      <c r="B331" s="98"/>
      <c r="C331" s="98"/>
      <c r="D331" s="98"/>
      <c r="E331" s="98"/>
      <c r="F331" s="98"/>
    </row>
    <row r="332">
      <c r="B332" s="98"/>
      <c r="C332" s="98"/>
      <c r="D332" s="98"/>
      <c r="E332" s="98"/>
      <c r="F332" s="98"/>
    </row>
    <row r="333">
      <c r="B333" s="98"/>
      <c r="C333" s="98"/>
      <c r="D333" s="98"/>
      <c r="E333" s="98"/>
      <c r="F333" s="98"/>
    </row>
    <row r="334">
      <c r="B334" s="98"/>
      <c r="C334" s="98"/>
      <c r="D334" s="98"/>
      <c r="E334" s="98"/>
      <c r="F334" s="98"/>
    </row>
    <row r="335">
      <c r="B335" s="98"/>
      <c r="C335" s="98"/>
      <c r="D335" s="98"/>
      <c r="E335" s="98"/>
      <c r="F335" s="98"/>
    </row>
    <row r="336">
      <c r="B336" s="98"/>
      <c r="C336" s="98"/>
      <c r="D336" s="98"/>
      <c r="E336" s="98"/>
      <c r="F336" s="98"/>
    </row>
    <row r="337">
      <c r="B337" s="98"/>
      <c r="C337" s="98"/>
      <c r="D337" s="98"/>
      <c r="E337" s="98"/>
      <c r="F337" s="98"/>
    </row>
    <row r="338">
      <c r="B338" s="98"/>
      <c r="C338" s="98"/>
      <c r="D338" s="98"/>
      <c r="E338" s="98"/>
      <c r="F338" s="98"/>
    </row>
    <row r="339">
      <c r="B339" s="98"/>
      <c r="C339" s="98"/>
      <c r="D339" s="98"/>
      <c r="E339" s="98"/>
      <c r="F339" s="98"/>
    </row>
    <row r="340">
      <c r="B340" s="98"/>
      <c r="C340" s="98"/>
      <c r="D340" s="98"/>
      <c r="E340" s="98"/>
      <c r="F340" s="98"/>
    </row>
    <row r="341">
      <c r="B341" s="98"/>
      <c r="C341" s="98"/>
      <c r="D341" s="98"/>
      <c r="E341" s="98"/>
      <c r="F341" s="98"/>
    </row>
    <row r="342">
      <c r="B342" s="98"/>
      <c r="C342" s="98"/>
      <c r="D342" s="98"/>
      <c r="E342" s="98"/>
      <c r="F342" s="98"/>
    </row>
    <row r="343">
      <c r="B343" s="98"/>
      <c r="C343" s="98"/>
      <c r="D343" s="98"/>
      <c r="E343" s="98"/>
      <c r="F343" s="98"/>
    </row>
    <row r="344">
      <c r="B344" s="98"/>
      <c r="C344" s="98"/>
      <c r="D344" s="98"/>
      <c r="E344" s="98"/>
      <c r="F344" s="98"/>
    </row>
    <row r="345">
      <c r="B345" s="98"/>
      <c r="C345" s="98"/>
      <c r="D345" s="98"/>
      <c r="E345" s="98"/>
      <c r="F345" s="98"/>
    </row>
    <row r="346">
      <c r="B346" s="98"/>
      <c r="C346" s="98"/>
      <c r="D346" s="98"/>
      <c r="E346" s="98"/>
      <c r="F346" s="98"/>
    </row>
    <row r="347">
      <c r="B347" s="98"/>
      <c r="C347" s="98"/>
      <c r="D347" s="98"/>
      <c r="E347" s="98"/>
      <c r="F347" s="98"/>
    </row>
    <row r="348">
      <c r="B348" s="98"/>
      <c r="C348" s="98"/>
      <c r="D348" s="98"/>
      <c r="E348" s="98"/>
      <c r="F348" s="98"/>
    </row>
    <row r="349">
      <c r="B349" s="98"/>
      <c r="C349" s="98"/>
      <c r="D349" s="98"/>
      <c r="E349" s="98"/>
      <c r="F349" s="98"/>
    </row>
    <row r="350">
      <c r="B350" s="98"/>
      <c r="C350" s="98"/>
      <c r="D350" s="98"/>
      <c r="E350" s="98"/>
      <c r="F350" s="98"/>
    </row>
    <row r="351">
      <c r="B351" s="98"/>
      <c r="C351" s="98"/>
      <c r="D351" s="98"/>
      <c r="E351" s="98"/>
      <c r="F351" s="98"/>
    </row>
    <row r="352">
      <c r="B352" s="98"/>
      <c r="C352" s="98"/>
      <c r="D352" s="98"/>
      <c r="E352" s="98"/>
      <c r="F352" s="98"/>
    </row>
    <row r="353">
      <c r="B353" s="98"/>
      <c r="C353" s="98"/>
      <c r="D353" s="98"/>
      <c r="E353" s="98"/>
      <c r="F353" s="98"/>
    </row>
    <row r="354">
      <c r="B354" s="98"/>
      <c r="C354" s="98"/>
      <c r="D354" s="98"/>
      <c r="E354" s="98"/>
      <c r="F354" s="98"/>
    </row>
    <row r="355">
      <c r="B355" s="98"/>
      <c r="C355" s="98"/>
      <c r="D355" s="98"/>
      <c r="E355" s="98"/>
      <c r="F355" s="98"/>
    </row>
    <row r="356">
      <c r="B356" s="98"/>
      <c r="C356" s="98"/>
      <c r="D356" s="98"/>
      <c r="E356" s="98"/>
      <c r="F356" s="98"/>
    </row>
    <row r="357">
      <c r="B357" s="98"/>
      <c r="C357" s="98"/>
      <c r="D357" s="98"/>
      <c r="E357" s="98"/>
      <c r="F357" s="98"/>
    </row>
    <row r="358">
      <c r="B358" s="98"/>
      <c r="C358" s="98"/>
      <c r="D358" s="98"/>
      <c r="E358" s="98"/>
      <c r="F358" s="98"/>
    </row>
    <row r="359">
      <c r="B359" s="98"/>
      <c r="C359" s="98"/>
      <c r="D359" s="98"/>
      <c r="E359" s="98"/>
      <c r="F359" s="98"/>
    </row>
    <row r="360">
      <c r="B360" s="98"/>
      <c r="C360" s="98"/>
      <c r="D360" s="98"/>
      <c r="E360" s="98"/>
      <c r="F360" s="98"/>
    </row>
    <row r="361">
      <c r="B361" s="98"/>
      <c r="C361" s="98"/>
      <c r="D361" s="98"/>
      <c r="E361" s="98"/>
      <c r="F361" s="98"/>
    </row>
    <row r="362">
      <c r="B362" s="98"/>
      <c r="C362" s="98"/>
      <c r="D362" s="98"/>
      <c r="E362" s="98"/>
      <c r="F362" s="98"/>
    </row>
    <row r="363">
      <c r="B363" s="98"/>
      <c r="C363" s="98"/>
      <c r="D363" s="98"/>
      <c r="E363" s="98"/>
      <c r="F363" s="98"/>
    </row>
    <row r="364">
      <c r="B364" s="98"/>
      <c r="C364" s="98"/>
      <c r="D364" s="98"/>
      <c r="E364" s="98"/>
      <c r="F364" s="98"/>
    </row>
    <row r="365">
      <c r="B365" s="98"/>
      <c r="C365" s="98"/>
      <c r="D365" s="98"/>
      <c r="E365" s="98"/>
      <c r="F365" s="98"/>
    </row>
    <row r="366">
      <c r="B366" s="98"/>
      <c r="C366" s="98"/>
      <c r="D366" s="98"/>
      <c r="E366" s="98"/>
      <c r="F366" s="98"/>
    </row>
    <row r="367">
      <c r="B367" s="98"/>
      <c r="C367" s="98"/>
      <c r="D367" s="98"/>
      <c r="E367" s="98"/>
      <c r="F367" s="98"/>
    </row>
    <row r="368">
      <c r="B368" s="98"/>
      <c r="C368" s="98"/>
      <c r="D368" s="98"/>
      <c r="E368" s="98"/>
      <c r="F368" s="98"/>
    </row>
    <row r="369">
      <c r="B369" s="98"/>
      <c r="C369" s="98"/>
      <c r="D369" s="98"/>
      <c r="E369" s="98"/>
      <c r="F369" s="98"/>
    </row>
    <row r="370">
      <c r="B370" s="98"/>
      <c r="C370" s="98"/>
      <c r="D370" s="98"/>
      <c r="E370" s="98"/>
      <c r="F370" s="98"/>
    </row>
    <row r="371">
      <c r="B371" s="98"/>
      <c r="C371" s="98"/>
      <c r="D371" s="98"/>
      <c r="E371" s="98"/>
      <c r="F371" s="98"/>
    </row>
    <row r="372">
      <c r="B372" s="98"/>
      <c r="C372" s="98"/>
      <c r="D372" s="98"/>
      <c r="E372" s="98"/>
      <c r="F372" s="98"/>
    </row>
    <row r="373">
      <c r="B373" s="98"/>
      <c r="C373" s="98"/>
      <c r="D373" s="98"/>
      <c r="E373" s="98"/>
      <c r="F373" s="98"/>
    </row>
    <row r="374">
      <c r="B374" s="98"/>
      <c r="C374" s="98"/>
      <c r="D374" s="98"/>
      <c r="E374" s="98"/>
      <c r="F374" s="98"/>
    </row>
    <row r="375">
      <c r="B375" s="98"/>
      <c r="C375" s="98"/>
      <c r="D375" s="98"/>
      <c r="E375" s="98"/>
      <c r="F375" s="98"/>
    </row>
    <row r="376">
      <c r="B376" s="98"/>
      <c r="C376" s="98"/>
      <c r="D376" s="98"/>
      <c r="E376" s="98"/>
      <c r="F376" s="98"/>
    </row>
    <row r="377">
      <c r="B377" s="98"/>
      <c r="C377" s="98"/>
      <c r="D377" s="98"/>
      <c r="E377" s="98"/>
      <c r="F377" s="98"/>
    </row>
    <row r="378">
      <c r="B378" s="98"/>
      <c r="C378" s="98"/>
      <c r="D378" s="98"/>
      <c r="E378" s="98"/>
      <c r="F378" s="98"/>
    </row>
    <row r="379">
      <c r="B379" s="98"/>
      <c r="C379" s="98"/>
      <c r="D379" s="98"/>
      <c r="E379" s="98"/>
      <c r="F379" s="98"/>
    </row>
    <row r="380">
      <c r="B380" s="98"/>
      <c r="C380" s="98"/>
      <c r="D380" s="98"/>
      <c r="E380" s="98"/>
      <c r="F380" s="98"/>
    </row>
    <row r="381">
      <c r="B381" s="98"/>
      <c r="C381" s="98"/>
      <c r="D381" s="98"/>
      <c r="E381" s="98"/>
      <c r="F381" s="98"/>
    </row>
    <row r="382">
      <c r="B382" s="98"/>
      <c r="C382" s="98"/>
      <c r="D382" s="98"/>
      <c r="E382" s="98"/>
      <c r="F382" s="98"/>
    </row>
    <row r="383">
      <c r="B383" s="98"/>
      <c r="C383" s="98"/>
      <c r="D383" s="98"/>
      <c r="E383" s="98"/>
      <c r="F383" s="98"/>
    </row>
    <row r="384">
      <c r="B384" s="98"/>
      <c r="C384" s="98"/>
      <c r="D384" s="98"/>
      <c r="E384" s="98"/>
      <c r="F384" s="98"/>
    </row>
    <row r="385">
      <c r="B385" s="98"/>
      <c r="C385" s="98"/>
      <c r="D385" s="98"/>
      <c r="E385" s="98"/>
      <c r="F385" s="98"/>
    </row>
    <row r="386">
      <c r="B386" s="98"/>
      <c r="C386" s="98"/>
      <c r="D386" s="98"/>
      <c r="E386" s="98"/>
      <c r="F386" s="98"/>
    </row>
    <row r="387">
      <c r="B387" s="98"/>
      <c r="C387" s="98"/>
      <c r="D387" s="98"/>
      <c r="E387" s="98"/>
      <c r="F387" s="98"/>
    </row>
    <row r="388">
      <c r="B388" s="98"/>
      <c r="C388" s="98"/>
      <c r="D388" s="98"/>
      <c r="E388" s="98"/>
      <c r="F388" s="98"/>
    </row>
    <row r="389">
      <c r="B389" s="98"/>
      <c r="C389" s="98"/>
      <c r="D389" s="98"/>
      <c r="E389" s="98"/>
      <c r="F389" s="98"/>
    </row>
    <row r="390">
      <c r="B390" s="98"/>
      <c r="C390" s="98"/>
      <c r="D390" s="98"/>
      <c r="E390" s="98"/>
      <c r="F390" s="98"/>
    </row>
    <row r="391">
      <c r="B391" s="98"/>
      <c r="C391" s="98"/>
      <c r="D391" s="98"/>
      <c r="E391" s="98"/>
      <c r="F391" s="98"/>
    </row>
    <row r="392">
      <c r="B392" s="98"/>
      <c r="C392" s="98"/>
      <c r="D392" s="98"/>
      <c r="E392" s="98"/>
      <c r="F392" s="98"/>
    </row>
    <row r="393">
      <c r="B393" s="98"/>
      <c r="C393" s="98"/>
      <c r="D393" s="98"/>
      <c r="E393" s="98"/>
      <c r="F393" s="98"/>
    </row>
    <row r="394">
      <c r="B394" s="98"/>
      <c r="C394" s="98"/>
      <c r="D394" s="98"/>
      <c r="E394" s="98"/>
      <c r="F394" s="98"/>
    </row>
    <row r="395">
      <c r="B395" s="98"/>
      <c r="C395" s="98"/>
      <c r="D395" s="98"/>
      <c r="E395" s="98"/>
      <c r="F395" s="98"/>
    </row>
    <row r="396">
      <c r="B396" s="98"/>
      <c r="C396" s="98"/>
      <c r="D396" s="98"/>
      <c r="E396" s="98"/>
      <c r="F396" s="98"/>
    </row>
    <row r="397">
      <c r="B397" s="98"/>
      <c r="C397" s="98"/>
      <c r="D397" s="98"/>
      <c r="E397" s="98"/>
      <c r="F397" s="98"/>
    </row>
    <row r="398">
      <c r="B398" s="98"/>
      <c r="C398" s="98"/>
      <c r="D398" s="98"/>
      <c r="E398" s="98"/>
      <c r="F398" s="98"/>
    </row>
    <row r="399">
      <c r="B399" s="98"/>
      <c r="C399" s="98"/>
      <c r="D399" s="98"/>
      <c r="E399" s="98"/>
      <c r="F399" s="98"/>
    </row>
    <row r="400">
      <c r="B400" s="98"/>
      <c r="C400" s="98"/>
      <c r="D400" s="98"/>
      <c r="E400" s="98"/>
      <c r="F400" s="98"/>
    </row>
    <row r="401">
      <c r="B401" s="98"/>
      <c r="C401" s="98"/>
      <c r="D401" s="98"/>
      <c r="E401" s="98"/>
      <c r="F401" s="98"/>
    </row>
    <row r="402">
      <c r="B402" s="98"/>
      <c r="C402" s="98"/>
      <c r="D402" s="98"/>
      <c r="E402" s="98"/>
      <c r="F402" s="98"/>
    </row>
    <row r="403">
      <c r="B403" s="98"/>
      <c r="C403" s="98"/>
      <c r="D403" s="98"/>
      <c r="E403" s="98"/>
      <c r="F403" s="98"/>
    </row>
    <row r="404">
      <c r="B404" s="98"/>
      <c r="C404" s="98"/>
      <c r="D404" s="98"/>
      <c r="E404" s="98"/>
      <c r="F404" s="98"/>
    </row>
    <row r="405">
      <c r="B405" s="98"/>
      <c r="C405" s="98"/>
      <c r="D405" s="98"/>
      <c r="E405" s="98"/>
      <c r="F405" s="98"/>
    </row>
    <row r="406">
      <c r="B406" s="98"/>
      <c r="C406" s="98"/>
      <c r="D406" s="98"/>
      <c r="E406" s="98"/>
      <c r="F406" s="98"/>
    </row>
    <row r="407">
      <c r="B407" s="98"/>
      <c r="C407" s="98"/>
      <c r="D407" s="98"/>
      <c r="E407" s="98"/>
      <c r="F407" s="98"/>
    </row>
    <row r="408">
      <c r="B408" s="98"/>
      <c r="C408" s="98"/>
      <c r="D408" s="98"/>
      <c r="E408" s="98"/>
      <c r="F408" s="98"/>
    </row>
    <row r="409">
      <c r="B409" s="98"/>
      <c r="C409" s="98"/>
      <c r="D409" s="98"/>
      <c r="E409" s="98"/>
      <c r="F409" s="98"/>
    </row>
    <row r="410">
      <c r="B410" s="98"/>
      <c r="C410" s="98"/>
      <c r="D410" s="98"/>
      <c r="E410" s="98"/>
      <c r="F410" s="98"/>
    </row>
    <row r="411">
      <c r="B411" s="98"/>
      <c r="C411" s="98"/>
      <c r="D411" s="98"/>
      <c r="E411" s="98"/>
      <c r="F411" s="98"/>
    </row>
    <row r="412">
      <c r="B412" s="98"/>
      <c r="C412" s="98"/>
      <c r="D412" s="98"/>
      <c r="E412" s="98"/>
      <c r="F412" s="98"/>
    </row>
    <row r="413">
      <c r="B413" s="98"/>
      <c r="C413" s="98"/>
      <c r="D413" s="98"/>
      <c r="E413" s="98"/>
      <c r="F413" s="98"/>
    </row>
    <row r="414">
      <c r="B414" s="98"/>
      <c r="C414" s="98"/>
      <c r="D414" s="98"/>
      <c r="E414" s="98"/>
      <c r="F414" s="98"/>
    </row>
    <row r="415">
      <c r="B415" s="98"/>
      <c r="C415" s="98"/>
      <c r="D415" s="98"/>
      <c r="E415" s="98"/>
      <c r="F415" s="98"/>
    </row>
    <row r="416">
      <c r="B416" s="98"/>
      <c r="C416" s="98"/>
      <c r="D416" s="98"/>
      <c r="E416" s="98"/>
      <c r="F416" s="98"/>
    </row>
    <row r="417">
      <c r="B417" s="98"/>
      <c r="C417" s="98"/>
      <c r="D417" s="98"/>
      <c r="E417" s="98"/>
      <c r="F417" s="98"/>
    </row>
    <row r="418">
      <c r="B418" s="98"/>
      <c r="C418" s="98"/>
      <c r="D418" s="98"/>
      <c r="E418" s="98"/>
      <c r="F418" s="98"/>
    </row>
    <row r="419">
      <c r="B419" s="98"/>
      <c r="C419" s="98"/>
      <c r="D419" s="98"/>
      <c r="E419" s="98"/>
      <c r="F419" s="98"/>
    </row>
    <row r="420">
      <c r="B420" s="98"/>
      <c r="C420" s="98"/>
      <c r="D420" s="98"/>
      <c r="E420" s="98"/>
      <c r="F420" s="98"/>
    </row>
    <row r="421">
      <c r="B421" s="98"/>
      <c r="C421" s="98"/>
      <c r="D421" s="98"/>
      <c r="E421" s="98"/>
      <c r="F421" s="98"/>
    </row>
    <row r="422">
      <c r="B422" s="98"/>
      <c r="C422" s="98"/>
      <c r="D422" s="98"/>
      <c r="E422" s="98"/>
      <c r="F422" s="98"/>
    </row>
    <row r="423">
      <c r="B423" s="98"/>
      <c r="C423" s="98"/>
      <c r="D423" s="98"/>
      <c r="E423" s="98"/>
      <c r="F423" s="98"/>
    </row>
    <row r="424">
      <c r="B424" s="98"/>
      <c r="C424" s="98"/>
      <c r="D424" s="98"/>
      <c r="E424" s="98"/>
      <c r="F424" s="98"/>
    </row>
    <row r="425">
      <c r="B425" s="98"/>
      <c r="C425" s="98"/>
      <c r="D425" s="98"/>
      <c r="E425" s="98"/>
      <c r="F425" s="98"/>
    </row>
    <row r="426">
      <c r="B426" s="98"/>
      <c r="C426" s="98"/>
      <c r="D426" s="98"/>
      <c r="E426" s="98"/>
      <c r="F426" s="98"/>
    </row>
    <row r="427">
      <c r="B427" s="98"/>
      <c r="C427" s="98"/>
      <c r="D427" s="98"/>
      <c r="E427" s="98"/>
      <c r="F427" s="98"/>
    </row>
    <row r="428">
      <c r="B428" s="98"/>
      <c r="C428" s="98"/>
      <c r="D428" s="98"/>
      <c r="E428" s="98"/>
      <c r="F428" s="98"/>
    </row>
    <row r="429">
      <c r="B429" s="98"/>
      <c r="C429" s="98"/>
      <c r="D429" s="98"/>
      <c r="E429" s="98"/>
      <c r="F429" s="98"/>
    </row>
    <row r="430">
      <c r="B430" s="98"/>
      <c r="C430" s="98"/>
      <c r="D430" s="98"/>
      <c r="E430" s="98"/>
      <c r="F430" s="98"/>
    </row>
    <row r="431">
      <c r="B431" s="98"/>
      <c r="C431" s="98"/>
      <c r="D431" s="98"/>
      <c r="E431" s="98"/>
      <c r="F431" s="98"/>
    </row>
    <row r="432">
      <c r="B432" s="98"/>
      <c r="C432" s="98"/>
      <c r="D432" s="98"/>
      <c r="E432" s="98"/>
      <c r="F432" s="98"/>
    </row>
    <row r="433">
      <c r="B433" s="98"/>
      <c r="C433" s="98"/>
      <c r="D433" s="98"/>
      <c r="E433" s="98"/>
      <c r="F433" s="98"/>
    </row>
    <row r="434">
      <c r="B434" s="98"/>
      <c r="C434" s="98"/>
      <c r="D434" s="98"/>
      <c r="E434" s="98"/>
      <c r="F434" s="98"/>
    </row>
    <row r="435">
      <c r="B435" s="98"/>
      <c r="C435" s="98"/>
      <c r="D435" s="98"/>
      <c r="E435" s="98"/>
      <c r="F435" s="98"/>
    </row>
    <row r="436">
      <c r="B436" s="98"/>
      <c r="C436" s="98"/>
      <c r="D436" s="98"/>
      <c r="E436" s="98"/>
      <c r="F436" s="98"/>
    </row>
    <row r="437">
      <c r="B437" s="98"/>
      <c r="C437" s="98"/>
      <c r="D437" s="98"/>
      <c r="E437" s="98"/>
      <c r="F437" s="98"/>
    </row>
    <row r="438">
      <c r="B438" s="98"/>
      <c r="C438" s="98"/>
      <c r="D438" s="98"/>
      <c r="E438" s="98"/>
      <c r="F438" s="98"/>
    </row>
    <row r="439">
      <c r="B439" s="98"/>
      <c r="C439" s="98"/>
      <c r="D439" s="98"/>
      <c r="E439" s="98"/>
      <c r="F439" s="98"/>
    </row>
    <row r="440">
      <c r="B440" s="98"/>
      <c r="C440" s="98"/>
      <c r="D440" s="98"/>
      <c r="E440" s="98"/>
      <c r="F440" s="98"/>
    </row>
    <row r="441">
      <c r="B441" s="98"/>
      <c r="C441" s="98"/>
      <c r="D441" s="98"/>
      <c r="E441" s="98"/>
      <c r="F441" s="98"/>
    </row>
    <row r="442">
      <c r="B442" s="98"/>
      <c r="C442" s="98"/>
      <c r="D442" s="98"/>
      <c r="E442" s="98"/>
      <c r="F442" s="98"/>
    </row>
    <row r="443">
      <c r="B443" s="98"/>
      <c r="C443" s="98"/>
      <c r="D443" s="98"/>
      <c r="E443" s="98"/>
      <c r="F443" s="98"/>
    </row>
    <row r="444">
      <c r="B444" s="98"/>
      <c r="C444" s="98"/>
      <c r="D444" s="98"/>
      <c r="E444" s="98"/>
      <c r="F444" s="98"/>
    </row>
    <row r="445">
      <c r="B445" s="98"/>
      <c r="C445" s="98"/>
      <c r="D445" s="98"/>
      <c r="E445" s="98"/>
      <c r="F445" s="98"/>
    </row>
    <row r="446">
      <c r="B446" s="98"/>
      <c r="C446" s="98"/>
      <c r="D446" s="98"/>
      <c r="E446" s="98"/>
      <c r="F446" s="98"/>
    </row>
    <row r="447">
      <c r="B447" s="98"/>
      <c r="C447" s="98"/>
      <c r="D447" s="98"/>
      <c r="E447" s="98"/>
      <c r="F447" s="98"/>
    </row>
    <row r="448">
      <c r="B448" s="98"/>
      <c r="C448" s="98"/>
      <c r="D448" s="98"/>
      <c r="E448" s="98"/>
      <c r="F448" s="98"/>
    </row>
    <row r="449">
      <c r="B449" s="98"/>
      <c r="C449" s="98"/>
      <c r="D449" s="98"/>
      <c r="E449" s="98"/>
      <c r="F449" s="98"/>
    </row>
    <row r="450">
      <c r="B450" s="98"/>
      <c r="C450" s="98"/>
      <c r="D450" s="98"/>
      <c r="E450" s="98"/>
      <c r="F450" s="98"/>
    </row>
    <row r="451">
      <c r="B451" s="98"/>
      <c r="C451" s="98"/>
      <c r="D451" s="98"/>
      <c r="E451" s="98"/>
      <c r="F451" s="98"/>
    </row>
    <row r="452">
      <c r="B452" s="98"/>
      <c r="C452" s="98"/>
      <c r="D452" s="98"/>
      <c r="E452" s="98"/>
      <c r="F452" s="98"/>
    </row>
    <row r="453">
      <c r="B453" s="98"/>
      <c r="C453" s="98"/>
      <c r="D453" s="98"/>
      <c r="E453" s="98"/>
      <c r="F453" s="98"/>
    </row>
    <row r="454">
      <c r="B454" s="98"/>
      <c r="C454" s="98"/>
      <c r="D454" s="98"/>
      <c r="E454" s="98"/>
      <c r="F454" s="98"/>
    </row>
    <row r="455">
      <c r="B455" s="98"/>
      <c r="C455" s="98"/>
      <c r="D455" s="98"/>
      <c r="E455" s="98"/>
      <c r="F455" s="98"/>
    </row>
    <row r="456">
      <c r="B456" s="98"/>
      <c r="C456" s="98"/>
      <c r="D456" s="98"/>
      <c r="E456" s="98"/>
      <c r="F456" s="98"/>
    </row>
    <row r="457">
      <c r="B457" s="98"/>
      <c r="C457" s="98"/>
      <c r="D457" s="98"/>
      <c r="E457" s="98"/>
      <c r="F457" s="98"/>
    </row>
    <row r="458">
      <c r="B458" s="98"/>
      <c r="C458" s="98"/>
      <c r="D458" s="98"/>
      <c r="E458" s="98"/>
      <c r="F458" s="98"/>
    </row>
    <row r="459">
      <c r="B459" s="98"/>
      <c r="C459" s="98"/>
      <c r="D459" s="98"/>
      <c r="E459" s="98"/>
      <c r="F459" s="98"/>
    </row>
    <row r="460">
      <c r="B460" s="98"/>
      <c r="C460" s="98"/>
      <c r="D460" s="98"/>
      <c r="E460" s="98"/>
      <c r="F460" s="98"/>
    </row>
    <row r="461">
      <c r="B461" s="98"/>
      <c r="C461" s="98"/>
      <c r="D461" s="98"/>
      <c r="E461" s="98"/>
      <c r="F461" s="98"/>
    </row>
    <row r="462">
      <c r="B462" s="98"/>
      <c r="C462" s="98"/>
      <c r="D462" s="98"/>
      <c r="E462" s="98"/>
      <c r="F462" s="98"/>
    </row>
    <row r="463">
      <c r="B463" s="98"/>
      <c r="C463" s="98"/>
      <c r="D463" s="98"/>
      <c r="E463" s="98"/>
      <c r="F463" s="98"/>
    </row>
    <row r="464">
      <c r="B464" s="98"/>
      <c r="C464" s="98"/>
      <c r="D464" s="98"/>
      <c r="E464" s="98"/>
      <c r="F464" s="98"/>
    </row>
    <row r="465">
      <c r="B465" s="98"/>
      <c r="C465" s="98"/>
      <c r="D465" s="98"/>
      <c r="E465" s="98"/>
      <c r="F465" s="98"/>
    </row>
    <row r="466">
      <c r="B466" s="98"/>
      <c r="C466" s="98"/>
      <c r="D466" s="98"/>
      <c r="E466" s="98"/>
      <c r="F466" s="98"/>
    </row>
    <row r="467">
      <c r="B467" s="98"/>
      <c r="C467" s="98"/>
      <c r="D467" s="98"/>
      <c r="E467" s="98"/>
      <c r="F467" s="98"/>
    </row>
    <row r="468">
      <c r="B468" s="98"/>
      <c r="C468" s="98"/>
      <c r="D468" s="98"/>
      <c r="E468" s="98"/>
      <c r="F468" s="98"/>
    </row>
    <row r="469">
      <c r="B469" s="98"/>
      <c r="C469" s="98"/>
      <c r="D469" s="98"/>
      <c r="E469" s="98"/>
      <c r="F469" s="98"/>
    </row>
    <row r="470">
      <c r="B470" s="98"/>
      <c r="C470" s="98"/>
      <c r="D470" s="98"/>
      <c r="E470" s="98"/>
      <c r="F470" s="98"/>
    </row>
    <row r="471">
      <c r="B471" s="98"/>
      <c r="C471" s="98"/>
      <c r="D471" s="98"/>
      <c r="E471" s="98"/>
      <c r="F471" s="98"/>
    </row>
    <row r="472">
      <c r="B472" s="98"/>
      <c r="C472" s="98"/>
      <c r="D472" s="98"/>
      <c r="E472" s="98"/>
      <c r="F472" s="98"/>
    </row>
    <row r="473">
      <c r="B473" s="98"/>
      <c r="C473" s="98"/>
      <c r="D473" s="98"/>
      <c r="E473" s="98"/>
      <c r="F473" s="98"/>
    </row>
    <row r="474">
      <c r="B474" s="98"/>
      <c r="C474" s="98"/>
      <c r="D474" s="98"/>
      <c r="E474" s="98"/>
      <c r="F474" s="98"/>
    </row>
    <row r="475">
      <c r="B475" s="98"/>
      <c r="C475" s="98"/>
      <c r="D475" s="98"/>
      <c r="E475" s="98"/>
      <c r="F475" s="98"/>
    </row>
    <row r="476">
      <c r="B476" s="98"/>
      <c r="C476" s="98"/>
      <c r="D476" s="98"/>
      <c r="E476" s="98"/>
      <c r="F476" s="98"/>
    </row>
    <row r="477">
      <c r="B477" s="98"/>
      <c r="C477" s="98"/>
      <c r="D477" s="98"/>
      <c r="E477" s="98"/>
      <c r="F477" s="98"/>
    </row>
    <row r="478">
      <c r="B478" s="98"/>
      <c r="C478" s="98"/>
      <c r="D478" s="98"/>
      <c r="E478" s="98"/>
      <c r="F478" s="98"/>
    </row>
    <row r="479">
      <c r="B479" s="98"/>
      <c r="C479" s="98"/>
      <c r="D479" s="98"/>
      <c r="E479" s="98"/>
      <c r="F479" s="98"/>
    </row>
    <row r="480">
      <c r="B480" s="98"/>
      <c r="C480" s="98"/>
      <c r="D480" s="98"/>
      <c r="E480" s="98"/>
      <c r="F480" s="98"/>
    </row>
    <row r="481">
      <c r="B481" s="98"/>
      <c r="C481" s="98"/>
      <c r="D481" s="98"/>
      <c r="E481" s="98"/>
      <c r="F481" s="98"/>
    </row>
    <row r="482">
      <c r="B482" s="98"/>
      <c r="C482" s="98"/>
      <c r="D482" s="98"/>
      <c r="E482" s="98"/>
      <c r="F482" s="98"/>
    </row>
    <row r="483">
      <c r="B483" s="98"/>
      <c r="C483" s="98"/>
      <c r="D483" s="98"/>
      <c r="E483" s="98"/>
      <c r="F483" s="98"/>
    </row>
    <row r="484">
      <c r="B484" s="98"/>
      <c r="C484" s="98"/>
      <c r="D484" s="98"/>
      <c r="E484" s="98"/>
      <c r="F484" s="98"/>
    </row>
    <row r="485">
      <c r="B485" s="98"/>
      <c r="C485" s="98"/>
      <c r="D485" s="98"/>
      <c r="E485" s="98"/>
      <c r="F485" s="98"/>
    </row>
    <row r="486">
      <c r="B486" s="98"/>
      <c r="C486" s="98"/>
      <c r="D486" s="98"/>
      <c r="E486" s="98"/>
      <c r="F486" s="98"/>
    </row>
    <row r="487">
      <c r="B487" s="98"/>
      <c r="C487" s="98"/>
      <c r="D487" s="98"/>
      <c r="E487" s="98"/>
      <c r="F487" s="98"/>
    </row>
    <row r="488">
      <c r="B488" s="98"/>
      <c r="C488" s="98"/>
      <c r="D488" s="98"/>
      <c r="E488" s="98"/>
      <c r="F488" s="98"/>
    </row>
    <row r="489">
      <c r="B489" s="98"/>
      <c r="C489" s="98"/>
      <c r="D489" s="98"/>
      <c r="E489" s="98"/>
      <c r="F489" s="98"/>
    </row>
    <row r="490">
      <c r="B490" s="98"/>
      <c r="C490" s="98"/>
      <c r="D490" s="98"/>
      <c r="E490" s="98"/>
      <c r="F490" s="98"/>
    </row>
    <row r="491">
      <c r="B491" s="98"/>
      <c r="C491" s="98"/>
      <c r="D491" s="98"/>
      <c r="E491" s="98"/>
      <c r="F491" s="98"/>
    </row>
    <row r="492">
      <c r="B492" s="98"/>
      <c r="C492" s="98"/>
      <c r="D492" s="98"/>
      <c r="E492" s="98"/>
      <c r="F492" s="98"/>
    </row>
    <row r="493">
      <c r="B493" s="98"/>
      <c r="C493" s="98"/>
      <c r="D493" s="98"/>
      <c r="E493" s="98"/>
      <c r="F493" s="98"/>
    </row>
    <row r="494">
      <c r="B494" s="98"/>
      <c r="C494" s="98"/>
      <c r="D494" s="98"/>
      <c r="E494" s="98"/>
      <c r="F494" s="98"/>
    </row>
    <row r="495">
      <c r="B495" s="98"/>
      <c r="C495" s="98"/>
      <c r="D495" s="98"/>
      <c r="E495" s="98"/>
      <c r="F495" s="98"/>
    </row>
    <row r="496">
      <c r="B496" s="98"/>
      <c r="C496" s="98"/>
      <c r="D496" s="98"/>
      <c r="E496" s="98"/>
      <c r="F496" s="98"/>
    </row>
    <row r="497">
      <c r="B497" s="98"/>
      <c r="C497" s="98"/>
      <c r="D497" s="98"/>
      <c r="E497" s="98"/>
      <c r="F497" s="98"/>
    </row>
    <row r="498">
      <c r="B498" s="98"/>
      <c r="C498" s="98"/>
      <c r="D498" s="98"/>
      <c r="E498" s="98"/>
      <c r="F498" s="98"/>
    </row>
    <row r="499">
      <c r="B499" s="98"/>
      <c r="C499" s="98"/>
      <c r="D499" s="98"/>
      <c r="E499" s="98"/>
      <c r="F499" s="98"/>
    </row>
    <row r="500">
      <c r="B500" s="98"/>
      <c r="C500" s="98"/>
      <c r="D500" s="98"/>
      <c r="E500" s="98"/>
      <c r="F500" s="98"/>
    </row>
    <row r="501">
      <c r="B501" s="98"/>
      <c r="C501" s="98"/>
      <c r="D501" s="98"/>
      <c r="E501" s="98"/>
      <c r="F501" s="98"/>
    </row>
    <row r="502">
      <c r="B502" s="98"/>
      <c r="C502" s="98"/>
      <c r="D502" s="98"/>
      <c r="E502" s="98"/>
      <c r="F502" s="98"/>
    </row>
    <row r="503">
      <c r="B503" s="98"/>
      <c r="C503" s="98"/>
      <c r="D503" s="98"/>
      <c r="E503" s="98"/>
      <c r="F503" s="98"/>
    </row>
    <row r="504">
      <c r="B504" s="98"/>
      <c r="C504" s="98"/>
      <c r="D504" s="98"/>
      <c r="E504" s="98"/>
      <c r="F504" s="98"/>
    </row>
    <row r="505">
      <c r="B505" s="98"/>
      <c r="C505" s="98"/>
      <c r="D505" s="98"/>
      <c r="E505" s="98"/>
      <c r="F505" s="98"/>
    </row>
    <row r="506">
      <c r="B506" s="98"/>
      <c r="C506" s="98"/>
      <c r="D506" s="98"/>
      <c r="E506" s="98"/>
      <c r="F506" s="98"/>
    </row>
    <row r="507">
      <c r="B507" s="98"/>
      <c r="C507" s="98"/>
      <c r="D507" s="98"/>
      <c r="E507" s="98"/>
      <c r="F507" s="98"/>
    </row>
    <row r="508">
      <c r="B508" s="98"/>
      <c r="C508" s="98"/>
      <c r="D508" s="98"/>
      <c r="E508" s="98"/>
      <c r="F508" s="98"/>
    </row>
    <row r="509">
      <c r="B509" s="98"/>
      <c r="C509" s="98"/>
      <c r="D509" s="98"/>
      <c r="E509" s="98"/>
      <c r="F509" s="98"/>
    </row>
    <row r="510">
      <c r="B510" s="98"/>
      <c r="C510" s="98"/>
      <c r="D510" s="98"/>
      <c r="E510" s="98"/>
      <c r="F510" s="98"/>
    </row>
    <row r="511">
      <c r="B511" s="98"/>
      <c r="C511" s="98"/>
      <c r="D511" s="98"/>
      <c r="E511" s="98"/>
      <c r="F511" s="98"/>
    </row>
    <row r="512">
      <c r="B512" s="98"/>
      <c r="C512" s="98"/>
      <c r="D512" s="98"/>
      <c r="E512" s="98"/>
      <c r="F512" s="98"/>
    </row>
    <row r="513">
      <c r="B513" s="98"/>
      <c r="C513" s="98"/>
      <c r="D513" s="98"/>
      <c r="E513" s="98"/>
      <c r="F513" s="98"/>
    </row>
    <row r="514">
      <c r="B514" s="98"/>
      <c r="C514" s="98"/>
      <c r="D514" s="98"/>
      <c r="E514" s="98"/>
      <c r="F514" s="98"/>
    </row>
    <row r="515">
      <c r="B515" s="98"/>
      <c r="C515" s="98"/>
      <c r="D515" s="98"/>
      <c r="E515" s="98"/>
      <c r="F515" s="98"/>
    </row>
    <row r="516">
      <c r="B516" s="98"/>
      <c r="C516" s="98"/>
      <c r="D516" s="98"/>
      <c r="E516" s="98"/>
      <c r="F516" s="98"/>
    </row>
    <row r="517">
      <c r="B517" s="98"/>
      <c r="C517" s="98"/>
      <c r="D517" s="98"/>
      <c r="E517" s="98"/>
      <c r="F517" s="98"/>
    </row>
    <row r="518">
      <c r="B518" s="98"/>
      <c r="C518" s="98"/>
      <c r="D518" s="98"/>
      <c r="E518" s="98"/>
      <c r="F518" s="98"/>
    </row>
    <row r="519">
      <c r="B519" s="98"/>
      <c r="C519" s="98"/>
      <c r="D519" s="98"/>
      <c r="E519" s="98"/>
      <c r="F519" s="98"/>
    </row>
    <row r="520">
      <c r="B520" s="98"/>
      <c r="C520" s="98"/>
      <c r="D520" s="98"/>
      <c r="E520" s="98"/>
      <c r="F520" s="98"/>
    </row>
    <row r="521">
      <c r="B521" s="98"/>
      <c r="C521" s="98"/>
      <c r="D521" s="98"/>
      <c r="E521" s="98"/>
      <c r="F521" s="98"/>
    </row>
    <row r="522">
      <c r="B522" s="98"/>
      <c r="C522" s="98"/>
      <c r="D522" s="98"/>
      <c r="E522" s="98"/>
      <c r="F522" s="98"/>
    </row>
    <row r="523">
      <c r="B523" s="98"/>
      <c r="C523" s="98"/>
      <c r="D523" s="98"/>
      <c r="E523" s="98"/>
      <c r="F523" s="98"/>
    </row>
    <row r="524">
      <c r="B524" s="98"/>
      <c r="C524" s="98"/>
      <c r="D524" s="98"/>
      <c r="E524" s="98"/>
      <c r="F524" s="98"/>
    </row>
    <row r="525">
      <c r="B525" s="98"/>
      <c r="C525" s="98"/>
      <c r="D525" s="98"/>
      <c r="E525" s="98"/>
      <c r="F525" s="98"/>
    </row>
    <row r="526">
      <c r="B526" s="98"/>
      <c r="C526" s="98"/>
      <c r="D526" s="98"/>
      <c r="E526" s="98"/>
      <c r="F526" s="98"/>
    </row>
    <row r="527">
      <c r="B527" s="98"/>
      <c r="C527" s="98"/>
      <c r="D527" s="98"/>
      <c r="E527" s="98"/>
      <c r="F527" s="98"/>
    </row>
    <row r="528">
      <c r="B528" s="98"/>
      <c r="C528" s="98"/>
      <c r="D528" s="98"/>
      <c r="E528" s="98"/>
      <c r="F528" s="98"/>
    </row>
    <row r="529">
      <c r="B529" s="98"/>
      <c r="C529" s="98"/>
      <c r="D529" s="98"/>
      <c r="E529" s="98"/>
      <c r="F529" s="98"/>
    </row>
    <row r="530">
      <c r="B530" s="98"/>
      <c r="C530" s="98"/>
      <c r="D530" s="98"/>
      <c r="E530" s="98"/>
      <c r="F530" s="98"/>
    </row>
    <row r="531">
      <c r="B531" s="98"/>
      <c r="C531" s="98"/>
      <c r="D531" s="98"/>
      <c r="E531" s="98"/>
      <c r="F531" s="98"/>
    </row>
    <row r="532">
      <c r="B532" s="98"/>
      <c r="C532" s="98"/>
      <c r="D532" s="98"/>
      <c r="E532" s="98"/>
      <c r="F532" s="98"/>
    </row>
    <row r="533">
      <c r="B533" s="98"/>
      <c r="C533" s="98"/>
      <c r="D533" s="98"/>
      <c r="E533" s="98"/>
      <c r="F533" s="98"/>
    </row>
    <row r="534">
      <c r="B534" s="98"/>
      <c r="C534" s="98"/>
      <c r="D534" s="98"/>
      <c r="E534" s="98"/>
      <c r="F534" s="98"/>
    </row>
    <row r="535">
      <c r="B535" s="98"/>
      <c r="C535" s="98"/>
      <c r="D535" s="98"/>
      <c r="E535" s="98"/>
      <c r="F535" s="98"/>
    </row>
    <row r="536">
      <c r="B536" s="98"/>
      <c r="C536" s="98"/>
      <c r="D536" s="98"/>
      <c r="E536" s="98"/>
      <c r="F536" s="98"/>
    </row>
    <row r="537">
      <c r="B537" s="98"/>
      <c r="C537" s="98"/>
      <c r="D537" s="98"/>
      <c r="E537" s="98"/>
      <c r="F537" s="98"/>
    </row>
    <row r="538">
      <c r="B538" s="98"/>
      <c r="C538" s="98"/>
      <c r="D538" s="98"/>
      <c r="E538" s="98"/>
      <c r="F538" s="98"/>
    </row>
    <row r="539">
      <c r="B539" s="98"/>
      <c r="C539" s="98"/>
      <c r="D539" s="98"/>
      <c r="E539" s="98"/>
      <c r="F539" s="98"/>
    </row>
    <row r="540">
      <c r="B540" s="98"/>
      <c r="C540" s="98"/>
      <c r="D540" s="98"/>
      <c r="E540" s="98"/>
      <c r="F540" s="98"/>
    </row>
    <row r="541">
      <c r="B541" s="98"/>
      <c r="C541" s="98"/>
      <c r="D541" s="98"/>
      <c r="E541" s="98"/>
      <c r="F541" s="98"/>
    </row>
    <row r="542">
      <c r="B542" s="98"/>
      <c r="C542" s="98"/>
      <c r="D542" s="98"/>
      <c r="E542" s="98"/>
      <c r="F542" s="98"/>
    </row>
    <row r="543">
      <c r="B543" s="98"/>
      <c r="C543" s="98"/>
      <c r="D543" s="98"/>
      <c r="E543" s="98"/>
      <c r="F543" s="98"/>
    </row>
    <row r="544">
      <c r="B544" s="98"/>
      <c r="C544" s="98"/>
      <c r="D544" s="98"/>
      <c r="E544" s="98"/>
      <c r="F544" s="98"/>
    </row>
    <row r="545">
      <c r="B545" s="98"/>
      <c r="C545" s="98"/>
      <c r="D545" s="98"/>
      <c r="E545" s="98"/>
      <c r="F545" s="98"/>
    </row>
    <row r="546">
      <c r="B546" s="98"/>
      <c r="C546" s="98"/>
      <c r="D546" s="98"/>
      <c r="E546" s="98"/>
      <c r="F546" s="98"/>
    </row>
    <row r="547">
      <c r="B547" s="98"/>
      <c r="C547" s="98"/>
      <c r="D547" s="98"/>
      <c r="E547" s="98"/>
      <c r="F547" s="98"/>
    </row>
    <row r="548">
      <c r="B548" s="98"/>
      <c r="C548" s="98"/>
      <c r="D548" s="98"/>
      <c r="E548" s="98"/>
      <c r="F548" s="98"/>
    </row>
    <row r="549">
      <c r="B549" s="98"/>
      <c r="C549" s="98"/>
      <c r="D549" s="98"/>
      <c r="E549" s="98"/>
      <c r="F549" s="98"/>
    </row>
    <row r="550">
      <c r="B550" s="98"/>
      <c r="C550" s="98"/>
      <c r="D550" s="98"/>
      <c r="E550" s="98"/>
      <c r="F550" s="98"/>
    </row>
    <row r="551">
      <c r="B551" s="98"/>
      <c r="C551" s="98"/>
      <c r="D551" s="98"/>
      <c r="E551" s="98"/>
      <c r="F551" s="98"/>
    </row>
    <row r="552">
      <c r="B552" s="98"/>
      <c r="C552" s="98"/>
      <c r="D552" s="98"/>
      <c r="E552" s="98"/>
      <c r="F552" s="98"/>
    </row>
    <row r="553">
      <c r="B553" s="98"/>
      <c r="C553" s="98"/>
      <c r="D553" s="98"/>
      <c r="E553" s="98"/>
      <c r="F553" s="98"/>
    </row>
    <row r="554">
      <c r="B554" s="98"/>
      <c r="C554" s="98"/>
      <c r="D554" s="98"/>
      <c r="E554" s="98"/>
      <c r="F554" s="98"/>
    </row>
    <row r="555">
      <c r="B555" s="98"/>
      <c r="C555" s="98"/>
      <c r="D555" s="98"/>
      <c r="E555" s="98"/>
      <c r="F555" s="98"/>
    </row>
    <row r="556">
      <c r="B556" s="98"/>
      <c r="C556" s="98"/>
      <c r="D556" s="98"/>
      <c r="E556" s="98"/>
      <c r="F556" s="98"/>
    </row>
    <row r="557">
      <c r="B557" s="98"/>
      <c r="C557" s="98"/>
      <c r="D557" s="98"/>
      <c r="E557" s="98"/>
      <c r="F557" s="98"/>
    </row>
    <row r="558">
      <c r="B558" s="98"/>
      <c r="C558" s="98"/>
      <c r="D558" s="98"/>
      <c r="E558" s="98"/>
      <c r="F558" s="98"/>
    </row>
    <row r="559">
      <c r="B559" s="98"/>
      <c r="C559" s="98"/>
      <c r="D559" s="98"/>
      <c r="E559" s="98"/>
      <c r="F559" s="98"/>
    </row>
    <row r="560">
      <c r="B560" s="98"/>
      <c r="C560" s="98"/>
      <c r="D560" s="98"/>
      <c r="E560" s="98"/>
      <c r="F560" s="98"/>
    </row>
    <row r="561">
      <c r="B561" s="98"/>
      <c r="C561" s="98"/>
      <c r="D561" s="98"/>
      <c r="E561" s="98"/>
      <c r="F561" s="98"/>
    </row>
    <row r="562">
      <c r="B562" s="98"/>
      <c r="C562" s="98"/>
      <c r="D562" s="98"/>
      <c r="E562" s="98"/>
      <c r="F562" s="98"/>
    </row>
    <row r="563">
      <c r="B563" s="98"/>
      <c r="C563" s="98"/>
      <c r="D563" s="98"/>
      <c r="E563" s="98"/>
      <c r="F563" s="98"/>
    </row>
    <row r="564">
      <c r="B564" s="98"/>
      <c r="C564" s="98"/>
      <c r="D564" s="98"/>
      <c r="E564" s="98"/>
      <c r="F564" s="98"/>
    </row>
    <row r="565">
      <c r="B565" s="98"/>
      <c r="C565" s="98"/>
      <c r="D565" s="98"/>
      <c r="E565" s="98"/>
      <c r="F565" s="98"/>
    </row>
    <row r="566">
      <c r="B566" s="98"/>
      <c r="C566" s="98"/>
      <c r="D566" s="98"/>
      <c r="E566" s="98"/>
      <c r="F566" s="98"/>
    </row>
    <row r="567">
      <c r="B567" s="98"/>
      <c r="C567" s="98"/>
      <c r="D567" s="98"/>
      <c r="E567" s="98"/>
      <c r="F567" s="98"/>
    </row>
    <row r="568">
      <c r="B568" s="98"/>
      <c r="C568" s="98"/>
      <c r="D568" s="98"/>
      <c r="E568" s="98"/>
      <c r="F568" s="98"/>
    </row>
    <row r="569">
      <c r="B569" s="98"/>
      <c r="C569" s="98"/>
      <c r="D569" s="98"/>
      <c r="E569" s="98"/>
      <c r="F569" s="98"/>
    </row>
    <row r="570">
      <c r="B570" s="98"/>
      <c r="C570" s="98"/>
      <c r="D570" s="98"/>
      <c r="E570" s="98"/>
      <c r="F570" s="98"/>
    </row>
    <row r="571">
      <c r="B571" s="98"/>
      <c r="C571" s="98"/>
      <c r="D571" s="98"/>
      <c r="E571" s="98"/>
      <c r="F571" s="98"/>
    </row>
    <row r="572">
      <c r="B572" s="98"/>
      <c r="C572" s="98"/>
      <c r="D572" s="98"/>
      <c r="E572" s="98"/>
      <c r="F572" s="98"/>
    </row>
    <row r="573">
      <c r="B573" s="98"/>
      <c r="C573" s="98"/>
      <c r="D573" s="98"/>
      <c r="E573" s="98"/>
      <c r="F573" s="98"/>
    </row>
    <row r="574">
      <c r="B574" s="98"/>
      <c r="C574" s="98"/>
      <c r="D574" s="98"/>
      <c r="E574" s="98"/>
      <c r="F574" s="98"/>
    </row>
    <row r="575">
      <c r="B575" s="98"/>
      <c r="C575" s="98"/>
      <c r="D575" s="98"/>
      <c r="E575" s="98"/>
      <c r="F575" s="98"/>
    </row>
    <row r="576">
      <c r="B576" s="98"/>
      <c r="C576" s="98"/>
      <c r="D576" s="98"/>
      <c r="E576" s="98"/>
      <c r="F576" s="98"/>
    </row>
    <row r="577">
      <c r="B577" s="98"/>
      <c r="C577" s="98"/>
      <c r="D577" s="98"/>
      <c r="E577" s="98"/>
      <c r="F577" s="98"/>
    </row>
    <row r="578">
      <c r="B578" s="98"/>
      <c r="C578" s="98"/>
      <c r="D578" s="98"/>
      <c r="E578" s="98"/>
      <c r="F578" s="98"/>
    </row>
    <row r="579">
      <c r="B579" s="98"/>
      <c r="C579" s="98"/>
      <c r="D579" s="98"/>
      <c r="E579" s="98"/>
      <c r="F579" s="98"/>
    </row>
    <row r="580">
      <c r="B580" s="98"/>
      <c r="C580" s="98"/>
      <c r="D580" s="98"/>
      <c r="E580" s="98"/>
      <c r="F580" s="98"/>
    </row>
    <row r="581">
      <c r="B581" s="98"/>
      <c r="C581" s="98"/>
      <c r="D581" s="98"/>
      <c r="E581" s="98"/>
      <c r="F581" s="98"/>
    </row>
    <row r="582">
      <c r="B582" s="98"/>
      <c r="C582" s="98"/>
      <c r="D582" s="98"/>
      <c r="E582" s="98"/>
      <c r="F582" s="98"/>
    </row>
    <row r="583">
      <c r="B583" s="98"/>
      <c r="C583" s="98"/>
      <c r="D583" s="98"/>
      <c r="E583" s="98"/>
      <c r="F583" s="98"/>
    </row>
    <row r="584">
      <c r="B584" s="98"/>
      <c r="C584" s="98"/>
      <c r="D584" s="98"/>
      <c r="E584" s="98"/>
      <c r="F584" s="98"/>
    </row>
    <row r="585">
      <c r="B585" s="98"/>
      <c r="C585" s="98"/>
      <c r="D585" s="98"/>
      <c r="E585" s="98"/>
      <c r="F585" s="98"/>
    </row>
    <row r="586">
      <c r="B586" s="98"/>
      <c r="C586" s="98"/>
      <c r="D586" s="98"/>
      <c r="E586" s="98"/>
      <c r="F586" s="98"/>
    </row>
    <row r="587">
      <c r="B587" s="98"/>
      <c r="C587" s="98"/>
      <c r="D587" s="98"/>
      <c r="E587" s="98"/>
      <c r="F587" s="98"/>
    </row>
    <row r="588">
      <c r="B588" s="98"/>
      <c r="C588" s="98"/>
      <c r="D588" s="98"/>
      <c r="E588" s="98"/>
      <c r="F588" s="98"/>
    </row>
    <row r="589">
      <c r="B589" s="98"/>
      <c r="C589" s="98"/>
      <c r="D589" s="98"/>
      <c r="E589" s="98"/>
      <c r="F589" s="98"/>
    </row>
    <row r="590">
      <c r="B590" s="98"/>
      <c r="C590" s="98"/>
      <c r="D590" s="98"/>
      <c r="E590" s="98"/>
      <c r="F590" s="98"/>
    </row>
    <row r="591">
      <c r="B591" s="98"/>
      <c r="C591" s="98"/>
      <c r="D591" s="98"/>
      <c r="E591" s="98"/>
      <c r="F591" s="98"/>
    </row>
    <row r="592">
      <c r="B592" s="98"/>
      <c r="C592" s="98"/>
      <c r="D592" s="98"/>
      <c r="E592" s="98"/>
      <c r="F592" s="98"/>
    </row>
    <row r="593">
      <c r="B593" s="98"/>
      <c r="C593" s="98"/>
      <c r="D593" s="98"/>
      <c r="E593" s="98"/>
      <c r="F593" s="98"/>
    </row>
    <row r="594">
      <c r="B594" s="98"/>
      <c r="C594" s="98"/>
      <c r="D594" s="98"/>
      <c r="E594" s="98"/>
      <c r="F594" s="98"/>
    </row>
    <row r="595">
      <c r="B595" s="98"/>
      <c r="C595" s="98"/>
      <c r="D595" s="98"/>
      <c r="E595" s="98"/>
      <c r="F595" s="98"/>
    </row>
    <row r="596">
      <c r="B596" s="98"/>
      <c r="C596" s="98"/>
      <c r="D596" s="98"/>
      <c r="E596" s="98"/>
      <c r="F596" s="98"/>
    </row>
    <row r="597">
      <c r="B597" s="98"/>
      <c r="C597" s="98"/>
      <c r="D597" s="98"/>
      <c r="E597" s="98"/>
      <c r="F597" s="98"/>
    </row>
    <row r="598">
      <c r="B598" s="98"/>
      <c r="C598" s="98"/>
      <c r="D598" s="98"/>
      <c r="E598" s="98"/>
      <c r="F598" s="98"/>
    </row>
    <row r="599">
      <c r="B599" s="98"/>
      <c r="C599" s="98"/>
      <c r="D599" s="98"/>
      <c r="E599" s="98"/>
      <c r="F599" s="98"/>
    </row>
    <row r="600">
      <c r="B600" s="98"/>
      <c r="C600" s="98"/>
      <c r="D600" s="98"/>
      <c r="E600" s="98"/>
      <c r="F600" s="98"/>
    </row>
    <row r="601">
      <c r="B601" s="98"/>
      <c r="C601" s="98"/>
      <c r="D601" s="98"/>
      <c r="E601" s="98"/>
      <c r="F601" s="98"/>
    </row>
    <row r="602">
      <c r="B602" s="98"/>
      <c r="C602" s="98"/>
      <c r="D602" s="98"/>
      <c r="E602" s="98"/>
      <c r="F602" s="98"/>
    </row>
    <row r="603">
      <c r="B603" s="98"/>
      <c r="C603" s="98"/>
      <c r="D603" s="98"/>
      <c r="E603" s="98"/>
      <c r="F603" s="98"/>
    </row>
    <row r="604">
      <c r="B604" s="98"/>
      <c r="C604" s="98"/>
      <c r="D604" s="98"/>
      <c r="E604" s="98"/>
      <c r="F604" s="98"/>
    </row>
    <row r="605">
      <c r="B605" s="98"/>
      <c r="C605" s="98"/>
      <c r="D605" s="98"/>
      <c r="E605" s="98"/>
      <c r="F605" s="98"/>
    </row>
    <row r="606">
      <c r="B606" s="98"/>
      <c r="C606" s="98"/>
      <c r="D606" s="98"/>
      <c r="E606" s="98"/>
      <c r="F606" s="98"/>
    </row>
    <row r="607">
      <c r="B607" s="98"/>
      <c r="C607" s="98"/>
      <c r="D607" s="98"/>
      <c r="E607" s="98"/>
      <c r="F607" s="98"/>
    </row>
    <row r="608">
      <c r="B608" s="98"/>
      <c r="C608" s="98"/>
      <c r="D608" s="98"/>
      <c r="E608" s="98"/>
      <c r="F608" s="98"/>
    </row>
    <row r="609">
      <c r="B609" s="98"/>
      <c r="C609" s="98"/>
      <c r="D609" s="98"/>
      <c r="E609" s="98"/>
      <c r="F609" s="98"/>
    </row>
    <row r="610">
      <c r="B610" s="98"/>
      <c r="C610" s="98"/>
      <c r="D610" s="98"/>
      <c r="E610" s="98"/>
      <c r="F610" s="98"/>
    </row>
    <row r="611">
      <c r="B611" s="98"/>
      <c r="C611" s="98"/>
      <c r="D611" s="98"/>
      <c r="E611" s="98"/>
      <c r="F611" s="98"/>
    </row>
    <row r="612">
      <c r="B612" s="98"/>
      <c r="C612" s="98"/>
      <c r="D612" s="98"/>
      <c r="E612" s="98"/>
      <c r="F612" s="98"/>
    </row>
    <row r="613">
      <c r="B613" s="98"/>
      <c r="C613" s="98"/>
      <c r="D613" s="98"/>
      <c r="E613" s="98"/>
      <c r="F613" s="98"/>
    </row>
    <row r="614">
      <c r="B614" s="98"/>
      <c r="C614" s="98"/>
      <c r="D614" s="98"/>
      <c r="E614" s="98"/>
      <c r="F614" s="98"/>
    </row>
    <row r="615">
      <c r="B615" s="98"/>
      <c r="C615" s="98"/>
      <c r="D615" s="98"/>
      <c r="E615" s="98"/>
      <c r="F615" s="98"/>
    </row>
    <row r="616">
      <c r="B616" s="98"/>
      <c r="C616" s="98"/>
      <c r="D616" s="98"/>
      <c r="E616" s="98"/>
      <c r="F616" s="98"/>
    </row>
    <row r="617">
      <c r="B617" s="98"/>
      <c r="C617" s="98"/>
      <c r="D617" s="98"/>
      <c r="E617" s="98"/>
      <c r="F617" s="98"/>
    </row>
    <row r="618">
      <c r="B618" s="98"/>
      <c r="C618" s="98"/>
      <c r="D618" s="98"/>
      <c r="E618" s="98"/>
      <c r="F618" s="98"/>
    </row>
    <row r="619">
      <c r="B619" s="98"/>
      <c r="C619" s="98"/>
      <c r="D619" s="98"/>
      <c r="E619" s="98"/>
      <c r="F619" s="98"/>
    </row>
    <row r="620">
      <c r="B620" s="98"/>
      <c r="C620" s="98"/>
      <c r="D620" s="98"/>
      <c r="E620" s="98"/>
      <c r="F620" s="98"/>
    </row>
    <row r="621">
      <c r="B621" s="98"/>
      <c r="C621" s="98"/>
      <c r="D621" s="98"/>
      <c r="E621" s="98"/>
      <c r="F621" s="98"/>
    </row>
    <row r="622">
      <c r="B622" s="98"/>
      <c r="C622" s="98"/>
      <c r="D622" s="98"/>
      <c r="E622" s="98"/>
      <c r="F622" s="98"/>
    </row>
    <row r="623">
      <c r="B623" s="98"/>
      <c r="C623" s="98"/>
      <c r="D623" s="98"/>
      <c r="E623" s="98"/>
      <c r="F623" s="98"/>
    </row>
    <row r="624">
      <c r="B624" s="98"/>
      <c r="C624" s="98"/>
      <c r="D624" s="98"/>
      <c r="E624" s="98"/>
      <c r="F624" s="98"/>
    </row>
    <row r="625">
      <c r="B625" s="98"/>
      <c r="C625" s="98"/>
      <c r="D625" s="98"/>
      <c r="E625" s="98"/>
      <c r="F625" s="98"/>
    </row>
    <row r="626">
      <c r="B626" s="98"/>
      <c r="C626" s="98"/>
      <c r="D626" s="98"/>
      <c r="E626" s="98"/>
      <c r="F626" s="98"/>
    </row>
    <row r="627">
      <c r="B627" s="98"/>
      <c r="C627" s="98"/>
      <c r="D627" s="98"/>
      <c r="E627" s="98"/>
      <c r="F627" s="98"/>
    </row>
    <row r="628">
      <c r="B628" s="98"/>
      <c r="C628" s="98"/>
      <c r="D628" s="98"/>
      <c r="E628" s="98"/>
      <c r="F628" s="98"/>
    </row>
    <row r="629">
      <c r="B629" s="98"/>
      <c r="C629" s="98"/>
      <c r="D629" s="98"/>
      <c r="E629" s="98"/>
      <c r="F629" s="98"/>
    </row>
    <row r="630">
      <c r="B630" s="98"/>
      <c r="C630" s="98"/>
      <c r="D630" s="98"/>
      <c r="E630" s="98"/>
      <c r="F630" s="98"/>
    </row>
    <row r="631">
      <c r="B631" s="98"/>
      <c r="C631" s="98"/>
      <c r="D631" s="98"/>
      <c r="E631" s="98"/>
      <c r="F631" s="98"/>
    </row>
    <row r="632">
      <c r="B632" s="98"/>
      <c r="C632" s="98"/>
      <c r="D632" s="98"/>
      <c r="E632" s="98"/>
      <c r="F632" s="98"/>
    </row>
    <row r="633">
      <c r="B633" s="98"/>
      <c r="C633" s="98"/>
      <c r="D633" s="98"/>
      <c r="E633" s="98"/>
      <c r="F633" s="98"/>
    </row>
    <row r="634">
      <c r="B634" s="98"/>
      <c r="C634" s="98"/>
      <c r="D634" s="98"/>
      <c r="E634" s="98"/>
      <c r="F634" s="98"/>
    </row>
    <row r="635">
      <c r="B635" s="98"/>
      <c r="C635" s="98"/>
      <c r="D635" s="98"/>
      <c r="E635" s="98"/>
      <c r="F635" s="98"/>
    </row>
    <row r="636">
      <c r="B636" s="98"/>
      <c r="C636" s="98"/>
      <c r="D636" s="98"/>
      <c r="E636" s="98"/>
      <c r="F636" s="98"/>
    </row>
    <row r="637">
      <c r="B637" s="98"/>
      <c r="C637" s="98"/>
      <c r="D637" s="98"/>
      <c r="E637" s="98"/>
      <c r="F637" s="98"/>
    </row>
    <row r="638">
      <c r="B638" s="98"/>
      <c r="C638" s="98"/>
      <c r="D638" s="98"/>
      <c r="E638" s="98"/>
      <c r="F638" s="98"/>
    </row>
    <row r="639">
      <c r="B639" s="98"/>
      <c r="C639" s="98"/>
      <c r="D639" s="98"/>
      <c r="E639" s="98"/>
      <c r="F639" s="98"/>
    </row>
    <row r="640">
      <c r="B640" s="98"/>
      <c r="C640" s="98"/>
      <c r="D640" s="98"/>
      <c r="E640" s="98"/>
      <c r="F640" s="98"/>
    </row>
    <row r="641">
      <c r="B641" s="98"/>
      <c r="C641" s="98"/>
      <c r="D641" s="98"/>
      <c r="E641" s="98"/>
      <c r="F641" s="98"/>
    </row>
    <row r="642">
      <c r="B642" s="98"/>
      <c r="C642" s="98"/>
      <c r="D642" s="98"/>
      <c r="E642" s="98"/>
      <c r="F642" s="98"/>
    </row>
    <row r="643">
      <c r="B643" s="98"/>
      <c r="C643" s="98"/>
      <c r="D643" s="98"/>
      <c r="E643" s="98"/>
      <c r="F643" s="98"/>
    </row>
    <row r="644">
      <c r="B644" s="98"/>
      <c r="C644" s="98"/>
      <c r="D644" s="98"/>
      <c r="E644" s="98"/>
      <c r="F644" s="98"/>
    </row>
    <row r="645">
      <c r="B645" s="98"/>
      <c r="C645" s="98"/>
      <c r="D645" s="98"/>
      <c r="E645" s="98"/>
      <c r="F645" s="98"/>
    </row>
    <row r="646">
      <c r="B646" s="98"/>
      <c r="C646" s="98"/>
      <c r="D646" s="98"/>
      <c r="E646" s="98"/>
      <c r="F646" s="98"/>
    </row>
    <row r="647">
      <c r="B647" s="98"/>
      <c r="C647" s="98"/>
      <c r="D647" s="98"/>
      <c r="E647" s="98"/>
      <c r="F647" s="98"/>
    </row>
    <row r="648">
      <c r="B648" s="98"/>
      <c r="C648" s="98"/>
      <c r="D648" s="98"/>
      <c r="E648" s="98"/>
      <c r="F648" s="98"/>
    </row>
    <row r="649">
      <c r="B649" s="98"/>
      <c r="C649" s="98"/>
      <c r="D649" s="98"/>
      <c r="E649" s="98"/>
      <c r="F649" s="98"/>
    </row>
    <row r="650">
      <c r="B650" s="98"/>
      <c r="C650" s="98"/>
      <c r="D650" s="98"/>
      <c r="E650" s="98"/>
      <c r="F650" s="98"/>
    </row>
    <row r="651">
      <c r="B651" s="98"/>
      <c r="C651" s="98"/>
      <c r="D651" s="98"/>
      <c r="E651" s="98"/>
      <c r="F651" s="98"/>
    </row>
    <row r="652">
      <c r="B652" s="98"/>
      <c r="C652" s="98"/>
      <c r="D652" s="98"/>
      <c r="E652" s="98"/>
      <c r="F652" s="98"/>
    </row>
    <row r="653">
      <c r="B653" s="98"/>
      <c r="C653" s="98"/>
      <c r="D653" s="98"/>
      <c r="E653" s="98"/>
      <c r="F653" s="98"/>
    </row>
    <row r="654">
      <c r="B654" s="98"/>
      <c r="C654" s="98"/>
      <c r="D654" s="98"/>
      <c r="E654" s="98"/>
      <c r="F654" s="98"/>
    </row>
    <row r="655">
      <c r="B655" s="98"/>
      <c r="C655" s="98"/>
      <c r="D655" s="98"/>
      <c r="E655" s="98"/>
      <c r="F655" s="98"/>
    </row>
    <row r="656">
      <c r="B656" s="98"/>
      <c r="C656" s="98"/>
      <c r="D656" s="98"/>
      <c r="E656" s="98"/>
      <c r="F656" s="98"/>
    </row>
    <row r="657">
      <c r="B657" s="98"/>
      <c r="C657" s="98"/>
      <c r="D657" s="98"/>
      <c r="E657" s="98"/>
      <c r="F657" s="98"/>
    </row>
    <row r="658">
      <c r="B658" s="98"/>
      <c r="C658" s="98"/>
      <c r="D658" s="98"/>
      <c r="E658" s="98"/>
      <c r="F658" s="98"/>
    </row>
    <row r="659">
      <c r="B659" s="98"/>
      <c r="C659" s="98"/>
      <c r="D659" s="98"/>
      <c r="E659" s="98"/>
      <c r="F659" s="98"/>
    </row>
    <row r="660">
      <c r="B660" s="98"/>
      <c r="C660" s="98"/>
      <c r="D660" s="98"/>
      <c r="E660" s="98"/>
      <c r="F660" s="98"/>
    </row>
    <row r="661">
      <c r="B661" s="98"/>
      <c r="C661" s="98"/>
      <c r="D661" s="98"/>
      <c r="E661" s="98"/>
      <c r="F661" s="98"/>
    </row>
    <row r="662">
      <c r="B662" s="98"/>
      <c r="C662" s="98"/>
      <c r="D662" s="98"/>
      <c r="E662" s="98"/>
      <c r="F662" s="98"/>
    </row>
    <row r="663">
      <c r="B663" s="98"/>
      <c r="C663" s="98"/>
      <c r="D663" s="98"/>
      <c r="E663" s="98"/>
      <c r="F663" s="98"/>
    </row>
    <row r="664">
      <c r="B664" s="98"/>
      <c r="C664" s="98"/>
      <c r="D664" s="98"/>
      <c r="E664" s="98"/>
      <c r="F664" s="98"/>
    </row>
    <row r="665">
      <c r="B665" s="98"/>
      <c r="C665" s="98"/>
      <c r="D665" s="98"/>
      <c r="E665" s="98"/>
      <c r="F665" s="98"/>
    </row>
    <row r="666">
      <c r="B666" s="98"/>
      <c r="C666" s="98"/>
      <c r="D666" s="98"/>
      <c r="E666" s="98"/>
      <c r="F666" s="98"/>
    </row>
    <row r="667">
      <c r="B667" s="98"/>
      <c r="C667" s="98"/>
      <c r="D667" s="98"/>
      <c r="E667" s="98"/>
      <c r="F667" s="98"/>
    </row>
    <row r="668">
      <c r="B668" s="98"/>
      <c r="C668" s="98"/>
      <c r="D668" s="98"/>
      <c r="E668" s="98"/>
      <c r="F668" s="98"/>
    </row>
    <row r="669">
      <c r="B669" s="98"/>
      <c r="C669" s="98"/>
      <c r="D669" s="98"/>
      <c r="E669" s="98"/>
      <c r="F669" s="98"/>
    </row>
    <row r="670">
      <c r="B670" s="98"/>
      <c r="C670" s="98"/>
      <c r="D670" s="98"/>
      <c r="E670" s="98"/>
      <c r="F670" s="98"/>
    </row>
    <row r="671">
      <c r="B671" s="98"/>
      <c r="C671" s="98"/>
      <c r="D671" s="98"/>
      <c r="E671" s="98"/>
      <c r="F671" s="98"/>
    </row>
    <row r="672">
      <c r="B672" s="98"/>
      <c r="C672" s="98"/>
      <c r="D672" s="98"/>
      <c r="E672" s="98"/>
      <c r="F672" s="98"/>
    </row>
    <row r="673">
      <c r="B673" s="98"/>
      <c r="C673" s="98"/>
      <c r="D673" s="98"/>
      <c r="E673" s="98"/>
      <c r="F673" s="98"/>
    </row>
    <row r="674">
      <c r="B674" s="98"/>
      <c r="C674" s="98"/>
      <c r="D674" s="98"/>
      <c r="E674" s="98"/>
      <c r="F674" s="98"/>
    </row>
    <row r="675">
      <c r="B675" s="98"/>
      <c r="C675" s="98"/>
      <c r="D675" s="98"/>
      <c r="E675" s="98"/>
      <c r="F675" s="98"/>
    </row>
    <row r="676">
      <c r="B676" s="98"/>
      <c r="C676" s="98"/>
      <c r="D676" s="98"/>
      <c r="E676" s="98"/>
      <c r="F676" s="98"/>
    </row>
    <row r="677">
      <c r="B677" s="98"/>
      <c r="C677" s="98"/>
      <c r="D677" s="98"/>
      <c r="E677" s="98"/>
      <c r="F677" s="98"/>
    </row>
    <row r="678">
      <c r="B678" s="98"/>
      <c r="C678" s="98"/>
      <c r="D678" s="98"/>
      <c r="E678" s="98"/>
      <c r="F678" s="98"/>
    </row>
    <row r="679">
      <c r="B679" s="98"/>
      <c r="C679" s="98"/>
      <c r="D679" s="98"/>
      <c r="E679" s="98"/>
      <c r="F679" s="98"/>
    </row>
    <row r="680">
      <c r="B680" s="98"/>
      <c r="C680" s="98"/>
      <c r="D680" s="98"/>
      <c r="E680" s="98"/>
      <c r="F680" s="98"/>
    </row>
    <row r="681">
      <c r="B681" s="98"/>
      <c r="C681" s="98"/>
      <c r="D681" s="98"/>
      <c r="E681" s="98"/>
      <c r="F681" s="98"/>
    </row>
    <row r="682">
      <c r="B682" s="98"/>
      <c r="C682" s="98"/>
      <c r="D682" s="98"/>
      <c r="E682" s="98"/>
      <c r="F682" s="98"/>
    </row>
    <row r="683">
      <c r="B683" s="98"/>
      <c r="C683" s="98"/>
      <c r="D683" s="98"/>
      <c r="E683" s="98"/>
      <c r="F683" s="98"/>
    </row>
    <row r="684">
      <c r="B684" s="98"/>
      <c r="C684" s="98"/>
      <c r="D684" s="98"/>
      <c r="E684" s="98"/>
      <c r="F684" s="98"/>
    </row>
    <row r="685">
      <c r="B685" s="98"/>
      <c r="C685" s="98"/>
      <c r="D685" s="98"/>
      <c r="E685" s="98"/>
      <c r="F685" s="98"/>
    </row>
    <row r="686">
      <c r="B686" s="98"/>
      <c r="C686" s="98"/>
      <c r="D686" s="98"/>
      <c r="E686" s="98"/>
      <c r="F686" s="98"/>
    </row>
    <row r="687">
      <c r="B687" s="98"/>
      <c r="C687" s="98"/>
      <c r="D687" s="98"/>
      <c r="E687" s="98"/>
      <c r="F687" s="98"/>
    </row>
    <row r="688">
      <c r="B688" s="98"/>
      <c r="C688" s="98"/>
      <c r="D688" s="98"/>
      <c r="E688" s="98"/>
      <c r="F688" s="98"/>
    </row>
    <row r="689">
      <c r="B689" s="98"/>
      <c r="C689" s="98"/>
      <c r="D689" s="98"/>
      <c r="E689" s="98"/>
      <c r="F689" s="98"/>
    </row>
    <row r="690">
      <c r="B690" s="98"/>
      <c r="C690" s="98"/>
      <c r="D690" s="98"/>
      <c r="E690" s="98"/>
      <c r="F690" s="98"/>
    </row>
    <row r="691">
      <c r="B691" s="98"/>
      <c r="C691" s="98"/>
      <c r="D691" s="98"/>
      <c r="E691" s="98"/>
      <c r="F691" s="98"/>
    </row>
    <row r="692">
      <c r="B692" s="98"/>
      <c r="C692" s="98"/>
      <c r="D692" s="98"/>
      <c r="E692" s="98"/>
      <c r="F692" s="98"/>
    </row>
    <row r="693">
      <c r="B693" s="98"/>
      <c r="C693" s="98"/>
      <c r="D693" s="98"/>
      <c r="E693" s="98"/>
      <c r="F693" s="98"/>
    </row>
    <row r="694">
      <c r="B694" s="98"/>
      <c r="C694" s="98"/>
      <c r="D694" s="98"/>
      <c r="E694" s="98"/>
      <c r="F694" s="98"/>
    </row>
    <row r="695">
      <c r="B695" s="98"/>
      <c r="C695" s="98"/>
      <c r="D695" s="98"/>
      <c r="E695" s="98"/>
      <c r="F695" s="98"/>
    </row>
    <row r="696">
      <c r="B696" s="98"/>
      <c r="C696" s="98"/>
      <c r="D696" s="98"/>
      <c r="E696" s="98"/>
      <c r="F696" s="98"/>
    </row>
    <row r="697">
      <c r="B697" s="98"/>
      <c r="C697" s="98"/>
      <c r="D697" s="98"/>
      <c r="E697" s="98"/>
      <c r="F697" s="98"/>
    </row>
    <row r="698">
      <c r="B698" s="98"/>
      <c r="C698" s="98"/>
      <c r="D698" s="98"/>
      <c r="E698" s="98"/>
      <c r="F698" s="98"/>
    </row>
    <row r="699">
      <c r="B699" s="98"/>
      <c r="C699" s="98"/>
      <c r="D699" s="98"/>
      <c r="E699" s="98"/>
      <c r="F699" s="98"/>
    </row>
    <row r="700">
      <c r="B700" s="98"/>
      <c r="C700" s="98"/>
      <c r="D700" s="98"/>
      <c r="E700" s="98"/>
      <c r="F700" s="98"/>
    </row>
    <row r="701">
      <c r="B701" s="98"/>
      <c r="C701" s="98"/>
      <c r="D701" s="98"/>
      <c r="E701" s="98"/>
      <c r="F701" s="98"/>
    </row>
    <row r="702">
      <c r="B702" s="98"/>
      <c r="C702" s="98"/>
      <c r="D702" s="98"/>
      <c r="E702" s="98"/>
      <c r="F702" s="98"/>
    </row>
    <row r="703">
      <c r="B703" s="98"/>
      <c r="C703" s="98"/>
      <c r="D703" s="98"/>
      <c r="E703" s="98"/>
      <c r="F703" s="98"/>
    </row>
    <row r="704">
      <c r="B704" s="98"/>
      <c r="C704" s="98"/>
      <c r="D704" s="98"/>
      <c r="E704" s="98"/>
      <c r="F704" s="98"/>
    </row>
    <row r="705">
      <c r="B705" s="98"/>
      <c r="C705" s="98"/>
      <c r="D705" s="98"/>
      <c r="E705" s="98"/>
      <c r="F705" s="98"/>
    </row>
    <row r="706">
      <c r="B706" s="98"/>
      <c r="C706" s="98"/>
      <c r="D706" s="98"/>
      <c r="E706" s="98"/>
      <c r="F706" s="98"/>
    </row>
    <row r="707">
      <c r="B707" s="98"/>
      <c r="C707" s="98"/>
      <c r="D707" s="98"/>
      <c r="E707" s="98"/>
      <c r="F707" s="98"/>
    </row>
    <row r="708">
      <c r="B708" s="98"/>
      <c r="C708" s="98"/>
      <c r="D708" s="98"/>
      <c r="E708" s="98"/>
      <c r="F708" s="98"/>
    </row>
    <row r="709">
      <c r="B709" s="98"/>
      <c r="C709" s="98"/>
      <c r="D709" s="98"/>
      <c r="E709" s="98"/>
      <c r="F709" s="98"/>
    </row>
    <row r="710">
      <c r="B710" s="98"/>
      <c r="C710" s="98"/>
      <c r="D710" s="98"/>
      <c r="E710" s="98"/>
      <c r="F710" s="98"/>
    </row>
    <row r="711">
      <c r="B711" s="98"/>
      <c r="C711" s="98"/>
      <c r="D711" s="98"/>
      <c r="E711" s="98"/>
      <c r="F711" s="98"/>
    </row>
    <row r="712">
      <c r="B712" s="98"/>
      <c r="C712" s="98"/>
      <c r="D712" s="98"/>
      <c r="E712" s="98"/>
      <c r="F712" s="98"/>
    </row>
    <row r="713">
      <c r="B713" s="98"/>
      <c r="C713" s="98"/>
      <c r="D713" s="98"/>
      <c r="E713" s="98"/>
      <c r="F713" s="98"/>
    </row>
    <row r="714">
      <c r="B714" s="98"/>
      <c r="C714" s="98"/>
      <c r="D714" s="98"/>
      <c r="E714" s="98"/>
      <c r="F714" s="98"/>
    </row>
    <row r="715">
      <c r="B715" s="98"/>
      <c r="C715" s="98"/>
      <c r="D715" s="98"/>
      <c r="E715" s="98"/>
      <c r="F715" s="98"/>
    </row>
    <row r="716">
      <c r="B716" s="98"/>
      <c r="C716" s="98"/>
      <c r="D716" s="98"/>
      <c r="E716" s="98"/>
      <c r="F716" s="98"/>
    </row>
    <row r="717">
      <c r="B717" s="98"/>
      <c r="C717" s="98"/>
      <c r="D717" s="98"/>
      <c r="E717" s="98"/>
      <c r="F717" s="98"/>
    </row>
    <row r="718">
      <c r="B718" s="98"/>
      <c r="C718" s="98"/>
      <c r="D718" s="98"/>
      <c r="E718" s="98"/>
      <c r="F718" s="98"/>
    </row>
    <row r="719">
      <c r="B719" s="98"/>
      <c r="C719" s="98"/>
      <c r="D719" s="98"/>
      <c r="E719" s="98"/>
      <c r="F719" s="98"/>
    </row>
    <row r="720">
      <c r="B720" s="98"/>
      <c r="C720" s="98"/>
      <c r="D720" s="98"/>
      <c r="E720" s="98"/>
      <c r="F720" s="98"/>
    </row>
    <row r="721">
      <c r="B721" s="98"/>
      <c r="C721" s="98"/>
      <c r="D721" s="98"/>
      <c r="E721" s="98"/>
      <c r="F721" s="98"/>
    </row>
    <row r="722">
      <c r="B722" s="98"/>
      <c r="C722" s="98"/>
      <c r="D722" s="98"/>
      <c r="E722" s="98"/>
      <c r="F722" s="98"/>
    </row>
    <row r="723">
      <c r="B723" s="98"/>
      <c r="C723" s="98"/>
      <c r="D723" s="98"/>
      <c r="E723" s="98"/>
      <c r="F723" s="98"/>
    </row>
    <row r="724">
      <c r="B724" s="98"/>
      <c r="C724" s="98"/>
      <c r="D724" s="98"/>
      <c r="E724" s="98"/>
      <c r="F724" s="98"/>
    </row>
    <row r="725">
      <c r="B725" s="98"/>
      <c r="C725" s="98"/>
      <c r="D725" s="98"/>
      <c r="E725" s="98"/>
      <c r="F725" s="98"/>
    </row>
    <row r="726">
      <c r="B726" s="98"/>
      <c r="C726" s="98"/>
      <c r="D726" s="98"/>
      <c r="E726" s="98"/>
      <c r="F726" s="98"/>
    </row>
    <row r="727">
      <c r="B727" s="98"/>
      <c r="C727" s="98"/>
      <c r="D727" s="98"/>
      <c r="E727" s="98"/>
      <c r="F727" s="98"/>
    </row>
    <row r="728">
      <c r="B728" s="98"/>
      <c r="C728" s="98"/>
      <c r="D728" s="98"/>
      <c r="E728" s="98"/>
      <c r="F728" s="98"/>
    </row>
    <row r="729">
      <c r="B729" s="98"/>
      <c r="C729" s="98"/>
      <c r="D729" s="98"/>
      <c r="E729" s="98"/>
      <c r="F729" s="98"/>
    </row>
    <row r="730">
      <c r="B730" s="98"/>
      <c r="C730" s="98"/>
      <c r="D730" s="98"/>
      <c r="E730" s="98"/>
      <c r="F730" s="98"/>
    </row>
    <row r="731">
      <c r="B731" s="98"/>
      <c r="C731" s="98"/>
      <c r="D731" s="98"/>
      <c r="E731" s="98"/>
      <c r="F731" s="98"/>
    </row>
    <row r="732">
      <c r="B732" s="98"/>
      <c r="C732" s="98"/>
      <c r="D732" s="98"/>
      <c r="E732" s="98"/>
      <c r="F732" s="98"/>
    </row>
    <row r="733">
      <c r="B733" s="98"/>
      <c r="C733" s="98"/>
      <c r="D733" s="98"/>
      <c r="E733" s="98"/>
      <c r="F733" s="98"/>
    </row>
    <row r="734">
      <c r="B734" s="98"/>
      <c r="C734" s="98"/>
      <c r="D734" s="98"/>
      <c r="E734" s="98"/>
      <c r="F734" s="98"/>
    </row>
    <row r="735">
      <c r="B735" s="98"/>
      <c r="C735" s="98"/>
      <c r="D735" s="98"/>
      <c r="E735" s="98"/>
      <c r="F735" s="98"/>
    </row>
    <row r="736">
      <c r="B736" s="98"/>
      <c r="C736" s="98"/>
      <c r="D736" s="98"/>
      <c r="E736" s="98"/>
      <c r="F736" s="98"/>
    </row>
    <row r="737">
      <c r="B737" s="98"/>
      <c r="C737" s="98"/>
      <c r="D737" s="98"/>
      <c r="E737" s="98"/>
      <c r="F737" s="98"/>
    </row>
    <row r="738">
      <c r="B738" s="98"/>
      <c r="C738" s="98"/>
      <c r="D738" s="98"/>
      <c r="E738" s="98"/>
      <c r="F738" s="98"/>
    </row>
    <row r="739">
      <c r="B739" s="98"/>
      <c r="C739" s="98"/>
      <c r="D739" s="98"/>
      <c r="E739" s="98"/>
      <c r="F739" s="98"/>
    </row>
    <row r="740">
      <c r="B740" s="98"/>
      <c r="C740" s="98"/>
      <c r="D740" s="98"/>
      <c r="E740" s="98"/>
      <c r="F740" s="98"/>
    </row>
    <row r="741">
      <c r="B741" s="98"/>
      <c r="C741" s="98"/>
      <c r="D741" s="98"/>
      <c r="E741" s="98"/>
      <c r="F741" s="98"/>
    </row>
    <row r="742">
      <c r="B742" s="98"/>
      <c r="C742" s="98"/>
      <c r="D742" s="98"/>
      <c r="E742" s="98"/>
      <c r="F742" s="98"/>
    </row>
    <row r="743">
      <c r="B743" s="98"/>
      <c r="C743" s="98"/>
      <c r="D743" s="98"/>
      <c r="E743" s="98"/>
      <c r="F743" s="98"/>
    </row>
    <row r="744">
      <c r="B744" s="98"/>
      <c r="C744" s="98"/>
      <c r="D744" s="98"/>
      <c r="E744" s="98"/>
      <c r="F744" s="98"/>
    </row>
    <row r="745">
      <c r="B745" s="98"/>
      <c r="C745" s="98"/>
      <c r="D745" s="98"/>
      <c r="E745" s="98"/>
      <c r="F745" s="98"/>
    </row>
    <row r="746">
      <c r="B746" s="98"/>
      <c r="C746" s="98"/>
      <c r="D746" s="98"/>
      <c r="E746" s="98"/>
      <c r="F746" s="98"/>
    </row>
    <row r="747">
      <c r="B747" s="98"/>
      <c r="C747" s="98"/>
      <c r="D747" s="98"/>
      <c r="E747" s="98"/>
      <c r="F747" s="98"/>
    </row>
    <row r="748">
      <c r="B748" s="98"/>
      <c r="C748" s="98"/>
      <c r="D748" s="98"/>
      <c r="E748" s="98"/>
      <c r="F748" s="98"/>
    </row>
    <row r="749">
      <c r="B749" s="98"/>
      <c r="C749" s="98"/>
      <c r="D749" s="98"/>
      <c r="E749" s="98"/>
      <c r="F749" s="98"/>
    </row>
    <row r="750">
      <c r="B750" s="98"/>
      <c r="C750" s="98"/>
      <c r="D750" s="98"/>
      <c r="E750" s="98"/>
      <c r="F750" s="98"/>
    </row>
    <row r="751">
      <c r="B751" s="98"/>
      <c r="C751" s="98"/>
      <c r="D751" s="98"/>
      <c r="E751" s="98"/>
      <c r="F751" s="98"/>
    </row>
    <row r="752">
      <c r="B752" s="98"/>
      <c r="C752" s="98"/>
      <c r="D752" s="98"/>
      <c r="E752" s="98"/>
      <c r="F752" s="98"/>
    </row>
    <row r="753">
      <c r="B753" s="98"/>
      <c r="C753" s="98"/>
      <c r="D753" s="98"/>
      <c r="E753" s="98"/>
      <c r="F753" s="98"/>
    </row>
    <row r="754">
      <c r="B754" s="98"/>
      <c r="C754" s="98"/>
      <c r="D754" s="98"/>
      <c r="E754" s="98"/>
      <c r="F754" s="98"/>
    </row>
    <row r="755">
      <c r="B755" s="98"/>
      <c r="C755" s="98"/>
      <c r="D755" s="98"/>
      <c r="E755" s="98"/>
      <c r="F755" s="98"/>
    </row>
    <row r="756">
      <c r="B756" s="98"/>
      <c r="C756" s="98"/>
      <c r="D756" s="98"/>
      <c r="E756" s="98"/>
      <c r="F756" s="98"/>
    </row>
    <row r="757">
      <c r="B757" s="98"/>
      <c r="C757" s="98"/>
      <c r="D757" s="98"/>
      <c r="E757" s="98"/>
      <c r="F757" s="98"/>
    </row>
    <row r="758">
      <c r="B758" s="98"/>
      <c r="C758" s="98"/>
      <c r="D758" s="98"/>
      <c r="E758" s="98"/>
      <c r="F758" s="98"/>
    </row>
    <row r="759">
      <c r="B759" s="98"/>
      <c r="C759" s="98"/>
      <c r="D759" s="98"/>
      <c r="E759" s="98"/>
      <c r="F759" s="98"/>
    </row>
    <row r="760">
      <c r="B760" s="98"/>
      <c r="C760" s="98"/>
      <c r="D760" s="98"/>
      <c r="E760" s="98"/>
      <c r="F760" s="98"/>
    </row>
    <row r="761">
      <c r="B761" s="98"/>
      <c r="C761" s="98"/>
      <c r="D761" s="98"/>
      <c r="E761" s="98"/>
      <c r="F761" s="98"/>
    </row>
    <row r="762">
      <c r="B762" s="98"/>
      <c r="C762" s="98"/>
      <c r="D762" s="98"/>
      <c r="E762" s="98"/>
      <c r="F762" s="98"/>
    </row>
    <row r="763">
      <c r="B763" s="98"/>
      <c r="C763" s="98"/>
      <c r="D763" s="98"/>
      <c r="E763" s="98"/>
      <c r="F763" s="98"/>
    </row>
    <row r="764">
      <c r="B764" s="98"/>
      <c r="C764" s="98"/>
      <c r="D764" s="98"/>
      <c r="E764" s="98"/>
      <c r="F764" s="98"/>
    </row>
    <row r="765">
      <c r="B765" s="98"/>
      <c r="C765" s="98"/>
      <c r="D765" s="98"/>
      <c r="E765" s="98"/>
      <c r="F765" s="98"/>
    </row>
    <row r="766">
      <c r="B766" s="98"/>
      <c r="C766" s="98"/>
      <c r="D766" s="98"/>
      <c r="E766" s="98"/>
      <c r="F766" s="98"/>
    </row>
    <row r="767">
      <c r="B767" s="98"/>
      <c r="C767" s="98"/>
      <c r="D767" s="98"/>
      <c r="E767" s="98"/>
      <c r="F767" s="98"/>
    </row>
    <row r="768">
      <c r="B768" s="98"/>
      <c r="C768" s="98"/>
      <c r="D768" s="98"/>
      <c r="E768" s="98"/>
      <c r="F768" s="98"/>
    </row>
    <row r="769">
      <c r="B769" s="98"/>
      <c r="C769" s="98"/>
      <c r="D769" s="98"/>
      <c r="E769" s="98"/>
      <c r="F769" s="98"/>
    </row>
    <row r="770">
      <c r="B770" s="98"/>
      <c r="C770" s="98"/>
      <c r="D770" s="98"/>
      <c r="E770" s="98"/>
      <c r="F770" s="98"/>
    </row>
    <row r="771">
      <c r="B771" s="98"/>
      <c r="C771" s="98"/>
      <c r="D771" s="98"/>
      <c r="E771" s="98"/>
      <c r="F771" s="98"/>
    </row>
    <row r="772">
      <c r="B772" s="98"/>
      <c r="C772" s="98"/>
      <c r="D772" s="98"/>
      <c r="E772" s="98"/>
      <c r="F772" s="98"/>
    </row>
    <row r="773">
      <c r="B773" s="98"/>
      <c r="C773" s="98"/>
      <c r="D773" s="98"/>
      <c r="E773" s="98"/>
      <c r="F773" s="98"/>
    </row>
    <row r="774">
      <c r="B774" s="98"/>
      <c r="C774" s="98"/>
      <c r="D774" s="98"/>
      <c r="E774" s="98"/>
      <c r="F774" s="98"/>
    </row>
    <row r="775">
      <c r="B775" s="98"/>
      <c r="C775" s="98"/>
      <c r="D775" s="98"/>
      <c r="E775" s="98"/>
      <c r="F775" s="98"/>
    </row>
    <row r="776">
      <c r="B776" s="98"/>
      <c r="C776" s="98"/>
      <c r="D776" s="98"/>
      <c r="E776" s="98"/>
      <c r="F776" s="98"/>
    </row>
    <row r="777">
      <c r="B777" s="98"/>
      <c r="C777" s="98"/>
      <c r="D777" s="98"/>
      <c r="E777" s="98"/>
      <c r="F777" s="98"/>
    </row>
    <row r="778">
      <c r="B778" s="98"/>
      <c r="C778" s="98"/>
      <c r="D778" s="98"/>
      <c r="E778" s="98"/>
      <c r="F778" s="98"/>
    </row>
    <row r="779">
      <c r="B779" s="98"/>
      <c r="C779" s="98"/>
      <c r="D779" s="98"/>
      <c r="E779" s="98"/>
      <c r="F779" s="98"/>
    </row>
    <row r="780">
      <c r="B780" s="98"/>
      <c r="C780" s="98"/>
      <c r="D780" s="98"/>
      <c r="E780" s="98"/>
      <c r="F780" s="98"/>
    </row>
    <row r="781">
      <c r="B781" s="98"/>
      <c r="C781" s="98"/>
      <c r="D781" s="98"/>
      <c r="E781" s="98"/>
      <c r="F781" s="98"/>
    </row>
    <row r="782">
      <c r="B782" s="98"/>
      <c r="C782" s="98"/>
      <c r="D782" s="98"/>
      <c r="E782" s="98"/>
      <c r="F782" s="98"/>
    </row>
    <row r="783">
      <c r="B783" s="98"/>
      <c r="C783" s="98"/>
      <c r="D783" s="98"/>
      <c r="E783" s="98"/>
      <c r="F783" s="98"/>
    </row>
    <row r="784">
      <c r="B784" s="98"/>
      <c r="C784" s="98"/>
      <c r="D784" s="98"/>
      <c r="E784" s="98"/>
      <c r="F784" s="98"/>
    </row>
    <row r="785">
      <c r="B785" s="98"/>
      <c r="C785" s="98"/>
      <c r="D785" s="98"/>
      <c r="E785" s="98"/>
      <c r="F785" s="98"/>
    </row>
    <row r="786">
      <c r="B786" s="98"/>
      <c r="C786" s="98"/>
      <c r="D786" s="98"/>
      <c r="E786" s="98"/>
      <c r="F786" s="98"/>
    </row>
    <row r="787">
      <c r="B787" s="98"/>
      <c r="C787" s="98"/>
      <c r="D787" s="98"/>
      <c r="E787" s="98"/>
      <c r="F787" s="98"/>
    </row>
    <row r="788">
      <c r="B788" s="98"/>
      <c r="C788" s="98"/>
      <c r="D788" s="98"/>
      <c r="E788" s="98"/>
      <c r="F788" s="98"/>
    </row>
    <row r="789">
      <c r="B789" s="98"/>
      <c r="C789" s="98"/>
      <c r="D789" s="98"/>
      <c r="E789" s="98"/>
      <c r="F789" s="98"/>
    </row>
    <row r="790">
      <c r="B790" s="98"/>
      <c r="C790" s="98"/>
      <c r="D790" s="98"/>
      <c r="E790" s="98"/>
      <c r="F790" s="98"/>
    </row>
    <row r="791">
      <c r="B791" s="98"/>
      <c r="C791" s="98"/>
      <c r="D791" s="98"/>
      <c r="E791" s="98"/>
      <c r="F791" s="98"/>
    </row>
    <row r="792">
      <c r="B792" s="98"/>
      <c r="C792" s="98"/>
      <c r="D792" s="98"/>
      <c r="E792" s="98"/>
      <c r="F792" s="98"/>
    </row>
    <row r="793">
      <c r="B793" s="98"/>
      <c r="C793" s="98"/>
      <c r="D793" s="98"/>
      <c r="E793" s="98"/>
      <c r="F793" s="98"/>
    </row>
    <row r="794">
      <c r="B794" s="98"/>
      <c r="C794" s="98"/>
      <c r="D794" s="98"/>
      <c r="E794" s="98"/>
      <c r="F794" s="98"/>
    </row>
    <row r="795">
      <c r="B795" s="98"/>
      <c r="C795" s="98"/>
      <c r="D795" s="98"/>
      <c r="E795" s="98"/>
      <c r="F795" s="98"/>
    </row>
    <row r="796">
      <c r="B796" s="98"/>
      <c r="C796" s="98"/>
      <c r="D796" s="98"/>
      <c r="E796" s="98"/>
      <c r="F796" s="98"/>
    </row>
    <row r="797">
      <c r="B797" s="98"/>
      <c r="C797" s="98"/>
      <c r="D797" s="98"/>
      <c r="E797" s="98"/>
      <c r="F797" s="98"/>
    </row>
    <row r="798">
      <c r="B798" s="98"/>
      <c r="C798" s="98"/>
      <c r="D798" s="98"/>
      <c r="E798" s="98"/>
      <c r="F798" s="98"/>
    </row>
    <row r="799">
      <c r="B799" s="98"/>
      <c r="C799" s="98"/>
      <c r="D799" s="98"/>
      <c r="E799" s="98"/>
      <c r="F799" s="98"/>
    </row>
    <row r="800">
      <c r="B800" s="98"/>
      <c r="C800" s="98"/>
      <c r="D800" s="98"/>
      <c r="E800" s="98"/>
      <c r="F800" s="98"/>
    </row>
    <row r="801">
      <c r="B801" s="98"/>
      <c r="C801" s="98"/>
      <c r="D801" s="98"/>
      <c r="E801" s="98"/>
      <c r="F801" s="98"/>
    </row>
    <row r="802">
      <c r="B802" s="98"/>
      <c r="C802" s="98"/>
      <c r="D802" s="98"/>
      <c r="E802" s="98"/>
      <c r="F802" s="98"/>
    </row>
    <row r="803">
      <c r="B803" s="98"/>
      <c r="C803" s="98"/>
      <c r="D803" s="98"/>
      <c r="E803" s="98"/>
      <c r="F803" s="98"/>
    </row>
    <row r="804">
      <c r="B804" s="98"/>
      <c r="C804" s="98"/>
      <c r="D804" s="98"/>
      <c r="E804" s="98"/>
      <c r="F804" s="98"/>
    </row>
    <row r="805">
      <c r="B805" s="98"/>
      <c r="C805" s="98"/>
      <c r="D805" s="98"/>
      <c r="E805" s="98"/>
      <c r="F805" s="98"/>
    </row>
    <row r="806">
      <c r="B806" s="98"/>
      <c r="C806" s="98"/>
      <c r="D806" s="98"/>
      <c r="E806" s="98"/>
      <c r="F806" s="98"/>
    </row>
    <row r="807">
      <c r="B807" s="98"/>
      <c r="C807" s="98"/>
      <c r="D807" s="98"/>
      <c r="E807" s="98"/>
      <c r="F807" s="98"/>
    </row>
    <row r="808">
      <c r="B808" s="98"/>
      <c r="C808" s="98"/>
      <c r="D808" s="98"/>
      <c r="E808" s="98"/>
      <c r="F808" s="98"/>
    </row>
    <row r="809">
      <c r="B809" s="98"/>
      <c r="C809" s="98"/>
      <c r="D809" s="98"/>
      <c r="E809" s="98"/>
      <c r="F809" s="98"/>
    </row>
    <row r="810">
      <c r="B810" s="98"/>
      <c r="C810" s="98"/>
      <c r="D810" s="98"/>
      <c r="E810" s="98"/>
      <c r="F810" s="98"/>
    </row>
    <row r="811">
      <c r="B811" s="98"/>
      <c r="C811" s="98"/>
      <c r="D811" s="98"/>
      <c r="E811" s="98"/>
      <c r="F811" s="98"/>
    </row>
    <row r="812">
      <c r="B812" s="98"/>
      <c r="C812" s="98"/>
      <c r="D812" s="98"/>
      <c r="E812" s="98"/>
      <c r="F812" s="98"/>
    </row>
    <row r="813">
      <c r="B813" s="98"/>
      <c r="C813" s="98"/>
      <c r="D813" s="98"/>
      <c r="E813" s="98"/>
      <c r="F813" s="98"/>
    </row>
    <row r="814">
      <c r="B814" s="98"/>
      <c r="C814" s="98"/>
      <c r="D814" s="98"/>
      <c r="E814" s="98"/>
      <c r="F814" s="98"/>
    </row>
    <row r="815">
      <c r="B815" s="98"/>
      <c r="C815" s="98"/>
      <c r="D815" s="98"/>
      <c r="E815" s="98"/>
      <c r="F815" s="98"/>
    </row>
    <row r="816">
      <c r="B816" s="98"/>
      <c r="C816" s="98"/>
      <c r="D816" s="98"/>
      <c r="E816" s="98"/>
      <c r="F816" s="98"/>
    </row>
    <row r="817">
      <c r="B817" s="98"/>
      <c r="C817" s="98"/>
      <c r="D817" s="98"/>
      <c r="E817" s="98"/>
      <c r="F817" s="98"/>
    </row>
    <row r="818">
      <c r="B818" s="98"/>
      <c r="C818" s="98"/>
      <c r="D818" s="98"/>
      <c r="E818" s="98"/>
      <c r="F818" s="98"/>
    </row>
    <row r="819">
      <c r="B819" s="98"/>
      <c r="C819" s="98"/>
      <c r="D819" s="98"/>
      <c r="E819" s="98"/>
      <c r="F819" s="98"/>
    </row>
    <row r="820">
      <c r="B820" s="98"/>
      <c r="C820" s="98"/>
      <c r="D820" s="98"/>
      <c r="E820" s="98"/>
      <c r="F820" s="98"/>
    </row>
    <row r="821">
      <c r="B821" s="98"/>
      <c r="C821" s="98"/>
      <c r="D821" s="98"/>
      <c r="E821" s="98"/>
      <c r="F821" s="98"/>
    </row>
    <row r="822">
      <c r="B822" s="98"/>
      <c r="C822" s="98"/>
      <c r="D822" s="98"/>
      <c r="E822" s="98"/>
      <c r="F822" s="98"/>
    </row>
    <row r="823">
      <c r="B823" s="98"/>
      <c r="C823" s="98"/>
      <c r="D823" s="98"/>
      <c r="E823" s="98"/>
      <c r="F823" s="98"/>
    </row>
    <row r="824">
      <c r="B824" s="98"/>
      <c r="C824" s="98"/>
      <c r="D824" s="98"/>
      <c r="E824" s="98"/>
      <c r="F824" s="98"/>
    </row>
    <row r="825">
      <c r="B825" s="98"/>
      <c r="C825" s="98"/>
      <c r="D825" s="98"/>
      <c r="E825" s="98"/>
      <c r="F825" s="98"/>
    </row>
    <row r="826">
      <c r="B826" s="98"/>
      <c r="C826" s="98"/>
      <c r="D826" s="98"/>
      <c r="E826" s="98"/>
      <c r="F826" s="98"/>
    </row>
    <row r="827">
      <c r="B827" s="98"/>
      <c r="C827" s="98"/>
      <c r="D827" s="98"/>
      <c r="E827" s="98"/>
      <c r="F827" s="98"/>
    </row>
    <row r="828">
      <c r="B828" s="98"/>
      <c r="C828" s="98"/>
      <c r="D828" s="98"/>
      <c r="E828" s="98"/>
      <c r="F828" s="98"/>
    </row>
    <row r="829">
      <c r="B829" s="98"/>
      <c r="C829" s="98"/>
      <c r="D829" s="98"/>
      <c r="E829" s="98"/>
      <c r="F829" s="98"/>
    </row>
    <row r="830">
      <c r="B830" s="98"/>
      <c r="C830" s="98"/>
      <c r="D830" s="98"/>
      <c r="E830" s="98"/>
      <c r="F830" s="98"/>
    </row>
    <row r="831">
      <c r="B831" s="98"/>
      <c r="C831" s="98"/>
      <c r="D831" s="98"/>
      <c r="E831" s="98"/>
      <c r="F831" s="98"/>
    </row>
    <row r="832">
      <c r="B832" s="98"/>
      <c r="C832" s="98"/>
      <c r="D832" s="98"/>
      <c r="E832" s="98"/>
      <c r="F832" s="98"/>
    </row>
    <row r="833">
      <c r="B833" s="98"/>
      <c r="C833" s="98"/>
      <c r="D833" s="98"/>
      <c r="E833" s="98"/>
      <c r="F833" s="98"/>
    </row>
    <row r="834">
      <c r="B834" s="98"/>
      <c r="C834" s="98"/>
      <c r="D834" s="98"/>
      <c r="E834" s="98"/>
      <c r="F834" s="98"/>
    </row>
    <row r="835">
      <c r="B835" s="98"/>
      <c r="C835" s="98"/>
      <c r="D835" s="98"/>
      <c r="E835" s="98"/>
      <c r="F835" s="98"/>
    </row>
    <row r="836">
      <c r="B836" s="98"/>
      <c r="C836" s="98"/>
      <c r="D836" s="98"/>
      <c r="E836" s="98"/>
      <c r="F836" s="98"/>
    </row>
    <row r="837">
      <c r="B837" s="98"/>
      <c r="C837" s="98"/>
      <c r="D837" s="98"/>
      <c r="E837" s="98"/>
      <c r="F837" s="98"/>
    </row>
    <row r="838">
      <c r="B838" s="98"/>
      <c r="C838" s="98"/>
      <c r="D838" s="98"/>
      <c r="E838" s="98"/>
      <c r="F838" s="98"/>
    </row>
    <row r="839">
      <c r="B839" s="98"/>
      <c r="C839" s="98"/>
      <c r="D839" s="98"/>
      <c r="E839" s="98"/>
      <c r="F839" s="98"/>
    </row>
    <row r="840">
      <c r="B840" s="98"/>
      <c r="C840" s="98"/>
      <c r="D840" s="98"/>
      <c r="E840" s="98"/>
      <c r="F840" s="98"/>
    </row>
    <row r="841">
      <c r="B841" s="98"/>
      <c r="C841" s="98"/>
      <c r="D841" s="98"/>
      <c r="E841" s="98"/>
      <c r="F841" s="98"/>
    </row>
    <row r="842">
      <c r="B842" s="98"/>
      <c r="C842" s="98"/>
      <c r="D842" s="98"/>
      <c r="E842" s="98"/>
      <c r="F842" s="98"/>
    </row>
    <row r="843">
      <c r="B843" s="98"/>
      <c r="C843" s="98"/>
      <c r="D843" s="98"/>
      <c r="E843" s="98"/>
      <c r="F843" s="98"/>
    </row>
    <row r="844">
      <c r="B844" s="98"/>
      <c r="C844" s="98"/>
      <c r="D844" s="98"/>
      <c r="E844" s="98"/>
      <c r="F844" s="98"/>
    </row>
    <row r="845">
      <c r="B845" s="98"/>
      <c r="C845" s="98"/>
      <c r="D845" s="98"/>
      <c r="E845" s="98"/>
      <c r="F845" s="98"/>
    </row>
    <row r="846">
      <c r="B846" s="98"/>
      <c r="C846" s="98"/>
      <c r="D846" s="98"/>
      <c r="E846" s="98"/>
      <c r="F846" s="98"/>
    </row>
    <row r="847">
      <c r="B847" s="98"/>
      <c r="C847" s="98"/>
      <c r="D847" s="98"/>
      <c r="E847" s="98"/>
      <c r="F847" s="98"/>
    </row>
    <row r="848">
      <c r="B848" s="98"/>
      <c r="C848" s="98"/>
      <c r="D848" s="98"/>
      <c r="E848" s="98"/>
      <c r="F848" s="98"/>
    </row>
    <row r="849">
      <c r="B849" s="98"/>
      <c r="C849" s="98"/>
      <c r="D849" s="98"/>
      <c r="E849" s="98"/>
      <c r="F849" s="98"/>
    </row>
    <row r="850">
      <c r="B850" s="98"/>
      <c r="C850" s="98"/>
      <c r="D850" s="98"/>
      <c r="E850" s="98"/>
      <c r="F850" s="98"/>
    </row>
    <row r="851">
      <c r="B851" s="98"/>
      <c r="C851" s="98"/>
      <c r="D851" s="98"/>
      <c r="E851" s="98"/>
      <c r="F851" s="98"/>
    </row>
    <row r="852">
      <c r="B852" s="98"/>
      <c r="C852" s="98"/>
      <c r="D852" s="98"/>
      <c r="E852" s="98"/>
      <c r="F852" s="98"/>
    </row>
    <row r="853">
      <c r="B853" s="98"/>
      <c r="C853" s="98"/>
      <c r="D853" s="98"/>
      <c r="E853" s="98"/>
      <c r="F853" s="98"/>
    </row>
    <row r="854">
      <c r="B854" s="98"/>
      <c r="C854" s="98"/>
      <c r="D854" s="98"/>
      <c r="E854" s="98"/>
      <c r="F854" s="98"/>
    </row>
    <row r="855">
      <c r="B855" s="98"/>
      <c r="C855" s="98"/>
      <c r="D855" s="98"/>
      <c r="E855" s="98"/>
      <c r="F855" s="98"/>
    </row>
    <row r="856">
      <c r="B856" s="98"/>
      <c r="C856" s="98"/>
      <c r="D856" s="98"/>
      <c r="E856" s="98"/>
      <c r="F856" s="98"/>
    </row>
    <row r="857">
      <c r="B857" s="98"/>
      <c r="C857" s="98"/>
      <c r="D857" s="98"/>
      <c r="E857" s="98"/>
      <c r="F857" s="98"/>
    </row>
    <row r="858">
      <c r="B858" s="98"/>
      <c r="C858" s="98"/>
      <c r="D858" s="98"/>
      <c r="E858" s="98"/>
      <c r="F858" s="98"/>
    </row>
    <row r="859">
      <c r="B859" s="98"/>
      <c r="C859" s="98"/>
      <c r="D859" s="98"/>
      <c r="E859" s="98"/>
      <c r="F859" s="98"/>
    </row>
    <row r="860">
      <c r="B860" s="98"/>
      <c r="C860" s="98"/>
      <c r="D860" s="98"/>
      <c r="E860" s="98"/>
      <c r="F860" s="98"/>
    </row>
    <row r="861">
      <c r="B861" s="98"/>
      <c r="C861" s="98"/>
      <c r="D861" s="98"/>
      <c r="E861" s="98"/>
      <c r="F861" s="98"/>
    </row>
    <row r="862">
      <c r="B862" s="98"/>
      <c r="C862" s="98"/>
      <c r="D862" s="98"/>
      <c r="E862" s="98"/>
      <c r="F862" s="98"/>
    </row>
    <row r="863">
      <c r="B863" s="98"/>
      <c r="C863" s="98"/>
      <c r="D863" s="98"/>
      <c r="E863" s="98"/>
      <c r="F863" s="98"/>
    </row>
    <row r="864">
      <c r="B864" s="98"/>
      <c r="C864" s="98"/>
      <c r="D864" s="98"/>
      <c r="E864" s="98"/>
      <c r="F864" s="98"/>
    </row>
    <row r="865">
      <c r="B865" s="98"/>
      <c r="C865" s="98"/>
      <c r="D865" s="98"/>
      <c r="E865" s="98"/>
      <c r="F865" s="98"/>
    </row>
    <row r="866">
      <c r="B866" s="98"/>
      <c r="C866" s="98"/>
      <c r="D866" s="98"/>
      <c r="E866" s="98"/>
      <c r="F866" s="98"/>
    </row>
    <row r="867">
      <c r="B867" s="98"/>
      <c r="C867" s="98"/>
      <c r="D867" s="98"/>
      <c r="E867" s="98"/>
      <c r="F867" s="98"/>
    </row>
    <row r="868">
      <c r="B868" s="98"/>
      <c r="C868" s="98"/>
      <c r="D868" s="98"/>
      <c r="E868" s="98"/>
      <c r="F868" s="98"/>
    </row>
    <row r="869">
      <c r="B869" s="98"/>
      <c r="C869" s="98"/>
      <c r="D869" s="98"/>
      <c r="E869" s="98"/>
      <c r="F869" s="98"/>
    </row>
    <row r="870">
      <c r="B870" s="98"/>
      <c r="C870" s="98"/>
      <c r="D870" s="98"/>
      <c r="E870" s="98"/>
      <c r="F870" s="98"/>
    </row>
    <row r="871">
      <c r="B871" s="98"/>
      <c r="C871" s="98"/>
      <c r="D871" s="98"/>
      <c r="E871" s="98"/>
      <c r="F871" s="98"/>
    </row>
    <row r="872">
      <c r="B872" s="98"/>
      <c r="C872" s="98"/>
      <c r="D872" s="98"/>
      <c r="E872" s="98"/>
      <c r="F872" s="98"/>
    </row>
    <row r="873">
      <c r="B873" s="98"/>
      <c r="C873" s="98"/>
      <c r="D873" s="98"/>
      <c r="E873" s="98"/>
      <c r="F873" s="98"/>
    </row>
    <row r="874">
      <c r="B874" s="98"/>
      <c r="C874" s="98"/>
      <c r="D874" s="98"/>
      <c r="E874" s="98"/>
      <c r="F874" s="98"/>
    </row>
    <row r="875">
      <c r="B875" s="98"/>
      <c r="C875" s="98"/>
      <c r="D875" s="98"/>
      <c r="E875" s="98"/>
      <c r="F875" s="98"/>
    </row>
    <row r="876">
      <c r="B876" s="98"/>
      <c r="C876" s="98"/>
      <c r="D876" s="98"/>
      <c r="E876" s="98"/>
      <c r="F876" s="98"/>
    </row>
    <row r="877">
      <c r="B877" s="98"/>
      <c r="C877" s="98"/>
      <c r="D877" s="98"/>
      <c r="E877" s="98"/>
      <c r="F877" s="98"/>
    </row>
    <row r="878">
      <c r="B878" s="98"/>
      <c r="C878" s="98"/>
      <c r="D878" s="98"/>
      <c r="E878" s="98"/>
      <c r="F878" s="98"/>
    </row>
    <row r="879">
      <c r="B879" s="98"/>
      <c r="C879" s="98"/>
      <c r="D879" s="98"/>
      <c r="E879" s="98"/>
      <c r="F879" s="98"/>
    </row>
    <row r="880">
      <c r="B880" s="98"/>
      <c r="C880" s="98"/>
      <c r="D880" s="98"/>
      <c r="E880" s="98"/>
      <c r="F880" s="98"/>
    </row>
    <row r="881">
      <c r="B881" s="98"/>
      <c r="C881" s="98"/>
      <c r="D881" s="98"/>
      <c r="E881" s="98"/>
      <c r="F881" s="98"/>
    </row>
    <row r="882">
      <c r="B882" s="98"/>
      <c r="C882" s="98"/>
      <c r="D882" s="98"/>
      <c r="E882" s="98"/>
      <c r="F882" s="98"/>
    </row>
    <row r="883">
      <c r="B883" s="98"/>
      <c r="C883" s="98"/>
      <c r="D883" s="98"/>
      <c r="E883" s="98"/>
      <c r="F883" s="98"/>
    </row>
    <row r="884">
      <c r="B884" s="98"/>
      <c r="C884" s="98"/>
      <c r="D884" s="98"/>
      <c r="E884" s="98"/>
      <c r="F884" s="98"/>
    </row>
    <row r="885">
      <c r="B885" s="98"/>
      <c r="C885" s="98"/>
      <c r="D885" s="98"/>
      <c r="E885" s="98"/>
      <c r="F885" s="98"/>
    </row>
    <row r="886">
      <c r="B886" s="98"/>
      <c r="C886" s="98"/>
      <c r="D886" s="98"/>
      <c r="E886" s="98"/>
      <c r="F886" s="98"/>
    </row>
    <row r="887">
      <c r="B887" s="98"/>
      <c r="C887" s="98"/>
      <c r="D887" s="98"/>
      <c r="E887" s="98"/>
      <c r="F887" s="98"/>
    </row>
    <row r="888">
      <c r="B888" s="98"/>
      <c r="C888" s="98"/>
      <c r="D888" s="98"/>
      <c r="E888" s="98"/>
      <c r="F888" s="98"/>
    </row>
    <row r="889">
      <c r="B889" s="98"/>
      <c r="C889" s="98"/>
      <c r="D889" s="98"/>
      <c r="E889" s="98"/>
      <c r="F889" s="98"/>
    </row>
    <row r="890">
      <c r="B890" s="98"/>
      <c r="C890" s="98"/>
      <c r="D890" s="98"/>
      <c r="E890" s="98"/>
      <c r="F890" s="98"/>
    </row>
    <row r="891">
      <c r="B891" s="98"/>
      <c r="C891" s="98"/>
      <c r="D891" s="98"/>
      <c r="E891" s="98"/>
      <c r="F891" s="98"/>
    </row>
    <row r="892">
      <c r="B892" s="98"/>
      <c r="C892" s="98"/>
      <c r="D892" s="98"/>
      <c r="E892" s="98"/>
      <c r="F892" s="98"/>
    </row>
    <row r="893">
      <c r="B893" s="98"/>
      <c r="C893" s="98"/>
      <c r="D893" s="98"/>
      <c r="E893" s="98"/>
      <c r="F893" s="98"/>
    </row>
    <row r="894">
      <c r="B894" s="98"/>
      <c r="C894" s="98"/>
      <c r="D894" s="98"/>
      <c r="E894" s="98"/>
      <c r="F894" s="98"/>
    </row>
    <row r="895">
      <c r="B895" s="98"/>
      <c r="C895" s="98"/>
      <c r="D895" s="98"/>
      <c r="E895" s="98"/>
      <c r="F895" s="98"/>
    </row>
    <row r="896">
      <c r="B896" s="98"/>
      <c r="C896" s="98"/>
      <c r="D896" s="98"/>
      <c r="E896" s="98"/>
      <c r="F896" s="98"/>
    </row>
    <row r="897">
      <c r="B897" s="98"/>
      <c r="C897" s="98"/>
      <c r="D897" s="98"/>
      <c r="E897" s="98"/>
      <c r="F897" s="98"/>
    </row>
    <row r="898">
      <c r="B898" s="98"/>
      <c r="C898" s="98"/>
      <c r="D898" s="98"/>
      <c r="E898" s="98"/>
      <c r="F898" s="98"/>
    </row>
    <row r="899">
      <c r="B899" s="98"/>
      <c r="C899" s="98"/>
      <c r="D899" s="98"/>
      <c r="E899" s="98"/>
      <c r="F899" s="98"/>
    </row>
    <row r="900">
      <c r="B900" s="98"/>
      <c r="C900" s="98"/>
      <c r="D900" s="98"/>
      <c r="E900" s="98"/>
      <c r="F900" s="98"/>
    </row>
    <row r="901">
      <c r="B901" s="98"/>
      <c r="C901" s="98"/>
      <c r="D901" s="98"/>
      <c r="E901" s="98"/>
      <c r="F901" s="98"/>
    </row>
    <row r="902">
      <c r="B902" s="98"/>
      <c r="C902" s="98"/>
      <c r="D902" s="98"/>
      <c r="E902" s="98"/>
      <c r="F902" s="98"/>
    </row>
    <row r="903">
      <c r="B903" s="98"/>
      <c r="C903" s="98"/>
      <c r="D903" s="98"/>
      <c r="E903" s="98"/>
      <c r="F903" s="98"/>
    </row>
    <row r="904">
      <c r="B904" s="98"/>
      <c r="C904" s="98"/>
      <c r="D904" s="98"/>
      <c r="E904" s="98"/>
      <c r="F904" s="98"/>
    </row>
    <row r="905">
      <c r="B905" s="98"/>
      <c r="C905" s="98"/>
      <c r="D905" s="98"/>
      <c r="E905" s="98"/>
      <c r="F905" s="98"/>
    </row>
    <row r="906">
      <c r="B906" s="98"/>
      <c r="C906" s="98"/>
      <c r="D906" s="98"/>
      <c r="E906" s="98"/>
      <c r="F906" s="98"/>
    </row>
    <row r="907">
      <c r="B907" s="98"/>
      <c r="C907" s="98"/>
      <c r="D907" s="98"/>
      <c r="E907" s="98"/>
      <c r="F907" s="98"/>
    </row>
    <row r="908">
      <c r="B908" s="98"/>
      <c r="C908" s="98"/>
      <c r="D908" s="98"/>
      <c r="E908" s="98"/>
      <c r="F908" s="98"/>
    </row>
    <row r="909">
      <c r="B909" s="98"/>
      <c r="C909" s="98"/>
      <c r="D909" s="98"/>
      <c r="E909" s="98"/>
      <c r="F909" s="98"/>
    </row>
    <row r="910">
      <c r="B910" s="98"/>
      <c r="C910" s="98"/>
      <c r="D910" s="98"/>
      <c r="E910" s="98"/>
      <c r="F910" s="98"/>
    </row>
    <row r="911">
      <c r="B911" s="98"/>
      <c r="C911" s="98"/>
      <c r="D911" s="98"/>
      <c r="E911" s="98"/>
      <c r="F911" s="98"/>
    </row>
    <row r="912">
      <c r="B912" s="98"/>
      <c r="C912" s="98"/>
      <c r="D912" s="98"/>
      <c r="E912" s="98"/>
      <c r="F912" s="98"/>
    </row>
    <row r="913">
      <c r="B913" s="98"/>
      <c r="C913" s="98"/>
      <c r="D913" s="98"/>
      <c r="E913" s="98"/>
      <c r="F913" s="98"/>
    </row>
    <row r="914">
      <c r="B914" s="98"/>
      <c r="C914" s="98"/>
      <c r="D914" s="98"/>
      <c r="E914" s="98"/>
      <c r="F914" s="98"/>
    </row>
    <row r="915">
      <c r="B915" s="98"/>
      <c r="C915" s="98"/>
      <c r="D915" s="98"/>
      <c r="E915" s="98"/>
      <c r="F915" s="98"/>
    </row>
    <row r="916">
      <c r="B916" s="98"/>
      <c r="C916" s="98"/>
      <c r="D916" s="98"/>
      <c r="E916" s="98"/>
      <c r="F916" s="98"/>
    </row>
    <row r="917">
      <c r="B917" s="98"/>
      <c r="C917" s="98"/>
      <c r="D917" s="98"/>
      <c r="E917" s="98"/>
      <c r="F917" s="98"/>
    </row>
    <row r="918">
      <c r="B918" s="98"/>
      <c r="C918" s="98"/>
      <c r="D918" s="98"/>
      <c r="E918" s="98"/>
      <c r="F918" s="98"/>
    </row>
    <row r="919">
      <c r="B919" s="98"/>
      <c r="C919" s="98"/>
      <c r="D919" s="98"/>
      <c r="E919" s="98"/>
      <c r="F919" s="98"/>
    </row>
    <row r="920">
      <c r="B920" s="98"/>
      <c r="C920" s="98"/>
      <c r="D920" s="98"/>
      <c r="E920" s="98"/>
      <c r="F920" s="98"/>
    </row>
    <row r="921">
      <c r="B921" s="98"/>
      <c r="C921" s="98"/>
      <c r="D921" s="98"/>
      <c r="E921" s="98"/>
      <c r="F921" s="98"/>
    </row>
    <row r="922">
      <c r="B922" s="98"/>
      <c r="C922" s="98"/>
      <c r="D922" s="98"/>
      <c r="E922" s="98"/>
      <c r="F922" s="98"/>
    </row>
    <row r="923">
      <c r="B923" s="98"/>
      <c r="C923" s="98"/>
      <c r="D923" s="98"/>
      <c r="E923" s="98"/>
      <c r="F923" s="98"/>
    </row>
    <row r="924">
      <c r="B924" s="98"/>
      <c r="C924" s="98"/>
      <c r="D924" s="98"/>
      <c r="E924" s="98"/>
      <c r="F924" s="98"/>
    </row>
    <row r="925">
      <c r="B925" s="98"/>
      <c r="C925" s="98"/>
      <c r="D925" s="98"/>
      <c r="E925" s="98"/>
      <c r="F925" s="98"/>
    </row>
    <row r="926">
      <c r="B926" s="98"/>
      <c r="C926" s="98"/>
      <c r="D926" s="98"/>
      <c r="E926" s="98"/>
      <c r="F926" s="98"/>
    </row>
    <row r="927">
      <c r="B927" s="98"/>
      <c r="C927" s="98"/>
      <c r="D927" s="98"/>
      <c r="E927" s="98"/>
      <c r="F927" s="98"/>
    </row>
    <row r="928">
      <c r="B928" s="98"/>
      <c r="C928" s="98"/>
      <c r="D928" s="98"/>
      <c r="E928" s="98"/>
      <c r="F928" s="98"/>
    </row>
    <row r="929">
      <c r="B929" s="98"/>
      <c r="C929" s="98"/>
      <c r="D929" s="98"/>
      <c r="E929" s="98"/>
      <c r="F929" s="98"/>
    </row>
    <row r="930">
      <c r="B930" s="98"/>
      <c r="C930" s="98"/>
      <c r="D930" s="98"/>
      <c r="E930" s="98"/>
      <c r="F930" s="98"/>
    </row>
    <row r="931">
      <c r="B931" s="98"/>
      <c r="C931" s="98"/>
      <c r="D931" s="98"/>
      <c r="E931" s="98"/>
      <c r="F931" s="98"/>
    </row>
    <row r="932">
      <c r="B932" s="98"/>
      <c r="C932" s="98"/>
      <c r="D932" s="98"/>
      <c r="E932" s="98"/>
      <c r="F932" s="98"/>
    </row>
    <row r="933">
      <c r="B933" s="98"/>
      <c r="C933" s="98"/>
      <c r="D933" s="98"/>
      <c r="E933" s="98"/>
      <c r="F933" s="98"/>
    </row>
    <row r="934">
      <c r="B934" s="98"/>
      <c r="C934" s="98"/>
      <c r="D934" s="98"/>
      <c r="E934" s="98"/>
      <c r="F934" s="98"/>
    </row>
    <row r="935">
      <c r="B935" s="98"/>
      <c r="C935" s="98"/>
      <c r="D935" s="98"/>
      <c r="E935" s="98"/>
      <c r="F935" s="98"/>
    </row>
    <row r="936">
      <c r="B936" s="98"/>
      <c r="C936" s="98"/>
      <c r="D936" s="98"/>
      <c r="E936" s="98"/>
      <c r="F936" s="98"/>
    </row>
    <row r="937">
      <c r="B937" s="98"/>
      <c r="C937" s="98"/>
      <c r="D937" s="98"/>
      <c r="E937" s="98"/>
      <c r="F937" s="98"/>
    </row>
    <row r="938">
      <c r="B938" s="98"/>
      <c r="C938" s="98"/>
      <c r="D938" s="98"/>
      <c r="E938" s="98"/>
      <c r="F938" s="98"/>
    </row>
    <row r="939">
      <c r="B939" s="98"/>
      <c r="C939" s="98"/>
      <c r="D939" s="98"/>
      <c r="E939" s="98"/>
      <c r="F939" s="98"/>
    </row>
    <row r="940">
      <c r="B940" s="98"/>
      <c r="C940" s="98"/>
      <c r="D940" s="98"/>
      <c r="E940" s="98"/>
      <c r="F940" s="98"/>
    </row>
    <row r="941">
      <c r="B941" s="98"/>
      <c r="C941" s="98"/>
      <c r="D941" s="98"/>
      <c r="E941" s="98"/>
      <c r="F941" s="98"/>
    </row>
    <row r="942">
      <c r="B942" s="98"/>
      <c r="C942" s="98"/>
      <c r="D942" s="98"/>
      <c r="E942" s="98"/>
      <c r="F942" s="98"/>
    </row>
    <row r="943">
      <c r="B943" s="98"/>
      <c r="C943" s="98"/>
      <c r="D943" s="98"/>
      <c r="E943" s="98"/>
      <c r="F943" s="98"/>
    </row>
    <row r="944">
      <c r="B944" s="98"/>
      <c r="C944" s="98"/>
      <c r="D944" s="98"/>
      <c r="E944" s="98"/>
      <c r="F944" s="98"/>
    </row>
    <row r="945">
      <c r="B945" s="98"/>
      <c r="C945" s="98"/>
      <c r="D945" s="98"/>
      <c r="E945" s="98"/>
      <c r="F945" s="98"/>
    </row>
    <row r="946">
      <c r="B946" s="98"/>
      <c r="C946" s="98"/>
      <c r="D946" s="98"/>
      <c r="E946" s="98"/>
      <c r="F946" s="98"/>
    </row>
    <row r="947">
      <c r="B947" s="98"/>
      <c r="C947" s="98"/>
      <c r="D947" s="98"/>
      <c r="E947" s="98"/>
      <c r="F947" s="98"/>
    </row>
    <row r="948">
      <c r="B948" s="98"/>
      <c r="C948" s="98"/>
      <c r="D948" s="98"/>
      <c r="E948" s="98"/>
      <c r="F948" s="98"/>
    </row>
    <row r="949">
      <c r="B949" s="98"/>
      <c r="C949" s="98"/>
      <c r="D949" s="98"/>
      <c r="E949" s="98"/>
      <c r="F949" s="98"/>
    </row>
    <row r="950">
      <c r="B950" s="98"/>
      <c r="C950" s="98"/>
      <c r="D950" s="98"/>
      <c r="E950" s="98"/>
      <c r="F950" s="98"/>
    </row>
    <row r="951">
      <c r="B951" s="98"/>
      <c r="C951" s="98"/>
      <c r="D951" s="98"/>
      <c r="E951" s="98"/>
      <c r="F951" s="98"/>
    </row>
    <row r="952">
      <c r="B952" s="98"/>
      <c r="C952" s="98"/>
      <c r="D952" s="98"/>
      <c r="E952" s="98"/>
      <c r="F952" s="98"/>
    </row>
    <row r="953">
      <c r="B953" s="98"/>
      <c r="C953" s="98"/>
      <c r="D953" s="98"/>
      <c r="E953" s="98"/>
      <c r="F953" s="98"/>
    </row>
    <row r="954">
      <c r="B954" s="98"/>
      <c r="C954" s="98"/>
      <c r="D954" s="98"/>
      <c r="E954" s="98"/>
      <c r="F954" s="98"/>
    </row>
    <row r="955">
      <c r="B955" s="98"/>
      <c r="C955" s="98"/>
      <c r="D955" s="98"/>
      <c r="E955" s="98"/>
      <c r="F955" s="98"/>
    </row>
    <row r="956">
      <c r="B956" s="98"/>
      <c r="C956" s="98"/>
      <c r="D956" s="98"/>
      <c r="E956" s="98"/>
      <c r="F956" s="98"/>
    </row>
    <row r="957">
      <c r="B957" s="98"/>
      <c r="C957" s="98"/>
      <c r="D957" s="98"/>
      <c r="E957" s="98"/>
      <c r="F957" s="98"/>
    </row>
    <row r="958">
      <c r="B958" s="98"/>
      <c r="C958" s="98"/>
      <c r="D958" s="98"/>
      <c r="E958" s="98"/>
      <c r="F958" s="98"/>
    </row>
    <row r="959">
      <c r="B959" s="98"/>
      <c r="C959" s="98"/>
      <c r="D959" s="98"/>
      <c r="E959" s="98"/>
      <c r="F959" s="98"/>
    </row>
    <row r="960">
      <c r="B960" s="98"/>
      <c r="C960" s="98"/>
      <c r="D960" s="98"/>
      <c r="E960" s="98"/>
      <c r="F960" s="98"/>
    </row>
    <row r="961">
      <c r="B961" s="98"/>
      <c r="C961" s="98"/>
      <c r="D961" s="98"/>
      <c r="E961" s="98"/>
      <c r="F961" s="98"/>
    </row>
  </sheetData>
  <dataValidations>
    <dataValidation type="list" allowBlank="1" showErrorMessage="1" sqref="E2">
      <formula1>"Kenya,Malawi,Mozambique,Rwanda,Uganda"</formula1>
    </dataValidation>
    <dataValidation type="list" allowBlank="1" showErrorMessage="1" sqref="B11 B20 B23 B33:B35 B49">
      <formula1>"Uniform,Skewed"</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B8AF"/>
    <outlinePr summaryBelow="0" summaryRight="0"/>
  </sheetPr>
  <sheetViews>
    <sheetView workbookViewId="0"/>
  </sheetViews>
  <sheetFormatPr customHeight="1" defaultColWidth="17.29" defaultRowHeight="15.0"/>
  <cols>
    <col customWidth="1" min="1" max="1" width="92.0"/>
    <col customWidth="1" min="2" max="2" width="15.29"/>
    <col customWidth="1" min="3" max="3" width="10.14"/>
    <col customWidth="1" min="4" max="5" width="9.57"/>
    <col customWidth="1" min="6" max="6" width="7.57"/>
    <col customWidth="1" min="7" max="506" width="10.71"/>
  </cols>
  <sheetData>
    <row r="1">
      <c r="A1" s="44" t="s">
        <v>380</v>
      </c>
      <c r="B1" s="45"/>
      <c r="C1" s="221" t="s">
        <v>381</v>
      </c>
      <c r="D1" s="222" t="s">
        <v>382</v>
      </c>
      <c r="E1" s="223" t="s">
        <v>383</v>
      </c>
      <c r="F1" s="45"/>
      <c r="G1" s="45"/>
      <c r="H1" s="44"/>
      <c r="I1" s="44"/>
      <c r="J1" s="44"/>
      <c r="K1" s="44"/>
      <c r="L1" s="44"/>
      <c r="M1" s="44"/>
      <c r="N1" s="44"/>
      <c r="O1" s="44"/>
      <c r="P1" s="44"/>
      <c r="Q1" s="44"/>
      <c r="R1" s="44"/>
      <c r="S1" s="44"/>
      <c r="T1" s="44"/>
      <c r="U1" s="44"/>
      <c r="V1" s="44"/>
      <c r="W1" s="44"/>
      <c r="X1" s="44"/>
      <c r="Y1" s="44"/>
      <c r="Z1" s="44"/>
      <c r="AA1" s="46"/>
      <c r="AB1" s="46"/>
      <c r="AC1" s="46"/>
      <c r="AD1" s="46"/>
      <c r="AE1" s="46"/>
      <c r="AF1" s="46"/>
      <c r="AG1" s="46"/>
      <c r="AH1" s="46"/>
      <c r="AI1" s="46"/>
      <c r="AJ1" s="46"/>
      <c r="AK1" s="46"/>
      <c r="AL1" s="46"/>
      <c r="AM1" s="46"/>
      <c r="AN1" s="46"/>
      <c r="AO1" s="46"/>
      <c r="AP1" s="46"/>
      <c r="AQ1" s="46"/>
      <c r="AR1" s="46"/>
      <c r="AS1" s="46"/>
      <c r="AT1" s="46"/>
      <c r="AU1" s="46"/>
      <c r="AV1" s="46"/>
      <c r="AW1" s="46"/>
      <c r="AX1" s="46"/>
      <c r="AY1" s="46"/>
      <c r="AZ1" s="46"/>
      <c r="BA1" s="46"/>
      <c r="BB1" s="46"/>
      <c r="BC1" s="46"/>
      <c r="BD1" s="46"/>
      <c r="BE1" s="46"/>
      <c r="BF1" s="46"/>
      <c r="BG1" s="46"/>
      <c r="BH1" s="46"/>
      <c r="BI1" s="46"/>
      <c r="BJ1" s="46"/>
      <c r="BK1" s="46"/>
      <c r="BL1" s="46"/>
      <c r="BM1" s="46"/>
      <c r="BN1" s="46"/>
      <c r="BO1" s="46"/>
      <c r="BP1" s="46"/>
      <c r="BQ1" s="46"/>
      <c r="BR1" s="46"/>
      <c r="BS1" s="46"/>
      <c r="BT1" s="46"/>
      <c r="BU1" s="46"/>
      <c r="BV1" s="46"/>
      <c r="BW1" s="46"/>
      <c r="BX1" s="46"/>
      <c r="BY1" s="46"/>
      <c r="BZ1" s="46"/>
      <c r="CA1" s="46"/>
      <c r="CB1" s="46"/>
      <c r="CC1" s="46"/>
      <c r="CD1" s="46"/>
      <c r="CE1" s="46"/>
      <c r="CF1" s="46"/>
      <c r="CG1" s="46"/>
      <c r="CH1" s="46"/>
      <c r="CI1" s="46"/>
      <c r="CJ1" s="46"/>
      <c r="CK1" s="46"/>
      <c r="CL1" s="46"/>
      <c r="CM1" s="46"/>
      <c r="CN1" s="46"/>
      <c r="CO1" s="46"/>
      <c r="CP1" s="46"/>
      <c r="CQ1" s="46"/>
      <c r="CR1" s="46"/>
      <c r="CS1" s="46"/>
      <c r="CT1" s="46"/>
      <c r="CU1" s="46"/>
      <c r="CV1" s="46"/>
      <c r="CW1" s="46"/>
      <c r="CX1" s="46"/>
      <c r="CY1" s="46"/>
      <c r="CZ1" s="46"/>
      <c r="DA1" s="46"/>
      <c r="DB1" s="46"/>
      <c r="DC1" s="46"/>
      <c r="DD1" s="46"/>
      <c r="DE1" s="46"/>
      <c r="DF1" s="46"/>
      <c r="DG1" s="46"/>
      <c r="DH1" s="46"/>
      <c r="DI1" s="46"/>
      <c r="DJ1" s="46"/>
      <c r="DK1" s="46"/>
      <c r="DL1" s="46"/>
      <c r="DM1" s="46"/>
      <c r="DN1" s="46"/>
      <c r="DO1" s="46"/>
      <c r="DP1" s="46"/>
      <c r="DQ1" s="46"/>
      <c r="DR1" s="46"/>
      <c r="DS1" s="46"/>
      <c r="DT1" s="46"/>
      <c r="DU1" s="46"/>
      <c r="DV1" s="46"/>
      <c r="DW1" s="46"/>
      <c r="DX1" s="46"/>
      <c r="DY1" s="46"/>
      <c r="DZ1" s="46"/>
      <c r="EA1" s="46"/>
      <c r="EB1" s="46"/>
      <c r="EC1" s="46"/>
      <c r="ED1" s="46"/>
      <c r="EE1" s="46"/>
      <c r="EF1" s="46"/>
      <c r="EG1" s="46"/>
      <c r="EH1" s="46"/>
      <c r="EI1" s="46"/>
      <c r="EJ1" s="46"/>
      <c r="EK1" s="46"/>
      <c r="EL1" s="46"/>
      <c r="EM1" s="46"/>
      <c r="EN1" s="46"/>
      <c r="EO1" s="46"/>
      <c r="EP1" s="46"/>
      <c r="EQ1" s="46"/>
      <c r="ER1" s="46"/>
      <c r="ES1" s="46"/>
      <c r="ET1" s="46"/>
      <c r="EU1" s="46"/>
      <c r="EV1" s="46"/>
      <c r="EW1" s="46"/>
      <c r="EX1" s="46"/>
      <c r="EY1" s="46"/>
      <c r="EZ1" s="46"/>
      <c r="FA1" s="46"/>
      <c r="FB1" s="46"/>
      <c r="FC1" s="46"/>
      <c r="FD1" s="46"/>
      <c r="FE1" s="46"/>
      <c r="FF1" s="46"/>
      <c r="FG1" s="46"/>
      <c r="FH1" s="46"/>
      <c r="FI1" s="46"/>
      <c r="FJ1" s="46"/>
      <c r="FK1" s="46"/>
      <c r="FL1" s="46"/>
      <c r="FM1" s="46"/>
      <c r="FN1" s="46"/>
      <c r="FO1" s="46"/>
      <c r="FP1" s="46"/>
      <c r="FQ1" s="46"/>
      <c r="FR1" s="46"/>
      <c r="FS1" s="46"/>
      <c r="FT1" s="46"/>
      <c r="FU1" s="46"/>
      <c r="FV1" s="46"/>
      <c r="FW1" s="46"/>
      <c r="FX1" s="46"/>
      <c r="FY1" s="46"/>
      <c r="FZ1" s="46"/>
      <c r="GA1" s="46"/>
      <c r="GB1" s="46"/>
      <c r="GC1" s="46"/>
      <c r="GD1" s="46"/>
      <c r="GE1" s="46"/>
      <c r="GF1" s="46"/>
      <c r="GG1" s="46"/>
      <c r="GH1" s="46"/>
      <c r="GI1" s="46"/>
      <c r="GJ1" s="46"/>
      <c r="GK1" s="46"/>
      <c r="GL1" s="46"/>
      <c r="GM1" s="46"/>
      <c r="GN1" s="46"/>
      <c r="GO1" s="46"/>
      <c r="GP1" s="46"/>
      <c r="GQ1" s="46"/>
      <c r="GR1" s="46"/>
      <c r="GS1" s="46"/>
      <c r="GT1" s="46"/>
      <c r="GU1" s="46"/>
      <c r="GV1" s="46"/>
      <c r="GW1" s="46"/>
      <c r="GX1" s="46"/>
      <c r="GY1" s="46"/>
      <c r="GZ1" s="46"/>
      <c r="HA1" s="46"/>
      <c r="HB1" s="46"/>
      <c r="HC1" s="46"/>
      <c r="HD1" s="46"/>
      <c r="HE1" s="46"/>
      <c r="HF1" s="46"/>
      <c r="HG1" s="46"/>
      <c r="HH1" s="46"/>
      <c r="HI1" s="46"/>
      <c r="HJ1" s="46"/>
      <c r="HK1" s="46"/>
      <c r="HL1" s="46"/>
      <c r="HM1" s="46"/>
      <c r="HN1" s="46"/>
      <c r="HO1" s="46"/>
      <c r="HP1" s="46"/>
      <c r="HQ1" s="46"/>
      <c r="HR1" s="46"/>
      <c r="HS1" s="46"/>
      <c r="HT1" s="46"/>
      <c r="HU1" s="46"/>
      <c r="HV1" s="46"/>
      <c r="HW1" s="46"/>
      <c r="HX1" s="46"/>
      <c r="HY1" s="46"/>
      <c r="HZ1" s="46"/>
      <c r="IA1" s="46"/>
      <c r="IB1" s="46"/>
      <c r="IC1" s="46"/>
      <c r="ID1" s="46"/>
      <c r="IE1" s="46"/>
      <c r="IF1" s="46"/>
      <c r="IG1" s="46"/>
      <c r="IH1" s="46"/>
      <c r="II1" s="46"/>
      <c r="IJ1" s="46"/>
      <c r="IK1" s="46"/>
      <c r="IL1" s="46"/>
      <c r="IM1" s="46"/>
      <c r="IN1" s="46"/>
      <c r="IO1" s="46"/>
      <c r="IP1" s="46"/>
      <c r="IQ1" s="46"/>
      <c r="IR1" s="46"/>
      <c r="IS1" s="46"/>
      <c r="IT1" s="46"/>
      <c r="IU1" s="46"/>
      <c r="IV1" s="46"/>
      <c r="IW1" s="46"/>
      <c r="IX1" s="46"/>
      <c r="IY1" s="46"/>
      <c r="IZ1" s="46"/>
      <c r="JA1" s="46"/>
      <c r="JB1" s="46"/>
      <c r="JC1" s="46"/>
      <c r="JD1" s="46"/>
      <c r="JE1" s="46"/>
      <c r="JF1" s="46"/>
      <c r="JG1" s="46"/>
      <c r="JH1" s="46"/>
      <c r="JI1" s="46"/>
      <c r="JJ1" s="46"/>
      <c r="JK1" s="46"/>
      <c r="JL1" s="46"/>
      <c r="JM1" s="46"/>
      <c r="JN1" s="46"/>
      <c r="JO1" s="46"/>
      <c r="JP1" s="46"/>
      <c r="JQ1" s="46"/>
      <c r="JR1" s="46"/>
      <c r="JS1" s="46"/>
      <c r="JT1" s="46"/>
      <c r="JU1" s="46"/>
      <c r="JV1" s="46"/>
      <c r="JW1" s="46"/>
      <c r="JX1" s="46"/>
      <c r="JY1" s="46"/>
      <c r="JZ1" s="46"/>
      <c r="KA1" s="46"/>
      <c r="KB1" s="46"/>
      <c r="KC1" s="46"/>
      <c r="KD1" s="46"/>
      <c r="KE1" s="46"/>
      <c r="KF1" s="46"/>
      <c r="KG1" s="46"/>
      <c r="KH1" s="46"/>
      <c r="KI1" s="46"/>
      <c r="KJ1" s="46"/>
      <c r="KK1" s="46"/>
      <c r="KL1" s="46"/>
      <c r="KM1" s="46"/>
      <c r="KN1" s="46"/>
      <c r="KO1" s="46"/>
      <c r="KP1" s="46"/>
      <c r="KQ1" s="46"/>
      <c r="KR1" s="46"/>
      <c r="KS1" s="46"/>
      <c r="KT1" s="46"/>
      <c r="KU1" s="46"/>
      <c r="KV1" s="46"/>
      <c r="KW1" s="46"/>
      <c r="KX1" s="46"/>
      <c r="KY1" s="46"/>
      <c r="KZ1" s="46"/>
      <c r="LA1" s="46"/>
      <c r="LB1" s="46"/>
      <c r="LC1" s="46"/>
      <c r="LD1" s="46"/>
      <c r="LE1" s="46"/>
      <c r="LF1" s="46"/>
      <c r="LG1" s="46"/>
      <c r="LH1" s="46"/>
      <c r="LI1" s="46"/>
      <c r="LJ1" s="46"/>
      <c r="LK1" s="46"/>
      <c r="LL1" s="46"/>
      <c r="LM1" s="46"/>
      <c r="LN1" s="46"/>
      <c r="LO1" s="46"/>
      <c r="LP1" s="46"/>
      <c r="LQ1" s="46"/>
      <c r="LR1" s="46"/>
      <c r="LS1" s="46"/>
      <c r="LT1" s="46"/>
      <c r="LU1" s="46"/>
      <c r="LV1" s="46"/>
      <c r="LW1" s="46"/>
      <c r="LX1" s="46"/>
      <c r="LY1" s="46"/>
      <c r="LZ1" s="46"/>
      <c r="MA1" s="46"/>
      <c r="MB1" s="46"/>
      <c r="MC1" s="46"/>
      <c r="MD1" s="46"/>
      <c r="ME1" s="46"/>
      <c r="MF1" s="46"/>
      <c r="MG1" s="46"/>
      <c r="MH1" s="46"/>
      <c r="MI1" s="46"/>
      <c r="MJ1" s="46"/>
      <c r="MK1" s="46"/>
      <c r="ML1" s="46"/>
      <c r="MM1" s="46"/>
      <c r="MN1" s="46"/>
      <c r="MO1" s="46"/>
      <c r="MP1" s="46"/>
      <c r="MQ1" s="46"/>
      <c r="MR1" s="46"/>
      <c r="MS1" s="46"/>
      <c r="MT1" s="46"/>
      <c r="MU1" s="46"/>
      <c r="MV1" s="46"/>
      <c r="MW1" s="46"/>
      <c r="MX1" s="46"/>
      <c r="MY1" s="46"/>
      <c r="MZ1" s="46"/>
      <c r="NA1" s="46"/>
      <c r="NB1" s="46"/>
      <c r="NC1" s="46"/>
      <c r="ND1" s="46"/>
      <c r="NE1" s="46"/>
      <c r="NF1" s="46"/>
      <c r="NG1" s="46"/>
      <c r="NH1" s="46"/>
      <c r="NI1" s="46"/>
      <c r="NJ1" s="46"/>
      <c r="NK1" s="46"/>
      <c r="NL1" s="46"/>
      <c r="NM1" s="46"/>
      <c r="NN1" s="46"/>
      <c r="NO1" s="46"/>
      <c r="NP1" s="46"/>
      <c r="NQ1" s="46"/>
      <c r="NR1" s="46"/>
      <c r="NS1" s="46"/>
      <c r="NT1" s="46"/>
      <c r="NU1" s="46"/>
      <c r="NV1" s="46"/>
      <c r="NW1" s="46"/>
      <c r="NX1" s="46"/>
      <c r="NY1" s="46"/>
      <c r="NZ1" s="46"/>
      <c r="OA1" s="46"/>
      <c r="OB1" s="46"/>
      <c r="OC1" s="46"/>
      <c r="OD1" s="46"/>
      <c r="OE1" s="46"/>
      <c r="OF1" s="46"/>
      <c r="OG1" s="46"/>
      <c r="OH1" s="46"/>
      <c r="OI1" s="46"/>
      <c r="OJ1" s="46"/>
      <c r="OK1" s="46"/>
      <c r="OL1" s="46"/>
      <c r="OM1" s="46"/>
      <c r="ON1" s="46"/>
      <c r="OO1" s="46"/>
      <c r="OP1" s="46"/>
      <c r="OQ1" s="46"/>
      <c r="OR1" s="46"/>
      <c r="OS1" s="46"/>
      <c r="OT1" s="46"/>
      <c r="OU1" s="46"/>
      <c r="OV1" s="46"/>
      <c r="OW1" s="46"/>
      <c r="OX1" s="46"/>
      <c r="OY1" s="46"/>
      <c r="OZ1" s="46"/>
      <c r="PA1" s="46"/>
      <c r="PB1" s="46"/>
      <c r="PC1" s="46"/>
      <c r="PD1" s="46"/>
      <c r="PE1" s="46"/>
      <c r="PF1" s="46"/>
      <c r="PG1" s="46"/>
      <c r="PH1" s="46"/>
      <c r="PI1" s="46"/>
      <c r="PJ1" s="46"/>
      <c r="PK1" s="46"/>
      <c r="PL1" s="46"/>
      <c r="PM1" s="46"/>
      <c r="PN1" s="46"/>
      <c r="PO1" s="46"/>
      <c r="PP1" s="46"/>
      <c r="PQ1" s="46"/>
      <c r="PR1" s="46"/>
      <c r="PS1" s="46"/>
      <c r="PT1" s="46"/>
      <c r="PU1" s="46"/>
      <c r="PV1" s="46"/>
      <c r="PW1" s="46"/>
      <c r="PX1" s="46"/>
      <c r="PY1" s="46"/>
      <c r="PZ1" s="46"/>
      <c r="QA1" s="46"/>
      <c r="QB1" s="46"/>
      <c r="QC1" s="46"/>
      <c r="QD1" s="46"/>
      <c r="QE1" s="46"/>
      <c r="QF1" s="46"/>
      <c r="QG1" s="46"/>
      <c r="QH1" s="46"/>
      <c r="QI1" s="46"/>
      <c r="QJ1" s="46"/>
      <c r="QK1" s="46"/>
      <c r="QL1" s="46"/>
      <c r="QM1" s="46"/>
      <c r="QN1" s="46"/>
      <c r="QO1" s="46"/>
      <c r="QP1" s="46"/>
      <c r="QQ1" s="46"/>
      <c r="QR1" s="46"/>
      <c r="QS1" s="46"/>
      <c r="QT1" s="46"/>
      <c r="QU1" s="46"/>
      <c r="QV1" s="46"/>
      <c r="QW1" s="46"/>
      <c r="QX1" s="46"/>
      <c r="QY1" s="46"/>
      <c r="QZ1" s="46"/>
      <c r="RA1" s="46"/>
      <c r="RB1" s="46"/>
      <c r="RC1" s="46"/>
      <c r="RD1" s="46"/>
      <c r="RE1" s="46"/>
      <c r="RF1" s="46"/>
      <c r="RG1" s="46"/>
      <c r="RH1" s="46"/>
      <c r="RI1" s="46"/>
      <c r="RJ1" s="46"/>
      <c r="RK1" s="46"/>
      <c r="RL1" s="46"/>
      <c r="RM1" s="46"/>
      <c r="RN1" s="46"/>
      <c r="RO1" s="46"/>
      <c r="RP1" s="46"/>
      <c r="RQ1" s="46"/>
      <c r="RR1" s="46"/>
      <c r="RS1" s="46"/>
      <c r="RT1" s="46"/>
      <c r="RU1" s="46"/>
      <c r="RV1" s="46"/>
      <c r="RW1" s="46"/>
      <c r="RX1" s="46"/>
      <c r="RY1" s="46"/>
      <c r="RZ1" s="46"/>
      <c r="SA1" s="46"/>
      <c r="SB1" s="46"/>
      <c r="SC1" s="46"/>
      <c r="SD1" s="46"/>
      <c r="SE1" s="46"/>
      <c r="SF1" s="46"/>
      <c r="SG1" s="46"/>
      <c r="SH1" s="46"/>
      <c r="SI1" s="46"/>
      <c r="SJ1" s="46"/>
      <c r="SK1" s="46"/>
      <c r="SL1" s="46"/>
    </row>
    <row r="2">
      <c r="A2" s="47"/>
      <c r="B2" s="48" t="str">
        <f>Inputs!E2</f>
        <v>Kenya</v>
      </c>
      <c r="C2" s="224"/>
      <c r="D2" s="225"/>
      <c r="E2" s="226"/>
      <c r="F2" s="48"/>
      <c r="G2" s="48"/>
      <c r="H2" s="49"/>
      <c r="I2" s="49"/>
      <c r="J2" s="49"/>
      <c r="K2" s="49"/>
      <c r="L2" s="49"/>
      <c r="M2" s="49"/>
      <c r="N2" s="49"/>
      <c r="O2" s="49"/>
      <c r="P2" s="49"/>
      <c r="Q2" s="49"/>
      <c r="R2" s="49"/>
      <c r="S2" s="49"/>
      <c r="T2" s="49"/>
      <c r="U2" s="49"/>
      <c r="V2" s="49"/>
      <c r="W2" s="49"/>
      <c r="X2" s="49"/>
      <c r="Y2" s="49"/>
      <c r="Z2" s="49"/>
      <c r="AA2" s="47"/>
      <c r="AB2" s="47"/>
      <c r="AC2" s="47"/>
      <c r="AD2" s="47"/>
      <c r="AE2" s="47"/>
      <c r="AF2" s="47"/>
      <c r="AG2" s="47"/>
      <c r="AH2" s="47"/>
      <c r="AI2" s="47"/>
      <c r="AJ2" s="47"/>
      <c r="AK2" s="47"/>
      <c r="AL2" s="47"/>
      <c r="AM2" s="47"/>
      <c r="AN2" s="47"/>
      <c r="AO2" s="47"/>
      <c r="AP2" s="47"/>
      <c r="AQ2" s="47"/>
      <c r="AR2" s="47"/>
      <c r="AS2" s="47"/>
      <c r="AT2" s="47"/>
      <c r="AU2" s="47"/>
      <c r="AV2" s="47"/>
      <c r="AW2" s="47"/>
      <c r="AX2" s="47"/>
      <c r="AY2" s="47"/>
      <c r="AZ2" s="47"/>
      <c r="BA2" s="47"/>
      <c r="BB2" s="47"/>
      <c r="BC2" s="47"/>
      <c r="BD2" s="47"/>
      <c r="BE2" s="47"/>
      <c r="BF2" s="47"/>
      <c r="BG2" s="47"/>
      <c r="BH2" s="47"/>
      <c r="BI2" s="47"/>
      <c r="BJ2" s="47"/>
      <c r="BK2" s="47"/>
      <c r="BL2" s="47"/>
      <c r="BM2" s="47"/>
      <c r="BN2" s="47"/>
      <c r="BO2" s="47"/>
      <c r="BP2" s="47"/>
      <c r="BQ2" s="47"/>
      <c r="BR2" s="47"/>
      <c r="BS2" s="47"/>
      <c r="BT2" s="47"/>
      <c r="BU2" s="47"/>
      <c r="BV2" s="47"/>
      <c r="BW2" s="47"/>
      <c r="BX2" s="47"/>
      <c r="BY2" s="47"/>
      <c r="BZ2" s="47"/>
      <c r="CA2" s="47"/>
      <c r="CB2" s="47"/>
      <c r="CC2" s="47"/>
      <c r="CD2" s="47"/>
      <c r="CE2" s="47"/>
      <c r="CF2" s="47"/>
      <c r="CG2" s="47"/>
      <c r="CH2" s="47"/>
      <c r="CI2" s="47"/>
      <c r="CJ2" s="47"/>
      <c r="CK2" s="47"/>
      <c r="CL2" s="47"/>
      <c r="CM2" s="47"/>
      <c r="CN2" s="47"/>
      <c r="CO2" s="47"/>
      <c r="CP2" s="47"/>
      <c r="CQ2" s="47"/>
      <c r="CR2" s="47"/>
      <c r="CS2" s="47"/>
      <c r="CT2" s="47"/>
      <c r="CU2" s="47"/>
      <c r="CV2" s="47"/>
      <c r="CW2" s="47"/>
      <c r="CX2" s="47"/>
      <c r="CY2" s="47"/>
      <c r="CZ2" s="47"/>
      <c r="DA2" s="47"/>
      <c r="DB2" s="47"/>
      <c r="DC2" s="47"/>
      <c r="DD2" s="47"/>
      <c r="DE2" s="47"/>
      <c r="DF2" s="47"/>
      <c r="DG2" s="47"/>
      <c r="DH2" s="47"/>
      <c r="DI2" s="47"/>
      <c r="DJ2" s="47"/>
      <c r="DK2" s="47"/>
      <c r="DL2" s="47"/>
      <c r="DM2" s="47"/>
      <c r="DN2" s="47"/>
      <c r="DO2" s="47"/>
      <c r="DP2" s="47"/>
      <c r="DQ2" s="47"/>
      <c r="DR2" s="47"/>
      <c r="DS2" s="47"/>
      <c r="DT2" s="47"/>
      <c r="DU2" s="47"/>
      <c r="DV2" s="47"/>
      <c r="DW2" s="47"/>
      <c r="DX2" s="47"/>
      <c r="DY2" s="47"/>
      <c r="DZ2" s="47"/>
      <c r="EA2" s="47"/>
      <c r="EB2" s="47"/>
      <c r="EC2" s="47"/>
      <c r="ED2" s="47"/>
      <c r="EE2" s="47"/>
      <c r="EF2" s="47"/>
      <c r="EG2" s="47"/>
      <c r="EH2" s="47"/>
      <c r="EI2" s="47"/>
      <c r="EJ2" s="47"/>
      <c r="EK2" s="47"/>
      <c r="EL2" s="47"/>
      <c r="EM2" s="47"/>
      <c r="EN2" s="47"/>
      <c r="EO2" s="47"/>
      <c r="EP2" s="47"/>
      <c r="EQ2" s="47"/>
      <c r="ER2" s="47"/>
      <c r="ES2" s="47"/>
      <c r="ET2" s="47"/>
      <c r="EU2" s="47"/>
      <c r="EV2" s="47"/>
      <c r="EW2" s="47"/>
      <c r="EX2" s="47"/>
      <c r="EY2" s="47"/>
      <c r="EZ2" s="47"/>
      <c r="FA2" s="47"/>
      <c r="FB2" s="47"/>
      <c r="FC2" s="47"/>
      <c r="FD2" s="47"/>
      <c r="FE2" s="47"/>
      <c r="FF2" s="47"/>
      <c r="FG2" s="47"/>
      <c r="FH2" s="47"/>
      <c r="FI2" s="47"/>
      <c r="FJ2" s="47"/>
      <c r="FK2" s="47"/>
      <c r="FL2" s="47"/>
      <c r="FM2" s="47"/>
      <c r="FN2" s="47"/>
      <c r="FO2" s="47"/>
      <c r="FP2" s="47"/>
      <c r="FQ2" s="47"/>
      <c r="FR2" s="47"/>
      <c r="FS2" s="47"/>
      <c r="FT2" s="47"/>
      <c r="FU2" s="47"/>
      <c r="FV2" s="47"/>
      <c r="FW2" s="47"/>
      <c r="FX2" s="47"/>
      <c r="FY2" s="47"/>
      <c r="FZ2" s="47"/>
      <c r="GA2" s="47"/>
      <c r="GB2" s="47"/>
      <c r="GC2" s="47"/>
      <c r="GD2" s="47"/>
      <c r="GE2" s="47"/>
      <c r="GF2" s="47"/>
      <c r="GG2" s="47"/>
      <c r="GH2" s="47"/>
      <c r="GI2" s="47"/>
      <c r="GJ2" s="47"/>
      <c r="GK2" s="47"/>
      <c r="GL2" s="47"/>
      <c r="GM2" s="47"/>
      <c r="GN2" s="47"/>
      <c r="GO2" s="47"/>
      <c r="GP2" s="47"/>
      <c r="GQ2" s="47"/>
      <c r="GR2" s="47"/>
      <c r="GS2" s="47"/>
      <c r="GT2" s="47"/>
      <c r="GU2" s="47"/>
      <c r="GV2" s="47"/>
      <c r="GW2" s="47"/>
      <c r="GX2" s="47"/>
      <c r="GY2" s="47"/>
      <c r="GZ2" s="47"/>
      <c r="HA2" s="47"/>
      <c r="HB2" s="47"/>
      <c r="HC2" s="47"/>
      <c r="HD2" s="47"/>
      <c r="HE2" s="47"/>
      <c r="HF2" s="47"/>
      <c r="HG2" s="47"/>
      <c r="HH2" s="47"/>
      <c r="HI2" s="47"/>
      <c r="HJ2" s="47"/>
      <c r="HK2" s="47"/>
      <c r="HL2" s="47"/>
      <c r="HM2" s="47"/>
      <c r="HN2" s="47"/>
      <c r="HO2" s="47"/>
      <c r="HP2" s="47"/>
      <c r="HQ2" s="47"/>
      <c r="HR2" s="47"/>
      <c r="HS2" s="47"/>
      <c r="HT2" s="47"/>
      <c r="HU2" s="47"/>
      <c r="HV2" s="47"/>
      <c r="HW2" s="47"/>
      <c r="HX2" s="47"/>
      <c r="HY2" s="47"/>
      <c r="HZ2" s="47"/>
      <c r="IA2" s="47"/>
      <c r="IB2" s="47"/>
      <c r="IC2" s="47"/>
      <c r="ID2" s="47"/>
      <c r="IE2" s="47"/>
      <c r="IF2" s="47"/>
      <c r="IG2" s="47"/>
      <c r="IH2" s="47"/>
      <c r="II2" s="47"/>
      <c r="IJ2" s="47"/>
      <c r="IK2" s="47"/>
      <c r="IL2" s="47"/>
      <c r="IM2" s="47"/>
      <c r="IN2" s="47"/>
      <c r="IO2" s="47"/>
      <c r="IP2" s="47"/>
      <c r="IQ2" s="47"/>
      <c r="IR2" s="47"/>
      <c r="IS2" s="47"/>
      <c r="IT2" s="47"/>
      <c r="IU2" s="47"/>
      <c r="IV2" s="47"/>
      <c r="IW2" s="47"/>
      <c r="IX2" s="47"/>
      <c r="IY2" s="47"/>
      <c r="IZ2" s="47"/>
      <c r="JA2" s="47"/>
      <c r="JB2" s="47"/>
      <c r="JC2" s="47"/>
      <c r="JD2" s="47"/>
      <c r="JE2" s="47"/>
      <c r="JF2" s="47"/>
      <c r="JG2" s="47"/>
      <c r="JH2" s="47"/>
      <c r="JI2" s="47"/>
      <c r="JJ2" s="47"/>
      <c r="JK2" s="47"/>
      <c r="JL2" s="47"/>
      <c r="JM2" s="47"/>
      <c r="JN2" s="47"/>
      <c r="JO2" s="47"/>
      <c r="JP2" s="47"/>
      <c r="JQ2" s="47"/>
      <c r="JR2" s="47"/>
      <c r="JS2" s="47"/>
      <c r="JT2" s="47"/>
      <c r="JU2" s="47"/>
      <c r="JV2" s="47"/>
      <c r="JW2" s="47"/>
      <c r="JX2" s="47"/>
      <c r="JY2" s="47"/>
      <c r="JZ2" s="47"/>
      <c r="KA2" s="47"/>
      <c r="KB2" s="47"/>
      <c r="KC2" s="47"/>
      <c r="KD2" s="47"/>
      <c r="KE2" s="47"/>
      <c r="KF2" s="47"/>
      <c r="KG2" s="47"/>
      <c r="KH2" s="47"/>
      <c r="KI2" s="47"/>
      <c r="KJ2" s="47"/>
      <c r="KK2" s="47"/>
      <c r="KL2" s="47"/>
      <c r="KM2" s="47"/>
      <c r="KN2" s="47"/>
      <c r="KO2" s="47"/>
      <c r="KP2" s="47"/>
      <c r="KQ2" s="47"/>
      <c r="KR2" s="47"/>
      <c r="KS2" s="47"/>
      <c r="KT2" s="47"/>
      <c r="KU2" s="47"/>
      <c r="KV2" s="47"/>
      <c r="KW2" s="47"/>
      <c r="KX2" s="47"/>
      <c r="KY2" s="47"/>
      <c r="KZ2" s="47"/>
      <c r="LA2" s="47"/>
      <c r="LB2" s="47"/>
      <c r="LC2" s="47"/>
      <c r="LD2" s="47"/>
      <c r="LE2" s="47"/>
      <c r="LF2" s="47"/>
      <c r="LG2" s="47"/>
      <c r="LH2" s="47"/>
      <c r="LI2" s="47"/>
      <c r="LJ2" s="47"/>
      <c r="LK2" s="47"/>
      <c r="LL2" s="47"/>
      <c r="LM2" s="47"/>
      <c r="LN2" s="47"/>
      <c r="LO2" s="47"/>
      <c r="LP2" s="47"/>
      <c r="LQ2" s="47"/>
      <c r="LR2" s="47"/>
      <c r="LS2" s="47"/>
      <c r="LT2" s="47"/>
      <c r="LU2" s="47"/>
      <c r="LV2" s="47"/>
      <c r="LW2" s="47"/>
      <c r="LX2" s="47"/>
      <c r="LY2" s="47"/>
      <c r="LZ2" s="47"/>
      <c r="MA2" s="47"/>
      <c r="MB2" s="47"/>
      <c r="MC2" s="47"/>
      <c r="MD2" s="47"/>
      <c r="ME2" s="47"/>
      <c r="MF2" s="47"/>
      <c r="MG2" s="47"/>
      <c r="MH2" s="47"/>
      <c r="MI2" s="47"/>
      <c r="MJ2" s="47"/>
      <c r="MK2" s="47"/>
      <c r="ML2" s="47"/>
      <c r="MM2" s="47"/>
      <c r="MN2" s="47"/>
      <c r="MO2" s="47"/>
      <c r="MP2" s="47"/>
      <c r="MQ2" s="47"/>
      <c r="MR2" s="47"/>
      <c r="MS2" s="47"/>
      <c r="MT2" s="47"/>
      <c r="MU2" s="47"/>
      <c r="MV2" s="47"/>
      <c r="MW2" s="47"/>
      <c r="MX2" s="47"/>
      <c r="MY2" s="47"/>
      <c r="MZ2" s="47"/>
      <c r="NA2" s="47"/>
      <c r="NB2" s="47"/>
      <c r="NC2" s="47"/>
      <c r="ND2" s="47"/>
      <c r="NE2" s="47"/>
      <c r="NF2" s="47"/>
      <c r="NG2" s="47"/>
      <c r="NH2" s="47"/>
      <c r="NI2" s="47"/>
      <c r="NJ2" s="47"/>
      <c r="NK2" s="47"/>
      <c r="NL2" s="47"/>
      <c r="NM2" s="47"/>
      <c r="NN2" s="47"/>
      <c r="NO2" s="47"/>
      <c r="NP2" s="47"/>
      <c r="NQ2" s="47"/>
      <c r="NR2" s="47"/>
      <c r="NS2" s="47"/>
      <c r="NT2" s="47"/>
      <c r="NU2" s="47"/>
      <c r="NV2" s="47"/>
      <c r="NW2" s="47"/>
      <c r="NX2" s="47"/>
      <c r="NY2" s="47"/>
      <c r="NZ2" s="47"/>
      <c r="OA2" s="47"/>
      <c r="OB2" s="47"/>
      <c r="OC2" s="47"/>
      <c r="OD2" s="47"/>
      <c r="OE2" s="47"/>
      <c r="OF2" s="47"/>
      <c r="OG2" s="47"/>
      <c r="OH2" s="47"/>
      <c r="OI2" s="47"/>
      <c r="OJ2" s="47"/>
      <c r="OK2" s="47"/>
      <c r="OL2" s="47"/>
      <c r="OM2" s="47"/>
      <c r="ON2" s="47"/>
      <c r="OO2" s="47"/>
      <c r="OP2" s="47"/>
      <c r="OQ2" s="47"/>
      <c r="OR2" s="47"/>
      <c r="OS2" s="47"/>
      <c r="OT2" s="47"/>
      <c r="OU2" s="47"/>
      <c r="OV2" s="47"/>
      <c r="OW2" s="47"/>
      <c r="OX2" s="47"/>
      <c r="OY2" s="47"/>
      <c r="OZ2" s="47"/>
      <c r="PA2" s="47"/>
      <c r="PB2" s="47"/>
      <c r="PC2" s="47"/>
      <c r="PD2" s="47"/>
      <c r="PE2" s="47"/>
      <c r="PF2" s="47"/>
      <c r="PG2" s="47"/>
      <c r="PH2" s="47"/>
      <c r="PI2" s="47"/>
      <c r="PJ2" s="47"/>
      <c r="PK2" s="47"/>
      <c r="PL2" s="47"/>
      <c r="PM2" s="47"/>
      <c r="PN2" s="47"/>
      <c r="PO2" s="47"/>
      <c r="PP2" s="47"/>
      <c r="PQ2" s="47"/>
      <c r="PR2" s="47"/>
      <c r="PS2" s="47"/>
      <c r="PT2" s="47"/>
      <c r="PU2" s="47"/>
      <c r="PV2" s="47"/>
      <c r="PW2" s="47"/>
      <c r="PX2" s="47"/>
      <c r="PY2" s="47"/>
      <c r="PZ2" s="47"/>
      <c r="QA2" s="47"/>
      <c r="QB2" s="47"/>
      <c r="QC2" s="47"/>
      <c r="QD2" s="47"/>
      <c r="QE2" s="47"/>
      <c r="QF2" s="47"/>
      <c r="QG2" s="47"/>
      <c r="QH2" s="47"/>
      <c r="QI2" s="47"/>
      <c r="QJ2" s="47"/>
      <c r="QK2" s="47"/>
      <c r="QL2" s="47"/>
      <c r="QM2" s="47"/>
      <c r="QN2" s="47"/>
      <c r="QO2" s="47"/>
      <c r="QP2" s="47"/>
      <c r="QQ2" s="47"/>
      <c r="QR2" s="47"/>
      <c r="QS2" s="47"/>
      <c r="QT2" s="47"/>
      <c r="QU2" s="47"/>
      <c r="QV2" s="47"/>
      <c r="QW2" s="47"/>
      <c r="QX2" s="47"/>
      <c r="QY2" s="47"/>
      <c r="QZ2" s="47"/>
      <c r="RA2" s="47"/>
      <c r="RB2" s="47"/>
      <c r="RC2" s="47"/>
      <c r="RD2" s="47"/>
      <c r="RE2" s="47"/>
      <c r="RF2" s="47"/>
      <c r="RG2" s="47"/>
      <c r="RH2" s="47"/>
      <c r="RI2" s="47"/>
      <c r="RJ2" s="47"/>
      <c r="RK2" s="47"/>
      <c r="RL2" s="47"/>
      <c r="RM2" s="47"/>
      <c r="RN2" s="47"/>
      <c r="RO2" s="47"/>
      <c r="RP2" s="47"/>
      <c r="RQ2" s="47"/>
      <c r="RR2" s="47"/>
      <c r="RS2" s="47"/>
      <c r="RT2" s="47"/>
      <c r="RU2" s="47"/>
      <c r="RV2" s="47"/>
      <c r="RW2" s="47"/>
      <c r="RX2" s="47"/>
      <c r="RY2" s="47"/>
      <c r="RZ2" s="47"/>
      <c r="SA2" s="47"/>
      <c r="SB2" s="47"/>
      <c r="SC2" s="47"/>
      <c r="SD2" s="47"/>
      <c r="SE2" s="47"/>
      <c r="SF2" s="47"/>
      <c r="SG2" s="47"/>
      <c r="SH2" s="47"/>
      <c r="SI2" s="47"/>
      <c r="SJ2" s="47"/>
      <c r="SK2" s="47"/>
      <c r="SL2" s="47"/>
    </row>
    <row r="3">
      <c r="A3" s="50" t="s">
        <v>79</v>
      </c>
      <c r="B3" s="51"/>
      <c r="C3" s="227"/>
      <c r="D3" s="145"/>
      <c r="E3" s="228"/>
      <c r="F3" s="229" t="s">
        <v>384</v>
      </c>
      <c r="G3" s="230">
        <v>1.0</v>
      </c>
      <c r="H3" s="230">
        <f t="shared" ref="H3:SL3" si="1">G3+1</f>
        <v>2</v>
      </c>
      <c r="I3" s="230">
        <f t="shared" si="1"/>
        <v>3</v>
      </c>
      <c r="J3" s="230">
        <f t="shared" si="1"/>
        <v>4</v>
      </c>
      <c r="K3" s="230">
        <f t="shared" si="1"/>
        <v>5</v>
      </c>
      <c r="L3" s="230">
        <f t="shared" si="1"/>
        <v>6</v>
      </c>
      <c r="M3" s="230">
        <f t="shared" si="1"/>
        <v>7</v>
      </c>
      <c r="N3" s="230">
        <f t="shared" si="1"/>
        <v>8</v>
      </c>
      <c r="O3" s="230">
        <f t="shared" si="1"/>
        <v>9</v>
      </c>
      <c r="P3" s="230">
        <f t="shared" si="1"/>
        <v>10</v>
      </c>
      <c r="Q3" s="230">
        <f t="shared" si="1"/>
        <v>11</v>
      </c>
      <c r="R3" s="230">
        <f t="shared" si="1"/>
        <v>12</v>
      </c>
      <c r="S3" s="230">
        <f t="shared" si="1"/>
        <v>13</v>
      </c>
      <c r="T3" s="230">
        <f t="shared" si="1"/>
        <v>14</v>
      </c>
      <c r="U3" s="230">
        <f t="shared" si="1"/>
        <v>15</v>
      </c>
      <c r="V3" s="230">
        <f t="shared" si="1"/>
        <v>16</v>
      </c>
      <c r="W3" s="230">
        <f t="shared" si="1"/>
        <v>17</v>
      </c>
      <c r="X3" s="230">
        <f t="shared" si="1"/>
        <v>18</v>
      </c>
      <c r="Y3" s="230">
        <f t="shared" si="1"/>
        <v>19</v>
      </c>
      <c r="Z3" s="230">
        <f t="shared" si="1"/>
        <v>20</v>
      </c>
      <c r="AA3" s="230">
        <f t="shared" si="1"/>
        <v>21</v>
      </c>
      <c r="AB3" s="230">
        <f t="shared" si="1"/>
        <v>22</v>
      </c>
      <c r="AC3" s="230">
        <f t="shared" si="1"/>
        <v>23</v>
      </c>
      <c r="AD3" s="230">
        <f t="shared" si="1"/>
        <v>24</v>
      </c>
      <c r="AE3" s="230">
        <f t="shared" si="1"/>
        <v>25</v>
      </c>
      <c r="AF3" s="230">
        <f t="shared" si="1"/>
        <v>26</v>
      </c>
      <c r="AG3" s="230">
        <f t="shared" si="1"/>
        <v>27</v>
      </c>
      <c r="AH3" s="230">
        <f t="shared" si="1"/>
        <v>28</v>
      </c>
      <c r="AI3" s="230">
        <f t="shared" si="1"/>
        <v>29</v>
      </c>
      <c r="AJ3" s="230">
        <f t="shared" si="1"/>
        <v>30</v>
      </c>
      <c r="AK3" s="230">
        <f t="shared" si="1"/>
        <v>31</v>
      </c>
      <c r="AL3" s="230">
        <f t="shared" si="1"/>
        <v>32</v>
      </c>
      <c r="AM3" s="230">
        <f t="shared" si="1"/>
        <v>33</v>
      </c>
      <c r="AN3" s="230">
        <f t="shared" si="1"/>
        <v>34</v>
      </c>
      <c r="AO3" s="230">
        <f t="shared" si="1"/>
        <v>35</v>
      </c>
      <c r="AP3" s="230">
        <f t="shared" si="1"/>
        <v>36</v>
      </c>
      <c r="AQ3" s="230">
        <f t="shared" si="1"/>
        <v>37</v>
      </c>
      <c r="AR3" s="230">
        <f t="shared" si="1"/>
        <v>38</v>
      </c>
      <c r="AS3" s="230">
        <f t="shared" si="1"/>
        <v>39</v>
      </c>
      <c r="AT3" s="230">
        <f t="shared" si="1"/>
        <v>40</v>
      </c>
      <c r="AU3" s="230">
        <f t="shared" si="1"/>
        <v>41</v>
      </c>
      <c r="AV3" s="230">
        <f t="shared" si="1"/>
        <v>42</v>
      </c>
      <c r="AW3" s="230">
        <f t="shared" si="1"/>
        <v>43</v>
      </c>
      <c r="AX3" s="230">
        <f t="shared" si="1"/>
        <v>44</v>
      </c>
      <c r="AY3" s="230">
        <f t="shared" si="1"/>
        <v>45</v>
      </c>
      <c r="AZ3" s="230">
        <f t="shared" si="1"/>
        <v>46</v>
      </c>
      <c r="BA3" s="230">
        <f t="shared" si="1"/>
        <v>47</v>
      </c>
      <c r="BB3" s="230">
        <f t="shared" si="1"/>
        <v>48</v>
      </c>
      <c r="BC3" s="230">
        <f t="shared" si="1"/>
        <v>49</v>
      </c>
      <c r="BD3" s="230">
        <f t="shared" si="1"/>
        <v>50</v>
      </c>
      <c r="BE3" s="230">
        <f t="shared" si="1"/>
        <v>51</v>
      </c>
      <c r="BF3" s="230">
        <f t="shared" si="1"/>
        <v>52</v>
      </c>
      <c r="BG3" s="230">
        <f t="shared" si="1"/>
        <v>53</v>
      </c>
      <c r="BH3" s="230">
        <f t="shared" si="1"/>
        <v>54</v>
      </c>
      <c r="BI3" s="230">
        <f t="shared" si="1"/>
        <v>55</v>
      </c>
      <c r="BJ3" s="230">
        <f t="shared" si="1"/>
        <v>56</v>
      </c>
      <c r="BK3" s="230">
        <f t="shared" si="1"/>
        <v>57</v>
      </c>
      <c r="BL3" s="230">
        <f t="shared" si="1"/>
        <v>58</v>
      </c>
      <c r="BM3" s="230">
        <f t="shared" si="1"/>
        <v>59</v>
      </c>
      <c r="BN3" s="230">
        <f t="shared" si="1"/>
        <v>60</v>
      </c>
      <c r="BO3" s="230">
        <f t="shared" si="1"/>
        <v>61</v>
      </c>
      <c r="BP3" s="230">
        <f t="shared" si="1"/>
        <v>62</v>
      </c>
      <c r="BQ3" s="230">
        <f t="shared" si="1"/>
        <v>63</v>
      </c>
      <c r="BR3" s="230">
        <f t="shared" si="1"/>
        <v>64</v>
      </c>
      <c r="BS3" s="230">
        <f t="shared" si="1"/>
        <v>65</v>
      </c>
      <c r="BT3" s="230">
        <f t="shared" si="1"/>
        <v>66</v>
      </c>
      <c r="BU3" s="230">
        <f t="shared" si="1"/>
        <v>67</v>
      </c>
      <c r="BV3" s="230">
        <f t="shared" si="1"/>
        <v>68</v>
      </c>
      <c r="BW3" s="230">
        <f t="shared" si="1"/>
        <v>69</v>
      </c>
      <c r="BX3" s="230">
        <f t="shared" si="1"/>
        <v>70</v>
      </c>
      <c r="BY3" s="230">
        <f t="shared" si="1"/>
        <v>71</v>
      </c>
      <c r="BZ3" s="230">
        <f t="shared" si="1"/>
        <v>72</v>
      </c>
      <c r="CA3" s="230">
        <f t="shared" si="1"/>
        <v>73</v>
      </c>
      <c r="CB3" s="230">
        <f t="shared" si="1"/>
        <v>74</v>
      </c>
      <c r="CC3" s="230">
        <f t="shared" si="1"/>
        <v>75</v>
      </c>
      <c r="CD3" s="230">
        <f t="shared" si="1"/>
        <v>76</v>
      </c>
      <c r="CE3" s="230">
        <f t="shared" si="1"/>
        <v>77</v>
      </c>
      <c r="CF3" s="230">
        <f t="shared" si="1"/>
        <v>78</v>
      </c>
      <c r="CG3" s="230">
        <f t="shared" si="1"/>
        <v>79</v>
      </c>
      <c r="CH3" s="230">
        <f t="shared" si="1"/>
        <v>80</v>
      </c>
      <c r="CI3" s="230">
        <f t="shared" si="1"/>
        <v>81</v>
      </c>
      <c r="CJ3" s="230">
        <f t="shared" si="1"/>
        <v>82</v>
      </c>
      <c r="CK3" s="230">
        <f t="shared" si="1"/>
        <v>83</v>
      </c>
      <c r="CL3" s="230">
        <f t="shared" si="1"/>
        <v>84</v>
      </c>
      <c r="CM3" s="230">
        <f t="shared" si="1"/>
        <v>85</v>
      </c>
      <c r="CN3" s="230">
        <f t="shared" si="1"/>
        <v>86</v>
      </c>
      <c r="CO3" s="230">
        <f t="shared" si="1"/>
        <v>87</v>
      </c>
      <c r="CP3" s="230">
        <f t="shared" si="1"/>
        <v>88</v>
      </c>
      <c r="CQ3" s="230">
        <f t="shared" si="1"/>
        <v>89</v>
      </c>
      <c r="CR3" s="230">
        <f t="shared" si="1"/>
        <v>90</v>
      </c>
      <c r="CS3" s="230">
        <f t="shared" si="1"/>
        <v>91</v>
      </c>
      <c r="CT3" s="230">
        <f t="shared" si="1"/>
        <v>92</v>
      </c>
      <c r="CU3" s="230">
        <f t="shared" si="1"/>
        <v>93</v>
      </c>
      <c r="CV3" s="230">
        <f t="shared" si="1"/>
        <v>94</v>
      </c>
      <c r="CW3" s="230">
        <f t="shared" si="1"/>
        <v>95</v>
      </c>
      <c r="CX3" s="230">
        <f t="shared" si="1"/>
        <v>96</v>
      </c>
      <c r="CY3" s="230">
        <f t="shared" si="1"/>
        <v>97</v>
      </c>
      <c r="CZ3" s="230">
        <f t="shared" si="1"/>
        <v>98</v>
      </c>
      <c r="DA3" s="230">
        <f t="shared" si="1"/>
        <v>99</v>
      </c>
      <c r="DB3" s="230">
        <f t="shared" si="1"/>
        <v>100</v>
      </c>
      <c r="DC3" s="230">
        <f t="shared" si="1"/>
        <v>101</v>
      </c>
      <c r="DD3" s="230">
        <f t="shared" si="1"/>
        <v>102</v>
      </c>
      <c r="DE3" s="230">
        <f t="shared" si="1"/>
        <v>103</v>
      </c>
      <c r="DF3" s="230">
        <f t="shared" si="1"/>
        <v>104</v>
      </c>
      <c r="DG3" s="230">
        <f t="shared" si="1"/>
        <v>105</v>
      </c>
      <c r="DH3" s="230">
        <f t="shared" si="1"/>
        <v>106</v>
      </c>
      <c r="DI3" s="230">
        <f t="shared" si="1"/>
        <v>107</v>
      </c>
      <c r="DJ3" s="230">
        <f t="shared" si="1"/>
        <v>108</v>
      </c>
      <c r="DK3" s="230">
        <f t="shared" si="1"/>
        <v>109</v>
      </c>
      <c r="DL3" s="230">
        <f t="shared" si="1"/>
        <v>110</v>
      </c>
      <c r="DM3" s="230">
        <f t="shared" si="1"/>
        <v>111</v>
      </c>
      <c r="DN3" s="230">
        <f t="shared" si="1"/>
        <v>112</v>
      </c>
      <c r="DO3" s="230">
        <f t="shared" si="1"/>
        <v>113</v>
      </c>
      <c r="DP3" s="230">
        <f t="shared" si="1"/>
        <v>114</v>
      </c>
      <c r="DQ3" s="230">
        <f t="shared" si="1"/>
        <v>115</v>
      </c>
      <c r="DR3" s="230">
        <f t="shared" si="1"/>
        <v>116</v>
      </c>
      <c r="DS3" s="230">
        <f t="shared" si="1"/>
        <v>117</v>
      </c>
      <c r="DT3" s="230">
        <f t="shared" si="1"/>
        <v>118</v>
      </c>
      <c r="DU3" s="230">
        <f t="shared" si="1"/>
        <v>119</v>
      </c>
      <c r="DV3" s="230">
        <f t="shared" si="1"/>
        <v>120</v>
      </c>
      <c r="DW3" s="230">
        <f t="shared" si="1"/>
        <v>121</v>
      </c>
      <c r="DX3" s="230">
        <f t="shared" si="1"/>
        <v>122</v>
      </c>
      <c r="DY3" s="230">
        <f t="shared" si="1"/>
        <v>123</v>
      </c>
      <c r="DZ3" s="230">
        <f t="shared" si="1"/>
        <v>124</v>
      </c>
      <c r="EA3" s="230">
        <f t="shared" si="1"/>
        <v>125</v>
      </c>
      <c r="EB3" s="230">
        <f t="shared" si="1"/>
        <v>126</v>
      </c>
      <c r="EC3" s="230">
        <f t="shared" si="1"/>
        <v>127</v>
      </c>
      <c r="ED3" s="230">
        <f t="shared" si="1"/>
        <v>128</v>
      </c>
      <c r="EE3" s="230">
        <f t="shared" si="1"/>
        <v>129</v>
      </c>
      <c r="EF3" s="230">
        <f t="shared" si="1"/>
        <v>130</v>
      </c>
      <c r="EG3" s="230">
        <f t="shared" si="1"/>
        <v>131</v>
      </c>
      <c r="EH3" s="230">
        <f t="shared" si="1"/>
        <v>132</v>
      </c>
      <c r="EI3" s="230">
        <f t="shared" si="1"/>
        <v>133</v>
      </c>
      <c r="EJ3" s="230">
        <f t="shared" si="1"/>
        <v>134</v>
      </c>
      <c r="EK3" s="230">
        <f t="shared" si="1"/>
        <v>135</v>
      </c>
      <c r="EL3" s="230">
        <f t="shared" si="1"/>
        <v>136</v>
      </c>
      <c r="EM3" s="230">
        <f t="shared" si="1"/>
        <v>137</v>
      </c>
      <c r="EN3" s="230">
        <f t="shared" si="1"/>
        <v>138</v>
      </c>
      <c r="EO3" s="230">
        <f t="shared" si="1"/>
        <v>139</v>
      </c>
      <c r="EP3" s="230">
        <f t="shared" si="1"/>
        <v>140</v>
      </c>
      <c r="EQ3" s="230">
        <f t="shared" si="1"/>
        <v>141</v>
      </c>
      <c r="ER3" s="230">
        <f t="shared" si="1"/>
        <v>142</v>
      </c>
      <c r="ES3" s="230">
        <f t="shared" si="1"/>
        <v>143</v>
      </c>
      <c r="ET3" s="230">
        <f t="shared" si="1"/>
        <v>144</v>
      </c>
      <c r="EU3" s="230">
        <f t="shared" si="1"/>
        <v>145</v>
      </c>
      <c r="EV3" s="230">
        <f t="shared" si="1"/>
        <v>146</v>
      </c>
      <c r="EW3" s="230">
        <f t="shared" si="1"/>
        <v>147</v>
      </c>
      <c r="EX3" s="230">
        <f t="shared" si="1"/>
        <v>148</v>
      </c>
      <c r="EY3" s="230">
        <f t="shared" si="1"/>
        <v>149</v>
      </c>
      <c r="EZ3" s="230">
        <f t="shared" si="1"/>
        <v>150</v>
      </c>
      <c r="FA3" s="230">
        <f t="shared" si="1"/>
        <v>151</v>
      </c>
      <c r="FB3" s="230">
        <f t="shared" si="1"/>
        <v>152</v>
      </c>
      <c r="FC3" s="230">
        <f t="shared" si="1"/>
        <v>153</v>
      </c>
      <c r="FD3" s="230">
        <f t="shared" si="1"/>
        <v>154</v>
      </c>
      <c r="FE3" s="230">
        <f t="shared" si="1"/>
        <v>155</v>
      </c>
      <c r="FF3" s="230">
        <f t="shared" si="1"/>
        <v>156</v>
      </c>
      <c r="FG3" s="230">
        <f t="shared" si="1"/>
        <v>157</v>
      </c>
      <c r="FH3" s="230">
        <f t="shared" si="1"/>
        <v>158</v>
      </c>
      <c r="FI3" s="230">
        <f t="shared" si="1"/>
        <v>159</v>
      </c>
      <c r="FJ3" s="230">
        <f t="shared" si="1"/>
        <v>160</v>
      </c>
      <c r="FK3" s="230">
        <f t="shared" si="1"/>
        <v>161</v>
      </c>
      <c r="FL3" s="230">
        <f t="shared" si="1"/>
        <v>162</v>
      </c>
      <c r="FM3" s="230">
        <f t="shared" si="1"/>
        <v>163</v>
      </c>
      <c r="FN3" s="230">
        <f t="shared" si="1"/>
        <v>164</v>
      </c>
      <c r="FO3" s="230">
        <f t="shared" si="1"/>
        <v>165</v>
      </c>
      <c r="FP3" s="230">
        <f t="shared" si="1"/>
        <v>166</v>
      </c>
      <c r="FQ3" s="230">
        <f t="shared" si="1"/>
        <v>167</v>
      </c>
      <c r="FR3" s="230">
        <f t="shared" si="1"/>
        <v>168</v>
      </c>
      <c r="FS3" s="230">
        <f t="shared" si="1"/>
        <v>169</v>
      </c>
      <c r="FT3" s="230">
        <f t="shared" si="1"/>
        <v>170</v>
      </c>
      <c r="FU3" s="230">
        <f t="shared" si="1"/>
        <v>171</v>
      </c>
      <c r="FV3" s="230">
        <f t="shared" si="1"/>
        <v>172</v>
      </c>
      <c r="FW3" s="230">
        <f t="shared" si="1"/>
        <v>173</v>
      </c>
      <c r="FX3" s="230">
        <f t="shared" si="1"/>
        <v>174</v>
      </c>
      <c r="FY3" s="230">
        <f t="shared" si="1"/>
        <v>175</v>
      </c>
      <c r="FZ3" s="230">
        <f t="shared" si="1"/>
        <v>176</v>
      </c>
      <c r="GA3" s="230">
        <f t="shared" si="1"/>
        <v>177</v>
      </c>
      <c r="GB3" s="230">
        <f t="shared" si="1"/>
        <v>178</v>
      </c>
      <c r="GC3" s="230">
        <f t="shared" si="1"/>
        <v>179</v>
      </c>
      <c r="GD3" s="230">
        <f t="shared" si="1"/>
        <v>180</v>
      </c>
      <c r="GE3" s="230">
        <f t="shared" si="1"/>
        <v>181</v>
      </c>
      <c r="GF3" s="230">
        <f t="shared" si="1"/>
        <v>182</v>
      </c>
      <c r="GG3" s="230">
        <f t="shared" si="1"/>
        <v>183</v>
      </c>
      <c r="GH3" s="230">
        <f t="shared" si="1"/>
        <v>184</v>
      </c>
      <c r="GI3" s="230">
        <f t="shared" si="1"/>
        <v>185</v>
      </c>
      <c r="GJ3" s="230">
        <f t="shared" si="1"/>
        <v>186</v>
      </c>
      <c r="GK3" s="230">
        <f t="shared" si="1"/>
        <v>187</v>
      </c>
      <c r="GL3" s="230">
        <f t="shared" si="1"/>
        <v>188</v>
      </c>
      <c r="GM3" s="230">
        <f t="shared" si="1"/>
        <v>189</v>
      </c>
      <c r="GN3" s="230">
        <f t="shared" si="1"/>
        <v>190</v>
      </c>
      <c r="GO3" s="230">
        <f t="shared" si="1"/>
        <v>191</v>
      </c>
      <c r="GP3" s="230">
        <f t="shared" si="1"/>
        <v>192</v>
      </c>
      <c r="GQ3" s="230">
        <f t="shared" si="1"/>
        <v>193</v>
      </c>
      <c r="GR3" s="230">
        <f t="shared" si="1"/>
        <v>194</v>
      </c>
      <c r="GS3" s="230">
        <f t="shared" si="1"/>
        <v>195</v>
      </c>
      <c r="GT3" s="230">
        <f t="shared" si="1"/>
        <v>196</v>
      </c>
      <c r="GU3" s="230">
        <f t="shared" si="1"/>
        <v>197</v>
      </c>
      <c r="GV3" s="230">
        <f t="shared" si="1"/>
        <v>198</v>
      </c>
      <c r="GW3" s="230">
        <f t="shared" si="1"/>
        <v>199</v>
      </c>
      <c r="GX3" s="230">
        <f t="shared" si="1"/>
        <v>200</v>
      </c>
      <c r="GY3" s="230">
        <f t="shared" si="1"/>
        <v>201</v>
      </c>
      <c r="GZ3" s="230">
        <f t="shared" si="1"/>
        <v>202</v>
      </c>
      <c r="HA3" s="230">
        <f t="shared" si="1"/>
        <v>203</v>
      </c>
      <c r="HB3" s="230">
        <f t="shared" si="1"/>
        <v>204</v>
      </c>
      <c r="HC3" s="230">
        <f t="shared" si="1"/>
        <v>205</v>
      </c>
      <c r="HD3" s="230">
        <f t="shared" si="1"/>
        <v>206</v>
      </c>
      <c r="HE3" s="230">
        <f t="shared" si="1"/>
        <v>207</v>
      </c>
      <c r="HF3" s="230">
        <f t="shared" si="1"/>
        <v>208</v>
      </c>
      <c r="HG3" s="230">
        <f t="shared" si="1"/>
        <v>209</v>
      </c>
      <c r="HH3" s="230">
        <f t="shared" si="1"/>
        <v>210</v>
      </c>
      <c r="HI3" s="230">
        <f t="shared" si="1"/>
        <v>211</v>
      </c>
      <c r="HJ3" s="230">
        <f t="shared" si="1"/>
        <v>212</v>
      </c>
      <c r="HK3" s="230">
        <f t="shared" si="1"/>
        <v>213</v>
      </c>
      <c r="HL3" s="230">
        <f t="shared" si="1"/>
        <v>214</v>
      </c>
      <c r="HM3" s="230">
        <f t="shared" si="1"/>
        <v>215</v>
      </c>
      <c r="HN3" s="230">
        <f t="shared" si="1"/>
        <v>216</v>
      </c>
      <c r="HO3" s="230">
        <f t="shared" si="1"/>
        <v>217</v>
      </c>
      <c r="HP3" s="230">
        <f t="shared" si="1"/>
        <v>218</v>
      </c>
      <c r="HQ3" s="230">
        <f t="shared" si="1"/>
        <v>219</v>
      </c>
      <c r="HR3" s="230">
        <f t="shared" si="1"/>
        <v>220</v>
      </c>
      <c r="HS3" s="230">
        <f t="shared" si="1"/>
        <v>221</v>
      </c>
      <c r="HT3" s="230">
        <f t="shared" si="1"/>
        <v>222</v>
      </c>
      <c r="HU3" s="230">
        <f t="shared" si="1"/>
        <v>223</v>
      </c>
      <c r="HV3" s="230">
        <f t="shared" si="1"/>
        <v>224</v>
      </c>
      <c r="HW3" s="230">
        <f t="shared" si="1"/>
        <v>225</v>
      </c>
      <c r="HX3" s="230">
        <f t="shared" si="1"/>
        <v>226</v>
      </c>
      <c r="HY3" s="230">
        <f t="shared" si="1"/>
        <v>227</v>
      </c>
      <c r="HZ3" s="230">
        <f t="shared" si="1"/>
        <v>228</v>
      </c>
      <c r="IA3" s="230">
        <f t="shared" si="1"/>
        <v>229</v>
      </c>
      <c r="IB3" s="230">
        <f t="shared" si="1"/>
        <v>230</v>
      </c>
      <c r="IC3" s="230">
        <f t="shared" si="1"/>
        <v>231</v>
      </c>
      <c r="ID3" s="230">
        <f t="shared" si="1"/>
        <v>232</v>
      </c>
      <c r="IE3" s="230">
        <f t="shared" si="1"/>
        <v>233</v>
      </c>
      <c r="IF3" s="230">
        <f t="shared" si="1"/>
        <v>234</v>
      </c>
      <c r="IG3" s="230">
        <f t="shared" si="1"/>
        <v>235</v>
      </c>
      <c r="IH3" s="230">
        <f t="shared" si="1"/>
        <v>236</v>
      </c>
      <c r="II3" s="230">
        <f t="shared" si="1"/>
        <v>237</v>
      </c>
      <c r="IJ3" s="230">
        <f t="shared" si="1"/>
        <v>238</v>
      </c>
      <c r="IK3" s="230">
        <f t="shared" si="1"/>
        <v>239</v>
      </c>
      <c r="IL3" s="230">
        <f t="shared" si="1"/>
        <v>240</v>
      </c>
      <c r="IM3" s="230">
        <f t="shared" si="1"/>
        <v>241</v>
      </c>
      <c r="IN3" s="230">
        <f t="shared" si="1"/>
        <v>242</v>
      </c>
      <c r="IO3" s="230">
        <f t="shared" si="1"/>
        <v>243</v>
      </c>
      <c r="IP3" s="230">
        <f t="shared" si="1"/>
        <v>244</v>
      </c>
      <c r="IQ3" s="230">
        <f t="shared" si="1"/>
        <v>245</v>
      </c>
      <c r="IR3" s="230">
        <f t="shared" si="1"/>
        <v>246</v>
      </c>
      <c r="IS3" s="230">
        <f t="shared" si="1"/>
        <v>247</v>
      </c>
      <c r="IT3" s="230">
        <f t="shared" si="1"/>
        <v>248</v>
      </c>
      <c r="IU3" s="230">
        <f t="shared" si="1"/>
        <v>249</v>
      </c>
      <c r="IV3" s="230">
        <f t="shared" si="1"/>
        <v>250</v>
      </c>
      <c r="IW3" s="230">
        <f t="shared" si="1"/>
        <v>251</v>
      </c>
      <c r="IX3" s="230">
        <f t="shared" si="1"/>
        <v>252</v>
      </c>
      <c r="IY3" s="230">
        <f t="shared" si="1"/>
        <v>253</v>
      </c>
      <c r="IZ3" s="230">
        <f t="shared" si="1"/>
        <v>254</v>
      </c>
      <c r="JA3" s="230">
        <f t="shared" si="1"/>
        <v>255</v>
      </c>
      <c r="JB3" s="230">
        <f t="shared" si="1"/>
        <v>256</v>
      </c>
      <c r="JC3" s="230">
        <f t="shared" si="1"/>
        <v>257</v>
      </c>
      <c r="JD3" s="230">
        <f t="shared" si="1"/>
        <v>258</v>
      </c>
      <c r="JE3" s="230">
        <f t="shared" si="1"/>
        <v>259</v>
      </c>
      <c r="JF3" s="230">
        <f t="shared" si="1"/>
        <v>260</v>
      </c>
      <c r="JG3" s="230">
        <f t="shared" si="1"/>
        <v>261</v>
      </c>
      <c r="JH3" s="230">
        <f t="shared" si="1"/>
        <v>262</v>
      </c>
      <c r="JI3" s="230">
        <f t="shared" si="1"/>
        <v>263</v>
      </c>
      <c r="JJ3" s="230">
        <f t="shared" si="1"/>
        <v>264</v>
      </c>
      <c r="JK3" s="230">
        <f t="shared" si="1"/>
        <v>265</v>
      </c>
      <c r="JL3" s="230">
        <f t="shared" si="1"/>
        <v>266</v>
      </c>
      <c r="JM3" s="230">
        <f t="shared" si="1"/>
        <v>267</v>
      </c>
      <c r="JN3" s="230">
        <f t="shared" si="1"/>
        <v>268</v>
      </c>
      <c r="JO3" s="230">
        <f t="shared" si="1"/>
        <v>269</v>
      </c>
      <c r="JP3" s="230">
        <f t="shared" si="1"/>
        <v>270</v>
      </c>
      <c r="JQ3" s="230">
        <f t="shared" si="1"/>
        <v>271</v>
      </c>
      <c r="JR3" s="230">
        <f t="shared" si="1"/>
        <v>272</v>
      </c>
      <c r="JS3" s="230">
        <f t="shared" si="1"/>
        <v>273</v>
      </c>
      <c r="JT3" s="230">
        <f t="shared" si="1"/>
        <v>274</v>
      </c>
      <c r="JU3" s="230">
        <f t="shared" si="1"/>
        <v>275</v>
      </c>
      <c r="JV3" s="230">
        <f t="shared" si="1"/>
        <v>276</v>
      </c>
      <c r="JW3" s="230">
        <f t="shared" si="1"/>
        <v>277</v>
      </c>
      <c r="JX3" s="230">
        <f t="shared" si="1"/>
        <v>278</v>
      </c>
      <c r="JY3" s="230">
        <f t="shared" si="1"/>
        <v>279</v>
      </c>
      <c r="JZ3" s="230">
        <f t="shared" si="1"/>
        <v>280</v>
      </c>
      <c r="KA3" s="230">
        <f t="shared" si="1"/>
        <v>281</v>
      </c>
      <c r="KB3" s="230">
        <f t="shared" si="1"/>
        <v>282</v>
      </c>
      <c r="KC3" s="230">
        <f t="shared" si="1"/>
        <v>283</v>
      </c>
      <c r="KD3" s="230">
        <f t="shared" si="1"/>
        <v>284</v>
      </c>
      <c r="KE3" s="230">
        <f t="shared" si="1"/>
        <v>285</v>
      </c>
      <c r="KF3" s="230">
        <f t="shared" si="1"/>
        <v>286</v>
      </c>
      <c r="KG3" s="230">
        <f t="shared" si="1"/>
        <v>287</v>
      </c>
      <c r="KH3" s="230">
        <f t="shared" si="1"/>
        <v>288</v>
      </c>
      <c r="KI3" s="230">
        <f t="shared" si="1"/>
        <v>289</v>
      </c>
      <c r="KJ3" s="230">
        <f t="shared" si="1"/>
        <v>290</v>
      </c>
      <c r="KK3" s="230">
        <f t="shared" si="1"/>
        <v>291</v>
      </c>
      <c r="KL3" s="230">
        <f t="shared" si="1"/>
        <v>292</v>
      </c>
      <c r="KM3" s="230">
        <f t="shared" si="1"/>
        <v>293</v>
      </c>
      <c r="KN3" s="230">
        <f t="shared" si="1"/>
        <v>294</v>
      </c>
      <c r="KO3" s="230">
        <f t="shared" si="1"/>
        <v>295</v>
      </c>
      <c r="KP3" s="230">
        <f t="shared" si="1"/>
        <v>296</v>
      </c>
      <c r="KQ3" s="230">
        <f t="shared" si="1"/>
        <v>297</v>
      </c>
      <c r="KR3" s="230">
        <f t="shared" si="1"/>
        <v>298</v>
      </c>
      <c r="KS3" s="230">
        <f t="shared" si="1"/>
        <v>299</v>
      </c>
      <c r="KT3" s="230">
        <f t="shared" si="1"/>
        <v>300</v>
      </c>
      <c r="KU3" s="230">
        <f t="shared" si="1"/>
        <v>301</v>
      </c>
      <c r="KV3" s="230">
        <f t="shared" si="1"/>
        <v>302</v>
      </c>
      <c r="KW3" s="230">
        <f t="shared" si="1"/>
        <v>303</v>
      </c>
      <c r="KX3" s="230">
        <f t="shared" si="1"/>
        <v>304</v>
      </c>
      <c r="KY3" s="230">
        <f t="shared" si="1"/>
        <v>305</v>
      </c>
      <c r="KZ3" s="230">
        <f t="shared" si="1"/>
        <v>306</v>
      </c>
      <c r="LA3" s="230">
        <f t="shared" si="1"/>
        <v>307</v>
      </c>
      <c r="LB3" s="230">
        <f t="shared" si="1"/>
        <v>308</v>
      </c>
      <c r="LC3" s="230">
        <f t="shared" si="1"/>
        <v>309</v>
      </c>
      <c r="LD3" s="230">
        <f t="shared" si="1"/>
        <v>310</v>
      </c>
      <c r="LE3" s="230">
        <f t="shared" si="1"/>
        <v>311</v>
      </c>
      <c r="LF3" s="230">
        <f t="shared" si="1"/>
        <v>312</v>
      </c>
      <c r="LG3" s="230">
        <f t="shared" si="1"/>
        <v>313</v>
      </c>
      <c r="LH3" s="230">
        <f t="shared" si="1"/>
        <v>314</v>
      </c>
      <c r="LI3" s="230">
        <f t="shared" si="1"/>
        <v>315</v>
      </c>
      <c r="LJ3" s="230">
        <f t="shared" si="1"/>
        <v>316</v>
      </c>
      <c r="LK3" s="230">
        <f t="shared" si="1"/>
        <v>317</v>
      </c>
      <c r="LL3" s="230">
        <f t="shared" si="1"/>
        <v>318</v>
      </c>
      <c r="LM3" s="230">
        <f t="shared" si="1"/>
        <v>319</v>
      </c>
      <c r="LN3" s="230">
        <f t="shared" si="1"/>
        <v>320</v>
      </c>
      <c r="LO3" s="230">
        <f t="shared" si="1"/>
        <v>321</v>
      </c>
      <c r="LP3" s="230">
        <f t="shared" si="1"/>
        <v>322</v>
      </c>
      <c r="LQ3" s="230">
        <f t="shared" si="1"/>
        <v>323</v>
      </c>
      <c r="LR3" s="230">
        <f t="shared" si="1"/>
        <v>324</v>
      </c>
      <c r="LS3" s="230">
        <f t="shared" si="1"/>
        <v>325</v>
      </c>
      <c r="LT3" s="230">
        <f t="shared" si="1"/>
        <v>326</v>
      </c>
      <c r="LU3" s="230">
        <f t="shared" si="1"/>
        <v>327</v>
      </c>
      <c r="LV3" s="230">
        <f t="shared" si="1"/>
        <v>328</v>
      </c>
      <c r="LW3" s="230">
        <f t="shared" si="1"/>
        <v>329</v>
      </c>
      <c r="LX3" s="230">
        <f t="shared" si="1"/>
        <v>330</v>
      </c>
      <c r="LY3" s="230">
        <f t="shared" si="1"/>
        <v>331</v>
      </c>
      <c r="LZ3" s="230">
        <f t="shared" si="1"/>
        <v>332</v>
      </c>
      <c r="MA3" s="230">
        <f t="shared" si="1"/>
        <v>333</v>
      </c>
      <c r="MB3" s="230">
        <f t="shared" si="1"/>
        <v>334</v>
      </c>
      <c r="MC3" s="230">
        <f t="shared" si="1"/>
        <v>335</v>
      </c>
      <c r="MD3" s="230">
        <f t="shared" si="1"/>
        <v>336</v>
      </c>
      <c r="ME3" s="230">
        <f t="shared" si="1"/>
        <v>337</v>
      </c>
      <c r="MF3" s="230">
        <f t="shared" si="1"/>
        <v>338</v>
      </c>
      <c r="MG3" s="230">
        <f t="shared" si="1"/>
        <v>339</v>
      </c>
      <c r="MH3" s="230">
        <f t="shared" si="1"/>
        <v>340</v>
      </c>
      <c r="MI3" s="230">
        <f t="shared" si="1"/>
        <v>341</v>
      </c>
      <c r="MJ3" s="230">
        <f t="shared" si="1"/>
        <v>342</v>
      </c>
      <c r="MK3" s="230">
        <f t="shared" si="1"/>
        <v>343</v>
      </c>
      <c r="ML3" s="230">
        <f t="shared" si="1"/>
        <v>344</v>
      </c>
      <c r="MM3" s="230">
        <f t="shared" si="1"/>
        <v>345</v>
      </c>
      <c r="MN3" s="230">
        <f t="shared" si="1"/>
        <v>346</v>
      </c>
      <c r="MO3" s="230">
        <f t="shared" si="1"/>
        <v>347</v>
      </c>
      <c r="MP3" s="230">
        <f t="shared" si="1"/>
        <v>348</v>
      </c>
      <c r="MQ3" s="230">
        <f t="shared" si="1"/>
        <v>349</v>
      </c>
      <c r="MR3" s="230">
        <f t="shared" si="1"/>
        <v>350</v>
      </c>
      <c r="MS3" s="230">
        <f t="shared" si="1"/>
        <v>351</v>
      </c>
      <c r="MT3" s="230">
        <f t="shared" si="1"/>
        <v>352</v>
      </c>
      <c r="MU3" s="230">
        <f t="shared" si="1"/>
        <v>353</v>
      </c>
      <c r="MV3" s="230">
        <f t="shared" si="1"/>
        <v>354</v>
      </c>
      <c r="MW3" s="230">
        <f t="shared" si="1"/>
        <v>355</v>
      </c>
      <c r="MX3" s="230">
        <f t="shared" si="1"/>
        <v>356</v>
      </c>
      <c r="MY3" s="230">
        <f t="shared" si="1"/>
        <v>357</v>
      </c>
      <c r="MZ3" s="230">
        <f t="shared" si="1"/>
        <v>358</v>
      </c>
      <c r="NA3" s="230">
        <f t="shared" si="1"/>
        <v>359</v>
      </c>
      <c r="NB3" s="230">
        <f t="shared" si="1"/>
        <v>360</v>
      </c>
      <c r="NC3" s="230">
        <f t="shared" si="1"/>
        <v>361</v>
      </c>
      <c r="ND3" s="230">
        <f t="shared" si="1"/>
        <v>362</v>
      </c>
      <c r="NE3" s="230">
        <f t="shared" si="1"/>
        <v>363</v>
      </c>
      <c r="NF3" s="230">
        <f t="shared" si="1"/>
        <v>364</v>
      </c>
      <c r="NG3" s="230">
        <f t="shared" si="1"/>
        <v>365</v>
      </c>
      <c r="NH3" s="230">
        <f t="shared" si="1"/>
        <v>366</v>
      </c>
      <c r="NI3" s="230">
        <f t="shared" si="1"/>
        <v>367</v>
      </c>
      <c r="NJ3" s="230">
        <f t="shared" si="1"/>
        <v>368</v>
      </c>
      <c r="NK3" s="230">
        <f t="shared" si="1"/>
        <v>369</v>
      </c>
      <c r="NL3" s="230">
        <f t="shared" si="1"/>
        <v>370</v>
      </c>
      <c r="NM3" s="230">
        <f t="shared" si="1"/>
        <v>371</v>
      </c>
      <c r="NN3" s="230">
        <f t="shared" si="1"/>
        <v>372</v>
      </c>
      <c r="NO3" s="230">
        <f t="shared" si="1"/>
        <v>373</v>
      </c>
      <c r="NP3" s="230">
        <f t="shared" si="1"/>
        <v>374</v>
      </c>
      <c r="NQ3" s="230">
        <f t="shared" si="1"/>
        <v>375</v>
      </c>
      <c r="NR3" s="230">
        <f t="shared" si="1"/>
        <v>376</v>
      </c>
      <c r="NS3" s="230">
        <f t="shared" si="1"/>
        <v>377</v>
      </c>
      <c r="NT3" s="230">
        <f t="shared" si="1"/>
        <v>378</v>
      </c>
      <c r="NU3" s="230">
        <f t="shared" si="1"/>
        <v>379</v>
      </c>
      <c r="NV3" s="230">
        <f t="shared" si="1"/>
        <v>380</v>
      </c>
      <c r="NW3" s="230">
        <f t="shared" si="1"/>
        <v>381</v>
      </c>
      <c r="NX3" s="230">
        <f t="shared" si="1"/>
        <v>382</v>
      </c>
      <c r="NY3" s="230">
        <f t="shared" si="1"/>
        <v>383</v>
      </c>
      <c r="NZ3" s="230">
        <f t="shared" si="1"/>
        <v>384</v>
      </c>
      <c r="OA3" s="230">
        <f t="shared" si="1"/>
        <v>385</v>
      </c>
      <c r="OB3" s="230">
        <f t="shared" si="1"/>
        <v>386</v>
      </c>
      <c r="OC3" s="230">
        <f t="shared" si="1"/>
        <v>387</v>
      </c>
      <c r="OD3" s="230">
        <f t="shared" si="1"/>
        <v>388</v>
      </c>
      <c r="OE3" s="230">
        <f t="shared" si="1"/>
        <v>389</v>
      </c>
      <c r="OF3" s="230">
        <f t="shared" si="1"/>
        <v>390</v>
      </c>
      <c r="OG3" s="230">
        <f t="shared" si="1"/>
        <v>391</v>
      </c>
      <c r="OH3" s="230">
        <f t="shared" si="1"/>
        <v>392</v>
      </c>
      <c r="OI3" s="230">
        <f t="shared" si="1"/>
        <v>393</v>
      </c>
      <c r="OJ3" s="230">
        <f t="shared" si="1"/>
        <v>394</v>
      </c>
      <c r="OK3" s="230">
        <f t="shared" si="1"/>
        <v>395</v>
      </c>
      <c r="OL3" s="230">
        <f t="shared" si="1"/>
        <v>396</v>
      </c>
      <c r="OM3" s="230">
        <f t="shared" si="1"/>
        <v>397</v>
      </c>
      <c r="ON3" s="230">
        <f t="shared" si="1"/>
        <v>398</v>
      </c>
      <c r="OO3" s="230">
        <f t="shared" si="1"/>
        <v>399</v>
      </c>
      <c r="OP3" s="230">
        <f t="shared" si="1"/>
        <v>400</v>
      </c>
      <c r="OQ3" s="230">
        <f t="shared" si="1"/>
        <v>401</v>
      </c>
      <c r="OR3" s="230">
        <f t="shared" si="1"/>
        <v>402</v>
      </c>
      <c r="OS3" s="230">
        <f t="shared" si="1"/>
        <v>403</v>
      </c>
      <c r="OT3" s="230">
        <f t="shared" si="1"/>
        <v>404</v>
      </c>
      <c r="OU3" s="230">
        <f t="shared" si="1"/>
        <v>405</v>
      </c>
      <c r="OV3" s="230">
        <f t="shared" si="1"/>
        <v>406</v>
      </c>
      <c r="OW3" s="230">
        <f t="shared" si="1"/>
        <v>407</v>
      </c>
      <c r="OX3" s="230">
        <f t="shared" si="1"/>
        <v>408</v>
      </c>
      <c r="OY3" s="230">
        <f t="shared" si="1"/>
        <v>409</v>
      </c>
      <c r="OZ3" s="230">
        <f t="shared" si="1"/>
        <v>410</v>
      </c>
      <c r="PA3" s="230">
        <f t="shared" si="1"/>
        <v>411</v>
      </c>
      <c r="PB3" s="230">
        <f t="shared" si="1"/>
        <v>412</v>
      </c>
      <c r="PC3" s="230">
        <f t="shared" si="1"/>
        <v>413</v>
      </c>
      <c r="PD3" s="230">
        <f t="shared" si="1"/>
        <v>414</v>
      </c>
      <c r="PE3" s="230">
        <f t="shared" si="1"/>
        <v>415</v>
      </c>
      <c r="PF3" s="230">
        <f t="shared" si="1"/>
        <v>416</v>
      </c>
      <c r="PG3" s="230">
        <f t="shared" si="1"/>
        <v>417</v>
      </c>
      <c r="PH3" s="230">
        <f t="shared" si="1"/>
        <v>418</v>
      </c>
      <c r="PI3" s="230">
        <f t="shared" si="1"/>
        <v>419</v>
      </c>
      <c r="PJ3" s="230">
        <f t="shared" si="1"/>
        <v>420</v>
      </c>
      <c r="PK3" s="230">
        <f t="shared" si="1"/>
        <v>421</v>
      </c>
      <c r="PL3" s="230">
        <f t="shared" si="1"/>
        <v>422</v>
      </c>
      <c r="PM3" s="230">
        <f t="shared" si="1"/>
        <v>423</v>
      </c>
      <c r="PN3" s="230">
        <f t="shared" si="1"/>
        <v>424</v>
      </c>
      <c r="PO3" s="230">
        <f t="shared" si="1"/>
        <v>425</v>
      </c>
      <c r="PP3" s="230">
        <f t="shared" si="1"/>
        <v>426</v>
      </c>
      <c r="PQ3" s="230">
        <f t="shared" si="1"/>
        <v>427</v>
      </c>
      <c r="PR3" s="230">
        <f t="shared" si="1"/>
        <v>428</v>
      </c>
      <c r="PS3" s="230">
        <f t="shared" si="1"/>
        <v>429</v>
      </c>
      <c r="PT3" s="230">
        <f t="shared" si="1"/>
        <v>430</v>
      </c>
      <c r="PU3" s="230">
        <f t="shared" si="1"/>
        <v>431</v>
      </c>
      <c r="PV3" s="230">
        <f t="shared" si="1"/>
        <v>432</v>
      </c>
      <c r="PW3" s="230">
        <f t="shared" si="1"/>
        <v>433</v>
      </c>
      <c r="PX3" s="230">
        <f t="shared" si="1"/>
        <v>434</v>
      </c>
      <c r="PY3" s="230">
        <f t="shared" si="1"/>
        <v>435</v>
      </c>
      <c r="PZ3" s="230">
        <f t="shared" si="1"/>
        <v>436</v>
      </c>
      <c r="QA3" s="230">
        <f t="shared" si="1"/>
        <v>437</v>
      </c>
      <c r="QB3" s="230">
        <f t="shared" si="1"/>
        <v>438</v>
      </c>
      <c r="QC3" s="230">
        <f t="shared" si="1"/>
        <v>439</v>
      </c>
      <c r="QD3" s="230">
        <f t="shared" si="1"/>
        <v>440</v>
      </c>
      <c r="QE3" s="230">
        <f t="shared" si="1"/>
        <v>441</v>
      </c>
      <c r="QF3" s="230">
        <f t="shared" si="1"/>
        <v>442</v>
      </c>
      <c r="QG3" s="230">
        <f t="shared" si="1"/>
        <v>443</v>
      </c>
      <c r="QH3" s="230">
        <f t="shared" si="1"/>
        <v>444</v>
      </c>
      <c r="QI3" s="230">
        <f t="shared" si="1"/>
        <v>445</v>
      </c>
      <c r="QJ3" s="230">
        <f t="shared" si="1"/>
        <v>446</v>
      </c>
      <c r="QK3" s="230">
        <f t="shared" si="1"/>
        <v>447</v>
      </c>
      <c r="QL3" s="230">
        <f t="shared" si="1"/>
        <v>448</v>
      </c>
      <c r="QM3" s="230">
        <f t="shared" si="1"/>
        <v>449</v>
      </c>
      <c r="QN3" s="230">
        <f t="shared" si="1"/>
        <v>450</v>
      </c>
      <c r="QO3" s="230">
        <f t="shared" si="1"/>
        <v>451</v>
      </c>
      <c r="QP3" s="230">
        <f t="shared" si="1"/>
        <v>452</v>
      </c>
      <c r="QQ3" s="230">
        <f t="shared" si="1"/>
        <v>453</v>
      </c>
      <c r="QR3" s="230">
        <f t="shared" si="1"/>
        <v>454</v>
      </c>
      <c r="QS3" s="230">
        <f t="shared" si="1"/>
        <v>455</v>
      </c>
      <c r="QT3" s="230">
        <f t="shared" si="1"/>
        <v>456</v>
      </c>
      <c r="QU3" s="230">
        <f t="shared" si="1"/>
        <v>457</v>
      </c>
      <c r="QV3" s="230">
        <f t="shared" si="1"/>
        <v>458</v>
      </c>
      <c r="QW3" s="230">
        <f t="shared" si="1"/>
        <v>459</v>
      </c>
      <c r="QX3" s="230">
        <f t="shared" si="1"/>
        <v>460</v>
      </c>
      <c r="QY3" s="230">
        <f t="shared" si="1"/>
        <v>461</v>
      </c>
      <c r="QZ3" s="230">
        <f t="shared" si="1"/>
        <v>462</v>
      </c>
      <c r="RA3" s="230">
        <f t="shared" si="1"/>
        <v>463</v>
      </c>
      <c r="RB3" s="230">
        <f t="shared" si="1"/>
        <v>464</v>
      </c>
      <c r="RC3" s="230">
        <f t="shared" si="1"/>
        <v>465</v>
      </c>
      <c r="RD3" s="230">
        <f t="shared" si="1"/>
        <v>466</v>
      </c>
      <c r="RE3" s="230">
        <f t="shared" si="1"/>
        <v>467</v>
      </c>
      <c r="RF3" s="230">
        <f t="shared" si="1"/>
        <v>468</v>
      </c>
      <c r="RG3" s="230">
        <f t="shared" si="1"/>
        <v>469</v>
      </c>
      <c r="RH3" s="230">
        <f t="shared" si="1"/>
        <v>470</v>
      </c>
      <c r="RI3" s="230">
        <f t="shared" si="1"/>
        <v>471</v>
      </c>
      <c r="RJ3" s="230">
        <f t="shared" si="1"/>
        <v>472</v>
      </c>
      <c r="RK3" s="230">
        <f t="shared" si="1"/>
        <v>473</v>
      </c>
      <c r="RL3" s="230">
        <f t="shared" si="1"/>
        <v>474</v>
      </c>
      <c r="RM3" s="230">
        <f t="shared" si="1"/>
        <v>475</v>
      </c>
      <c r="RN3" s="230">
        <f t="shared" si="1"/>
        <v>476</v>
      </c>
      <c r="RO3" s="230">
        <f t="shared" si="1"/>
        <v>477</v>
      </c>
      <c r="RP3" s="230">
        <f t="shared" si="1"/>
        <v>478</v>
      </c>
      <c r="RQ3" s="230">
        <f t="shared" si="1"/>
        <v>479</v>
      </c>
      <c r="RR3" s="230">
        <f t="shared" si="1"/>
        <v>480</v>
      </c>
      <c r="RS3" s="230">
        <f t="shared" si="1"/>
        <v>481</v>
      </c>
      <c r="RT3" s="230">
        <f t="shared" si="1"/>
        <v>482</v>
      </c>
      <c r="RU3" s="230">
        <f t="shared" si="1"/>
        <v>483</v>
      </c>
      <c r="RV3" s="230">
        <f t="shared" si="1"/>
        <v>484</v>
      </c>
      <c r="RW3" s="230">
        <f t="shared" si="1"/>
        <v>485</v>
      </c>
      <c r="RX3" s="230">
        <f t="shared" si="1"/>
        <v>486</v>
      </c>
      <c r="RY3" s="230">
        <f t="shared" si="1"/>
        <v>487</v>
      </c>
      <c r="RZ3" s="230">
        <f t="shared" si="1"/>
        <v>488</v>
      </c>
      <c r="SA3" s="230">
        <f t="shared" si="1"/>
        <v>489</v>
      </c>
      <c r="SB3" s="230">
        <f t="shared" si="1"/>
        <v>490</v>
      </c>
      <c r="SC3" s="230">
        <f t="shared" si="1"/>
        <v>491</v>
      </c>
      <c r="SD3" s="230">
        <f t="shared" si="1"/>
        <v>492</v>
      </c>
      <c r="SE3" s="230">
        <f t="shared" si="1"/>
        <v>493</v>
      </c>
      <c r="SF3" s="230">
        <f t="shared" si="1"/>
        <v>494</v>
      </c>
      <c r="SG3" s="230">
        <f t="shared" si="1"/>
        <v>495</v>
      </c>
      <c r="SH3" s="230">
        <f t="shared" si="1"/>
        <v>496</v>
      </c>
      <c r="SI3" s="230">
        <f t="shared" si="1"/>
        <v>497</v>
      </c>
      <c r="SJ3" s="230">
        <f t="shared" si="1"/>
        <v>498</v>
      </c>
      <c r="SK3" s="230">
        <f t="shared" si="1"/>
        <v>499</v>
      </c>
      <c r="SL3" s="230">
        <f t="shared" si="1"/>
        <v>500</v>
      </c>
    </row>
    <row r="4">
      <c r="A4" s="53" t="s">
        <v>80</v>
      </c>
      <c r="B4" s="54">
        <f>Inputs!E4</f>
        <v>1000000</v>
      </c>
      <c r="C4" s="227"/>
      <c r="D4" s="231"/>
      <c r="E4" s="232"/>
      <c r="F4" s="54"/>
      <c r="G4" s="54">
        <f t="shared" ref="G4:SL4" si="2">$B4</f>
        <v>1000000</v>
      </c>
      <c r="H4" s="54">
        <f t="shared" si="2"/>
        <v>1000000</v>
      </c>
      <c r="I4" s="54">
        <f t="shared" si="2"/>
        <v>1000000</v>
      </c>
      <c r="J4" s="54">
        <f t="shared" si="2"/>
        <v>1000000</v>
      </c>
      <c r="K4" s="54">
        <f t="shared" si="2"/>
        <v>1000000</v>
      </c>
      <c r="L4" s="54">
        <f t="shared" si="2"/>
        <v>1000000</v>
      </c>
      <c r="M4" s="54">
        <f t="shared" si="2"/>
        <v>1000000</v>
      </c>
      <c r="N4" s="54">
        <f t="shared" si="2"/>
        <v>1000000</v>
      </c>
      <c r="O4" s="54">
        <f t="shared" si="2"/>
        <v>1000000</v>
      </c>
      <c r="P4" s="54">
        <f t="shared" si="2"/>
        <v>1000000</v>
      </c>
      <c r="Q4" s="54">
        <f t="shared" si="2"/>
        <v>1000000</v>
      </c>
      <c r="R4" s="54">
        <f t="shared" si="2"/>
        <v>1000000</v>
      </c>
      <c r="S4" s="54">
        <f t="shared" si="2"/>
        <v>1000000</v>
      </c>
      <c r="T4" s="54">
        <f t="shared" si="2"/>
        <v>1000000</v>
      </c>
      <c r="U4" s="54">
        <f t="shared" si="2"/>
        <v>1000000</v>
      </c>
      <c r="V4" s="54">
        <f t="shared" si="2"/>
        <v>1000000</v>
      </c>
      <c r="W4" s="54">
        <f t="shared" si="2"/>
        <v>1000000</v>
      </c>
      <c r="X4" s="54">
        <f t="shared" si="2"/>
        <v>1000000</v>
      </c>
      <c r="Y4" s="54">
        <f t="shared" si="2"/>
        <v>1000000</v>
      </c>
      <c r="Z4" s="54">
        <f t="shared" si="2"/>
        <v>1000000</v>
      </c>
      <c r="AA4" s="54">
        <f t="shared" si="2"/>
        <v>1000000</v>
      </c>
      <c r="AB4" s="54">
        <f t="shared" si="2"/>
        <v>1000000</v>
      </c>
      <c r="AC4" s="54">
        <f t="shared" si="2"/>
        <v>1000000</v>
      </c>
      <c r="AD4" s="54">
        <f t="shared" si="2"/>
        <v>1000000</v>
      </c>
      <c r="AE4" s="54">
        <f t="shared" si="2"/>
        <v>1000000</v>
      </c>
      <c r="AF4" s="54">
        <f t="shared" si="2"/>
        <v>1000000</v>
      </c>
      <c r="AG4" s="54">
        <f t="shared" si="2"/>
        <v>1000000</v>
      </c>
      <c r="AH4" s="54">
        <f t="shared" si="2"/>
        <v>1000000</v>
      </c>
      <c r="AI4" s="54">
        <f t="shared" si="2"/>
        <v>1000000</v>
      </c>
      <c r="AJ4" s="54">
        <f t="shared" si="2"/>
        <v>1000000</v>
      </c>
      <c r="AK4" s="54">
        <f t="shared" si="2"/>
        <v>1000000</v>
      </c>
      <c r="AL4" s="54">
        <f t="shared" si="2"/>
        <v>1000000</v>
      </c>
      <c r="AM4" s="54">
        <f t="shared" si="2"/>
        <v>1000000</v>
      </c>
      <c r="AN4" s="54">
        <f t="shared" si="2"/>
        <v>1000000</v>
      </c>
      <c r="AO4" s="54">
        <f t="shared" si="2"/>
        <v>1000000</v>
      </c>
      <c r="AP4" s="54">
        <f t="shared" si="2"/>
        <v>1000000</v>
      </c>
      <c r="AQ4" s="54">
        <f t="shared" si="2"/>
        <v>1000000</v>
      </c>
      <c r="AR4" s="54">
        <f t="shared" si="2"/>
        <v>1000000</v>
      </c>
      <c r="AS4" s="54">
        <f t="shared" si="2"/>
        <v>1000000</v>
      </c>
      <c r="AT4" s="54">
        <f t="shared" si="2"/>
        <v>1000000</v>
      </c>
      <c r="AU4" s="54">
        <f t="shared" si="2"/>
        <v>1000000</v>
      </c>
      <c r="AV4" s="54">
        <f t="shared" si="2"/>
        <v>1000000</v>
      </c>
      <c r="AW4" s="54">
        <f t="shared" si="2"/>
        <v>1000000</v>
      </c>
      <c r="AX4" s="54">
        <f t="shared" si="2"/>
        <v>1000000</v>
      </c>
      <c r="AY4" s="54">
        <f t="shared" si="2"/>
        <v>1000000</v>
      </c>
      <c r="AZ4" s="54">
        <f t="shared" si="2"/>
        <v>1000000</v>
      </c>
      <c r="BA4" s="54">
        <f t="shared" si="2"/>
        <v>1000000</v>
      </c>
      <c r="BB4" s="54">
        <f t="shared" si="2"/>
        <v>1000000</v>
      </c>
      <c r="BC4" s="54">
        <f t="shared" si="2"/>
        <v>1000000</v>
      </c>
      <c r="BD4" s="54">
        <f t="shared" si="2"/>
        <v>1000000</v>
      </c>
      <c r="BE4" s="54">
        <f t="shared" si="2"/>
        <v>1000000</v>
      </c>
      <c r="BF4" s="54">
        <f t="shared" si="2"/>
        <v>1000000</v>
      </c>
      <c r="BG4" s="54">
        <f t="shared" si="2"/>
        <v>1000000</v>
      </c>
      <c r="BH4" s="54">
        <f t="shared" si="2"/>
        <v>1000000</v>
      </c>
      <c r="BI4" s="54">
        <f t="shared" si="2"/>
        <v>1000000</v>
      </c>
      <c r="BJ4" s="54">
        <f t="shared" si="2"/>
        <v>1000000</v>
      </c>
      <c r="BK4" s="54">
        <f t="shared" si="2"/>
        <v>1000000</v>
      </c>
      <c r="BL4" s="54">
        <f t="shared" si="2"/>
        <v>1000000</v>
      </c>
      <c r="BM4" s="54">
        <f t="shared" si="2"/>
        <v>1000000</v>
      </c>
      <c r="BN4" s="54">
        <f t="shared" si="2"/>
        <v>1000000</v>
      </c>
      <c r="BO4" s="54">
        <f t="shared" si="2"/>
        <v>1000000</v>
      </c>
      <c r="BP4" s="54">
        <f t="shared" si="2"/>
        <v>1000000</v>
      </c>
      <c r="BQ4" s="54">
        <f t="shared" si="2"/>
        <v>1000000</v>
      </c>
      <c r="BR4" s="54">
        <f t="shared" si="2"/>
        <v>1000000</v>
      </c>
      <c r="BS4" s="54">
        <f t="shared" si="2"/>
        <v>1000000</v>
      </c>
      <c r="BT4" s="54">
        <f t="shared" si="2"/>
        <v>1000000</v>
      </c>
      <c r="BU4" s="54">
        <f t="shared" si="2"/>
        <v>1000000</v>
      </c>
      <c r="BV4" s="54">
        <f t="shared" si="2"/>
        <v>1000000</v>
      </c>
      <c r="BW4" s="54">
        <f t="shared" si="2"/>
        <v>1000000</v>
      </c>
      <c r="BX4" s="54">
        <f t="shared" si="2"/>
        <v>1000000</v>
      </c>
      <c r="BY4" s="54">
        <f t="shared" si="2"/>
        <v>1000000</v>
      </c>
      <c r="BZ4" s="54">
        <f t="shared" si="2"/>
        <v>1000000</v>
      </c>
      <c r="CA4" s="54">
        <f t="shared" si="2"/>
        <v>1000000</v>
      </c>
      <c r="CB4" s="54">
        <f t="shared" si="2"/>
        <v>1000000</v>
      </c>
      <c r="CC4" s="54">
        <f t="shared" si="2"/>
        <v>1000000</v>
      </c>
      <c r="CD4" s="54">
        <f t="shared" si="2"/>
        <v>1000000</v>
      </c>
      <c r="CE4" s="54">
        <f t="shared" si="2"/>
        <v>1000000</v>
      </c>
      <c r="CF4" s="54">
        <f t="shared" si="2"/>
        <v>1000000</v>
      </c>
      <c r="CG4" s="54">
        <f t="shared" si="2"/>
        <v>1000000</v>
      </c>
      <c r="CH4" s="54">
        <f t="shared" si="2"/>
        <v>1000000</v>
      </c>
      <c r="CI4" s="54">
        <f t="shared" si="2"/>
        <v>1000000</v>
      </c>
      <c r="CJ4" s="54">
        <f t="shared" si="2"/>
        <v>1000000</v>
      </c>
      <c r="CK4" s="54">
        <f t="shared" si="2"/>
        <v>1000000</v>
      </c>
      <c r="CL4" s="54">
        <f t="shared" si="2"/>
        <v>1000000</v>
      </c>
      <c r="CM4" s="54">
        <f t="shared" si="2"/>
        <v>1000000</v>
      </c>
      <c r="CN4" s="54">
        <f t="shared" si="2"/>
        <v>1000000</v>
      </c>
      <c r="CO4" s="54">
        <f t="shared" si="2"/>
        <v>1000000</v>
      </c>
      <c r="CP4" s="54">
        <f t="shared" si="2"/>
        <v>1000000</v>
      </c>
      <c r="CQ4" s="54">
        <f t="shared" si="2"/>
        <v>1000000</v>
      </c>
      <c r="CR4" s="54">
        <f t="shared" si="2"/>
        <v>1000000</v>
      </c>
      <c r="CS4" s="54">
        <f t="shared" si="2"/>
        <v>1000000</v>
      </c>
      <c r="CT4" s="54">
        <f t="shared" si="2"/>
        <v>1000000</v>
      </c>
      <c r="CU4" s="54">
        <f t="shared" si="2"/>
        <v>1000000</v>
      </c>
      <c r="CV4" s="54">
        <f t="shared" si="2"/>
        <v>1000000</v>
      </c>
      <c r="CW4" s="54">
        <f t="shared" si="2"/>
        <v>1000000</v>
      </c>
      <c r="CX4" s="54">
        <f t="shared" si="2"/>
        <v>1000000</v>
      </c>
      <c r="CY4" s="54">
        <f t="shared" si="2"/>
        <v>1000000</v>
      </c>
      <c r="CZ4" s="54">
        <f t="shared" si="2"/>
        <v>1000000</v>
      </c>
      <c r="DA4" s="54">
        <f t="shared" si="2"/>
        <v>1000000</v>
      </c>
      <c r="DB4" s="54">
        <f t="shared" si="2"/>
        <v>1000000</v>
      </c>
      <c r="DC4" s="54">
        <f t="shared" si="2"/>
        <v>1000000</v>
      </c>
      <c r="DD4" s="54">
        <f t="shared" si="2"/>
        <v>1000000</v>
      </c>
      <c r="DE4" s="54">
        <f t="shared" si="2"/>
        <v>1000000</v>
      </c>
      <c r="DF4" s="54">
        <f t="shared" si="2"/>
        <v>1000000</v>
      </c>
      <c r="DG4" s="54">
        <f t="shared" si="2"/>
        <v>1000000</v>
      </c>
      <c r="DH4" s="54">
        <f t="shared" si="2"/>
        <v>1000000</v>
      </c>
      <c r="DI4" s="54">
        <f t="shared" si="2"/>
        <v>1000000</v>
      </c>
      <c r="DJ4" s="54">
        <f t="shared" si="2"/>
        <v>1000000</v>
      </c>
      <c r="DK4" s="54">
        <f t="shared" si="2"/>
        <v>1000000</v>
      </c>
      <c r="DL4" s="54">
        <f t="shared" si="2"/>
        <v>1000000</v>
      </c>
      <c r="DM4" s="54">
        <f t="shared" si="2"/>
        <v>1000000</v>
      </c>
      <c r="DN4" s="54">
        <f t="shared" si="2"/>
        <v>1000000</v>
      </c>
      <c r="DO4" s="54">
        <f t="shared" si="2"/>
        <v>1000000</v>
      </c>
      <c r="DP4" s="54">
        <f t="shared" si="2"/>
        <v>1000000</v>
      </c>
      <c r="DQ4" s="54">
        <f t="shared" si="2"/>
        <v>1000000</v>
      </c>
      <c r="DR4" s="54">
        <f t="shared" si="2"/>
        <v>1000000</v>
      </c>
      <c r="DS4" s="54">
        <f t="shared" si="2"/>
        <v>1000000</v>
      </c>
      <c r="DT4" s="54">
        <f t="shared" si="2"/>
        <v>1000000</v>
      </c>
      <c r="DU4" s="54">
        <f t="shared" si="2"/>
        <v>1000000</v>
      </c>
      <c r="DV4" s="54">
        <f t="shared" si="2"/>
        <v>1000000</v>
      </c>
      <c r="DW4" s="54">
        <f t="shared" si="2"/>
        <v>1000000</v>
      </c>
      <c r="DX4" s="54">
        <f t="shared" si="2"/>
        <v>1000000</v>
      </c>
      <c r="DY4" s="54">
        <f t="shared" si="2"/>
        <v>1000000</v>
      </c>
      <c r="DZ4" s="54">
        <f t="shared" si="2"/>
        <v>1000000</v>
      </c>
      <c r="EA4" s="54">
        <f t="shared" si="2"/>
        <v>1000000</v>
      </c>
      <c r="EB4" s="54">
        <f t="shared" si="2"/>
        <v>1000000</v>
      </c>
      <c r="EC4" s="54">
        <f t="shared" si="2"/>
        <v>1000000</v>
      </c>
      <c r="ED4" s="54">
        <f t="shared" si="2"/>
        <v>1000000</v>
      </c>
      <c r="EE4" s="54">
        <f t="shared" si="2"/>
        <v>1000000</v>
      </c>
      <c r="EF4" s="54">
        <f t="shared" si="2"/>
        <v>1000000</v>
      </c>
      <c r="EG4" s="54">
        <f t="shared" si="2"/>
        <v>1000000</v>
      </c>
      <c r="EH4" s="54">
        <f t="shared" si="2"/>
        <v>1000000</v>
      </c>
      <c r="EI4" s="54">
        <f t="shared" si="2"/>
        <v>1000000</v>
      </c>
      <c r="EJ4" s="54">
        <f t="shared" si="2"/>
        <v>1000000</v>
      </c>
      <c r="EK4" s="54">
        <f t="shared" si="2"/>
        <v>1000000</v>
      </c>
      <c r="EL4" s="54">
        <f t="shared" si="2"/>
        <v>1000000</v>
      </c>
      <c r="EM4" s="54">
        <f t="shared" si="2"/>
        <v>1000000</v>
      </c>
      <c r="EN4" s="54">
        <f t="shared" si="2"/>
        <v>1000000</v>
      </c>
      <c r="EO4" s="54">
        <f t="shared" si="2"/>
        <v>1000000</v>
      </c>
      <c r="EP4" s="54">
        <f t="shared" si="2"/>
        <v>1000000</v>
      </c>
      <c r="EQ4" s="54">
        <f t="shared" si="2"/>
        <v>1000000</v>
      </c>
      <c r="ER4" s="54">
        <f t="shared" si="2"/>
        <v>1000000</v>
      </c>
      <c r="ES4" s="54">
        <f t="shared" si="2"/>
        <v>1000000</v>
      </c>
      <c r="ET4" s="54">
        <f t="shared" si="2"/>
        <v>1000000</v>
      </c>
      <c r="EU4" s="54">
        <f t="shared" si="2"/>
        <v>1000000</v>
      </c>
      <c r="EV4" s="54">
        <f t="shared" si="2"/>
        <v>1000000</v>
      </c>
      <c r="EW4" s="54">
        <f t="shared" si="2"/>
        <v>1000000</v>
      </c>
      <c r="EX4" s="54">
        <f t="shared" si="2"/>
        <v>1000000</v>
      </c>
      <c r="EY4" s="54">
        <f t="shared" si="2"/>
        <v>1000000</v>
      </c>
      <c r="EZ4" s="54">
        <f t="shared" si="2"/>
        <v>1000000</v>
      </c>
      <c r="FA4" s="54">
        <f t="shared" si="2"/>
        <v>1000000</v>
      </c>
      <c r="FB4" s="54">
        <f t="shared" si="2"/>
        <v>1000000</v>
      </c>
      <c r="FC4" s="54">
        <f t="shared" si="2"/>
        <v>1000000</v>
      </c>
      <c r="FD4" s="54">
        <f t="shared" si="2"/>
        <v>1000000</v>
      </c>
      <c r="FE4" s="54">
        <f t="shared" si="2"/>
        <v>1000000</v>
      </c>
      <c r="FF4" s="54">
        <f t="shared" si="2"/>
        <v>1000000</v>
      </c>
      <c r="FG4" s="54">
        <f t="shared" si="2"/>
        <v>1000000</v>
      </c>
      <c r="FH4" s="54">
        <f t="shared" si="2"/>
        <v>1000000</v>
      </c>
      <c r="FI4" s="54">
        <f t="shared" si="2"/>
        <v>1000000</v>
      </c>
      <c r="FJ4" s="54">
        <f t="shared" si="2"/>
        <v>1000000</v>
      </c>
      <c r="FK4" s="54">
        <f t="shared" si="2"/>
        <v>1000000</v>
      </c>
      <c r="FL4" s="54">
        <f t="shared" si="2"/>
        <v>1000000</v>
      </c>
      <c r="FM4" s="54">
        <f t="shared" si="2"/>
        <v>1000000</v>
      </c>
      <c r="FN4" s="54">
        <f t="shared" si="2"/>
        <v>1000000</v>
      </c>
      <c r="FO4" s="54">
        <f t="shared" si="2"/>
        <v>1000000</v>
      </c>
      <c r="FP4" s="54">
        <f t="shared" si="2"/>
        <v>1000000</v>
      </c>
      <c r="FQ4" s="54">
        <f t="shared" si="2"/>
        <v>1000000</v>
      </c>
      <c r="FR4" s="54">
        <f t="shared" si="2"/>
        <v>1000000</v>
      </c>
      <c r="FS4" s="54">
        <f t="shared" si="2"/>
        <v>1000000</v>
      </c>
      <c r="FT4" s="54">
        <f t="shared" si="2"/>
        <v>1000000</v>
      </c>
      <c r="FU4" s="54">
        <f t="shared" si="2"/>
        <v>1000000</v>
      </c>
      <c r="FV4" s="54">
        <f t="shared" si="2"/>
        <v>1000000</v>
      </c>
      <c r="FW4" s="54">
        <f t="shared" si="2"/>
        <v>1000000</v>
      </c>
      <c r="FX4" s="54">
        <f t="shared" si="2"/>
        <v>1000000</v>
      </c>
      <c r="FY4" s="54">
        <f t="shared" si="2"/>
        <v>1000000</v>
      </c>
      <c r="FZ4" s="54">
        <f t="shared" si="2"/>
        <v>1000000</v>
      </c>
      <c r="GA4" s="54">
        <f t="shared" si="2"/>
        <v>1000000</v>
      </c>
      <c r="GB4" s="54">
        <f t="shared" si="2"/>
        <v>1000000</v>
      </c>
      <c r="GC4" s="54">
        <f t="shared" si="2"/>
        <v>1000000</v>
      </c>
      <c r="GD4" s="54">
        <f t="shared" si="2"/>
        <v>1000000</v>
      </c>
      <c r="GE4" s="54">
        <f t="shared" si="2"/>
        <v>1000000</v>
      </c>
      <c r="GF4" s="54">
        <f t="shared" si="2"/>
        <v>1000000</v>
      </c>
      <c r="GG4" s="54">
        <f t="shared" si="2"/>
        <v>1000000</v>
      </c>
      <c r="GH4" s="54">
        <f t="shared" si="2"/>
        <v>1000000</v>
      </c>
      <c r="GI4" s="54">
        <f t="shared" si="2"/>
        <v>1000000</v>
      </c>
      <c r="GJ4" s="54">
        <f t="shared" si="2"/>
        <v>1000000</v>
      </c>
      <c r="GK4" s="54">
        <f t="shared" si="2"/>
        <v>1000000</v>
      </c>
      <c r="GL4" s="54">
        <f t="shared" si="2"/>
        <v>1000000</v>
      </c>
      <c r="GM4" s="54">
        <f t="shared" si="2"/>
        <v>1000000</v>
      </c>
      <c r="GN4" s="54">
        <f t="shared" si="2"/>
        <v>1000000</v>
      </c>
      <c r="GO4" s="54">
        <f t="shared" si="2"/>
        <v>1000000</v>
      </c>
      <c r="GP4" s="54">
        <f t="shared" si="2"/>
        <v>1000000</v>
      </c>
      <c r="GQ4" s="54">
        <f t="shared" si="2"/>
        <v>1000000</v>
      </c>
      <c r="GR4" s="54">
        <f t="shared" si="2"/>
        <v>1000000</v>
      </c>
      <c r="GS4" s="54">
        <f t="shared" si="2"/>
        <v>1000000</v>
      </c>
      <c r="GT4" s="54">
        <f t="shared" si="2"/>
        <v>1000000</v>
      </c>
      <c r="GU4" s="54">
        <f t="shared" si="2"/>
        <v>1000000</v>
      </c>
      <c r="GV4" s="54">
        <f t="shared" si="2"/>
        <v>1000000</v>
      </c>
      <c r="GW4" s="54">
        <f t="shared" si="2"/>
        <v>1000000</v>
      </c>
      <c r="GX4" s="54">
        <f t="shared" si="2"/>
        <v>1000000</v>
      </c>
      <c r="GY4" s="54">
        <f t="shared" si="2"/>
        <v>1000000</v>
      </c>
      <c r="GZ4" s="54">
        <f t="shared" si="2"/>
        <v>1000000</v>
      </c>
      <c r="HA4" s="54">
        <f t="shared" si="2"/>
        <v>1000000</v>
      </c>
      <c r="HB4" s="54">
        <f t="shared" si="2"/>
        <v>1000000</v>
      </c>
      <c r="HC4" s="54">
        <f t="shared" si="2"/>
        <v>1000000</v>
      </c>
      <c r="HD4" s="54">
        <f t="shared" si="2"/>
        <v>1000000</v>
      </c>
      <c r="HE4" s="54">
        <f t="shared" si="2"/>
        <v>1000000</v>
      </c>
      <c r="HF4" s="54">
        <f t="shared" si="2"/>
        <v>1000000</v>
      </c>
      <c r="HG4" s="54">
        <f t="shared" si="2"/>
        <v>1000000</v>
      </c>
      <c r="HH4" s="54">
        <f t="shared" si="2"/>
        <v>1000000</v>
      </c>
      <c r="HI4" s="54">
        <f t="shared" si="2"/>
        <v>1000000</v>
      </c>
      <c r="HJ4" s="54">
        <f t="shared" si="2"/>
        <v>1000000</v>
      </c>
      <c r="HK4" s="54">
        <f t="shared" si="2"/>
        <v>1000000</v>
      </c>
      <c r="HL4" s="54">
        <f t="shared" si="2"/>
        <v>1000000</v>
      </c>
      <c r="HM4" s="54">
        <f t="shared" si="2"/>
        <v>1000000</v>
      </c>
      <c r="HN4" s="54">
        <f t="shared" si="2"/>
        <v>1000000</v>
      </c>
      <c r="HO4" s="54">
        <f t="shared" si="2"/>
        <v>1000000</v>
      </c>
      <c r="HP4" s="54">
        <f t="shared" si="2"/>
        <v>1000000</v>
      </c>
      <c r="HQ4" s="54">
        <f t="shared" si="2"/>
        <v>1000000</v>
      </c>
      <c r="HR4" s="54">
        <f t="shared" si="2"/>
        <v>1000000</v>
      </c>
      <c r="HS4" s="54">
        <f t="shared" si="2"/>
        <v>1000000</v>
      </c>
      <c r="HT4" s="54">
        <f t="shared" si="2"/>
        <v>1000000</v>
      </c>
      <c r="HU4" s="54">
        <f t="shared" si="2"/>
        <v>1000000</v>
      </c>
      <c r="HV4" s="54">
        <f t="shared" si="2"/>
        <v>1000000</v>
      </c>
      <c r="HW4" s="54">
        <f t="shared" si="2"/>
        <v>1000000</v>
      </c>
      <c r="HX4" s="54">
        <f t="shared" si="2"/>
        <v>1000000</v>
      </c>
      <c r="HY4" s="54">
        <f t="shared" si="2"/>
        <v>1000000</v>
      </c>
      <c r="HZ4" s="54">
        <f t="shared" si="2"/>
        <v>1000000</v>
      </c>
      <c r="IA4" s="54">
        <f t="shared" si="2"/>
        <v>1000000</v>
      </c>
      <c r="IB4" s="54">
        <f t="shared" si="2"/>
        <v>1000000</v>
      </c>
      <c r="IC4" s="54">
        <f t="shared" si="2"/>
        <v>1000000</v>
      </c>
      <c r="ID4" s="54">
        <f t="shared" si="2"/>
        <v>1000000</v>
      </c>
      <c r="IE4" s="54">
        <f t="shared" si="2"/>
        <v>1000000</v>
      </c>
      <c r="IF4" s="54">
        <f t="shared" si="2"/>
        <v>1000000</v>
      </c>
      <c r="IG4" s="54">
        <f t="shared" si="2"/>
        <v>1000000</v>
      </c>
      <c r="IH4" s="54">
        <f t="shared" si="2"/>
        <v>1000000</v>
      </c>
      <c r="II4" s="54">
        <f t="shared" si="2"/>
        <v>1000000</v>
      </c>
      <c r="IJ4" s="54">
        <f t="shared" si="2"/>
        <v>1000000</v>
      </c>
      <c r="IK4" s="54">
        <f t="shared" si="2"/>
        <v>1000000</v>
      </c>
      <c r="IL4" s="54">
        <f t="shared" si="2"/>
        <v>1000000</v>
      </c>
      <c r="IM4" s="54">
        <f t="shared" si="2"/>
        <v>1000000</v>
      </c>
      <c r="IN4" s="54">
        <f t="shared" si="2"/>
        <v>1000000</v>
      </c>
      <c r="IO4" s="54">
        <f t="shared" si="2"/>
        <v>1000000</v>
      </c>
      <c r="IP4" s="54">
        <f t="shared" si="2"/>
        <v>1000000</v>
      </c>
      <c r="IQ4" s="54">
        <f t="shared" si="2"/>
        <v>1000000</v>
      </c>
      <c r="IR4" s="54">
        <f t="shared" si="2"/>
        <v>1000000</v>
      </c>
      <c r="IS4" s="54">
        <f t="shared" si="2"/>
        <v>1000000</v>
      </c>
      <c r="IT4" s="54">
        <f t="shared" si="2"/>
        <v>1000000</v>
      </c>
      <c r="IU4" s="54">
        <f t="shared" si="2"/>
        <v>1000000</v>
      </c>
      <c r="IV4" s="54">
        <f t="shared" si="2"/>
        <v>1000000</v>
      </c>
      <c r="IW4" s="54">
        <f t="shared" si="2"/>
        <v>1000000</v>
      </c>
      <c r="IX4" s="54">
        <f t="shared" si="2"/>
        <v>1000000</v>
      </c>
      <c r="IY4" s="54">
        <f t="shared" si="2"/>
        <v>1000000</v>
      </c>
      <c r="IZ4" s="54">
        <f t="shared" si="2"/>
        <v>1000000</v>
      </c>
      <c r="JA4" s="54">
        <f t="shared" si="2"/>
        <v>1000000</v>
      </c>
      <c r="JB4" s="54">
        <f t="shared" si="2"/>
        <v>1000000</v>
      </c>
      <c r="JC4" s="54">
        <f t="shared" si="2"/>
        <v>1000000</v>
      </c>
      <c r="JD4" s="54">
        <f t="shared" si="2"/>
        <v>1000000</v>
      </c>
      <c r="JE4" s="54">
        <f t="shared" si="2"/>
        <v>1000000</v>
      </c>
      <c r="JF4" s="54">
        <f t="shared" si="2"/>
        <v>1000000</v>
      </c>
      <c r="JG4" s="54">
        <f t="shared" si="2"/>
        <v>1000000</v>
      </c>
      <c r="JH4" s="54">
        <f t="shared" si="2"/>
        <v>1000000</v>
      </c>
      <c r="JI4" s="54">
        <f t="shared" si="2"/>
        <v>1000000</v>
      </c>
      <c r="JJ4" s="54">
        <f t="shared" si="2"/>
        <v>1000000</v>
      </c>
      <c r="JK4" s="54">
        <f t="shared" si="2"/>
        <v>1000000</v>
      </c>
      <c r="JL4" s="54">
        <f t="shared" si="2"/>
        <v>1000000</v>
      </c>
      <c r="JM4" s="54">
        <f t="shared" si="2"/>
        <v>1000000</v>
      </c>
      <c r="JN4" s="54">
        <f t="shared" si="2"/>
        <v>1000000</v>
      </c>
      <c r="JO4" s="54">
        <f t="shared" si="2"/>
        <v>1000000</v>
      </c>
      <c r="JP4" s="54">
        <f t="shared" si="2"/>
        <v>1000000</v>
      </c>
      <c r="JQ4" s="54">
        <f t="shared" si="2"/>
        <v>1000000</v>
      </c>
      <c r="JR4" s="54">
        <f t="shared" si="2"/>
        <v>1000000</v>
      </c>
      <c r="JS4" s="54">
        <f t="shared" si="2"/>
        <v>1000000</v>
      </c>
      <c r="JT4" s="54">
        <f t="shared" si="2"/>
        <v>1000000</v>
      </c>
      <c r="JU4" s="54">
        <f t="shared" si="2"/>
        <v>1000000</v>
      </c>
      <c r="JV4" s="54">
        <f t="shared" si="2"/>
        <v>1000000</v>
      </c>
      <c r="JW4" s="54">
        <f t="shared" si="2"/>
        <v>1000000</v>
      </c>
      <c r="JX4" s="54">
        <f t="shared" si="2"/>
        <v>1000000</v>
      </c>
      <c r="JY4" s="54">
        <f t="shared" si="2"/>
        <v>1000000</v>
      </c>
      <c r="JZ4" s="54">
        <f t="shared" si="2"/>
        <v>1000000</v>
      </c>
      <c r="KA4" s="54">
        <f t="shared" si="2"/>
        <v>1000000</v>
      </c>
      <c r="KB4" s="54">
        <f t="shared" si="2"/>
        <v>1000000</v>
      </c>
      <c r="KC4" s="54">
        <f t="shared" si="2"/>
        <v>1000000</v>
      </c>
      <c r="KD4" s="54">
        <f t="shared" si="2"/>
        <v>1000000</v>
      </c>
      <c r="KE4" s="54">
        <f t="shared" si="2"/>
        <v>1000000</v>
      </c>
      <c r="KF4" s="54">
        <f t="shared" si="2"/>
        <v>1000000</v>
      </c>
      <c r="KG4" s="54">
        <f t="shared" si="2"/>
        <v>1000000</v>
      </c>
      <c r="KH4" s="54">
        <f t="shared" si="2"/>
        <v>1000000</v>
      </c>
      <c r="KI4" s="54">
        <f t="shared" si="2"/>
        <v>1000000</v>
      </c>
      <c r="KJ4" s="54">
        <f t="shared" si="2"/>
        <v>1000000</v>
      </c>
      <c r="KK4" s="54">
        <f t="shared" si="2"/>
        <v>1000000</v>
      </c>
      <c r="KL4" s="54">
        <f t="shared" si="2"/>
        <v>1000000</v>
      </c>
      <c r="KM4" s="54">
        <f t="shared" si="2"/>
        <v>1000000</v>
      </c>
      <c r="KN4" s="54">
        <f t="shared" si="2"/>
        <v>1000000</v>
      </c>
      <c r="KO4" s="54">
        <f t="shared" si="2"/>
        <v>1000000</v>
      </c>
      <c r="KP4" s="54">
        <f t="shared" si="2"/>
        <v>1000000</v>
      </c>
      <c r="KQ4" s="54">
        <f t="shared" si="2"/>
        <v>1000000</v>
      </c>
      <c r="KR4" s="54">
        <f t="shared" si="2"/>
        <v>1000000</v>
      </c>
      <c r="KS4" s="54">
        <f t="shared" si="2"/>
        <v>1000000</v>
      </c>
      <c r="KT4" s="54">
        <f t="shared" si="2"/>
        <v>1000000</v>
      </c>
      <c r="KU4" s="54">
        <f t="shared" si="2"/>
        <v>1000000</v>
      </c>
      <c r="KV4" s="54">
        <f t="shared" si="2"/>
        <v>1000000</v>
      </c>
      <c r="KW4" s="54">
        <f t="shared" si="2"/>
        <v>1000000</v>
      </c>
      <c r="KX4" s="54">
        <f t="shared" si="2"/>
        <v>1000000</v>
      </c>
      <c r="KY4" s="54">
        <f t="shared" si="2"/>
        <v>1000000</v>
      </c>
      <c r="KZ4" s="54">
        <f t="shared" si="2"/>
        <v>1000000</v>
      </c>
      <c r="LA4" s="54">
        <f t="shared" si="2"/>
        <v>1000000</v>
      </c>
      <c r="LB4" s="54">
        <f t="shared" si="2"/>
        <v>1000000</v>
      </c>
      <c r="LC4" s="54">
        <f t="shared" si="2"/>
        <v>1000000</v>
      </c>
      <c r="LD4" s="54">
        <f t="shared" si="2"/>
        <v>1000000</v>
      </c>
      <c r="LE4" s="54">
        <f t="shared" si="2"/>
        <v>1000000</v>
      </c>
      <c r="LF4" s="54">
        <f t="shared" si="2"/>
        <v>1000000</v>
      </c>
      <c r="LG4" s="54">
        <f t="shared" si="2"/>
        <v>1000000</v>
      </c>
      <c r="LH4" s="54">
        <f t="shared" si="2"/>
        <v>1000000</v>
      </c>
      <c r="LI4" s="54">
        <f t="shared" si="2"/>
        <v>1000000</v>
      </c>
      <c r="LJ4" s="54">
        <f t="shared" si="2"/>
        <v>1000000</v>
      </c>
      <c r="LK4" s="54">
        <f t="shared" si="2"/>
        <v>1000000</v>
      </c>
      <c r="LL4" s="54">
        <f t="shared" si="2"/>
        <v>1000000</v>
      </c>
      <c r="LM4" s="54">
        <f t="shared" si="2"/>
        <v>1000000</v>
      </c>
      <c r="LN4" s="54">
        <f t="shared" si="2"/>
        <v>1000000</v>
      </c>
      <c r="LO4" s="54">
        <f t="shared" si="2"/>
        <v>1000000</v>
      </c>
      <c r="LP4" s="54">
        <f t="shared" si="2"/>
        <v>1000000</v>
      </c>
      <c r="LQ4" s="54">
        <f t="shared" si="2"/>
        <v>1000000</v>
      </c>
      <c r="LR4" s="54">
        <f t="shared" si="2"/>
        <v>1000000</v>
      </c>
      <c r="LS4" s="54">
        <f t="shared" si="2"/>
        <v>1000000</v>
      </c>
      <c r="LT4" s="54">
        <f t="shared" si="2"/>
        <v>1000000</v>
      </c>
      <c r="LU4" s="54">
        <f t="shared" si="2"/>
        <v>1000000</v>
      </c>
      <c r="LV4" s="54">
        <f t="shared" si="2"/>
        <v>1000000</v>
      </c>
      <c r="LW4" s="54">
        <f t="shared" si="2"/>
        <v>1000000</v>
      </c>
      <c r="LX4" s="54">
        <f t="shared" si="2"/>
        <v>1000000</v>
      </c>
      <c r="LY4" s="54">
        <f t="shared" si="2"/>
        <v>1000000</v>
      </c>
      <c r="LZ4" s="54">
        <f t="shared" si="2"/>
        <v>1000000</v>
      </c>
      <c r="MA4" s="54">
        <f t="shared" si="2"/>
        <v>1000000</v>
      </c>
      <c r="MB4" s="54">
        <f t="shared" si="2"/>
        <v>1000000</v>
      </c>
      <c r="MC4" s="54">
        <f t="shared" si="2"/>
        <v>1000000</v>
      </c>
      <c r="MD4" s="54">
        <f t="shared" si="2"/>
        <v>1000000</v>
      </c>
      <c r="ME4" s="54">
        <f t="shared" si="2"/>
        <v>1000000</v>
      </c>
      <c r="MF4" s="54">
        <f t="shared" si="2"/>
        <v>1000000</v>
      </c>
      <c r="MG4" s="54">
        <f t="shared" si="2"/>
        <v>1000000</v>
      </c>
      <c r="MH4" s="54">
        <f t="shared" si="2"/>
        <v>1000000</v>
      </c>
      <c r="MI4" s="54">
        <f t="shared" si="2"/>
        <v>1000000</v>
      </c>
      <c r="MJ4" s="54">
        <f t="shared" si="2"/>
        <v>1000000</v>
      </c>
      <c r="MK4" s="54">
        <f t="shared" si="2"/>
        <v>1000000</v>
      </c>
      <c r="ML4" s="54">
        <f t="shared" si="2"/>
        <v>1000000</v>
      </c>
      <c r="MM4" s="54">
        <f t="shared" si="2"/>
        <v>1000000</v>
      </c>
      <c r="MN4" s="54">
        <f t="shared" si="2"/>
        <v>1000000</v>
      </c>
      <c r="MO4" s="54">
        <f t="shared" si="2"/>
        <v>1000000</v>
      </c>
      <c r="MP4" s="54">
        <f t="shared" si="2"/>
        <v>1000000</v>
      </c>
      <c r="MQ4" s="54">
        <f t="shared" si="2"/>
        <v>1000000</v>
      </c>
      <c r="MR4" s="54">
        <f t="shared" si="2"/>
        <v>1000000</v>
      </c>
      <c r="MS4" s="54">
        <f t="shared" si="2"/>
        <v>1000000</v>
      </c>
      <c r="MT4" s="54">
        <f t="shared" si="2"/>
        <v>1000000</v>
      </c>
      <c r="MU4" s="54">
        <f t="shared" si="2"/>
        <v>1000000</v>
      </c>
      <c r="MV4" s="54">
        <f t="shared" si="2"/>
        <v>1000000</v>
      </c>
      <c r="MW4" s="54">
        <f t="shared" si="2"/>
        <v>1000000</v>
      </c>
      <c r="MX4" s="54">
        <f t="shared" si="2"/>
        <v>1000000</v>
      </c>
      <c r="MY4" s="54">
        <f t="shared" si="2"/>
        <v>1000000</v>
      </c>
      <c r="MZ4" s="54">
        <f t="shared" si="2"/>
        <v>1000000</v>
      </c>
      <c r="NA4" s="54">
        <f t="shared" si="2"/>
        <v>1000000</v>
      </c>
      <c r="NB4" s="54">
        <f t="shared" si="2"/>
        <v>1000000</v>
      </c>
      <c r="NC4" s="54">
        <f t="shared" si="2"/>
        <v>1000000</v>
      </c>
      <c r="ND4" s="54">
        <f t="shared" si="2"/>
        <v>1000000</v>
      </c>
      <c r="NE4" s="54">
        <f t="shared" si="2"/>
        <v>1000000</v>
      </c>
      <c r="NF4" s="54">
        <f t="shared" si="2"/>
        <v>1000000</v>
      </c>
      <c r="NG4" s="54">
        <f t="shared" si="2"/>
        <v>1000000</v>
      </c>
      <c r="NH4" s="54">
        <f t="shared" si="2"/>
        <v>1000000</v>
      </c>
      <c r="NI4" s="54">
        <f t="shared" si="2"/>
        <v>1000000</v>
      </c>
      <c r="NJ4" s="54">
        <f t="shared" si="2"/>
        <v>1000000</v>
      </c>
      <c r="NK4" s="54">
        <f t="shared" si="2"/>
        <v>1000000</v>
      </c>
      <c r="NL4" s="54">
        <f t="shared" si="2"/>
        <v>1000000</v>
      </c>
      <c r="NM4" s="54">
        <f t="shared" si="2"/>
        <v>1000000</v>
      </c>
      <c r="NN4" s="54">
        <f t="shared" si="2"/>
        <v>1000000</v>
      </c>
      <c r="NO4" s="54">
        <f t="shared" si="2"/>
        <v>1000000</v>
      </c>
      <c r="NP4" s="54">
        <f t="shared" si="2"/>
        <v>1000000</v>
      </c>
      <c r="NQ4" s="54">
        <f t="shared" si="2"/>
        <v>1000000</v>
      </c>
      <c r="NR4" s="54">
        <f t="shared" si="2"/>
        <v>1000000</v>
      </c>
      <c r="NS4" s="54">
        <f t="shared" si="2"/>
        <v>1000000</v>
      </c>
      <c r="NT4" s="54">
        <f t="shared" si="2"/>
        <v>1000000</v>
      </c>
      <c r="NU4" s="54">
        <f t="shared" si="2"/>
        <v>1000000</v>
      </c>
      <c r="NV4" s="54">
        <f t="shared" si="2"/>
        <v>1000000</v>
      </c>
      <c r="NW4" s="54">
        <f t="shared" si="2"/>
        <v>1000000</v>
      </c>
      <c r="NX4" s="54">
        <f t="shared" si="2"/>
        <v>1000000</v>
      </c>
      <c r="NY4" s="54">
        <f t="shared" si="2"/>
        <v>1000000</v>
      </c>
      <c r="NZ4" s="54">
        <f t="shared" si="2"/>
        <v>1000000</v>
      </c>
      <c r="OA4" s="54">
        <f t="shared" si="2"/>
        <v>1000000</v>
      </c>
      <c r="OB4" s="54">
        <f t="shared" si="2"/>
        <v>1000000</v>
      </c>
      <c r="OC4" s="54">
        <f t="shared" si="2"/>
        <v>1000000</v>
      </c>
      <c r="OD4" s="54">
        <f t="shared" si="2"/>
        <v>1000000</v>
      </c>
      <c r="OE4" s="54">
        <f t="shared" si="2"/>
        <v>1000000</v>
      </c>
      <c r="OF4" s="54">
        <f t="shared" si="2"/>
        <v>1000000</v>
      </c>
      <c r="OG4" s="54">
        <f t="shared" si="2"/>
        <v>1000000</v>
      </c>
      <c r="OH4" s="54">
        <f t="shared" si="2"/>
        <v>1000000</v>
      </c>
      <c r="OI4" s="54">
        <f t="shared" si="2"/>
        <v>1000000</v>
      </c>
      <c r="OJ4" s="54">
        <f t="shared" si="2"/>
        <v>1000000</v>
      </c>
      <c r="OK4" s="54">
        <f t="shared" si="2"/>
        <v>1000000</v>
      </c>
      <c r="OL4" s="54">
        <f t="shared" si="2"/>
        <v>1000000</v>
      </c>
      <c r="OM4" s="54">
        <f t="shared" si="2"/>
        <v>1000000</v>
      </c>
      <c r="ON4" s="54">
        <f t="shared" si="2"/>
        <v>1000000</v>
      </c>
      <c r="OO4" s="54">
        <f t="shared" si="2"/>
        <v>1000000</v>
      </c>
      <c r="OP4" s="54">
        <f t="shared" si="2"/>
        <v>1000000</v>
      </c>
      <c r="OQ4" s="54">
        <f t="shared" si="2"/>
        <v>1000000</v>
      </c>
      <c r="OR4" s="54">
        <f t="shared" si="2"/>
        <v>1000000</v>
      </c>
      <c r="OS4" s="54">
        <f t="shared" si="2"/>
        <v>1000000</v>
      </c>
      <c r="OT4" s="54">
        <f t="shared" si="2"/>
        <v>1000000</v>
      </c>
      <c r="OU4" s="54">
        <f t="shared" si="2"/>
        <v>1000000</v>
      </c>
      <c r="OV4" s="54">
        <f t="shared" si="2"/>
        <v>1000000</v>
      </c>
      <c r="OW4" s="54">
        <f t="shared" si="2"/>
        <v>1000000</v>
      </c>
      <c r="OX4" s="54">
        <f t="shared" si="2"/>
        <v>1000000</v>
      </c>
      <c r="OY4" s="54">
        <f t="shared" si="2"/>
        <v>1000000</v>
      </c>
      <c r="OZ4" s="54">
        <f t="shared" si="2"/>
        <v>1000000</v>
      </c>
      <c r="PA4" s="54">
        <f t="shared" si="2"/>
        <v>1000000</v>
      </c>
      <c r="PB4" s="54">
        <f t="shared" si="2"/>
        <v>1000000</v>
      </c>
      <c r="PC4" s="54">
        <f t="shared" si="2"/>
        <v>1000000</v>
      </c>
      <c r="PD4" s="54">
        <f t="shared" si="2"/>
        <v>1000000</v>
      </c>
      <c r="PE4" s="54">
        <f t="shared" si="2"/>
        <v>1000000</v>
      </c>
      <c r="PF4" s="54">
        <f t="shared" si="2"/>
        <v>1000000</v>
      </c>
      <c r="PG4" s="54">
        <f t="shared" si="2"/>
        <v>1000000</v>
      </c>
      <c r="PH4" s="54">
        <f t="shared" si="2"/>
        <v>1000000</v>
      </c>
      <c r="PI4" s="54">
        <f t="shared" si="2"/>
        <v>1000000</v>
      </c>
      <c r="PJ4" s="54">
        <f t="shared" si="2"/>
        <v>1000000</v>
      </c>
      <c r="PK4" s="54">
        <f t="shared" si="2"/>
        <v>1000000</v>
      </c>
      <c r="PL4" s="54">
        <f t="shared" si="2"/>
        <v>1000000</v>
      </c>
      <c r="PM4" s="54">
        <f t="shared" si="2"/>
        <v>1000000</v>
      </c>
      <c r="PN4" s="54">
        <f t="shared" si="2"/>
        <v>1000000</v>
      </c>
      <c r="PO4" s="54">
        <f t="shared" si="2"/>
        <v>1000000</v>
      </c>
      <c r="PP4" s="54">
        <f t="shared" si="2"/>
        <v>1000000</v>
      </c>
      <c r="PQ4" s="54">
        <f t="shared" si="2"/>
        <v>1000000</v>
      </c>
      <c r="PR4" s="54">
        <f t="shared" si="2"/>
        <v>1000000</v>
      </c>
      <c r="PS4" s="54">
        <f t="shared" si="2"/>
        <v>1000000</v>
      </c>
      <c r="PT4" s="54">
        <f t="shared" si="2"/>
        <v>1000000</v>
      </c>
      <c r="PU4" s="54">
        <f t="shared" si="2"/>
        <v>1000000</v>
      </c>
      <c r="PV4" s="54">
        <f t="shared" si="2"/>
        <v>1000000</v>
      </c>
      <c r="PW4" s="54">
        <f t="shared" si="2"/>
        <v>1000000</v>
      </c>
      <c r="PX4" s="54">
        <f t="shared" si="2"/>
        <v>1000000</v>
      </c>
      <c r="PY4" s="54">
        <f t="shared" si="2"/>
        <v>1000000</v>
      </c>
      <c r="PZ4" s="54">
        <f t="shared" si="2"/>
        <v>1000000</v>
      </c>
      <c r="QA4" s="54">
        <f t="shared" si="2"/>
        <v>1000000</v>
      </c>
      <c r="QB4" s="54">
        <f t="shared" si="2"/>
        <v>1000000</v>
      </c>
      <c r="QC4" s="54">
        <f t="shared" si="2"/>
        <v>1000000</v>
      </c>
      <c r="QD4" s="54">
        <f t="shared" si="2"/>
        <v>1000000</v>
      </c>
      <c r="QE4" s="54">
        <f t="shared" si="2"/>
        <v>1000000</v>
      </c>
      <c r="QF4" s="54">
        <f t="shared" si="2"/>
        <v>1000000</v>
      </c>
      <c r="QG4" s="54">
        <f t="shared" si="2"/>
        <v>1000000</v>
      </c>
      <c r="QH4" s="54">
        <f t="shared" si="2"/>
        <v>1000000</v>
      </c>
      <c r="QI4" s="54">
        <f t="shared" si="2"/>
        <v>1000000</v>
      </c>
      <c r="QJ4" s="54">
        <f t="shared" si="2"/>
        <v>1000000</v>
      </c>
      <c r="QK4" s="54">
        <f t="shared" si="2"/>
        <v>1000000</v>
      </c>
      <c r="QL4" s="54">
        <f t="shared" si="2"/>
        <v>1000000</v>
      </c>
      <c r="QM4" s="54">
        <f t="shared" si="2"/>
        <v>1000000</v>
      </c>
      <c r="QN4" s="54">
        <f t="shared" si="2"/>
        <v>1000000</v>
      </c>
      <c r="QO4" s="54">
        <f t="shared" si="2"/>
        <v>1000000</v>
      </c>
      <c r="QP4" s="54">
        <f t="shared" si="2"/>
        <v>1000000</v>
      </c>
      <c r="QQ4" s="54">
        <f t="shared" si="2"/>
        <v>1000000</v>
      </c>
      <c r="QR4" s="54">
        <f t="shared" si="2"/>
        <v>1000000</v>
      </c>
      <c r="QS4" s="54">
        <f t="shared" si="2"/>
        <v>1000000</v>
      </c>
      <c r="QT4" s="54">
        <f t="shared" si="2"/>
        <v>1000000</v>
      </c>
      <c r="QU4" s="54">
        <f t="shared" si="2"/>
        <v>1000000</v>
      </c>
      <c r="QV4" s="54">
        <f t="shared" si="2"/>
        <v>1000000</v>
      </c>
      <c r="QW4" s="54">
        <f t="shared" si="2"/>
        <v>1000000</v>
      </c>
      <c r="QX4" s="54">
        <f t="shared" si="2"/>
        <v>1000000</v>
      </c>
      <c r="QY4" s="54">
        <f t="shared" si="2"/>
        <v>1000000</v>
      </c>
      <c r="QZ4" s="54">
        <f t="shared" si="2"/>
        <v>1000000</v>
      </c>
      <c r="RA4" s="54">
        <f t="shared" si="2"/>
        <v>1000000</v>
      </c>
      <c r="RB4" s="54">
        <f t="shared" si="2"/>
        <v>1000000</v>
      </c>
      <c r="RC4" s="54">
        <f t="shared" si="2"/>
        <v>1000000</v>
      </c>
      <c r="RD4" s="54">
        <f t="shared" si="2"/>
        <v>1000000</v>
      </c>
      <c r="RE4" s="54">
        <f t="shared" si="2"/>
        <v>1000000</v>
      </c>
      <c r="RF4" s="54">
        <f t="shared" si="2"/>
        <v>1000000</v>
      </c>
      <c r="RG4" s="54">
        <f t="shared" si="2"/>
        <v>1000000</v>
      </c>
      <c r="RH4" s="54">
        <f t="shared" si="2"/>
        <v>1000000</v>
      </c>
      <c r="RI4" s="54">
        <f t="shared" si="2"/>
        <v>1000000</v>
      </c>
      <c r="RJ4" s="54">
        <f t="shared" si="2"/>
        <v>1000000</v>
      </c>
      <c r="RK4" s="54">
        <f t="shared" si="2"/>
        <v>1000000</v>
      </c>
      <c r="RL4" s="54">
        <f t="shared" si="2"/>
        <v>1000000</v>
      </c>
      <c r="RM4" s="54">
        <f t="shared" si="2"/>
        <v>1000000</v>
      </c>
      <c r="RN4" s="54">
        <f t="shared" si="2"/>
        <v>1000000</v>
      </c>
      <c r="RO4" s="54">
        <f t="shared" si="2"/>
        <v>1000000</v>
      </c>
      <c r="RP4" s="54">
        <f t="shared" si="2"/>
        <v>1000000</v>
      </c>
      <c r="RQ4" s="54">
        <f t="shared" si="2"/>
        <v>1000000</v>
      </c>
      <c r="RR4" s="54">
        <f t="shared" si="2"/>
        <v>1000000</v>
      </c>
      <c r="RS4" s="54">
        <f t="shared" si="2"/>
        <v>1000000</v>
      </c>
      <c r="RT4" s="54">
        <f t="shared" si="2"/>
        <v>1000000</v>
      </c>
      <c r="RU4" s="54">
        <f t="shared" si="2"/>
        <v>1000000</v>
      </c>
      <c r="RV4" s="54">
        <f t="shared" si="2"/>
        <v>1000000</v>
      </c>
      <c r="RW4" s="54">
        <f t="shared" si="2"/>
        <v>1000000</v>
      </c>
      <c r="RX4" s="54">
        <f t="shared" si="2"/>
        <v>1000000</v>
      </c>
      <c r="RY4" s="54">
        <f t="shared" si="2"/>
        <v>1000000</v>
      </c>
      <c r="RZ4" s="54">
        <f t="shared" si="2"/>
        <v>1000000</v>
      </c>
      <c r="SA4" s="54">
        <f t="shared" si="2"/>
        <v>1000000</v>
      </c>
      <c r="SB4" s="54">
        <f t="shared" si="2"/>
        <v>1000000</v>
      </c>
      <c r="SC4" s="54">
        <f t="shared" si="2"/>
        <v>1000000</v>
      </c>
      <c r="SD4" s="54">
        <f t="shared" si="2"/>
        <v>1000000</v>
      </c>
      <c r="SE4" s="54">
        <f t="shared" si="2"/>
        <v>1000000</v>
      </c>
      <c r="SF4" s="54">
        <f t="shared" si="2"/>
        <v>1000000</v>
      </c>
      <c r="SG4" s="54">
        <f t="shared" si="2"/>
        <v>1000000</v>
      </c>
      <c r="SH4" s="54">
        <f t="shared" si="2"/>
        <v>1000000</v>
      </c>
      <c r="SI4" s="54">
        <f t="shared" si="2"/>
        <v>1000000</v>
      </c>
      <c r="SJ4" s="54">
        <f t="shared" si="2"/>
        <v>1000000</v>
      </c>
      <c r="SK4" s="54">
        <f t="shared" si="2"/>
        <v>1000000</v>
      </c>
      <c r="SL4" s="54">
        <f t="shared" si="2"/>
        <v>1000000</v>
      </c>
    </row>
    <row r="5">
      <c r="A5" s="58" t="s">
        <v>82</v>
      </c>
      <c r="B5" s="75">
        <f>Inputs!E5</f>
        <v>0.84</v>
      </c>
      <c r="C5" s="233">
        <f>AVERAGE(G5:SL5)</f>
        <v>0.8355826</v>
      </c>
      <c r="D5" s="234">
        <f>PERCENTILE($G5:$SL5,0.25)</f>
        <v>0.779675</v>
      </c>
      <c r="E5" s="235">
        <f>PERCENTILE($G5:$SL5,0.75)</f>
        <v>0.889475</v>
      </c>
      <c r="F5" s="54"/>
      <c r="G5" s="236">
        <f>RANDBETWEEN((Inputs!$E5-(Inputs!$E5-Inputs!$D5)*2)*10000,(Inputs!$E5+(Inputs!$F5-Inputs!$E5)*2)*10000)/10000</f>
        <v>0.8734</v>
      </c>
      <c r="H5" s="236">
        <f>RANDBETWEEN((Inputs!$E5-(Inputs!$E5-Inputs!$D5)*2)*10000,(Inputs!$E5+(Inputs!$F5-Inputs!$E5)*2)*10000)/10000</f>
        <v>0.9314</v>
      </c>
      <c r="I5" s="236">
        <f>RANDBETWEEN((Inputs!$E5-(Inputs!$E5-Inputs!$D5)*2)*10000,(Inputs!$E5+(Inputs!$F5-Inputs!$E5)*2)*10000)/10000</f>
        <v>0.857</v>
      </c>
      <c r="J5" s="236">
        <f>RANDBETWEEN((Inputs!$E5-(Inputs!$E5-Inputs!$D5)*2)*10000,(Inputs!$E5+(Inputs!$F5-Inputs!$E5)*2)*10000)/10000</f>
        <v>0.7686</v>
      </c>
      <c r="K5" s="236">
        <f>RANDBETWEEN((Inputs!$E5-(Inputs!$E5-Inputs!$D5)*2)*10000,(Inputs!$E5+(Inputs!$F5-Inputs!$E5)*2)*10000)/10000</f>
        <v>0.7801</v>
      </c>
      <c r="L5" s="236">
        <f>RANDBETWEEN((Inputs!$E5-(Inputs!$E5-Inputs!$D5)*2)*10000,(Inputs!$E5+(Inputs!$F5-Inputs!$E5)*2)*10000)/10000</f>
        <v>0.7534</v>
      </c>
      <c r="M5" s="236">
        <f>RANDBETWEEN((Inputs!$E5-(Inputs!$E5-Inputs!$D5)*2)*10000,(Inputs!$E5+(Inputs!$F5-Inputs!$E5)*2)*10000)/10000</f>
        <v>0.835</v>
      </c>
      <c r="N5" s="236">
        <f>RANDBETWEEN((Inputs!$E5-(Inputs!$E5-Inputs!$D5)*2)*10000,(Inputs!$E5+(Inputs!$F5-Inputs!$E5)*2)*10000)/10000</f>
        <v>0.9179</v>
      </c>
      <c r="O5" s="236">
        <f>RANDBETWEEN((Inputs!$E5-(Inputs!$E5-Inputs!$D5)*2)*10000,(Inputs!$E5+(Inputs!$F5-Inputs!$E5)*2)*10000)/10000</f>
        <v>0.8308</v>
      </c>
      <c r="P5" s="236">
        <f>RANDBETWEEN((Inputs!$E5-(Inputs!$E5-Inputs!$D5)*2)*10000,(Inputs!$E5+(Inputs!$F5-Inputs!$E5)*2)*10000)/10000</f>
        <v>0.7839</v>
      </c>
      <c r="Q5" s="236">
        <f>RANDBETWEEN((Inputs!$E5-(Inputs!$E5-Inputs!$D5)*2)*10000,(Inputs!$E5+(Inputs!$F5-Inputs!$E5)*2)*10000)/10000</f>
        <v>0.7597</v>
      </c>
      <c r="R5" s="236">
        <f>RANDBETWEEN((Inputs!$E5-(Inputs!$E5-Inputs!$D5)*2)*10000,(Inputs!$E5+(Inputs!$F5-Inputs!$E5)*2)*10000)/10000</f>
        <v>0.8989</v>
      </c>
      <c r="S5" s="236">
        <f>RANDBETWEEN((Inputs!$E5-(Inputs!$E5-Inputs!$D5)*2)*10000,(Inputs!$E5+(Inputs!$F5-Inputs!$E5)*2)*10000)/10000</f>
        <v>0.8627</v>
      </c>
      <c r="T5" s="236">
        <f>RANDBETWEEN((Inputs!$E5-(Inputs!$E5-Inputs!$D5)*2)*10000,(Inputs!$E5+(Inputs!$F5-Inputs!$E5)*2)*10000)/10000</f>
        <v>0.8303</v>
      </c>
      <c r="U5" s="236">
        <f>RANDBETWEEN((Inputs!$E5-(Inputs!$E5-Inputs!$D5)*2)*10000,(Inputs!$E5+(Inputs!$F5-Inputs!$E5)*2)*10000)/10000</f>
        <v>0.8846</v>
      </c>
      <c r="V5" s="236">
        <f>RANDBETWEEN((Inputs!$E5-(Inputs!$E5-Inputs!$D5)*2)*10000,(Inputs!$E5+(Inputs!$F5-Inputs!$E5)*2)*10000)/10000</f>
        <v>0.9288</v>
      </c>
      <c r="W5" s="236">
        <f>RANDBETWEEN((Inputs!$E5-(Inputs!$E5-Inputs!$D5)*2)*10000,(Inputs!$E5+(Inputs!$F5-Inputs!$E5)*2)*10000)/10000</f>
        <v>0.7473</v>
      </c>
      <c r="X5" s="236">
        <f>RANDBETWEEN((Inputs!$E5-(Inputs!$E5-Inputs!$D5)*2)*10000,(Inputs!$E5+(Inputs!$F5-Inputs!$E5)*2)*10000)/10000</f>
        <v>0.7529</v>
      </c>
      <c r="Y5" s="236">
        <f>RANDBETWEEN((Inputs!$E5-(Inputs!$E5-Inputs!$D5)*2)*10000,(Inputs!$E5+(Inputs!$F5-Inputs!$E5)*2)*10000)/10000</f>
        <v>0.8583</v>
      </c>
      <c r="Z5" s="236">
        <f>RANDBETWEEN((Inputs!$E5-(Inputs!$E5-Inputs!$D5)*2)*10000,(Inputs!$E5+(Inputs!$F5-Inputs!$E5)*2)*10000)/10000</f>
        <v>0.8104</v>
      </c>
      <c r="AA5" s="236">
        <f>RANDBETWEEN((Inputs!$E5-(Inputs!$E5-Inputs!$D5)*2)*10000,(Inputs!$E5+(Inputs!$F5-Inputs!$E5)*2)*10000)/10000</f>
        <v>0.8941</v>
      </c>
      <c r="AB5" s="236">
        <f>RANDBETWEEN((Inputs!$E5-(Inputs!$E5-Inputs!$D5)*2)*10000,(Inputs!$E5+(Inputs!$F5-Inputs!$E5)*2)*10000)/10000</f>
        <v>0.7545</v>
      </c>
      <c r="AC5" s="236">
        <f>RANDBETWEEN((Inputs!$E5-(Inputs!$E5-Inputs!$D5)*2)*10000,(Inputs!$E5+(Inputs!$F5-Inputs!$E5)*2)*10000)/10000</f>
        <v>0.9143</v>
      </c>
      <c r="AD5" s="236">
        <f>RANDBETWEEN((Inputs!$E5-(Inputs!$E5-Inputs!$D5)*2)*10000,(Inputs!$E5+(Inputs!$F5-Inputs!$E5)*2)*10000)/10000</f>
        <v>0.8626</v>
      </c>
      <c r="AE5" s="236">
        <f>RANDBETWEEN((Inputs!$E5-(Inputs!$E5-Inputs!$D5)*2)*10000,(Inputs!$E5+(Inputs!$F5-Inputs!$E5)*2)*10000)/10000</f>
        <v>0.81</v>
      </c>
      <c r="AF5" s="236">
        <f>RANDBETWEEN((Inputs!$E5-(Inputs!$E5-Inputs!$D5)*2)*10000,(Inputs!$E5+(Inputs!$F5-Inputs!$E5)*2)*10000)/10000</f>
        <v>0.9348</v>
      </c>
      <c r="AG5" s="236">
        <f>RANDBETWEEN((Inputs!$E5-(Inputs!$E5-Inputs!$D5)*2)*10000,(Inputs!$E5+(Inputs!$F5-Inputs!$E5)*2)*10000)/10000</f>
        <v>0.8723</v>
      </c>
      <c r="AH5" s="236">
        <f>RANDBETWEEN((Inputs!$E5-(Inputs!$E5-Inputs!$D5)*2)*10000,(Inputs!$E5+(Inputs!$F5-Inputs!$E5)*2)*10000)/10000</f>
        <v>0.8748</v>
      </c>
      <c r="AI5" s="236">
        <f>RANDBETWEEN((Inputs!$E5-(Inputs!$E5-Inputs!$D5)*2)*10000,(Inputs!$E5+(Inputs!$F5-Inputs!$E5)*2)*10000)/10000</f>
        <v>0.7549</v>
      </c>
      <c r="AJ5" s="236">
        <f>RANDBETWEEN((Inputs!$E5-(Inputs!$E5-Inputs!$D5)*2)*10000,(Inputs!$E5+(Inputs!$F5-Inputs!$E5)*2)*10000)/10000</f>
        <v>0.7469</v>
      </c>
      <c r="AK5" s="236">
        <f>RANDBETWEEN((Inputs!$E5-(Inputs!$E5-Inputs!$D5)*2)*10000,(Inputs!$E5+(Inputs!$F5-Inputs!$E5)*2)*10000)/10000</f>
        <v>0.8727</v>
      </c>
      <c r="AL5" s="236">
        <f>RANDBETWEEN((Inputs!$E5-(Inputs!$E5-Inputs!$D5)*2)*10000,(Inputs!$E5+(Inputs!$F5-Inputs!$E5)*2)*10000)/10000</f>
        <v>0.7958</v>
      </c>
      <c r="AM5" s="236">
        <f>RANDBETWEEN((Inputs!$E5-(Inputs!$E5-Inputs!$D5)*2)*10000,(Inputs!$E5+(Inputs!$F5-Inputs!$E5)*2)*10000)/10000</f>
        <v>0.7931</v>
      </c>
      <c r="AN5" s="236">
        <f>RANDBETWEEN((Inputs!$E5-(Inputs!$E5-Inputs!$D5)*2)*10000,(Inputs!$E5+(Inputs!$F5-Inputs!$E5)*2)*10000)/10000</f>
        <v>0.8397</v>
      </c>
      <c r="AO5" s="236">
        <f>RANDBETWEEN((Inputs!$E5-(Inputs!$E5-Inputs!$D5)*2)*10000,(Inputs!$E5+(Inputs!$F5-Inputs!$E5)*2)*10000)/10000</f>
        <v>0.831</v>
      </c>
      <c r="AP5" s="236">
        <f>RANDBETWEEN((Inputs!$E5-(Inputs!$E5-Inputs!$D5)*2)*10000,(Inputs!$E5+(Inputs!$F5-Inputs!$E5)*2)*10000)/10000</f>
        <v>0.7502</v>
      </c>
      <c r="AQ5" s="236">
        <f>RANDBETWEEN((Inputs!$E5-(Inputs!$E5-Inputs!$D5)*2)*10000,(Inputs!$E5+(Inputs!$F5-Inputs!$E5)*2)*10000)/10000</f>
        <v>0.7798</v>
      </c>
      <c r="AR5" s="236">
        <f>RANDBETWEEN((Inputs!$E5-(Inputs!$E5-Inputs!$D5)*2)*10000,(Inputs!$E5+(Inputs!$F5-Inputs!$E5)*2)*10000)/10000</f>
        <v>0.7902</v>
      </c>
      <c r="AS5" s="236">
        <f>RANDBETWEEN((Inputs!$E5-(Inputs!$E5-Inputs!$D5)*2)*10000,(Inputs!$E5+(Inputs!$F5-Inputs!$E5)*2)*10000)/10000</f>
        <v>0.8862</v>
      </c>
      <c r="AT5" s="236">
        <f>RANDBETWEEN((Inputs!$E5-(Inputs!$E5-Inputs!$D5)*2)*10000,(Inputs!$E5+(Inputs!$F5-Inputs!$E5)*2)*10000)/10000</f>
        <v>0.8995</v>
      </c>
      <c r="AU5" s="236">
        <f>RANDBETWEEN((Inputs!$E5-(Inputs!$E5-Inputs!$D5)*2)*10000,(Inputs!$E5+(Inputs!$F5-Inputs!$E5)*2)*10000)/10000</f>
        <v>0.7498</v>
      </c>
      <c r="AV5" s="236">
        <f>RANDBETWEEN((Inputs!$E5-(Inputs!$E5-Inputs!$D5)*2)*10000,(Inputs!$E5+(Inputs!$F5-Inputs!$E5)*2)*10000)/10000</f>
        <v>0.8936</v>
      </c>
      <c r="AW5" s="236">
        <f>RANDBETWEEN((Inputs!$E5-(Inputs!$E5-Inputs!$D5)*2)*10000,(Inputs!$E5+(Inputs!$F5-Inputs!$E5)*2)*10000)/10000</f>
        <v>0.816</v>
      </c>
      <c r="AX5" s="236">
        <f>RANDBETWEEN((Inputs!$E5-(Inputs!$E5-Inputs!$D5)*2)*10000,(Inputs!$E5+(Inputs!$F5-Inputs!$E5)*2)*10000)/10000</f>
        <v>0.9039</v>
      </c>
      <c r="AY5" s="236">
        <f>RANDBETWEEN((Inputs!$E5-(Inputs!$E5-Inputs!$D5)*2)*10000,(Inputs!$E5+(Inputs!$F5-Inputs!$E5)*2)*10000)/10000</f>
        <v>0.7407</v>
      </c>
      <c r="AZ5" s="236">
        <f>RANDBETWEEN((Inputs!$E5-(Inputs!$E5-Inputs!$D5)*2)*10000,(Inputs!$E5+(Inputs!$F5-Inputs!$E5)*2)*10000)/10000</f>
        <v>0.8615</v>
      </c>
      <c r="BA5" s="236">
        <f>RANDBETWEEN((Inputs!$E5-(Inputs!$E5-Inputs!$D5)*2)*10000,(Inputs!$E5+(Inputs!$F5-Inputs!$E5)*2)*10000)/10000</f>
        <v>0.8849</v>
      </c>
      <c r="BB5" s="236">
        <f>RANDBETWEEN((Inputs!$E5-(Inputs!$E5-Inputs!$D5)*2)*10000,(Inputs!$E5+(Inputs!$F5-Inputs!$E5)*2)*10000)/10000</f>
        <v>0.7662</v>
      </c>
      <c r="BC5" s="236">
        <f>RANDBETWEEN((Inputs!$E5-(Inputs!$E5-Inputs!$D5)*2)*10000,(Inputs!$E5+(Inputs!$F5-Inputs!$E5)*2)*10000)/10000</f>
        <v>0.8788</v>
      </c>
      <c r="BD5" s="236">
        <f>RANDBETWEEN((Inputs!$E5-(Inputs!$E5-Inputs!$D5)*2)*10000,(Inputs!$E5+(Inputs!$F5-Inputs!$E5)*2)*10000)/10000</f>
        <v>0.8356</v>
      </c>
      <c r="BE5" s="236">
        <f>RANDBETWEEN((Inputs!$E5-(Inputs!$E5-Inputs!$D5)*2)*10000,(Inputs!$E5+(Inputs!$F5-Inputs!$E5)*2)*10000)/10000</f>
        <v>0.8942</v>
      </c>
      <c r="BF5" s="236">
        <f>RANDBETWEEN((Inputs!$E5-(Inputs!$E5-Inputs!$D5)*2)*10000,(Inputs!$E5+(Inputs!$F5-Inputs!$E5)*2)*10000)/10000</f>
        <v>0.7696</v>
      </c>
      <c r="BG5" s="236">
        <f>RANDBETWEEN((Inputs!$E5-(Inputs!$E5-Inputs!$D5)*2)*10000,(Inputs!$E5+(Inputs!$F5-Inputs!$E5)*2)*10000)/10000</f>
        <v>0.9223</v>
      </c>
      <c r="BH5" s="236">
        <f>RANDBETWEEN((Inputs!$E5-(Inputs!$E5-Inputs!$D5)*2)*10000,(Inputs!$E5+(Inputs!$F5-Inputs!$E5)*2)*10000)/10000</f>
        <v>0.7678</v>
      </c>
      <c r="BI5" s="236">
        <f>RANDBETWEEN((Inputs!$E5-(Inputs!$E5-Inputs!$D5)*2)*10000,(Inputs!$E5+(Inputs!$F5-Inputs!$E5)*2)*10000)/10000</f>
        <v>0.9213</v>
      </c>
      <c r="BJ5" s="236">
        <f>RANDBETWEEN((Inputs!$E5-(Inputs!$E5-Inputs!$D5)*2)*10000,(Inputs!$E5+(Inputs!$F5-Inputs!$E5)*2)*10000)/10000</f>
        <v>0.7569</v>
      </c>
      <c r="BK5" s="236">
        <f>RANDBETWEEN((Inputs!$E5-(Inputs!$E5-Inputs!$D5)*2)*10000,(Inputs!$E5+(Inputs!$F5-Inputs!$E5)*2)*10000)/10000</f>
        <v>0.8656</v>
      </c>
      <c r="BL5" s="236">
        <f>RANDBETWEEN((Inputs!$E5-(Inputs!$E5-Inputs!$D5)*2)*10000,(Inputs!$E5+(Inputs!$F5-Inputs!$E5)*2)*10000)/10000</f>
        <v>0.8419</v>
      </c>
      <c r="BM5" s="236">
        <f>RANDBETWEEN((Inputs!$E5-(Inputs!$E5-Inputs!$D5)*2)*10000,(Inputs!$E5+(Inputs!$F5-Inputs!$E5)*2)*10000)/10000</f>
        <v>0.7497</v>
      </c>
      <c r="BN5" s="236">
        <f>RANDBETWEEN((Inputs!$E5-(Inputs!$E5-Inputs!$D5)*2)*10000,(Inputs!$E5+(Inputs!$F5-Inputs!$E5)*2)*10000)/10000</f>
        <v>0.8947</v>
      </c>
      <c r="BO5" s="236">
        <f>RANDBETWEEN((Inputs!$E5-(Inputs!$E5-Inputs!$D5)*2)*10000,(Inputs!$E5+(Inputs!$F5-Inputs!$E5)*2)*10000)/10000</f>
        <v>0.7778</v>
      </c>
      <c r="BP5" s="236">
        <f>RANDBETWEEN((Inputs!$E5-(Inputs!$E5-Inputs!$D5)*2)*10000,(Inputs!$E5+(Inputs!$F5-Inputs!$E5)*2)*10000)/10000</f>
        <v>0.8011</v>
      </c>
      <c r="BQ5" s="236">
        <f>RANDBETWEEN((Inputs!$E5-(Inputs!$E5-Inputs!$D5)*2)*10000,(Inputs!$E5+(Inputs!$F5-Inputs!$E5)*2)*10000)/10000</f>
        <v>0.9129</v>
      </c>
      <c r="BR5" s="236">
        <f>RANDBETWEEN((Inputs!$E5-(Inputs!$E5-Inputs!$D5)*2)*10000,(Inputs!$E5+(Inputs!$F5-Inputs!$E5)*2)*10000)/10000</f>
        <v>0.8502</v>
      </c>
      <c r="BS5" s="236">
        <f>RANDBETWEEN((Inputs!$E5-(Inputs!$E5-Inputs!$D5)*2)*10000,(Inputs!$E5+(Inputs!$F5-Inputs!$E5)*2)*10000)/10000</f>
        <v>0.8712</v>
      </c>
      <c r="BT5" s="236">
        <f>RANDBETWEEN((Inputs!$E5-(Inputs!$E5-Inputs!$D5)*2)*10000,(Inputs!$E5+(Inputs!$F5-Inputs!$E5)*2)*10000)/10000</f>
        <v>0.7693</v>
      </c>
      <c r="BU5" s="236">
        <f>RANDBETWEEN((Inputs!$E5-(Inputs!$E5-Inputs!$D5)*2)*10000,(Inputs!$E5+(Inputs!$F5-Inputs!$E5)*2)*10000)/10000</f>
        <v>0.7936</v>
      </c>
      <c r="BV5" s="236">
        <f>RANDBETWEEN((Inputs!$E5-(Inputs!$E5-Inputs!$D5)*2)*10000,(Inputs!$E5+(Inputs!$F5-Inputs!$E5)*2)*10000)/10000</f>
        <v>0.7522</v>
      </c>
      <c r="BW5" s="236">
        <f>RANDBETWEEN((Inputs!$E5-(Inputs!$E5-Inputs!$D5)*2)*10000,(Inputs!$E5+(Inputs!$F5-Inputs!$E5)*2)*10000)/10000</f>
        <v>0.7879</v>
      </c>
      <c r="BX5" s="236">
        <f>RANDBETWEEN((Inputs!$E5-(Inputs!$E5-Inputs!$D5)*2)*10000,(Inputs!$E5+(Inputs!$F5-Inputs!$E5)*2)*10000)/10000</f>
        <v>0.8516</v>
      </c>
      <c r="BY5" s="236">
        <f>RANDBETWEEN((Inputs!$E5-(Inputs!$E5-Inputs!$D5)*2)*10000,(Inputs!$E5+(Inputs!$F5-Inputs!$E5)*2)*10000)/10000</f>
        <v>0.8026</v>
      </c>
      <c r="BZ5" s="236">
        <f>RANDBETWEEN((Inputs!$E5-(Inputs!$E5-Inputs!$D5)*2)*10000,(Inputs!$E5+(Inputs!$F5-Inputs!$E5)*2)*10000)/10000</f>
        <v>0.795</v>
      </c>
      <c r="CA5" s="236">
        <f>RANDBETWEEN((Inputs!$E5-(Inputs!$E5-Inputs!$D5)*2)*10000,(Inputs!$E5+(Inputs!$F5-Inputs!$E5)*2)*10000)/10000</f>
        <v>0.9398</v>
      </c>
      <c r="CB5" s="236">
        <f>RANDBETWEEN((Inputs!$E5-(Inputs!$E5-Inputs!$D5)*2)*10000,(Inputs!$E5+(Inputs!$F5-Inputs!$E5)*2)*10000)/10000</f>
        <v>0.8285</v>
      </c>
      <c r="CC5" s="236">
        <f>RANDBETWEEN((Inputs!$E5-(Inputs!$E5-Inputs!$D5)*2)*10000,(Inputs!$E5+(Inputs!$F5-Inputs!$E5)*2)*10000)/10000</f>
        <v>0.9311</v>
      </c>
      <c r="CD5" s="236">
        <f>RANDBETWEEN((Inputs!$E5-(Inputs!$E5-Inputs!$D5)*2)*10000,(Inputs!$E5+(Inputs!$F5-Inputs!$E5)*2)*10000)/10000</f>
        <v>0.8857</v>
      </c>
      <c r="CE5" s="236">
        <f>RANDBETWEEN((Inputs!$E5-(Inputs!$E5-Inputs!$D5)*2)*10000,(Inputs!$E5+(Inputs!$F5-Inputs!$E5)*2)*10000)/10000</f>
        <v>0.8915</v>
      </c>
      <c r="CF5" s="236">
        <f>RANDBETWEEN((Inputs!$E5-(Inputs!$E5-Inputs!$D5)*2)*10000,(Inputs!$E5+(Inputs!$F5-Inputs!$E5)*2)*10000)/10000</f>
        <v>0.9099</v>
      </c>
      <c r="CG5" s="236">
        <f>RANDBETWEEN((Inputs!$E5-(Inputs!$E5-Inputs!$D5)*2)*10000,(Inputs!$E5+(Inputs!$F5-Inputs!$E5)*2)*10000)/10000</f>
        <v>0.7736</v>
      </c>
      <c r="CH5" s="236">
        <f>RANDBETWEEN((Inputs!$E5-(Inputs!$E5-Inputs!$D5)*2)*10000,(Inputs!$E5+(Inputs!$F5-Inputs!$E5)*2)*10000)/10000</f>
        <v>0.7789</v>
      </c>
      <c r="CI5" s="236">
        <f>RANDBETWEEN((Inputs!$E5-(Inputs!$E5-Inputs!$D5)*2)*10000,(Inputs!$E5+(Inputs!$F5-Inputs!$E5)*2)*10000)/10000</f>
        <v>0.8936</v>
      </c>
      <c r="CJ5" s="236">
        <f>RANDBETWEEN((Inputs!$E5-(Inputs!$E5-Inputs!$D5)*2)*10000,(Inputs!$E5+(Inputs!$F5-Inputs!$E5)*2)*10000)/10000</f>
        <v>0.7943</v>
      </c>
      <c r="CK5" s="236">
        <f>RANDBETWEEN((Inputs!$E5-(Inputs!$E5-Inputs!$D5)*2)*10000,(Inputs!$E5+(Inputs!$F5-Inputs!$E5)*2)*10000)/10000</f>
        <v>0.8848</v>
      </c>
      <c r="CL5" s="236">
        <f>RANDBETWEEN((Inputs!$E5-(Inputs!$E5-Inputs!$D5)*2)*10000,(Inputs!$E5+(Inputs!$F5-Inputs!$E5)*2)*10000)/10000</f>
        <v>0.7579</v>
      </c>
      <c r="CM5" s="236">
        <f>RANDBETWEEN((Inputs!$E5-(Inputs!$E5-Inputs!$D5)*2)*10000,(Inputs!$E5+(Inputs!$F5-Inputs!$E5)*2)*10000)/10000</f>
        <v>0.8119</v>
      </c>
      <c r="CN5" s="236">
        <f>RANDBETWEEN((Inputs!$E5-(Inputs!$E5-Inputs!$D5)*2)*10000,(Inputs!$E5+(Inputs!$F5-Inputs!$E5)*2)*10000)/10000</f>
        <v>0.8969</v>
      </c>
      <c r="CO5" s="236">
        <f>RANDBETWEEN((Inputs!$E5-(Inputs!$E5-Inputs!$D5)*2)*10000,(Inputs!$E5+(Inputs!$F5-Inputs!$E5)*2)*10000)/10000</f>
        <v>0.8005</v>
      </c>
      <c r="CP5" s="236">
        <f>RANDBETWEEN((Inputs!$E5-(Inputs!$E5-Inputs!$D5)*2)*10000,(Inputs!$E5+(Inputs!$F5-Inputs!$E5)*2)*10000)/10000</f>
        <v>0.868</v>
      </c>
      <c r="CQ5" s="236">
        <f>RANDBETWEEN((Inputs!$E5-(Inputs!$E5-Inputs!$D5)*2)*10000,(Inputs!$E5+(Inputs!$F5-Inputs!$E5)*2)*10000)/10000</f>
        <v>0.8173</v>
      </c>
      <c r="CR5" s="236">
        <f>RANDBETWEEN((Inputs!$E5-(Inputs!$E5-Inputs!$D5)*2)*10000,(Inputs!$E5+(Inputs!$F5-Inputs!$E5)*2)*10000)/10000</f>
        <v>0.7613</v>
      </c>
      <c r="CS5" s="236">
        <f>RANDBETWEEN((Inputs!$E5-(Inputs!$E5-Inputs!$D5)*2)*10000,(Inputs!$E5+(Inputs!$F5-Inputs!$E5)*2)*10000)/10000</f>
        <v>0.7739</v>
      </c>
      <c r="CT5" s="236">
        <f>RANDBETWEEN((Inputs!$E5-(Inputs!$E5-Inputs!$D5)*2)*10000,(Inputs!$E5+(Inputs!$F5-Inputs!$E5)*2)*10000)/10000</f>
        <v>0.8709</v>
      </c>
      <c r="CU5" s="236">
        <f>RANDBETWEEN((Inputs!$E5-(Inputs!$E5-Inputs!$D5)*2)*10000,(Inputs!$E5+(Inputs!$F5-Inputs!$E5)*2)*10000)/10000</f>
        <v>0.7882</v>
      </c>
      <c r="CV5" s="236">
        <f>RANDBETWEEN((Inputs!$E5-(Inputs!$E5-Inputs!$D5)*2)*10000,(Inputs!$E5+(Inputs!$F5-Inputs!$E5)*2)*10000)/10000</f>
        <v>0.8397</v>
      </c>
      <c r="CW5" s="236">
        <f>RANDBETWEEN((Inputs!$E5-(Inputs!$E5-Inputs!$D5)*2)*10000,(Inputs!$E5+(Inputs!$F5-Inputs!$E5)*2)*10000)/10000</f>
        <v>0.8863</v>
      </c>
      <c r="CX5" s="236">
        <f>RANDBETWEEN((Inputs!$E5-(Inputs!$E5-Inputs!$D5)*2)*10000,(Inputs!$E5+(Inputs!$F5-Inputs!$E5)*2)*10000)/10000</f>
        <v>0.7505</v>
      </c>
      <c r="CY5" s="236">
        <f>RANDBETWEEN((Inputs!$E5-(Inputs!$E5-Inputs!$D5)*2)*10000,(Inputs!$E5+(Inputs!$F5-Inputs!$E5)*2)*10000)/10000</f>
        <v>0.8724</v>
      </c>
      <c r="CZ5" s="236">
        <f>RANDBETWEEN((Inputs!$E5-(Inputs!$E5-Inputs!$D5)*2)*10000,(Inputs!$E5+(Inputs!$F5-Inputs!$E5)*2)*10000)/10000</f>
        <v>0.8533</v>
      </c>
      <c r="DA5" s="236">
        <f>RANDBETWEEN((Inputs!$E5-(Inputs!$E5-Inputs!$D5)*2)*10000,(Inputs!$E5+(Inputs!$F5-Inputs!$E5)*2)*10000)/10000</f>
        <v>0.9048</v>
      </c>
      <c r="DB5" s="236">
        <f>RANDBETWEEN((Inputs!$E5-(Inputs!$E5-Inputs!$D5)*2)*10000,(Inputs!$E5+(Inputs!$F5-Inputs!$E5)*2)*10000)/10000</f>
        <v>0.8307</v>
      </c>
      <c r="DC5" s="236">
        <f>RANDBETWEEN((Inputs!$E5-(Inputs!$E5-Inputs!$D5)*2)*10000,(Inputs!$E5+(Inputs!$F5-Inputs!$E5)*2)*10000)/10000</f>
        <v>0.8751</v>
      </c>
      <c r="DD5" s="236">
        <f>RANDBETWEEN((Inputs!$E5-(Inputs!$E5-Inputs!$D5)*2)*10000,(Inputs!$E5+(Inputs!$F5-Inputs!$E5)*2)*10000)/10000</f>
        <v>0.8426</v>
      </c>
      <c r="DE5" s="236">
        <f>RANDBETWEEN((Inputs!$E5-(Inputs!$E5-Inputs!$D5)*2)*10000,(Inputs!$E5+(Inputs!$F5-Inputs!$E5)*2)*10000)/10000</f>
        <v>0.7639</v>
      </c>
      <c r="DF5" s="236">
        <f>RANDBETWEEN((Inputs!$E5-(Inputs!$E5-Inputs!$D5)*2)*10000,(Inputs!$E5+(Inputs!$F5-Inputs!$E5)*2)*10000)/10000</f>
        <v>0.7614</v>
      </c>
      <c r="DG5" s="236">
        <f>RANDBETWEEN((Inputs!$E5-(Inputs!$E5-Inputs!$D5)*2)*10000,(Inputs!$E5+(Inputs!$F5-Inputs!$E5)*2)*10000)/10000</f>
        <v>0.8439</v>
      </c>
      <c r="DH5" s="236">
        <f>RANDBETWEEN((Inputs!$E5-(Inputs!$E5-Inputs!$D5)*2)*10000,(Inputs!$E5+(Inputs!$F5-Inputs!$E5)*2)*10000)/10000</f>
        <v>0.7785</v>
      </c>
      <c r="DI5" s="236">
        <f>RANDBETWEEN((Inputs!$E5-(Inputs!$E5-Inputs!$D5)*2)*10000,(Inputs!$E5+(Inputs!$F5-Inputs!$E5)*2)*10000)/10000</f>
        <v>0.7875</v>
      </c>
      <c r="DJ5" s="236">
        <f>RANDBETWEEN((Inputs!$E5-(Inputs!$E5-Inputs!$D5)*2)*10000,(Inputs!$E5+(Inputs!$F5-Inputs!$E5)*2)*10000)/10000</f>
        <v>0.8158</v>
      </c>
      <c r="DK5" s="236">
        <f>RANDBETWEEN((Inputs!$E5-(Inputs!$E5-Inputs!$D5)*2)*10000,(Inputs!$E5+(Inputs!$F5-Inputs!$E5)*2)*10000)/10000</f>
        <v>0.8517</v>
      </c>
      <c r="DL5" s="236">
        <f>RANDBETWEEN((Inputs!$E5-(Inputs!$E5-Inputs!$D5)*2)*10000,(Inputs!$E5+(Inputs!$F5-Inputs!$E5)*2)*10000)/10000</f>
        <v>0.7623</v>
      </c>
      <c r="DM5" s="236">
        <f>RANDBETWEEN((Inputs!$E5-(Inputs!$E5-Inputs!$D5)*2)*10000,(Inputs!$E5+(Inputs!$F5-Inputs!$E5)*2)*10000)/10000</f>
        <v>0.9143</v>
      </c>
      <c r="DN5" s="236">
        <f>RANDBETWEEN((Inputs!$E5-(Inputs!$E5-Inputs!$D5)*2)*10000,(Inputs!$E5+(Inputs!$F5-Inputs!$E5)*2)*10000)/10000</f>
        <v>0.7788</v>
      </c>
      <c r="DO5" s="236">
        <f>RANDBETWEEN((Inputs!$E5-(Inputs!$E5-Inputs!$D5)*2)*10000,(Inputs!$E5+(Inputs!$F5-Inputs!$E5)*2)*10000)/10000</f>
        <v>0.8853</v>
      </c>
      <c r="DP5" s="236">
        <f>RANDBETWEEN((Inputs!$E5-(Inputs!$E5-Inputs!$D5)*2)*10000,(Inputs!$E5+(Inputs!$F5-Inputs!$E5)*2)*10000)/10000</f>
        <v>0.7726</v>
      </c>
      <c r="DQ5" s="236">
        <f>RANDBETWEEN((Inputs!$E5-(Inputs!$E5-Inputs!$D5)*2)*10000,(Inputs!$E5+(Inputs!$F5-Inputs!$E5)*2)*10000)/10000</f>
        <v>0.8683</v>
      </c>
      <c r="DR5" s="236">
        <f>RANDBETWEEN((Inputs!$E5-(Inputs!$E5-Inputs!$D5)*2)*10000,(Inputs!$E5+(Inputs!$F5-Inputs!$E5)*2)*10000)/10000</f>
        <v>0.8445</v>
      </c>
      <c r="DS5" s="236">
        <f>RANDBETWEEN((Inputs!$E5-(Inputs!$E5-Inputs!$D5)*2)*10000,(Inputs!$E5+(Inputs!$F5-Inputs!$E5)*2)*10000)/10000</f>
        <v>0.8177</v>
      </c>
      <c r="DT5" s="236">
        <f>RANDBETWEEN((Inputs!$E5-(Inputs!$E5-Inputs!$D5)*2)*10000,(Inputs!$E5+(Inputs!$F5-Inputs!$E5)*2)*10000)/10000</f>
        <v>0.7521</v>
      </c>
      <c r="DU5" s="236">
        <f>RANDBETWEEN((Inputs!$E5-(Inputs!$E5-Inputs!$D5)*2)*10000,(Inputs!$E5+(Inputs!$F5-Inputs!$E5)*2)*10000)/10000</f>
        <v>0.7573</v>
      </c>
      <c r="DV5" s="236">
        <f>RANDBETWEEN((Inputs!$E5-(Inputs!$E5-Inputs!$D5)*2)*10000,(Inputs!$E5+(Inputs!$F5-Inputs!$E5)*2)*10000)/10000</f>
        <v>0.8958</v>
      </c>
      <c r="DW5" s="236">
        <f>RANDBETWEEN((Inputs!$E5-(Inputs!$E5-Inputs!$D5)*2)*10000,(Inputs!$E5+(Inputs!$F5-Inputs!$E5)*2)*10000)/10000</f>
        <v>0.9384</v>
      </c>
      <c r="DX5" s="236">
        <f>RANDBETWEEN((Inputs!$E5-(Inputs!$E5-Inputs!$D5)*2)*10000,(Inputs!$E5+(Inputs!$F5-Inputs!$E5)*2)*10000)/10000</f>
        <v>0.8892</v>
      </c>
      <c r="DY5" s="236">
        <f>RANDBETWEEN((Inputs!$E5-(Inputs!$E5-Inputs!$D5)*2)*10000,(Inputs!$E5+(Inputs!$F5-Inputs!$E5)*2)*10000)/10000</f>
        <v>0.8424</v>
      </c>
      <c r="DZ5" s="236">
        <f>RANDBETWEEN((Inputs!$E5-(Inputs!$E5-Inputs!$D5)*2)*10000,(Inputs!$E5+(Inputs!$F5-Inputs!$E5)*2)*10000)/10000</f>
        <v>0.7623</v>
      </c>
      <c r="EA5" s="236">
        <f>RANDBETWEEN((Inputs!$E5-(Inputs!$E5-Inputs!$D5)*2)*10000,(Inputs!$E5+(Inputs!$F5-Inputs!$E5)*2)*10000)/10000</f>
        <v>0.7874</v>
      </c>
      <c r="EB5" s="236">
        <f>RANDBETWEEN((Inputs!$E5-(Inputs!$E5-Inputs!$D5)*2)*10000,(Inputs!$E5+(Inputs!$F5-Inputs!$E5)*2)*10000)/10000</f>
        <v>0.8686</v>
      </c>
      <c r="EC5" s="236">
        <f>RANDBETWEEN((Inputs!$E5-(Inputs!$E5-Inputs!$D5)*2)*10000,(Inputs!$E5+(Inputs!$F5-Inputs!$E5)*2)*10000)/10000</f>
        <v>0.8081</v>
      </c>
      <c r="ED5" s="236">
        <f>RANDBETWEEN((Inputs!$E5-(Inputs!$E5-Inputs!$D5)*2)*10000,(Inputs!$E5+(Inputs!$F5-Inputs!$E5)*2)*10000)/10000</f>
        <v>0.7596</v>
      </c>
      <c r="EE5" s="236">
        <f>RANDBETWEEN((Inputs!$E5-(Inputs!$E5-Inputs!$D5)*2)*10000,(Inputs!$E5+(Inputs!$F5-Inputs!$E5)*2)*10000)/10000</f>
        <v>0.7977</v>
      </c>
      <c r="EF5" s="236">
        <f>RANDBETWEEN((Inputs!$E5-(Inputs!$E5-Inputs!$D5)*2)*10000,(Inputs!$E5+(Inputs!$F5-Inputs!$E5)*2)*10000)/10000</f>
        <v>0.886</v>
      </c>
      <c r="EG5" s="236">
        <f>RANDBETWEEN((Inputs!$E5-(Inputs!$E5-Inputs!$D5)*2)*10000,(Inputs!$E5+(Inputs!$F5-Inputs!$E5)*2)*10000)/10000</f>
        <v>0.761</v>
      </c>
      <c r="EH5" s="236">
        <f>RANDBETWEEN((Inputs!$E5-(Inputs!$E5-Inputs!$D5)*2)*10000,(Inputs!$E5+(Inputs!$F5-Inputs!$E5)*2)*10000)/10000</f>
        <v>0.8921</v>
      </c>
      <c r="EI5" s="236">
        <f>RANDBETWEEN((Inputs!$E5-(Inputs!$E5-Inputs!$D5)*2)*10000,(Inputs!$E5+(Inputs!$F5-Inputs!$E5)*2)*10000)/10000</f>
        <v>0.8712</v>
      </c>
      <c r="EJ5" s="236">
        <f>RANDBETWEEN((Inputs!$E5-(Inputs!$E5-Inputs!$D5)*2)*10000,(Inputs!$E5+(Inputs!$F5-Inputs!$E5)*2)*10000)/10000</f>
        <v>0.8048</v>
      </c>
      <c r="EK5" s="236">
        <f>RANDBETWEEN((Inputs!$E5-(Inputs!$E5-Inputs!$D5)*2)*10000,(Inputs!$E5+(Inputs!$F5-Inputs!$E5)*2)*10000)/10000</f>
        <v>0.9227</v>
      </c>
      <c r="EL5" s="236">
        <f>RANDBETWEEN((Inputs!$E5-(Inputs!$E5-Inputs!$D5)*2)*10000,(Inputs!$E5+(Inputs!$F5-Inputs!$E5)*2)*10000)/10000</f>
        <v>0.7748</v>
      </c>
      <c r="EM5" s="236">
        <f>RANDBETWEEN((Inputs!$E5-(Inputs!$E5-Inputs!$D5)*2)*10000,(Inputs!$E5+(Inputs!$F5-Inputs!$E5)*2)*10000)/10000</f>
        <v>0.8189</v>
      </c>
      <c r="EN5" s="236">
        <f>RANDBETWEEN((Inputs!$E5-(Inputs!$E5-Inputs!$D5)*2)*10000,(Inputs!$E5+(Inputs!$F5-Inputs!$E5)*2)*10000)/10000</f>
        <v>0.7913</v>
      </c>
      <c r="EO5" s="236">
        <f>RANDBETWEEN((Inputs!$E5-(Inputs!$E5-Inputs!$D5)*2)*10000,(Inputs!$E5+(Inputs!$F5-Inputs!$E5)*2)*10000)/10000</f>
        <v>0.9127</v>
      </c>
      <c r="EP5" s="236">
        <f>RANDBETWEEN((Inputs!$E5-(Inputs!$E5-Inputs!$D5)*2)*10000,(Inputs!$E5+(Inputs!$F5-Inputs!$E5)*2)*10000)/10000</f>
        <v>0.9215</v>
      </c>
      <c r="EQ5" s="236">
        <f>RANDBETWEEN((Inputs!$E5-(Inputs!$E5-Inputs!$D5)*2)*10000,(Inputs!$E5+(Inputs!$F5-Inputs!$E5)*2)*10000)/10000</f>
        <v>0.8596</v>
      </c>
      <c r="ER5" s="236">
        <f>RANDBETWEEN((Inputs!$E5-(Inputs!$E5-Inputs!$D5)*2)*10000,(Inputs!$E5+(Inputs!$F5-Inputs!$E5)*2)*10000)/10000</f>
        <v>0.8686</v>
      </c>
      <c r="ES5" s="236">
        <f>RANDBETWEEN((Inputs!$E5-(Inputs!$E5-Inputs!$D5)*2)*10000,(Inputs!$E5+(Inputs!$F5-Inputs!$E5)*2)*10000)/10000</f>
        <v>0.9234</v>
      </c>
      <c r="ET5" s="236">
        <f>RANDBETWEEN((Inputs!$E5-(Inputs!$E5-Inputs!$D5)*2)*10000,(Inputs!$E5+(Inputs!$F5-Inputs!$E5)*2)*10000)/10000</f>
        <v>0.7538</v>
      </c>
      <c r="EU5" s="236">
        <f>RANDBETWEEN((Inputs!$E5-(Inputs!$E5-Inputs!$D5)*2)*10000,(Inputs!$E5+(Inputs!$F5-Inputs!$E5)*2)*10000)/10000</f>
        <v>0.9023</v>
      </c>
      <c r="EV5" s="236">
        <f>RANDBETWEEN((Inputs!$E5-(Inputs!$E5-Inputs!$D5)*2)*10000,(Inputs!$E5+(Inputs!$F5-Inputs!$E5)*2)*10000)/10000</f>
        <v>0.8705</v>
      </c>
      <c r="EW5" s="236">
        <f>RANDBETWEEN((Inputs!$E5-(Inputs!$E5-Inputs!$D5)*2)*10000,(Inputs!$E5+(Inputs!$F5-Inputs!$E5)*2)*10000)/10000</f>
        <v>0.7443</v>
      </c>
      <c r="EX5" s="236">
        <f>RANDBETWEEN((Inputs!$E5-(Inputs!$E5-Inputs!$D5)*2)*10000,(Inputs!$E5+(Inputs!$F5-Inputs!$E5)*2)*10000)/10000</f>
        <v>0.9056</v>
      </c>
      <c r="EY5" s="236">
        <f>RANDBETWEEN((Inputs!$E5-(Inputs!$E5-Inputs!$D5)*2)*10000,(Inputs!$E5+(Inputs!$F5-Inputs!$E5)*2)*10000)/10000</f>
        <v>0.9011</v>
      </c>
      <c r="EZ5" s="236">
        <f>RANDBETWEEN((Inputs!$E5-(Inputs!$E5-Inputs!$D5)*2)*10000,(Inputs!$E5+(Inputs!$F5-Inputs!$E5)*2)*10000)/10000</f>
        <v>0.9342</v>
      </c>
      <c r="FA5" s="236">
        <f>RANDBETWEEN((Inputs!$E5-(Inputs!$E5-Inputs!$D5)*2)*10000,(Inputs!$E5+(Inputs!$F5-Inputs!$E5)*2)*10000)/10000</f>
        <v>0.8696</v>
      </c>
      <c r="FB5" s="236">
        <f>RANDBETWEEN((Inputs!$E5-(Inputs!$E5-Inputs!$D5)*2)*10000,(Inputs!$E5+(Inputs!$F5-Inputs!$E5)*2)*10000)/10000</f>
        <v>0.9248</v>
      </c>
      <c r="FC5" s="236">
        <f>RANDBETWEEN((Inputs!$E5-(Inputs!$E5-Inputs!$D5)*2)*10000,(Inputs!$E5+(Inputs!$F5-Inputs!$E5)*2)*10000)/10000</f>
        <v>0.8792</v>
      </c>
      <c r="FD5" s="236">
        <f>RANDBETWEEN((Inputs!$E5-(Inputs!$E5-Inputs!$D5)*2)*10000,(Inputs!$E5+(Inputs!$F5-Inputs!$E5)*2)*10000)/10000</f>
        <v>0.7745</v>
      </c>
      <c r="FE5" s="236">
        <f>RANDBETWEEN((Inputs!$E5-(Inputs!$E5-Inputs!$D5)*2)*10000,(Inputs!$E5+(Inputs!$F5-Inputs!$E5)*2)*10000)/10000</f>
        <v>0.7681</v>
      </c>
      <c r="FF5" s="236">
        <f>RANDBETWEEN((Inputs!$E5-(Inputs!$E5-Inputs!$D5)*2)*10000,(Inputs!$E5+(Inputs!$F5-Inputs!$E5)*2)*10000)/10000</f>
        <v>0.8475</v>
      </c>
      <c r="FG5" s="236">
        <f>RANDBETWEEN((Inputs!$E5-(Inputs!$E5-Inputs!$D5)*2)*10000,(Inputs!$E5+(Inputs!$F5-Inputs!$E5)*2)*10000)/10000</f>
        <v>0.7773</v>
      </c>
      <c r="FH5" s="236">
        <f>RANDBETWEEN((Inputs!$E5-(Inputs!$E5-Inputs!$D5)*2)*10000,(Inputs!$E5+(Inputs!$F5-Inputs!$E5)*2)*10000)/10000</f>
        <v>0.8029</v>
      </c>
      <c r="FI5" s="236">
        <f>RANDBETWEEN((Inputs!$E5-(Inputs!$E5-Inputs!$D5)*2)*10000,(Inputs!$E5+(Inputs!$F5-Inputs!$E5)*2)*10000)/10000</f>
        <v>0.9107</v>
      </c>
      <c r="FJ5" s="236">
        <f>RANDBETWEEN((Inputs!$E5-(Inputs!$E5-Inputs!$D5)*2)*10000,(Inputs!$E5+(Inputs!$F5-Inputs!$E5)*2)*10000)/10000</f>
        <v>0.7783</v>
      </c>
      <c r="FK5" s="236">
        <f>RANDBETWEEN((Inputs!$E5-(Inputs!$E5-Inputs!$D5)*2)*10000,(Inputs!$E5+(Inputs!$F5-Inputs!$E5)*2)*10000)/10000</f>
        <v>0.8383</v>
      </c>
      <c r="FL5" s="236">
        <f>RANDBETWEEN((Inputs!$E5-(Inputs!$E5-Inputs!$D5)*2)*10000,(Inputs!$E5+(Inputs!$F5-Inputs!$E5)*2)*10000)/10000</f>
        <v>0.9264</v>
      </c>
      <c r="FM5" s="236">
        <f>RANDBETWEEN((Inputs!$E5-(Inputs!$E5-Inputs!$D5)*2)*10000,(Inputs!$E5+(Inputs!$F5-Inputs!$E5)*2)*10000)/10000</f>
        <v>0.762</v>
      </c>
      <c r="FN5" s="236">
        <f>RANDBETWEEN((Inputs!$E5-(Inputs!$E5-Inputs!$D5)*2)*10000,(Inputs!$E5+(Inputs!$F5-Inputs!$E5)*2)*10000)/10000</f>
        <v>0.8205</v>
      </c>
      <c r="FO5" s="236">
        <f>RANDBETWEEN((Inputs!$E5-(Inputs!$E5-Inputs!$D5)*2)*10000,(Inputs!$E5+(Inputs!$F5-Inputs!$E5)*2)*10000)/10000</f>
        <v>0.7773</v>
      </c>
      <c r="FP5" s="236">
        <f>RANDBETWEEN((Inputs!$E5-(Inputs!$E5-Inputs!$D5)*2)*10000,(Inputs!$E5+(Inputs!$F5-Inputs!$E5)*2)*10000)/10000</f>
        <v>0.8213</v>
      </c>
      <c r="FQ5" s="236">
        <f>RANDBETWEEN((Inputs!$E5-(Inputs!$E5-Inputs!$D5)*2)*10000,(Inputs!$E5+(Inputs!$F5-Inputs!$E5)*2)*10000)/10000</f>
        <v>0.913</v>
      </c>
      <c r="FR5" s="236">
        <f>RANDBETWEEN((Inputs!$E5-(Inputs!$E5-Inputs!$D5)*2)*10000,(Inputs!$E5+(Inputs!$F5-Inputs!$E5)*2)*10000)/10000</f>
        <v>0.765</v>
      </c>
      <c r="FS5" s="236">
        <f>RANDBETWEEN((Inputs!$E5-(Inputs!$E5-Inputs!$D5)*2)*10000,(Inputs!$E5+(Inputs!$F5-Inputs!$E5)*2)*10000)/10000</f>
        <v>0.7899</v>
      </c>
      <c r="FT5" s="236">
        <f>RANDBETWEEN((Inputs!$E5-(Inputs!$E5-Inputs!$D5)*2)*10000,(Inputs!$E5+(Inputs!$F5-Inputs!$E5)*2)*10000)/10000</f>
        <v>0.7835</v>
      </c>
      <c r="FU5" s="236">
        <f>RANDBETWEEN((Inputs!$E5-(Inputs!$E5-Inputs!$D5)*2)*10000,(Inputs!$E5+(Inputs!$F5-Inputs!$E5)*2)*10000)/10000</f>
        <v>0.9327</v>
      </c>
      <c r="FV5" s="236">
        <f>RANDBETWEEN((Inputs!$E5-(Inputs!$E5-Inputs!$D5)*2)*10000,(Inputs!$E5+(Inputs!$F5-Inputs!$E5)*2)*10000)/10000</f>
        <v>0.8175</v>
      </c>
      <c r="FW5" s="236">
        <f>RANDBETWEEN((Inputs!$E5-(Inputs!$E5-Inputs!$D5)*2)*10000,(Inputs!$E5+(Inputs!$F5-Inputs!$E5)*2)*10000)/10000</f>
        <v>0.7683</v>
      </c>
      <c r="FX5" s="236">
        <f>RANDBETWEEN((Inputs!$E5-(Inputs!$E5-Inputs!$D5)*2)*10000,(Inputs!$E5+(Inputs!$F5-Inputs!$E5)*2)*10000)/10000</f>
        <v>0.8468</v>
      </c>
      <c r="FY5" s="236">
        <f>RANDBETWEEN((Inputs!$E5-(Inputs!$E5-Inputs!$D5)*2)*10000,(Inputs!$E5+(Inputs!$F5-Inputs!$E5)*2)*10000)/10000</f>
        <v>0.9057</v>
      </c>
      <c r="FZ5" s="236">
        <f>RANDBETWEEN((Inputs!$E5-(Inputs!$E5-Inputs!$D5)*2)*10000,(Inputs!$E5+(Inputs!$F5-Inputs!$E5)*2)*10000)/10000</f>
        <v>0.8128</v>
      </c>
      <c r="GA5" s="236">
        <f>RANDBETWEEN((Inputs!$E5-(Inputs!$E5-Inputs!$D5)*2)*10000,(Inputs!$E5+(Inputs!$F5-Inputs!$E5)*2)*10000)/10000</f>
        <v>0.9262</v>
      </c>
      <c r="GB5" s="236">
        <f>RANDBETWEEN((Inputs!$E5-(Inputs!$E5-Inputs!$D5)*2)*10000,(Inputs!$E5+(Inputs!$F5-Inputs!$E5)*2)*10000)/10000</f>
        <v>0.7652</v>
      </c>
      <c r="GC5" s="236">
        <f>RANDBETWEEN((Inputs!$E5-(Inputs!$E5-Inputs!$D5)*2)*10000,(Inputs!$E5+(Inputs!$F5-Inputs!$E5)*2)*10000)/10000</f>
        <v>0.8601</v>
      </c>
      <c r="GD5" s="236">
        <f>RANDBETWEEN((Inputs!$E5-(Inputs!$E5-Inputs!$D5)*2)*10000,(Inputs!$E5+(Inputs!$F5-Inputs!$E5)*2)*10000)/10000</f>
        <v>0.7772</v>
      </c>
      <c r="GE5" s="236">
        <f>RANDBETWEEN((Inputs!$E5-(Inputs!$E5-Inputs!$D5)*2)*10000,(Inputs!$E5+(Inputs!$F5-Inputs!$E5)*2)*10000)/10000</f>
        <v>0.7652</v>
      </c>
      <c r="GF5" s="236">
        <f>RANDBETWEEN((Inputs!$E5-(Inputs!$E5-Inputs!$D5)*2)*10000,(Inputs!$E5+(Inputs!$F5-Inputs!$E5)*2)*10000)/10000</f>
        <v>0.7449</v>
      </c>
      <c r="GG5" s="236">
        <f>RANDBETWEEN((Inputs!$E5-(Inputs!$E5-Inputs!$D5)*2)*10000,(Inputs!$E5+(Inputs!$F5-Inputs!$E5)*2)*10000)/10000</f>
        <v>0.8223</v>
      </c>
      <c r="GH5" s="236">
        <f>RANDBETWEEN((Inputs!$E5-(Inputs!$E5-Inputs!$D5)*2)*10000,(Inputs!$E5+(Inputs!$F5-Inputs!$E5)*2)*10000)/10000</f>
        <v>0.776</v>
      </c>
      <c r="GI5" s="236">
        <f>RANDBETWEEN((Inputs!$E5-(Inputs!$E5-Inputs!$D5)*2)*10000,(Inputs!$E5+(Inputs!$F5-Inputs!$E5)*2)*10000)/10000</f>
        <v>0.7676</v>
      </c>
      <c r="GJ5" s="236">
        <f>RANDBETWEEN((Inputs!$E5-(Inputs!$E5-Inputs!$D5)*2)*10000,(Inputs!$E5+(Inputs!$F5-Inputs!$E5)*2)*10000)/10000</f>
        <v>0.7674</v>
      </c>
      <c r="GK5" s="236">
        <f>RANDBETWEEN((Inputs!$E5-(Inputs!$E5-Inputs!$D5)*2)*10000,(Inputs!$E5+(Inputs!$F5-Inputs!$E5)*2)*10000)/10000</f>
        <v>0.7769</v>
      </c>
      <c r="GL5" s="236">
        <f>RANDBETWEEN((Inputs!$E5-(Inputs!$E5-Inputs!$D5)*2)*10000,(Inputs!$E5+(Inputs!$F5-Inputs!$E5)*2)*10000)/10000</f>
        <v>0.8814</v>
      </c>
      <c r="GM5" s="236">
        <f>RANDBETWEEN((Inputs!$E5-(Inputs!$E5-Inputs!$D5)*2)*10000,(Inputs!$E5+(Inputs!$F5-Inputs!$E5)*2)*10000)/10000</f>
        <v>0.9087</v>
      </c>
      <c r="GN5" s="236">
        <f>RANDBETWEEN((Inputs!$E5-(Inputs!$E5-Inputs!$D5)*2)*10000,(Inputs!$E5+(Inputs!$F5-Inputs!$E5)*2)*10000)/10000</f>
        <v>0.8123</v>
      </c>
      <c r="GO5" s="236">
        <f>RANDBETWEEN((Inputs!$E5-(Inputs!$E5-Inputs!$D5)*2)*10000,(Inputs!$E5+(Inputs!$F5-Inputs!$E5)*2)*10000)/10000</f>
        <v>0.8875</v>
      </c>
      <c r="GP5" s="236">
        <f>RANDBETWEEN((Inputs!$E5-(Inputs!$E5-Inputs!$D5)*2)*10000,(Inputs!$E5+(Inputs!$F5-Inputs!$E5)*2)*10000)/10000</f>
        <v>0.9204</v>
      </c>
      <c r="GQ5" s="236">
        <f>RANDBETWEEN((Inputs!$E5-(Inputs!$E5-Inputs!$D5)*2)*10000,(Inputs!$E5+(Inputs!$F5-Inputs!$E5)*2)*10000)/10000</f>
        <v>0.7733</v>
      </c>
      <c r="GR5" s="236">
        <f>RANDBETWEEN((Inputs!$E5-(Inputs!$E5-Inputs!$D5)*2)*10000,(Inputs!$E5+(Inputs!$F5-Inputs!$E5)*2)*10000)/10000</f>
        <v>0.742</v>
      </c>
      <c r="GS5" s="236">
        <f>RANDBETWEEN((Inputs!$E5-(Inputs!$E5-Inputs!$D5)*2)*10000,(Inputs!$E5+(Inputs!$F5-Inputs!$E5)*2)*10000)/10000</f>
        <v>0.908</v>
      </c>
      <c r="GT5" s="236">
        <f>RANDBETWEEN((Inputs!$E5-(Inputs!$E5-Inputs!$D5)*2)*10000,(Inputs!$E5+(Inputs!$F5-Inputs!$E5)*2)*10000)/10000</f>
        <v>0.8581</v>
      </c>
      <c r="GU5" s="236">
        <f>RANDBETWEEN((Inputs!$E5-(Inputs!$E5-Inputs!$D5)*2)*10000,(Inputs!$E5+(Inputs!$F5-Inputs!$E5)*2)*10000)/10000</f>
        <v>0.8265</v>
      </c>
      <c r="GV5" s="236">
        <f>RANDBETWEEN((Inputs!$E5-(Inputs!$E5-Inputs!$D5)*2)*10000,(Inputs!$E5+(Inputs!$F5-Inputs!$E5)*2)*10000)/10000</f>
        <v>0.7692</v>
      </c>
      <c r="GW5" s="236">
        <f>RANDBETWEEN((Inputs!$E5-(Inputs!$E5-Inputs!$D5)*2)*10000,(Inputs!$E5+(Inputs!$F5-Inputs!$E5)*2)*10000)/10000</f>
        <v>0.8211</v>
      </c>
      <c r="GX5" s="236">
        <f>RANDBETWEEN((Inputs!$E5-(Inputs!$E5-Inputs!$D5)*2)*10000,(Inputs!$E5+(Inputs!$F5-Inputs!$E5)*2)*10000)/10000</f>
        <v>0.7995</v>
      </c>
      <c r="GY5" s="236">
        <f>RANDBETWEEN((Inputs!$E5-(Inputs!$E5-Inputs!$D5)*2)*10000,(Inputs!$E5+(Inputs!$F5-Inputs!$E5)*2)*10000)/10000</f>
        <v>0.7703</v>
      </c>
      <c r="GZ5" s="236">
        <f>RANDBETWEEN((Inputs!$E5-(Inputs!$E5-Inputs!$D5)*2)*10000,(Inputs!$E5+(Inputs!$F5-Inputs!$E5)*2)*10000)/10000</f>
        <v>0.8038</v>
      </c>
      <c r="HA5" s="236">
        <f>RANDBETWEEN((Inputs!$E5-(Inputs!$E5-Inputs!$D5)*2)*10000,(Inputs!$E5+(Inputs!$F5-Inputs!$E5)*2)*10000)/10000</f>
        <v>0.9026</v>
      </c>
      <c r="HB5" s="236">
        <f>RANDBETWEEN((Inputs!$E5-(Inputs!$E5-Inputs!$D5)*2)*10000,(Inputs!$E5+(Inputs!$F5-Inputs!$E5)*2)*10000)/10000</f>
        <v>0.907</v>
      </c>
      <c r="HC5" s="236">
        <f>RANDBETWEEN((Inputs!$E5-(Inputs!$E5-Inputs!$D5)*2)*10000,(Inputs!$E5+(Inputs!$F5-Inputs!$E5)*2)*10000)/10000</f>
        <v>0.8241</v>
      </c>
      <c r="HD5" s="236">
        <f>RANDBETWEEN((Inputs!$E5-(Inputs!$E5-Inputs!$D5)*2)*10000,(Inputs!$E5+(Inputs!$F5-Inputs!$E5)*2)*10000)/10000</f>
        <v>0.8615</v>
      </c>
      <c r="HE5" s="236">
        <f>RANDBETWEEN((Inputs!$E5-(Inputs!$E5-Inputs!$D5)*2)*10000,(Inputs!$E5+(Inputs!$F5-Inputs!$E5)*2)*10000)/10000</f>
        <v>0.9249</v>
      </c>
      <c r="HF5" s="236">
        <f>RANDBETWEEN((Inputs!$E5-(Inputs!$E5-Inputs!$D5)*2)*10000,(Inputs!$E5+(Inputs!$F5-Inputs!$E5)*2)*10000)/10000</f>
        <v>0.7772</v>
      </c>
      <c r="HG5" s="236">
        <f>RANDBETWEEN((Inputs!$E5-(Inputs!$E5-Inputs!$D5)*2)*10000,(Inputs!$E5+(Inputs!$F5-Inputs!$E5)*2)*10000)/10000</f>
        <v>0.9</v>
      </c>
      <c r="HH5" s="236">
        <f>RANDBETWEEN((Inputs!$E5-(Inputs!$E5-Inputs!$D5)*2)*10000,(Inputs!$E5+(Inputs!$F5-Inputs!$E5)*2)*10000)/10000</f>
        <v>0.7937</v>
      </c>
      <c r="HI5" s="236">
        <f>RANDBETWEEN((Inputs!$E5-(Inputs!$E5-Inputs!$D5)*2)*10000,(Inputs!$E5+(Inputs!$F5-Inputs!$E5)*2)*10000)/10000</f>
        <v>0.8323</v>
      </c>
      <c r="HJ5" s="236">
        <f>RANDBETWEEN((Inputs!$E5-(Inputs!$E5-Inputs!$D5)*2)*10000,(Inputs!$E5+(Inputs!$F5-Inputs!$E5)*2)*10000)/10000</f>
        <v>0.8623</v>
      </c>
      <c r="HK5" s="236">
        <f>RANDBETWEEN((Inputs!$E5-(Inputs!$E5-Inputs!$D5)*2)*10000,(Inputs!$E5+(Inputs!$F5-Inputs!$E5)*2)*10000)/10000</f>
        <v>0.7467</v>
      </c>
      <c r="HL5" s="236">
        <f>RANDBETWEEN((Inputs!$E5-(Inputs!$E5-Inputs!$D5)*2)*10000,(Inputs!$E5+(Inputs!$F5-Inputs!$E5)*2)*10000)/10000</f>
        <v>0.7892</v>
      </c>
      <c r="HM5" s="236">
        <f>RANDBETWEEN((Inputs!$E5-(Inputs!$E5-Inputs!$D5)*2)*10000,(Inputs!$E5+(Inputs!$F5-Inputs!$E5)*2)*10000)/10000</f>
        <v>0.9045</v>
      </c>
      <c r="HN5" s="236">
        <f>RANDBETWEEN((Inputs!$E5-(Inputs!$E5-Inputs!$D5)*2)*10000,(Inputs!$E5+(Inputs!$F5-Inputs!$E5)*2)*10000)/10000</f>
        <v>0.8222</v>
      </c>
      <c r="HO5" s="236">
        <f>RANDBETWEEN((Inputs!$E5-(Inputs!$E5-Inputs!$D5)*2)*10000,(Inputs!$E5+(Inputs!$F5-Inputs!$E5)*2)*10000)/10000</f>
        <v>0.7462</v>
      </c>
      <c r="HP5" s="236">
        <f>RANDBETWEEN((Inputs!$E5-(Inputs!$E5-Inputs!$D5)*2)*10000,(Inputs!$E5+(Inputs!$F5-Inputs!$E5)*2)*10000)/10000</f>
        <v>0.8954</v>
      </c>
      <c r="HQ5" s="236">
        <f>RANDBETWEEN((Inputs!$E5-(Inputs!$E5-Inputs!$D5)*2)*10000,(Inputs!$E5+(Inputs!$F5-Inputs!$E5)*2)*10000)/10000</f>
        <v>0.8462</v>
      </c>
      <c r="HR5" s="236">
        <f>RANDBETWEEN((Inputs!$E5-(Inputs!$E5-Inputs!$D5)*2)*10000,(Inputs!$E5+(Inputs!$F5-Inputs!$E5)*2)*10000)/10000</f>
        <v>0.9169</v>
      </c>
      <c r="HS5" s="236">
        <f>RANDBETWEEN((Inputs!$E5-(Inputs!$E5-Inputs!$D5)*2)*10000,(Inputs!$E5+(Inputs!$F5-Inputs!$E5)*2)*10000)/10000</f>
        <v>0.8736</v>
      </c>
      <c r="HT5" s="236">
        <f>RANDBETWEEN((Inputs!$E5-(Inputs!$E5-Inputs!$D5)*2)*10000,(Inputs!$E5+(Inputs!$F5-Inputs!$E5)*2)*10000)/10000</f>
        <v>0.9096</v>
      </c>
      <c r="HU5" s="236">
        <f>RANDBETWEEN((Inputs!$E5-(Inputs!$E5-Inputs!$D5)*2)*10000,(Inputs!$E5+(Inputs!$F5-Inputs!$E5)*2)*10000)/10000</f>
        <v>0.8009</v>
      </c>
      <c r="HV5" s="236">
        <f>RANDBETWEEN((Inputs!$E5-(Inputs!$E5-Inputs!$D5)*2)*10000,(Inputs!$E5+(Inputs!$F5-Inputs!$E5)*2)*10000)/10000</f>
        <v>0.9286</v>
      </c>
      <c r="HW5" s="236">
        <f>RANDBETWEEN((Inputs!$E5-(Inputs!$E5-Inputs!$D5)*2)*10000,(Inputs!$E5+(Inputs!$F5-Inputs!$E5)*2)*10000)/10000</f>
        <v>0.8302</v>
      </c>
      <c r="HX5" s="236">
        <f>RANDBETWEEN((Inputs!$E5-(Inputs!$E5-Inputs!$D5)*2)*10000,(Inputs!$E5+(Inputs!$F5-Inputs!$E5)*2)*10000)/10000</f>
        <v>0.9173</v>
      </c>
      <c r="HY5" s="236">
        <f>RANDBETWEEN((Inputs!$E5-(Inputs!$E5-Inputs!$D5)*2)*10000,(Inputs!$E5+(Inputs!$F5-Inputs!$E5)*2)*10000)/10000</f>
        <v>0.8563</v>
      </c>
      <c r="HZ5" s="236">
        <f>RANDBETWEEN((Inputs!$E5-(Inputs!$E5-Inputs!$D5)*2)*10000,(Inputs!$E5+(Inputs!$F5-Inputs!$E5)*2)*10000)/10000</f>
        <v>0.8253</v>
      </c>
      <c r="IA5" s="236">
        <f>RANDBETWEEN((Inputs!$E5-(Inputs!$E5-Inputs!$D5)*2)*10000,(Inputs!$E5+(Inputs!$F5-Inputs!$E5)*2)*10000)/10000</f>
        <v>0.7871</v>
      </c>
      <c r="IB5" s="236">
        <f>RANDBETWEEN((Inputs!$E5-(Inputs!$E5-Inputs!$D5)*2)*10000,(Inputs!$E5+(Inputs!$F5-Inputs!$E5)*2)*10000)/10000</f>
        <v>0.9297</v>
      </c>
      <c r="IC5" s="236">
        <f>RANDBETWEEN((Inputs!$E5-(Inputs!$E5-Inputs!$D5)*2)*10000,(Inputs!$E5+(Inputs!$F5-Inputs!$E5)*2)*10000)/10000</f>
        <v>0.7948</v>
      </c>
      <c r="ID5" s="236">
        <f>RANDBETWEEN((Inputs!$E5-(Inputs!$E5-Inputs!$D5)*2)*10000,(Inputs!$E5+(Inputs!$F5-Inputs!$E5)*2)*10000)/10000</f>
        <v>0.9154</v>
      </c>
      <c r="IE5" s="236">
        <f>RANDBETWEEN((Inputs!$E5-(Inputs!$E5-Inputs!$D5)*2)*10000,(Inputs!$E5+(Inputs!$F5-Inputs!$E5)*2)*10000)/10000</f>
        <v>0.8274</v>
      </c>
      <c r="IF5" s="236">
        <f>RANDBETWEEN((Inputs!$E5-(Inputs!$E5-Inputs!$D5)*2)*10000,(Inputs!$E5+(Inputs!$F5-Inputs!$E5)*2)*10000)/10000</f>
        <v>0.7419</v>
      </c>
      <c r="IG5" s="236">
        <f>RANDBETWEEN((Inputs!$E5-(Inputs!$E5-Inputs!$D5)*2)*10000,(Inputs!$E5+(Inputs!$F5-Inputs!$E5)*2)*10000)/10000</f>
        <v>0.8722</v>
      </c>
      <c r="IH5" s="236">
        <f>RANDBETWEEN((Inputs!$E5-(Inputs!$E5-Inputs!$D5)*2)*10000,(Inputs!$E5+(Inputs!$F5-Inputs!$E5)*2)*10000)/10000</f>
        <v>0.8077</v>
      </c>
      <c r="II5" s="236">
        <f>RANDBETWEEN((Inputs!$E5-(Inputs!$E5-Inputs!$D5)*2)*10000,(Inputs!$E5+(Inputs!$F5-Inputs!$E5)*2)*10000)/10000</f>
        <v>0.8821</v>
      </c>
      <c r="IJ5" s="236">
        <f>RANDBETWEEN((Inputs!$E5-(Inputs!$E5-Inputs!$D5)*2)*10000,(Inputs!$E5+(Inputs!$F5-Inputs!$E5)*2)*10000)/10000</f>
        <v>0.8351</v>
      </c>
      <c r="IK5" s="236">
        <f>RANDBETWEEN((Inputs!$E5-(Inputs!$E5-Inputs!$D5)*2)*10000,(Inputs!$E5+(Inputs!$F5-Inputs!$E5)*2)*10000)/10000</f>
        <v>0.9286</v>
      </c>
      <c r="IL5" s="236">
        <f>RANDBETWEEN((Inputs!$E5-(Inputs!$E5-Inputs!$D5)*2)*10000,(Inputs!$E5+(Inputs!$F5-Inputs!$E5)*2)*10000)/10000</f>
        <v>0.8328</v>
      </c>
      <c r="IM5" s="236">
        <f>RANDBETWEEN((Inputs!$E5-(Inputs!$E5-Inputs!$D5)*2)*10000,(Inputs!$E5+(Inputs!$F5-Inputs!$E5)*2)*10000)/10000</f>
        <v>0.8073</v>
      </c>
      <c r="IN5" s="236">
        <f>RANDBETWEEN((Inputs!$E5-(Inputs!$E5-Inputs!$D5)*2)*10000,(Inputs!$E5+(Inputs!$F5-Inputs!$E5)*2)*10000)/10000</f>
        <v>0.8669</v>
      </c>
      <c r="IO5" s="236">
        <f>RANDBETWEEN((Inputs!$E5-(Inputs!$E5-Inputs!$D5)*2)*10000,(Inputs!$E5+(Inputs!$F5-Inputs!$E5)*2)*10000)/10000</f>
        <v>0.8395</v>
      </c>
      <c r="IP5" s="236">
        <f>RANDBETWEEN((Inputs!$E5-(Inputs!$E5-Inputs!$D5)*2)*10000,(Inputs!$E5+(Inputs!$F5-Inputs!$E5)*2)*10000)/10000</f>
        <v>0.7708</v>
      </c>
      <c r="IQ5" s="236">
        <f>RANDBETWEEN((Inputs!$E5-(Inputs!$E5-Inputs!$D5)*2)*10000,(Inputs!$E5+(Inputs!$F5-Inputs!$E5)*2)*10000)/10000</f>
        <v>0.7416</v>
      </c>
      <c r="IR5" s="236">
        <f>RANDBETWEEN((Inputs!$E5-(Inputs!$E5-Inputs!$D5)*2)*10000,(Inputs!$E5+(Inputs!$F5-Inputs!$E5)*2)*10000)/10000</f>
        <v>0.786</v>
      </c>
      <c r="IS5" s="236">
        <f>RANDBETWEEN((Inputs!$E5-(Inputs!$E5-Inputs!$D5)*2)*10000,(Inputs!$E5+(Inputs!$F5-Inputs!$E5)*2)*10000)/10000</f>
        <v>0.8363</v>
      </c>
      <c r="IT5" s="236">
        <f>RANDBETWEEN((Inputs!$E5-(Inputs!$E5-Inputs!$D5)*2)*10000,(Inputs!$E5+(Inputs!$F5-Inputs!$E5)*2)*10000)/10000</f>
        <v>0.8361</v>
      </c>
      <c r="IU5" s="236">
        <f>RANDBETWEEN((Inputs!$E5-(Inputs!$E5-Inputs!$D5)*2)*10000,(Inputs!$E5+(Inputs!$F5-Inputs!$E5)*2)*10000)/10000</f>
        <v>0.7606</v>
      </c>
      <c r="IV5" s="236">
        <f>RANDBETWEEN((Inputs!$E5-(Inputs!$E5-Inputs!$D5)*2)*10000,(Inputs!$E5+(Inputs!$F5-Inputs!$E5)*2)*10000)/10000</f>
        <v>0.7995</v>
      </c>
      <c r="IW5" s="236">
        <f>RANDBETWEEN((Inputs!$E5-(Inputs!$E5-Inputs!$D5)*2)*10000,(Inputs!$E5+(Inputs!$F5-Inputs!$E5)*2)*10000)/10000</f>
        <v>0.9008</v>
      </c>
      <c r="IX5" s="236">
        <f>RANDBETWEEN((Inputs!$E5-(Inputs!$E5-Inputs!$D5)*2)*10000,(Inputs!$E5+(Inputs!$F5-Inputs!$E5)*2)*10000)/10000</f>
        <v>0.7643</v>
      </c>
      <c r="IY5" s="236">
        <f>RANDBETWEEN((Inputs!$E5-(Inputs!$E5-Inputs!$D5)*2)*10000,(Inputs!$E5+(Inputs!$F5-Inputs!$E5)*2)*10000)/10000</f>
        <v>0.7588</v>
      </c>
      <c r="IZ5" s="236">
        <f>RANDBETWEEN((Inputs!$E5-(Inputs!$E5-Inputs!$D5)*2)*10000,(Inputs!$E5+(Inputs!$F5-Inputs!$E5)*2)*10000)/10000</f>
        <v>0.7923</v>
      </c>
      <c r="JA5" s="236">
        <f>RANDBETWEEN((Inputs!$E5-(Inputs!$E5-Inputs!$D5)*2)*10000,(Inputs!$E5+(Inputs!$F5-Inputs!$E5)*2)*10000)/10000</f>
        <v>0.8302</v>
      </c>
      <c r="JB5" s="236">
        <f>RANDBETWEEN((Inputs!$E5-(Inputs!$E5-Inputs!$D5)*2)*10000,(Inputs!$E5+(Inputs!$F5-Inputs!$E5)*2)*10000)/10000</f>
        <v>0.8503</v>
      </c>
      <c r="JC5" s="236">
        <f>RANDBETWEEN((Inputs!$E5-(Inputs!$E5-Inputs!$D5)*2)*10000,(Inputs!$E5+(Inputs!$F5-Inputs!$E5)*2)*10000)/10000</f>
        <v>0.7811</v>
      </c>
      <c r="JD5" s="236">
        <f>RANDBETWEEN((Inputs!$E5-(Inputs!$E5-Inputs!$D5)*2)*10000,(Inputs!$E5+(Inputs!$F5-Inputs!$E5)*2)*10000)/10000</f>
        <v>0.7844</v>
      </c>
      <c r="JE5" s="236">
        <f>RANDBETWEEN((Inputs!$E5-(Inputs!$E5-Inputs!$D5)*2)*10000,(Inputs!$E5+(Inputs!$F5-Inputs!$E5)*2)*10000)/10000</f>
        <v>0.835</v>
      </c>
      <c r="JF5" s="236">
        <f>RANDBETWEEN((Inputs!$E5-(Inputs!$E5-Inputs!$D5)*2)*10000,(Inputs!$E5+(Inputs!$F5-Inputs!$E5)*2)*10000)/10000</f>
        <v>0.8029</v>
      </c>
      <c r="JG5" s="236">
        <f>RANDBETWEEN((Inputs!$E5-(Inputs!$E5-Inputs!$D5)*2)*10000,(Inputs!$E5+(Inputs!$F5-Inputs!$E5)*2)*10000)/10000</f>
        <v>0.9307</v>
      </c>
      <c r="JH5" s="236">
        <f>RANDBETWEEN((Inputs!$E5-(Inputs!$E5-Inputs!$D5)*2)*10000,(Inputs!$E5+(Inputs!$F5-Inputs!$E5)*2)*10000)/10000</f>
        <v>0.8328</v>
      </c>
      <c r="JI5" s="236">
        <f>RANDBETWEEN((Inputs!$E5-(Inputs!$E5-Inputs!$D5)*2)*10000,(Inputs!$E5+(Inputs!$F5-Inputs!$E5)*2)*10000)/10000</f>
        <v>0.9054</v>
      </c>
      <c r="JJ5" s="236">
        <f>RANDBETWEEN((Inputs!$E5-(Inputs!$E5-Inputs!$D5)*2)*10000,(Inputs!$E5+(Inputs!$F5-Inputs!$E5)*2)*10000)/10000</f>
        <v>0.7997</v>
      </c>
      <c r="JK5" s="236">
        <f>RANDBETWEEN((Inputs!$E5-(Inputs!$E5-Inputs!$D5)*2)*10000,(Inputs!$E5+(Inputs!$F5-Inputs!$E5)*2)*10000)/10000</f>
        <v>0.8966</v>
      </c>
      <c r="JL5" s="236">
        <f>RANDBETWEEN((Inputs!$E5-(Inputs!$E5-Inputs!$D5)*2)*10000,(Inputs!$E5+(Inputs!$F5-Inputs!$E5)*2)*10000)/10000</f>
        <v>0.8944</v>
      </c>
      <c r="JM5" s="236">
        <f>RANDBETWEEN((Inputs!$E5-(Inputs!$E5-Inputs!$D5)*2)*10000,(Inputs!$E5+(Inputs!$F5-Inputs!$E5)*2)*10000)/10000</f>
        <v>0.9043</v>
      </c>
      <c r="JN5" s="236">
        <f>RANDBETWEEN((Inputs!$E5-(Inputs!$E5-Inputs!$D5)*2)*10000,(Inputs!$E5+(Inputs!$F5-Inputs!$E5)*2)*10000)/10000</f>
        <v>0.854</v>
      </c>
      <c r="JO5" s="236">
        <f>RANDBETWEEN((Inputs!$E5-(Inputs!$E5-Inputs!$D5)*2)*10000,(Inputs!$E5+(Inputs!$F5-Inputs!$E5)*2)*10000)/10000</f>
        <v>0.8822</v>
      </c>
      <c r="JP5" s="236">
        <f>RANDBETWEEN((Inputs!$E5-(Inputs!$E5-Inputs!$D5)*2)*10000,(Inputs!$E5+(Inputs!$F5-Inputs!$E5)*2)*10000)/10000</f>
        <v>0.9189</v>
      </c>
      <c r="JQ5" s="236">
        <f>RANDBETWEEN((Inputs!$E5-(Inputs!$E5-Inputs!$D5)*2)*10000,(Inputs!$E5+(Inputs!$F5-Inputs!$E5)*2)*10000)/10000</f>
        <v>0.9247</v>
      </c>
      <c r="JR5" s="236">
        <f>RANDBETWEEN((Inputs!$E5-(Inputs!$E5-Inputs!$D5)*2)*10000,(Inputs!$E5+(Inputs!$F5-Inputs!$E5)*2)*10000)/10000</f>
        <v>0.8183</v>
      </c>
      <c r="JS5" s="236">
        <f>RANDBETWEEN((Inputs!$E5-(Inputs!$E5-Inputs!$D5)*2)*10000,(Inputs!$E5+(Inputs!$F5-Inputs!$E5)*2)*10000)/10000</f>
        <v>0.8017</v>
      </c>
      <c r="JT5" s="236">
        <f>RANDBETWEEN((Inputs!$E5-(Inputs!$E5-Inputs!$D5)*2)*10000,(Inputs!$E5+(Inputs!$F5-Inputs!$E5)*2)*10000)/10000</f>
        <v>0.8472</v>
      </c>
      <c r="JU5" s="236">
        <f>RANDBETWEEN((Inputs!$E5-(Inputs!$E5-Inputs!$D5)*2)*10000,(Inputs!$E5+(Inputs!$F5-Inputs!$E5)*2)*10000)/10000</f>
        <v>0.7455</v>
      </c>
      <c r="JV5" s="236">
        <f>RANDBETWEEN((Inputs!$E5-(Inputs!$E5-Inputs!$D5)*2)*10000,(Inputs!$E5+(Inputs!$F5-Inputs!$E5)*2)*10000)/10000</f>
        <v>0.8344</v>
      </c>
      <c r="JW5" s="236">
        <f>RANDBETWEEN((Inputs!$E5-(Inputs!$E5-Inputs!$D5)*2)*10000,(Inputs!$E5+(Inputs!$F5-Inputs!$E5)*2)*10000)/10000</f>
        <v>0.7943</v>
      </c>
      <c r="JX5" s="236">
        <f>RANDBETWEEN((Inputs!$E5-(Inputs!$E5-Inputs!$D5)*2)*10000,(Inputs!$E5+(Inputs!$F5-Inputs!$E5)*2)*10000)/10000</f>
        <v>0.8595</v>
      </c>
      <c r="JY5" s="236">
        <f>RANDBETWEEN((Inputs!$E5-(Inputs!$E5-Inputs!$D5)*2)*10000,(Inputs!$E5+(Inputs!$F5-Inputs!$E5)*2)*10000)/10000</f>
        <v>0.8664</v>
      </c>
      <c r="JZ5" s="236">
        <f>RANDBETWEEN((Inputs!$E5-(Inputs!$E5-Inputs!$D5)*2)*10000,(Inputs!$E5+(Inputs!$F5-Inputs!$E5)*2)*10000)/10000</f>
        <v>0.9061</v>
      </c>
      <c r="KA5" s="236">
        <f>RANDBETWEEN((Inputs!$E5-(Inputs!$E5-Inputs!$D5)*2)*10000,(Inputs!$E5+(Inputs!$F5-Inputs!$E5)*2)*10000)/10000</f>
        <v>0.8031</v>
      </c>
      <c r="KB5" s="236">
        <f>RANDBETWEEN((Inputs!$E5-(Inputs!$E5-Inputs!$D5)*2)*10000,(Inputs!$E5+(Inputs!$F5-Inputs!$E5)*2)*10000)/10000</f>
        <v>0.9304</v>
      </c>
      <c r="KC5" s="236">
        <f>RANDBETWEEN((Inputs!$E5-(Inputs!$E5-Inputs!$D5)*2)*10000,(Inputs!$E5+(Inputs!$F5-Inputs!$E5)*2)*10000)/10000</f>
        <v>0.8568</v>
      </c>
      <c r="KD5" s="236">
        <f>RANDBETWEEN((Inputs!$E5-(Inputs!$E5-Inputs!$D5)*2)*10000,(Inputs!$E5+(Inputs!$F5-Inputs!$E5)*2)*10000)/10000</f>
        <v>0.9135</v>
      </c>
      <c r="KE5" s="236">
        <f>RANDBETWEEN((Inputs!$E5-(Inputs!$E5-Inputs!$D5)*2)*10000,(Inputs!$E5+(Inputs!$F5-Inputs!$E5)*2)*10000)/10000</f>
        <v>0.7411</v>
      </c>
      <c r="KF5" s="236">
        <f>RANDBETWEEN((Inputs!$E5-(Inputs!$E5-Inputs!$D5)*2)*10000,(Inputs!$E5+(Inputs!$F5-Inputs!$E5)*2)*10000)/10000</f>
        <v>0.7422</v>
      </c>
      <c r="KG5" s="236">
        <f>RANDBETWEEN((Inputs!$E5-(Inputs!$E5-Inputs!$D5)*2)*10000,(Inputs!$E5+(Inputs!$F5-Inputs!$E5)*2)*10000)/10000</f>
        <v>0.8687</v>
      </c>
      <c r="KH5" s="236">
        <f>RANDBETWEEN((Inputs!$E5-(Inputs!$E5-Inputs!$D5)*2)*10000,(Inputs!$E5+(Inputs!$F5-Inputs!$E5)*2)*10000)/10000</f>
        <v>0.756</v>
      </c>
      <c r="KI5" s="236">
        <f>RANDBETWEEN((Inputs!$E5-(Inputs!$E5-Inputs!$D5)*2)*10000,(Inputs!$E5+(Inputs!$F5-Inputs!$E5)*2)*10000)/10000</f>
        <v>0.9035</v>
      </c>
      <c r="KJ5" s="236">
        <f>RANDBETWEEN((Inputs!$E5-(Inputs!$E5-Inputs!$D5)*2)*10000,(Inputs!$E5+(Inputs!$F5-Inputs!$E5)*2)*10000)/10000</f>
        <v>0.8423</v>
      </c>
      <c r="KK5" s="236">
        <f>RANDBETWEEN((Inputs!$E5-(Inputs!$E5-Inputs!$D5)*2)*10000,(Inputs!$E5+(Inputs!$F5-Inputs!$E5)*2)*10000)/10000</f>
        <v>0.7933</v>
      </c>
      <c r="KL5" s="236">
        <f>RANDBETWEEN((Inputs!$E5-(Inputs!$E5-Inputs!$D5)*2)*10000,(Inputs!$E5+(Inputs!$F5-Inputs!$E5)*2)*10000)/10000</f>
        <v>0.857</v>
      </c>
      <c r="KM5" s="236">
        <f>RANDBETWEEN((Inputs!$E5-(Inputs!$E5-Inputs!$D5)*2)*10000,(Inputs!$E5+(Inputs!$F5-Inputs!$E5)*2)*10000)/10000</f>
        <v>0.8317</v>
      </c>
      <c r="KN5" s="236">
        <f>RANDBETWEEN((Inputs!$E5-(Inputs!$E5-Inputs!$D5)*2)*10000,(Inputs!$E5+(Inputs!$F5-Inputs!$E5)*2)*10000)/10000</f>
        <v>0.7758</v>
      </c>
      <c r="KO5" s="236">
        <f>RANDBETWEEN((Inputs!$E5-(Inputs!$E5-Inputs!$D5)*2)*10000,(Inputs!$E5+(Inputs!$F5-Inputs!$E5)*2)*10000)/10000</f>
        <v>0.8574</v>
      </c>
      <c r="KP5" s="236">
        <f>RANDBETWEEN((Inputs!$E5-(Inputs!$E5-Inputs!$D5)*2)*10000,(Inputs!$E5+(Inputs!$F5-Inputs!$E5)*2)*10000)/10000</f>
        <v>0.9316</v>
      </c>
      <c r="KQ5" s="236">
        <f>RANDBETWEEN((Inputs!$E5-(Inputs!$E5-Inputs!$D5)*2)*10000,(Inputs!$E5+(Inputs!$F5-Inputs!$E5)*2)*10000)/10000</f>
        <v>0.848</v>
      </c>
      <c r="KR5" s="236">
        <f>RANDBETWEEN((Inputs!$E5-(Inputs!$E5-Inputs!$D5)*2)*10000,(Inputs!$E5+(Inputs!$F5-Inputs!$E5)*2)*10000)/10000</f>
        <v>0.7655</v>
      </c>
      <c r="KS5" s="236">
        <f>RANDBETWEEN((Inputs!$E5-(Inputs!$E5-Inputs!$D5)*2)*10000,(Inputs!$E5+(Inputs!$F5-Inputs!$E5)*2)*10000)/10000</f>
        <v>0.7415</v>
      </c>
      <c r="KT5" s="236">
        <f>RANDBETWEEN((Inputs!$E5-(Inputs!$E5-Inputs!$D5)*2)*10000,(Inputs!$E5+(Inputs!$F5-Inputs!$E5)*2)*10000)/10000</f>
        <v>0.8251</v>
      </c>
      <c r="KU5" s="236">
        <f>RANDBETWEEN((Inputs!$E5-(Inputs!$E5-Inputs!$D5)*2)*10000,(Inputs!$E5+(Inputs!$F5-Inputs!$E5)*2)*10000)/10000</f>
        <v>0.7708</v>
      </c>
      <c r="KV5" s="236">
        <f>RANDBETWEEN((Inputs!$E5-(Inputs!$E5-Inputs!$D5)*2)*10000,(Inputs!$E5+(Inputs!$F5-Inputs!$E5)*2)*10000)/10000</f>
        <v>0.8048</v>
      </c>
      <c r="KW5" s="236">
        <f>RANDBETWEEN((Inputs!$E5-(Inputs!$E5-Inputs!$D5)*2)*10000,(Inputs!$E5+(Inputs!$F5-Inputs!$E5)*2)*10000)/10000</f>
        <v>0.8049</v>
      </c>
      <c r="KX5" s="236">
        <f>RANDBETWEEN((Inputs!$E5-(Inputs!$E5-Inputs!$D5)*2)*10000,(Inputs!$E5+(Inputs!$F5-Inputs!$E5)*2)*10000)/10000</f>
        <v>0.7765</v>
      </c>
      <c r="KY5" s="236">
        <f>RANDBETWEEN((Inputs!$E5-(Inputs!$E5-Inputs!$D5)*2)*10000,(Inputs!$E5+(Inputs!$F5-Inputs!$E5)*2)*10000)/10000</f>
        <v>0.7815</v>
      </c>
      <c r="KZ5" s="236">
        <f>RANDBETWEEN((Inputs!$E5-(Inputs!$E5-Inputs!$D5)*2)*10000,(Inputs!$E5+(Inputs!$F5-Inputs!$E5)*2)*10000)/10000</f>
        <v>0.7734</v>
      </c>
      <c r="LA5" s="236">
        <f>RANDBETWEEN((Inputs!$E5-(Inputs!$E5-Inputs!$D5)*2)*10000,(Inputs!$E5+(Inputs!$F5-Inputs!$E5)*2)*10000)/10000</f>
        <v>0.8884</v>
      </c>
      <c r="LB5" s="236">
        <f>RANDBETWEEN((Inputs!$E5-(Inputs!$E5-Inputs!$D5)*2)*10000,(Inputs!$E5+(Inputs!$F5-Inputs!$E5)*2)*10000)/10000</f>
        <v>0.8475</v>
      </c>
      <c r="LC5" s="236">
        <f>RANDBETWEEN((Inputs!$E5-(Inputs!$E5-Inputs!$D5)*2)*10000,(Inputs!$E5+(Inputs!$F5-Inputs!$E5)*2)*10000)/10000</f>
        <v>0.9315</v>
      </c>
      <c r="LD5" s="236">
        <f>RANDBETWEEN((Inputs!$E5-(Inputs!$E5-Inputs!$D5)*2)*10000,(Inputs!$E5+(Inputs!$F5-Inputs!$E5)*2)*10000)/10000</f>
        <v>0.8635</v>
      </c>
      <c r="LE5" s="236">
        <f>RANDBETWEEN((Inputs!$E5-(Inputs!$E5-Inputs!$D5)*2)*10000,(Inputs!$E5+(Inputs!$F5-Inputs!$E5)*2)*10000)/10000</f>
        <v>0.9024</v>
      </c>
      <c r="LF5" s="236">
        <f>RANDBETWEEN((Inputs!$E5-(Inputs!$E5-Inputs!$D5)*2)*10000,(Inputs!$E5+(Inputs!$F5-Inputs!$E5)*2)*10000)/10000</f>
        <v>0.7891</v>
      </c>
      <c r="LG5" s="236">
        <f>RANDBETWEEN((Inputs!$E5-(Inputs!$E5-Inputs!$D5)*2)*10000,(Inputs!$E5+(Inputs!$F5-Inputs!$E5)*2)*10000)/10000</f>
        <v>0.8019</v>
      </c>
      <c r="LH5" s="236">
        <f>RANDBETWEEN((Inputs!$E5-(Inputs!$E5-Inputs!$D5)*2)*10000,(Inputs!$E5+(Inputs!$F5-Inputs!$E5)*2)*10000)/10000</f>
        <v>0.7692</v>
      </c>
      <c r="LI5" s="236">
        <f>RANDBETWEEN((Inputs!$E5-(Inputs!$E5-Inputs!$D5)*2)*10000,(Inputs!$E5+(Inputs!$F5-Inputs!$E5)*2)*10000)/10000</f>
        <v>0.9182</v>
      </c>
      <c r="LJ5" s="236">
        <f>RANDBETWEEN((Inputs!$E5-(Inputs!$E5-Inputs!$D5)*2)*10000,(Inputs!$E5+(Inputs!$F5-Inputs!$E5)*2)*10000)/10000</f>
        <v>0.8842</v>
      </c>
      <c r="LK5" s="236">
        <f>RANDBETWEEN((Inputs!$E5-(Inputs!$E5-Inputs!$D5)*2)*10000,(Inputs!$E5+(Inputs!$F5-Inputs!$E5)*2)*10000)/10000</f>
        <v>0.8317</v>
      </c>
      <c r="LL5" s="236">
        <f>RANDBETWEEN((Inputs!$E5-(Inputs!$E5-Inputs!$D5)*2)*10000,(Inputs!$E5+(Inputs!$F5-Inputs!$E5)*2)*10000)/10000</f>
        <v>0.7607</v>
      </c>
      <c r="LM5" s="236">
        <f>RANDBETWEEN((Inputs!$E5-(Inputs!$E5-Inputs!$D5)*2)*10000,(Inputs!$E5+(Inputs!$F5-Inputs!$E5)*2)*10000)/10000</f>
        <v>0.7754</v>
      </c>
      <c r="LN5" s="236">
        <f>RANDBETWEEN((Inputs!$E5-(Inputs!$E5-Inputs!$D5)*2)*10000,(Inputs!$E5+(Inputs!$F5-Inputs!$E5)*2)*10000)/10000</f>
        <v>0.9114</v>
      </c>
      <c r="LO5" s="236">
        <f>RANDBETWEEN((Inputs!$E5-(Inputs!$E5-Inputs!$D5)*2)*10000,(Inputs!$E5+(Inputs!$F5-Inputs!$E5)*2)*10000)/10000</f>
        <v>0.7739</v>
      </c>
      <c r="LP5" s="236">
        <f>RANDBETWEEN((Inputs!$E5-(Inputs!$E5-Inputs!$D5)*2)*10000,(Inputs!$E5+(Inputs!$F5-Inputs!$E5)*2)*10000)/10000</f>
        <v>0.7891</v>
      </c>
      <c r="LQ5" s="236">
        <f>RANDBETWEEN((Inputs!$E5-(Inputs!$E5-Inputs!$D5)*2)*10000,(Inputs!$E5+(Inputs!$F5-Inputs!$E5)*2)*10000)/10000</f>
        <v>0.8103</v>
      </c>
      <c r="LR5" s="236">
        <f>RANDBETWEEN((Inputs!$E5-(Inputs!$E5-Inputs!$D5)*2)*10000,(Inputs!$E5+(Inputs!$F5-Inputs!$E5)*2)*10000)/10000</f>
        <v>0.8133</v>
      </c>
      <c r="LS5" s="236">
        <f>RANDBETWEEN((Inputs!$E5-(Inputs!$E5-Inputs!$D5)*2)*10000,(Inputs!$E5+(Inputs!$F5-Inputs!$E5)*2)*10000)/10000</f>
        <v>0.8387</v>
      </c>
      <c r="LT5" s="236">
        <f>RANDBETWEEN((Inputs!$E5-(Inputs!$E5-Inputs!$D5)*2)*10000,(Inputs!$E5+(Inputs!$F5-Inputs!$E5)*2)*10000)/10000</f>
        <v>0.7686</v>
      </c>
      <c r="LU5" s="236">
        <f>RANDBETWEEN((Inputs!$E5-(Inputs!$E5-Inputs!$D5)*2)*10000,(Inputs!$E5+(Inputs!$F5-Inputs!$E5)*2)*10000)/10000</f>
        <v>0.758</v>
      </c>
      <c r="LV5" s="236">
        <f>RANDBETWEEN((Inputs!$E5-(Inputs!$E5-Inputs!$D5)*2)*10000,(Inputs!$E5+(Inputs!$F5-Inputs!$E5)*2)*10000)/10000</f>
        <v>0.7507</v>
      </c>
      <c r="LW5" s="236">
        <f>RANDBETWEEN((Inputs!$E5-(Inputs!$E5-Inputs!$D5)*2)*10000,(Inputs!$E5+(Inputs!$F5-Inputs!$E5)*2)*10000)/10000</f>
        <v>0.8047</v>
      </c>
      <c r="LX5" s="236">
        <f>RANDBETWEEN((Inputs!$E5-(Inputs!$E5-Inputs!$D5)*2)*10000,(Inputs!$E5+(Inputs!$F5-Inputs!$E5)*2)*10000)/10000</f>
        <v>0.7426</v>
      </c>
      <c r="LY5" s="236">
        <f>RANDBETWEEN((Inputs!$E5-(Inputs!$E5-Inputs!$D5)*2)*10000,(Inputs!$E5+(Inputs!$F5-Inputs!$E5)*2)*10000)/10000</f>
        <v>0.9343</v>
      </c>
      <c r="LZ5" s="236">
        <f>RANDBETWEEN((Inputs!$E5-(Inputs!$E5-Inputs!$D5)*2)*10000,(Inputs!$E5+(Inputs!$F5-Inputs!$E5)*2)*10000)/10000</f>
        <v>0.7412</v>
      </c>
      <c r="MA5" s="236">
        <f>RANDBETWEEN((Inputs!$E5-(Inputs!$E5-Inputs!$D5)*2)*10000,(Inputs!$E5+(Inputs!$F5-Inputs!$E5)*2)*10000)/10000</f>
        <v>0.8753</v>
      </c>
      <c r="MB5" s="236">
        <f>RANDBETWEEN((Inputs!$E5-(Inputs!$E5-Inputs!$D5)*2)*10000,(Inputs!$E5+(Inputs!$F5-Inputs!$E5)*2)*10000)/10000</f>
        <v>0.9024</v>
      </c>
      <c r="MC5" s="236">
        <f>RANDBETWEEN((Inputs!$E5-(Inputs!$E5-Inputs!$D5)*2)*10000,(Inputs!$E5+(Inputs!$F5-Inputs!$E5)*2)*10000)/10000</f>
        <v>0.8245</v>
      </c>
      <c r="MD5" s="236">
        <f>RANDBETWEEN((Inputs!$E5-(Inputs!$E5-Inputs!$D5)*2)*10000,(Inputs!$E5+(Inputs!$F5-Inputs!$E5)*2)*10000)/10000</f>
        <v>0.7471</v>
      </c>
      <c r="ME5" s="236">
        <f>RANDBETWEEN((Inputs!$E5-(Inputs!$E5-Inputs!$D5)*2)*10000,(Inputs!$E5+(Inputs!$F5-Inputs!$E5)*2)*10000)/10000</f>
        <v>0.8216</v>
      </c>
      <c r="MF5" s="236">
        <f>RANDBETWEEN((Inputs!$E5-(Inputs!$E5-Inputs!$D5)*2)*10000,(Inputs!$E5+(Inputs!$F5-Inputs!$E5)*2)*10000)/10000</f>
        <v>0.9351</v>
      </c>
      <c r="MG5" s="236">
        <f>RANDBETWEEN((Inputs!$E5-(Inputs!$E5-Inputs!$D5)*2)*10000,(Inputs!$E5+(Inputs!$F5-Inputs!$E5)*2)*10000)/10000</f>
        <v>0.9013</v>
      </c>
      <c r="MH5" s="236">
        <f>RANDBETWEEN((Inputs!$E5-(Inputs!$E5-Inputs!$D5)*2)*10000,(Inputs!$E5+(Inputs!$F5-Inputs!$E5)*2)*10000)/10000</f>
        <v>0.8759</v>
      </c>
      <c r="MI5" s="236">
        <f>RANDBETWEEN((Inputs!$E5-(Inputs!$E5-Inputs!$D5)*2)*10000,(Inputs!$E5+(Inputs!$F5-Inputs!$E5)*2)*10000)/10000</f>
        <v>0.8433</v>
      </c>
      <c r="MJ5" s="236">
        <f>RANDBETWEEN((Inputs!$E5-(Inputs!$E5-Inputs!$D5)*2)*10000,(Inputs!$E5+(Inputs!$F5-Inputs!$E5)*2)*10000)/10000</f>
        <v>0.7637</v>
      </c>
      <c r="MK5" s="236">
        <f>RANDBETWEEN((Inputs!$E5-(Inputs!$E5-Inputs!$D5)*2)*10000,(Inputs!$E5+(Inputs!$F5-Inputs!$E5)*2)*10000)/10000</f>
        <v>0.9013</v>
      </c>
      <c r="ML5" s="236">
        <f>RANDBETWEEN((Inputs!$E5-(Inputs!$E5-Inputs!$D5)*2)*10000,(Inputs!$E5+(Inputs!$F5-Inputs!$E5)*2)*10000)/10000</f>
        <v>0.9264</v>
      </c>
      <c r="MM5" s="236">
        <f>RANDBETWEEN((Inputs!$E5-(Inputs!$E5-Inputs!$D5)*2)*10000,(Inputs!$E5+(Inputs!$F5-Inputs!$E5)*2)*10000)/10000</f>
        <v>0.7637</v>
      </c>
      <c r="MN5" s="236">
        <f>RANDBETWEEN((Inputs!$E5-(Inputs!$E5-Inputs!$D5)*2)*10000,(Inputs!$E5+(Inputs!$F5-Inputs!$E5)*2)*10000)/10000</f>
        <v>0.9316</v>
      </c>
      <c r="MO5" s="236">
        <f>RANDBETWEEN((Inputs!$E5-(Inputs!$E5-Inputs!$D5)*2)*10000,(Inputs!$E5+(Inputs!$F5-Inputs!$E5)*2)*10000)/10000</f>
        <v>0.9153</v>
      </c>
      <c r="MP5" s="236">
        <f>RANDBETWEEN((Inputs!$E5-(Inputs!$E5-Inputs!$D5)*2)*10000,(Inputs!$E5+(Inputs!$F5-Inputs!$E5)*2)*10000)/10000</f>
        <v>0.8542</v>
      </c>
      <c r="MQ5" s="236">
        <f>RANDBETWEEN((Inputs!$E5-(Inputs!$E5-Inputs!$D5)*2)*10000,(Inputs!$E5+(Inputs!$F5-Inputs!$E5)*2)*10000)/10000</f>
        <v>0.8736</v>
      </c>
      <c r="MR5" s="236">
        <f>RANDBETWEEN((Inputs!$E5-(Inputs!$E5-Inputs!$D5)*2)*10000,(Inputs!$E5+(Inputs!$F5-Inputs!$E5)*2)*10000)/10000</f>
        <v>0.7626</v>
      </c>
      <c r="MS5" s="236">
        <f>RANDBETWEEN((Inputs!$E5-(Inputs!$E5-Inputs!$D5)*2)*10000,(Inputs!$E5+(Inputs!$F5-Inputs!$E5)*2)*10000)/10000</f>
        <v>0.8802</v>
      </c>
      <c r="MT5" s="236">
        <f>RANDBETWEEN((Inputs!$E5-(Inputs!$E5-Inputs!$D5)*2)*10000,(Inputs!$E5+(Inputs!$F5-Inputs!$E5)*2)*10000)/10000</f>
        <v>0.789</v>
      </c>
      <c r="MU5" s="236">
        <f>RANDBETWEEN((Inputs!$E5-(Inputs!$E5-Inputs!$D5)*2)*10000,(Inputs!$E5+(Inputs!$F5-Inputs!$E5)*2)*10000)/10000</f>
        <v>0.9351</v>
      </c>
      <c r="MV5" s="236">
        <f>RANDBETWEEN((Inputs!$E5-(Inputs!$E5-Inputs!$D5)*2)*10000,(Inputs!$E5+(Inputs!$F5-Inputs!$E5)*2)*10000)/10000</f>
        <v>0.8313</v>
      </c>
      <c r="MW5" s="236">
        <f>RANDBETWEEN((Inputs!$E5-(Inputs!$E5-Inputs!$D5)*2)*10000,(Inputs!$E5+(Inputs!$F5-Inputs!$E5)*2)*10000)/10000</f>
        <v>0.7493</v>
      </c>
      <c r="MX5" s="236">
        <f>RANDBETWEEN((Inputs!$E5-(Inputs!$E5-Inputs!$D5)*2)*10000,(Inputs!$E5+(Inputs!$F5-Inputs!$E5)*2)*10000)/10000</f>
        <v>0.8897</v>
      </c>
      <c r="MY5" s="236">
        <f>RANDBETWEEN((Inputs!$E5-(Inputs!$E5-Inputs!$D5)*2)*10000,(Inputs!$E5+(Inputs!$F5-Inputs!$E5)*2)*10000)/10000</f>
        <v>0.7739</v>
      </c>
      <c r="MZ5" s="236">
        <f>RANDBETWEEN((Inputs!$E5-(Inputs!$E5-Inputs!$D5)*2)*10000,(Inputs!$E5+(Inputs!$F5-Inputs!$E5)*2)*10000)/10000</f>
        <v>0.7407</v>
      </c>
      <c r="NA5" s="236">
        <f>RANDBETWEEN((Inputs!$E5-(Inputs!$E5-Inputs!$D5)*2)*10000,(Inputs!$E5+(Inputs!$F5-Inputs!$E5)*2)*10000)/10000</f>
        <v>0.9282</v>
      </c>
      <c r="NB5" s="236">
        <f>RANDBETWEEN((Inputs!$E5-(Inputs!$E5-Inputs!$D5)*2)*10000,(Inputs!$E5+(Inputs!$F5-Inputs!$E5)*2)*10000)/10000</f>
        <v>0.9083</v>
      </c>
      <c r="NC5" s="236">
        <f>RANDBETWEEN((Inputs!$E5-(Inputs!$E5-Inputs!$D5)*2)*10000,(Inputs!$E5+(Inputs!$F5-Inputs!$E5)*2)*10000)/10000</f>
        <v>0.9065</v>
      </c>
      <c r="ND5" s="236">
        <f>RANDBETWEEN((Inputs!$E5-(Inputs!$E5-Inputs!$D5)*2)*10000,(Inputs!$E5+(Inputs!$F5-Inputs!$E5)*2)*10000)/10000</f>
        <v>0.7966</v>
      </c>
      <c r="NE5" s="236">
        <f>RANDBETWEEN((Inputs!$E5-(Inputs!$E5-Inputs!$D5)*2)*10000,(Inputs!$E5+(Inputs!$F5-Inputs!$E5)*2)*10000)/10000</f>
        <v>0.7931</v>
      </c>
      <c r="NF5" s="236">
        <f>RANDBETWEEN((Inputs!$E5-(Inputs!$E5-Inputs!$D5)*2)*10000,(Inputs!$E5+(Inputs!$F5-Inputs!$E5)*2)*10000)/10000</f>
        <v>0.9032</v>
      </c>
      <c r="NG5" s="236">
        <f>RANDBETWEEN((Inputs!$E5-(Inputs!$E5-Inputs!$D5)*2)*10000,(Inputs!$E5+(Inputs!$F5-Inputs!$E5)*2)*10000)/10000</f>
        <v>0.919</v>
      </c>
      <c r="NH5" s="236">
        <f>RANDBETWEEN((Inputs!$E5-(Inputs!$E5-Inputs!$D5)*2)*10000,(Inputs!$E5+(Inputs!$F5-Inputs!$E5)*2)*10000)/10000</f>
        <v>0.7433</v>
      </c>
      <c r="NI5" s="236">
        <f>RANDBETWEEN((Inputs!$E5-(Inputs!$E5-Inputs!$D5)*2)*10000,(Inputs!$E5+(Inputs!$F5-Inputs!$E5)*2)*10000)/10000</f>
        <v>0.9214</v>
      </c>
      <c r="NJ5" s="236">
        <f>RANDBETWEEN((Inputs!$E5-(Inputs!$E5-Inputs!$D5)*2)*10000,(Inputs!$E5+(Inputs!$F5-Inputs!$E5)*2)*10000)/10000</f>
        <v>0.8133</v>
      </c>
      <c r="NK5" s="236">
        <f>RANDBETWEEN((Inputs!$E5-(Inputs!$E5-Inputs!$D5)*2)*10000,(Inputs!$E5+(Inputs!$F5-Inputs!$E5)*2)*10000)/10000</f>
        <v>0.8493</v>
      </c>
      <c r="NL5" s="236">
        <f>RANDBETWEEN((Inputs!$E5-(Inputs!$E5-Inputs!$D5)*2)*10000,(Inputs!$E5+(Inputs!$F5-Inputs!$E5)*2)*10000)/10000</f>
        <v>0.7873</v>
      </c>
      <c r="NM5" s="236">
        <f>RANDBETWEEN((Inputs!$E5-(Inputs!$E5-Inputs!$D5)*2)*10000,(Inputs!$E5+(Inputs!$F5-Inputs!$E5)*2)*10000)/10000</f>
        <v>0.8033</v>
      </c>
      <c r="NN5" s="236">
        <f>RANDBETWEEN((Inputs!$E5-(Inputs!$E5-Inputs!$D5)*2)*10000,(Inputs!$E5+(Inputs!$F5-Inputs!$E5)*2)*10000)/10000</f>
        <v>0.9055</v>
      </c>
      <c r="NO5" s="236">
        <f>RANDBETWEEN((Inputs!$E5-(Inputs!$E5-Inputs!$D5)*2)*10000,(Inputs!$E5+(Inputs!$F5-Inputs!$E5)*2)*10000)/10000</f>
        <v>0.8265</v>
      </c>
      <c r="NP5" s="236">
        <f>RANDBETWEEN((Inputs!$E5-(Inputs!$E5-Inputs!$D5)*2)*10000,(Inputs!$E5+(Inputs!$F5-Inputs!$E5)*2)*10000)/10000</f>
        <v>0.8703</v>
      </c>
      <c r="NQ5" s="236">
        <f>RANDBETWEEN((Inputs!$E5-(Inputs!$E5-Inputs!$D5)*2)*10000,(Inputs!$E5+(Inputs!$F5-Inputs!$E5)*2)*10000)/10000</f>
        <v>0.9083</v>
      </c>
      <c r="NR5" s="236">
        <f>RANDBETWEEN((Inputs!$E5-(Inputs!$E5-Inputs!$D5)*2)*10000,(Inputs!$E5+(Inputs!$F5-Inputs!$E5)*2)*10000)/10000</f>
        <v>0.8894</v>
      </c>
      <c r="NS5" s="236">
        <f>RANDBETWEEN((Inputs!$E5-(Inputs!$E5-Inputs!$D5)*2)*10000,(Inputs!$E5+(Inputs!$F5-Inputs!$E5)*2)*10000)/10000</f>
        <v>0.7641</v>
      </c>
      <c r="NT5" s="236">
        <f>RANDBETWEEN((Inputs!$E5-(Inputs!$E5-Inputs!$D5)*2)*10000,(Inputs!$E5+(Inputs!$F5-Inputs!$E5)*2)*10000)/10000</f>
        <v>0.8847</v>
      </c>
      <c r="NU5" s="236">
        <f>RANDBETWEEN((Inputs!$E5-(Inputs!$E5-Inputs!$D5)*2)*10000,(Inputs!$E5+(Inputs!$F5-Inputs!$E5)*2)*10000)/10000</f>
        <v>0.9038</v>
      </c>
      <c r="NV5" s="236">
        <f>RANDBETWEEN((Inputs!$E5-(Inputs!$E5-Inputs!$D5)*2)*10000,(Inputs!$E5+(Inputs!$F5-Inputs!$E5)*2)*10000)/10000</f>
        <v>0.9167</v>
      </c>
      <c r="NW5" s="236">
        <f>RANDBETWEEN((Inputs!$E5-(Inputs!$E5-Inputs!$D5)*2)*10000,(Inputs!$E5+(Inputs!$F5-Inputs!$E5)*2)*10000)/10000</f>
        <v>0.7904</v>
      </c>
      <c r="NX5" s="236">
        <f>RANDBETWEEN((Inputs!$E5-(Inputs!$E5-Inputs!$D5)*2)*10000,(Inputs!$E5+(Inputs!$F5-Inputs!$E5)*2)*10000)/10000</f>
        <v>0.8206</v>
      </c>
      <c r="NY5" s="236">
        <f>RANDBETWEEN((Inputs!$E5-(Inputs!$E5-Inputs!$D5)*2)*10000,(Inputs!$E5+(Inputs!$F5-Inputs!$E5)*2)*10000)/10000</f>
        <v>0.9246</v>
      </c>
      <c r="NZ5" s="236">
        <f>RANDBETWEEN((Inputs!$E5-(Inputs!$E5-Inputs!$D5)*2)*10000,(Inputs!$E5+(Inputs!$F5-Inputs!$E5)*2)*10000)/10000</f>
        <v>0.7537</v>
      </c>
      <c r="OA5" s="236">
        <f>RANDBETWEEN((Inputs!$E5-(Inputs!$E5-Inputs!$D5)*2)*10000,(Inputs!$E5+(Inputs!$F5-Inputs!$E5)*2)*10000)/10000</f>
        <v>0.7816</v>
      </c>
      <c r="OB5" s="236">
        <f>RANDBETWEEN((Inputs!$E5-(Inputs!$E5-Inputs!$D5)*2)*10000,(Inputs!$E5+(Inputs!$F5-Inputs!$E5)*2)*10000)/10000</f>
        <v>0.8255</v>
      </c>
      <c r="OC5" s="236">
        <f>RANDBETWEEN((Inputs!$E5-(Inputs!$E5-Inputs!$D5)*2)*10000,(Inputs!$E5+(Inputs!$F5-Inputs!$E5)*2)*10000)/10000</f>
        <v>0.7681</v>
      </c>
      <c r="OD5" s="236">
        <f>RANDBETWEEN((Inputs!$E5-(Inputs!$E5-Inputs!$D5)*2)*10000,(Inputs!$E5+(Inputs!$F5-Inputs!$E5)*2)*10000)/10000</f>
        <v>0.7652</v>
      </c>
      <c r="OE5" s="236">
        <f>RANDBETWEEN((Inputs!$E5-(Inputs!$E5-Inputs!$D5)*2)*10000,(Inputs!$E5+(Inputs!$F5-Inputs!$E5)*2)*10000)/10000</f>
        <v>0.9002</v>
      </c>
      <c r="OF5" s="236">
        <f>RANDBETWEEN((Inputs!$E5-(Inputs!$E5-Inputs!$D5)*2)*10000,(Inputs!$E5+(Inputs!$F5-Inputs!$E5)*2)*10000)/10000</f>
        <v>0.7981</v>
      </c>
      <c r="OG5" s="236">
        <f>RANDBETWEEN((Inputs!$E5-(Inputs!$E5-Inputs!$D5)*2)*10000,(Inputs!$E5+(Inputs!$F5-Inputs!$E5)*2)*10000)/10000</f>
        <v>0.7557</v>
      </c>
      <c r="OH5" s="236">
        <f>RANDBETWEEN((Inputs!$E5-(Inputs!$E5-Inputs!$D5)*2)*10000,(Inputs!$E5+(Inputs!$F5-Inputs!$E5)*2)*10000)/10000</f>
        <v>0.9313</v>
      </c>
      <c r="OI5" s="236">
        <f>RANDBETWEEN((Inputs!$E5-(Inputs!$E5-Inputs!$D5)*2)*10000,(Inputs!$E5+(Inputs!$F5-Inputs!$E5)*2)*10000)/10000</f>
        <v>0.9228</v>
      </c>
      <c r="OJ5" s="236">
        <f>RANDBETWEEN((Inputs!$E5-(Inputs!$E5-Inputs!$D5)*2)*10000,(Inputs!$E5+(Inputs!$F5-Inputs!$E5)*2)*10000)/10000</f>
        <v>0.8454</v>
      </c>
      <c r="OK5" s="236">
        <f>RANDBETWEEN((Inputs!$E5-(Inputs!$E5-Inputs!$D5)*2)*10000,(Inputs!$E5+(Inputs!$F5-Inputs!$E5)*2)*10000)/10000</f>
        <v>0.8273</v>
      </c>
      <c r="OL5" s="236">
        <f>RANDBETWEEN((Inputs!$E5-(Inputs!$E5-Inputs!$D5)*2)*10000,(Inputs!$E5+(Inputs!$F5-Inputs!$E5)*2)*10000)/10000</f>
        <v>0.7721</v>
      </c>
      <c r="OM5" s="236">
        <f>RANDBETWEEN((Inputs!$E5-(Inputs!$E5-Inputs!$D5)*2)*10000,(Inputs!$E5+(Inputs!$F5-Inputs!$E5)*2)*10000)/10000</f>
        <v>0.8994</v>
      </c>
      <c r="ON5" s="236">
        <f>RANDBETWEEN((Inputs!$E5-(Inputs!$E5-Inputs!$D5)*2)*10000,(Inputs!$E5+(Inputs!$F5-Inputs!$E5)*2)*10000)/10000</f>
        <v>0.864</v>
      </c>
      <c r="OO5" s="236">
        <f>RANDBETWEEN((Inputs!$E5-(Inputs!$E5-Inputs!$D5)*2)*10000,(Inputs!$E5+(Inputs!$F5-Inputs!$E5)*2)*10000)/10000</f>
        <v>0.893</v>
      </c>
      <c r="OP5" s="236">
        <f>RANDBETWEEN((Inputs!$E5-(Inputs!$E5-Inputs!$D5)*2)*10000,(Inputs!$E5+(Inputs!$F5-Inputs!$E5)*2)*10000)/10000</f>
        <v>0.7944</v>
      </c>
      <c r="OQ5" s="236">
        <f>RANDBETWEEN((Inputs!$E5-(Inputs!$E5-Inputs!$D5)*2)*10000,(Inputs!$E5+(Inputs!$F5-Inputs!$E5)*2)*10000)/10000</f>
        <v>0.7733</v>
      </c>
      <c r="OR5" s="236">
        <f>RANDBETWEEN((Inputs!$E5-(Inputs!$E5-Inputs!$D5)*2)*10000,(Inputs!$E5+(Inputs!$F5-Inputs!$E5)*2)*10000)/10000</f>
        <v>0.9408</v>
      </c>
      <c r="OS5" s="236">
        <f>RANDBETWEEN((Inputs!$E5-(Inputs!$E5-Inputs!$D5)*2)*10000,(Inputs!$E5+(Inputs!$F5-Inputs!$E5)*2)*10000)/10000</f>
        <v>0.9306</v>
      </c>
      <c r="OT5" s="236">
        <f>RANDBETWEEN((Inputs!$E5-(Inputs!$E5-Inputs!$D5)*2)*10000,(Inputs!$E5+(Inputs!$F5-Inputs!$E5)*2)*10000)/10000</f>
        <v>0.7434</v>
      </c>
      <c r="OU5" s="236">
        <f>RANDBETWEEN((Inputs!$E5-(Inputs!$E5-Inputs!$D5)*2)*10000,(Inputs!$E5+(Inputs!$F5-Inputs!$E5)*2)*10000)/10000</f>
        <v>0.7596</v>
      </c>
      <c r="OV5" s="236">
        <f>RANDBETWEEN((Inputs!$E5-(Inputs!$E5-Inputs!$D5)*2)*10000,(Inputs!$E5+(Inputs!$F5-Inputs!$E5)*2)*10000)/10000</f>
        <v>0.9099</v>
      </c>
      <c r="OW5" s="236">
        <f>RANDBETWEEN((Inputs!$E5-(Inputs!$E5-Inputs!$D5)*2)*10000,(Inputs!$E5+(Inputs!$F5-Inputs!$E5)*2)*10000)/10000</f>
        <v>0.741</v>
      </c>
      <c r="OX5" s="236">
        <f>RANDBETWEEN((Inputs!$E5-(Inputs!$E5-Inputs!$D5)*2)*10000,(Inputs!$E5+(Inputs!$F5-Inputs!$E5)*2)*10000)/10000</f>
        <v>0.8999</v>
      </c>
      <c r="OY5" s="236">
        <f>RANDBETWEEN((Inputs!$E5-(Inputs!$E5-Inputs!$D5)*2)*10000,(Inputs!$E5+(Inputs!$F5-Inputs!$E5)*2)*10000)/10000</f>
        <v>0.7869</v>
      </c>
      <c r="OZ5" s="236">
        <f>RANDBETWEEN((Inputs!$E5-(Inputs!$E5-Inputs!$D5)*2)*10000,(Inputs!$E5+(Inputs!$F5-Inputs!$E5)*2)*10000)/10000</f>
        <v>0.7485</v>
      </c>
      <c r="PA5" s="236">
        <f>RANDBETWEEN((Inputs!$E5-(Inputs!$E5-Inputs!$D5)*2)*10000,(Inputs!$E5+(Inputs!$F5-Inputs!$E5)*2)*10000)/10000</f>
        <v>0.8055</v>
      </c>
      <c r="PB5" s="236">
        <f>RANDBETWEEN((Inputs!$E5-(Inputs!$E5-Inputs!$D5)*2)*10000,(Inputs!$E5+(Inputs!$F5-Inputs!$E5)*2)*10000)/10000</f>
        <v>0.7932</v>
      </c>
      <c r="PC5" s="236">
        <f>RANDBETWEEN((Inputs!$E5-(Inputs!$E5-Inputs!$D5)*2)*10000,(Inputs!$E5+(Inputs!$F5-Inputs!$E5)*2)*10000)/10000</f>
        <v>0.8864</v>
      </c>
      <c r="PD5" s="236">
        <f>RANDBETWEEN((Inputs!$E5-(Inputs!$E5-Inputs!$D5)*2)*10000,(Inputs!$E5+(Inputs!$F5-Inputs!$E5)*2)*10000)/10000</f>
        <v>0.8553</v>
      </c>
      <c r="PE5" s="236">
        <f>RANDBETWEEN((Inputs!$E5-(Inputs!$E5-Inputs!$D5)*2)*10000,(Inputs!$E5+(Inputs!$F5-Inputs!$E5)*2)*10000)/10000</f>
        <v>0.8689</v>
      </c>
      <c r="PF5" s="236">
        <f>RANDBETWEEN((Inputs!$E5-(Inputs!$E5-Inputs!$D5)*2)*10000,(Inputs!$E5+(Inputs!$F5-Inputs!$E5)*2)*10000)/10000</f>
        <v>0.7714</v>
      </c>
      <c r="PG5" s="236">
        <f>RANDBETWEEN((Inputs!$E5-(Inputs!$E5-Inputs!$D5)*2)*10000,(Inputs!$E5+(Inputs!$F5-Inputs!$E5)*2)*10000)/10000</f>
        <v>0.9328</v>
      </c>
      <c r="PH5" s="236">
        <f>RANDBETWEEN((Inputs!$E5-(Inputs!$E5-Inputs!$D5)*2)*10000,(Inputs!$E5+(Inputs!$F5-Inputs!$E5)*2)*10000)/10000</f>
        <v>0.882</v>
      </c>
      <c r="PI5" s="236">
        <f>RANDBETWEEN((Inputs!$E5-(Inputs!$E5-Inputs!$D5)*2)*10000,(Inputs!$E5+(Inputs!$F5-Inputs!$E5)*2)*10000)/10000</f>
        <v>0.8719</v>
      </c>
      <c r="PJ5" s="236">
        <f>RANDBETWEEN((Inputs!$E5-(Inputs!$E5-Inputs!$D5)*2)*10000,(Inputs!$E5+(Inputs!$F5-Inputs!$E5)*2)*10000)/10000</f>
        <v>0.9173</v>
      </c>
      <c r="PK5" s="236">
        <f>RANDBETWEEN((Inputs!$E5-(Inputs!$E5-Inputs!$D5)*2)*10000,(Inputs!$E5+(Inputs!$F5-Inputs!$E5)*2)*10000)/10000</f>
        <v>0.9226</v>
      </c>
      <c r="PL5" s="236">
        <f>RANDBETWEEN((Inputs!$E5-(Inputs!$E5-Inputs!$D5)*2)*10000,(Inputs!$E5+(Inputs!$F5-Inputs!$E5)*2)*10000)/10000</f>
        <v>0.9255</v>
      </c>
      <c r="PM5" s="236">
        <f>RANDBETWEEN((Inputs!$E5-(Inputs!$E5-Inputs!$D5)*2)*10000,(Inputs!$E5+(Inputs!$F5-Inputs!$E5)*2)*10000)/10000</f>
        <v>0.8256</v>
      </c>
      <c r="PN5" s="236">
        <f>RANDBETWEEN((Inputs!$E5-(Inputs!$E5-Inputs!$D5)*2)*10000,(Inputs!$E5+(Inputs!$F5-Inputs!$E5)*2)*10000)/10000</f>
        <v>0.7678</v>
      </c>
      <c r="PO5" s="236">
        <f>RANDBETWEEN((Inputs!$E5-(Inputs!$E5-Inputs!$D5)*2)*10000,(Inputs!$E5+(Inputs!$F5-Inputs!$E5)*2)*10000)/10000</f>
        <v>0.9239</v>
      </c>
      <c r="PP5" s="236">
        <f>RANDBETWEEN((Inputs!$E5-(Inputs!$E5-Inputs!$D5)*2)*10000,(Inputs!$E5+(Inputs!$F5-Inputs!$E5)*2)*10000)/10000</f>
        <v>0.766</v>
      </c>
      <c r="PQ5" s="236">
        <f>RANDBETWEEN((Inputs!$E5-(Inputs!$E5-Inputs!$D5)*2)*10000,(Inputs!$E5+(Inputs!$F5-Inputs!$E5)*2)*10000)/10000</f>
        <v>0.7982</v>
      </c>
      <c r="PR5" s="236">
        <f>RANDBETWEEN((Inputs!$E5-(Inputs!$E5-Inputs!$D5)*2)*10000,(Inputs!$E5+(Inputs!$F5-Inputs!$E5)*2)*10000)/10000</f>
        <v>0.9253</v>
      </c>
      <c r="PS5" s="236">
        <f>RANDBETWEEN((Inputs!$E5-(Inputs!$E5-Inputs!$D5)*2)*10000,(Inputs!$E5+(Inputs!$F5-Inputs!$E5)*2)*10000)/10000</f>
        <v>0.8086</v>
      </c>
      <c r="PT5" s="236">
        <f>RANDBETWEEN((Inputs!$E5-(Inputs!$E5-Inputs!$D5)*2)*10000,(Inputs!$E5+(Inputs!$F5-Inputs!$E5)*2)*10000)/10000</f>
        <v>0.9074</v>
      </c>
      <c r="PU5" s="236">
        <f>RANDBETWEEN((Inputs!$E5-(Inputs!$E5-Inputs!$D5)*2)*10000,(Inputs!$E5+(Inputs!$F5-Inputs!$E5)*2)*10000)/10000</f>
        <v>0.8249</v>
      </c>
      <c r="PV5" s="236">
        <f>RANDBETWEEN((Inputs!$E5-(Inputs!$E5-Inputs!$D5)*2)*10000,(Inputs!$E5+(Inputs!$F5-Inputs!$E5)*2)*10000)/10000</f>
        <v>0.796</v>
      </c>
      <c r="PW5" s="236">
        <f>RANDBETWEEN((Inputs!$E5-(Inputs!$E5-Inputs!$D5)*2)*10000,(Inputs!$E5+(Inputs!$F5-Inputs!$E5)*2)*10000)/10000</f>
        <v>0.8659</v>
      </c>
      <c r="PX5" s="236">
        <f>RANDBETWEEN((Inputs!$E5-(Inputs!$E5-Inputs!$D5)*2)*10000,(Inputs!$E5+(Inputs!$F5-Inputs!$E5)*2)*10000)/10000</f>
        <v>0.7656</v>
      </c>
      <c r="PY5" s="236">
        <f>RANDBETWEEN((Inputs!$E5-(Inputs!$E5-Inputs!$D5)*2)*10000,(Inputs!$E5+(Inputs!$F5-Inputs!$E5)*2)*10000)/10000</f>
        <v>0.9086</v>
      </c>
      <c r="PZ5" s="236">
        <f>RANDBETWEEN((Inputs!$E5-(Inputs!$E5-Inputs!$D5)*2)*10000,(Inputs!$E5+(Inputs!$F5-Inputs!$E5)*2)*10000)/10000</f>
        <v>0.7757</v>
      </c>
      <c r="QA5" s="236">
        <f>RANDBETWEEN((Inputs!$E5-(Inputs!$E5-Inputs!$D5)*2)*10000,(Inputs!$E5+(Inputs!$F5-Inputs!$E5)*2)*10000)/10000</f>
        <v>0.7439</v>
      </c>
      <c r="QB5" s="236">
        <f>RANDBETWEEN((Inputs!$E5-(Inputs!$E5-Inputs!$D5)*2)*10000,(Inputs!$E5+(Inputs!$F5-Inputs!$E5)*2)*10000)/10000</f>
        <v>0.7613</v>
      </c>
      <c r="QC5" s="236">
        <f>RANDBETWEEN((Inputs!$E5-(Inputs!$E5-Inputs!$D5)*2)*10000,(Inputs!$E5+(Inputs!$F5-Inputs!$E5)*2)*10000)/10000</f>
        <v>0.9358</v>
      </c>
      <c r="QD5" s="236">
        <f>RANDBETWEEN((Inputs!$E5-(Inputs!$E5-Inputs!$D5)*2)*10000,(Inputs!$E5+(Inputs!$F5-Inputs!$E5)*2)*10000)/10000</f>
        <v>0.7793</v>
      </c>
      <c r="QE5" s="236">
        <f>RANDBETWEEN((Inputs!$E5-(Inputs!$E5-Inputs!$D5)*2)*10000,(Inputs!$E5+(Inputs!$F5-Inputs!$E5)*2)*10000)/10000</f>
        <v>0.8162</v>
      </c>
      <c r="QF5" s="236">
        <f>RANDBETWEEN((Inputs!$E5-(Inputs!$E5-Inputs!$D5)*2)*10000,(Inputs!$E5+(Inputs!$F5-Inputs!$E5)*2)*10000)/10000</f>
        <v>0.9285</v>
      </c>
      <c r="QG5" s="236">
        <f>RANDBETWEEN((Inputs!$E5-(Inputs!$E5-Inputs!$D5)*2)*10000,(Inputs!$E5+(Inputs!$F5-Inputs!$E5)*2)*10000)/10000</f>
        <v>0.9066</v>
      </c>
      <c r="QH5" s="236">
        <f>RANDBETWEEN((Inputs!$E5-(Inputs!$E5-Inputs!$D5)*2)*10000,(Inputs!$E5+(Inputs!$F5-Inputs!$E5)*2)*10000)/10000</f>
        <v>0.8048</v>
      </c>
      <c r="QI5" s="236">
        <f>RANDBETWEEN((Inputs!$E5-(Inputs!$E5-Inputs!$D5)*2)*10000,(Inputs!$E5+(Inputs!$F5-Inputs!$E5)*2)*10000)/10000</f>
        <v>0.7841</v>
      </c>
      <c r="QJ5" s="236">
        <f>RANDBETWEEN((Inputs!$E5-(Inputs!$E5-Inputs!$D5)*2)*10000,(Inputs!$E5+(Inputs!$F5-Inputs!$E5)*2)*10000)/10000</f>
        <v>0.7786</v>
      </c>
      <c r="QK5" s="236">
        <f>RANDBETWEEN((Inputs!$E5-(Inputs!$E5-Inputs!$D5)*2)*10000,(Inputs!$E5+(Inputs!$F5-Inputs!$E5)*2)*10000)/10000</f>
        <v>0.7412</v>
      </c>
      <c r="QL5" s="236">
        <f>RANDBETWEEN((Inputs!$E5-(Inputs!$E5-Inputs!$D5)*2)*10000,(Inputs!$E5+(Inputs!$F5-Inputs!$E5)*2)*10000)/10000</f>
        <v>0.7836</v>
      </c>
      <c r="QM5" s="236">
        <f>RANDBETWEEN((Inputs!$E5-(Inputs!$E5-Inputs!$D5)*2)*10000,(Inputs!$E5+(Inputs!$F5-Inputs!$E5)*2)*10000)/10000</f>
        <v>0.8162</v>
      </c>
      <c r="QN5" s="236">
        <f>RANDBETWEEN((Inputs!$E5-(Inputs!$E5-Inputs!$D5)*2)*10000,(Inputs!$E5+(Inputs!$F5-Inputs!$E5)*2)*10000)/10000</f>
        <v>0.8087</v>
      </c>
      <c r="QO5" s="236">
        <f>RANDBETWEEN((Inputs!$E5-(Inputs!$E5-Inputs!$D5)*2)*10000,(Inputs!$E5+(Inputs!$F5-Inputs!$E5)*2)*10000)/10000</f>
        <v>0.9198</v>
      </c>
      <c r="QP5" s="236">
        <f>RANDBETWEEN((Inputs!$E5-(Inputs!$E5-Inputs!$D5)*2)*10000,(Inputs!$E5+(Inputs!$F5-Inputs!$E5)*2)*10000)/10000</f>
        <v>0.784</v>
      </c>
      <c r="QQ5" s="236">
        <f>RANDBETWEEN((Inputs!$E5-(Inputs!$E5-Inputs!$D5)*2)*10000,(Inputs!$E5+(Inputs!$F5-Inputs!$E5)*2)*10000)/10000</f>
        <v>0.8552</v>
      </c>
      <c r="QR5" s="236">
        <f>RANDBETWEEN((Inputs!$E5-(Inputs!$E5-Inputs!$D5)*2)*10000,(Inputs!$E5+(Inputs!$F5-Inputs!$E5)*2)*10000)/10000</f>
        <v>0.7396</v>
      </c>
      <c r="QS5" s="236">
        <f>RANDBETWEEN((Inputs!$E5-(Inputs!$E5-Inputs!$D5)*2)*10000,(Inputs!$E5+(Inputs!$F5-Inputs!$E5)*2)*10000)/10000</f>
        <v>0.8659</v>
      </c>
      <c r="QT5" s="236">
        <f>RANDBETWEEN((Inputs!$E5-(Inputs!$E5-Inputs!$D5)*2)*10000,(Inputs!$E5+(Inputs!$F5-Inputs!$E5)*2)*10000)/10000</f>
        <v>0.7703</v>
      </c>
      <c r="QU5" s="236">
        <f>RANDBETWEEN((Inputs!$E5-(Inputs!$E5-Inputs!$D5)*2)*10000,(Inputs!$E5+(Inputs!$F5-Inputs!$E5)*2)*10000)/10000</f>
        <v>0.7926</v>
      </c>
      <c r="QV5" s="236">
        <f>RANDBETWEEN((Inputs!$E5-(Inputs!$E5-Inputs!$D5)*2)*10000,(Inputs!$E5+(Inputs!$F5-Inputs!$E5)*2)*10000)/10000</f>
        <v>0.8589</v>
      </c>
      <c r="QW5" s="236">
        <f>RANDBETWEEN((Inputs!$E5-(Inputs!$E5-Inputs!$D5)*2)*10000,(Inputs!$E5+(Inputs!$F5-Inputs!$E5)*2)*10000)/10000</f>
        <v>0.8471</v>
      </c>
      <c r="QX5" s="236">
        <f>RANDBETWEEN((Inputs!$E5-(Inputs!$E5-Inputs!$D5)*2)*10000,(Inputs!$E5+(Inputs!$F5-Inputs!$E5)*2)*10000)/10000</f>
        <v>0.8266</v>
      </c>
      <c r="QY5" s="236">
        <f>RANDBETWEEN((Inputs!$E5-(Inputs!$E5-Inputs!$D5)*2)*10000,(Inputs!$E5+(Inputs!$F5-Inputs!$E5)*2)*10000)/10000</f>
        <v>0.8069</v>
      </c>
      <c r="QZ5" s="236">
        <f>RANDBETWEEN((Inputs!$E5-(Inputs!$E5-Inputs!$D5)*2)*10000,(Inputs!$E5+(Inputs!$F5-Inputs!$E5)*2)*10000)/10000</f>
        <v>0.8004</v>
      </c>
      <c r="RA5" s="236">
        <f>RANDBETWEEN((Inputs!$E5-(Inputs!$E5-Inputs!$D5)*2)*10000,(Inputs!$E5+(Inputs!$F5-Inputs!$E5)*2)*10000)/10000</f>
        <v>0.7633</v>
      </c>
      <c r="RB5" s="236">
        <f>RANDBETWEEN((Inputs!$E5-(Inputs!$E5-Inputs!$D5)*2)*10000,(Inputs!$E5+(Inputs!$F5-Inputs!$E5)*2)*10000)/10000</f>
        <v>0.802</v>
      </c>
      <c r="RC5" s="236">
        <f>RANDBETWEEN((Inputs!$E5-(Inputs!$E5-Inputs!$D5)*2)*10000,(Inputs!$E5+(Inputs!$F5-Inputs!$E5)*2)*10000)/10000</f>
        <v>0.7822</v>
      </c>
      <c r="RD5" s="236">
        <f>RANDBETWEEN((Inputs!$E5-(Inputs!$E5-Inputs!$D5)*2)*10000,(Inputs!$E5+(Inputs!$F5-Inputs!$E5)*2)*10000)/10000</f>
        <v>0.8855</v>
      </c>
      <c r="RE5" s="236">
        <f>RANDBETWEEN((Inputs!$E5-(Inputs!$E5-Inputs!$D5)*2)*10000,(Inputs!$E5+(Inputs!$F5-Inputs!$E5)*2)*10000)/10000</f>
        <v>0.8946</v>
      </c>
      <c r="RF5" s="236">
        <f>RANDBETWEEN((Inputs!$E5-(Inputs!$E5-Inputs!$D5)*2)*10000,(Inputs!$E5+(Inputs!$F5-Inputs!$E5)*2)*10000)/10000</f>
        <v>0.7596</v>
      </c>
      <c r="RG5" s="236">
        <f>RANDBETWEEN((Inputs!$E5-(Inputs!$E5-Inputs!$D5)*2)*10000,(Inputs!$E5+(Inputs!$F5-Inputs!$E5)*2)*10000)/10000</f>
        <v>0.7842</v>
      </c>
      <c r="RH5" s="236">
        <f>RANDBETWEEN((Inputs!$E5-(Inputs!$E5-Inputs!$D5)*2)*10000,(Inputs!$E5+(Inputs!$F5-Inputs!$E5)*2)*10000)/10000</f>
        <v>0.839</v>
      </c>
      <c r="RI5" s="236">
        <f>RANDBETWEEN((Inputs!$E5-(Inputs!$E5-Inputs!$D5)*2)*10000,(Inputs!$E5+(Inputs!$F5-Inputs!$E5)*2)*10000)/10000</f>
        <v>0.9196</v>
      </c>
      <c r="RJ5" s="236">
        <f>RANDBETWEEN((Inputs!$E5-(Inputs!$E5-Inputs!$D5)*2)*10000,(Inputs!$E5+(Inputs!$F5-Inputs!$E5)*2)*10000)/10000</f>
        <v>0.7637</v>
      </c>
      <c r="RK5" s="236">
        <f>RANDBETWEEN((Inputs!$E5-(Inputs!$E5-Inputs!$D5)*2)*10000,(Inputs!$E5+(Inputs!$F5-Inputs!$E5)*2)*10000)/10000</f>
        <v>0.7765</v>
      </c>
      <c r="RL5" s="236">
        <f>RANDBETWEEN((Inputs!$E5-(Inputs!$E5-Inputs!$D5)*2)*10000,(Inputs!$E5+(Inputs!$F5-Inputs!$E5)*2)*10000)/10000</f>
        <v>0.7912</v>
      </c>
      <c r="RM5" s="236">
        <f>RANDBETWEEN((Inputs!$E5-(Inputs!$E5-Inputs!$D5)*2)*10000,(Inputs!$E5+(Inputs!$F5-Inputs!$E5)*2)*10000)/10000</f>
        <v>0.7925</v>
      </c>
      <c r="RN5" s="236">
        <f>RANDBETWEEN((Inputs!$E5-(Inputs!$E5-Inputs!$D5)*2)*10000,(Inputs!$E5+(Inputs!$F5-Inputs!$E5)*2)*10000)/10000</f>
        <v>0.8791</v>
      </c>
      <c r="RO5" s="236">
        <f>RANDBETWEEN((Inputs!$E5-(Inputs!$E5-Inputs!$D5)*2)*10000,(Inputs!$E5+(Inputs!$F5-Inputs!$E5)*2)*10000)/10000</f>
        <v>0.8338</v>
      </c>
      <c r="RP5" s="236">
        <f>RANDBETWEEN((Inputs!$E5-(Inputs!$E5-Inputs!$D5)*2)*10000,(Inputs!$E5+(Inputs!$F5-Inputs!$E5)*2)*10000)/10000</f>
        <v>0.8893</v>
      </c>
      <c r="RQ5" s="236">
        <f>RANDBETWEEN((Inputs!$E5-(Inputs!$E5-Inputs!$D5)*2)*10000,(Inputs!$E5+(Inputs!$F5-Inputs!$E5)*2)*10000)/10000</f>
        <v>0.9401</v>
      </c>
      <c r="RR5" s="236">
        <f>RANDBETWEEN((Inputs!$E5-(Inputs!$E5-Inputs!$D5)*2)*10000,(Inputs!$E5+(Inputs!$F5-Inputs!$E5)*2)*10000)/10000</f>
        <v>0.9291</v>
      </c>
      <c r="RS5" s="236">
        <f>RANDBETWEEN((Inputs!$E5-(Inputs!$E5-Inputs!$D5)*2)*10000,(Inputs!$E5+(Inputs!$F5-Inputs!$E5)*2)*10000)/10000</f>
        <v>0.94</v>
      </c>
      <c r="RT5" s="236">
        <f>RANDBETWEEN((Inputs!$E5-(Inputs!$E5-Inputs!$D5)*2)*10000,(Inputs!$E5+(Inputs!$F5-Inputs!$E5)*2)*10000)/10000</f>
        <v>0.8159</v>
      </c>
      <c r="RU5" s="236">
        <f>RANDBETWEEN((Inputs!$E5-(Inputs!$E5-Inputs!$D5)*2)*10000,(Inputs!$E5+(Inputs!$F5-Inputs!$E5)*2)*10000)/10000</f>
        <v>0.8832</v>
      </c>
      <c r="RV5" s="236">
        <f>RANDBETWEEN((Inputs!$E5-(Inputs!$E5-Inputs!$D5)*2)*10000,(Inputs!$E5+(Inputs!$F5-Inputs!$E5)*2)*10000)/10000</f>
        <v>0.8075</v>
      </c>
      <c r="RW5" s="236">
        <f>RANDBETWEEN((Inputs!$E5-(Inputs!$E5-Inputs!$D5)*2)*10000,(Inputs!$E5+(Inputs!$F5-Inputs!$E5)*2)*10000)/10000</f>
        <v>0.9297</v>
      </c>
      <c r="RX5" s="236">
        <f>RANDBETWEEN((Inputs!$E5-(Inputs!$E5-Inputs!$D5)*2)*10000,(Inputs!$E5+(Inputs!$F5-Inputs!$E5)*2)*10000)/10000</f>
        <v>0.9054</v>
      </c>
      <c r="RY5" s="236">
        <f>RANDBETWEEN((Inputs!$E5-(Inputs!$E5-Inputs!$D5)*2)*10000,(Inputs!$E5+(Inputs!$F5-Inputs!$E5)*2)*10000)/10000</f>
        <v>0.7685</v>
      </c>
      <c r="RZ5" s="236">
        <f>RANDBETWEEN((Inputs!$E5-(Inputs!$E5-Inputs!$D5)*2)*10000,(Inputs!$E5+(Inputs!$F5-Inputs!$E5)*2)*10000)/10000</f>
        <v>0.9217</v>
      </c>
      <c r="SA5" s="236">
        <f>RANDBETWEEN((Inputs!$E5-(Inputs!$E5-Inputs!$D5)*2)*10000,(Inputs!$E5+(Inputs!$F5-Inputs!$E5)*2)*10000)/10000</f>
        <v>0.795</v>
      </c>
      <c r="SB5" s="236">
        <f>RANDBETWEEN((Inputs!$E5-(Inputs!$E5-Inputs!$D5)*2)*10000,(Inputs!$E5+(Inputs!$F5-Inputs!$E5)*2)*10000)/10000</f>
        <v>0.7505</v>
      </c>
      <c r="SC5" s="236">
        <f>RANDBETWEEN((Inputs!$E5-(Inputs!$E5-Inputs!$D5)*2)*10000,(Inputs!$E5+(Inputs!$F5-Inputs!$E5)*2)*10000)/10000</f>
        <v>0.8593</v>
      </c>
      <c r="SD5" s="236">
        <f>RANDBETWEEN((Inputs!$E5-(Inputs!$E5-Inputs!$D5)*2)*10000,(Inputs!$E5+(Inputs!$F5-Inputs!$E5)*2)*10000)/10000</f>
        <v>0.8832</v>
      </c>
      <c r="SE5" s="236">
        <f>RANDBETWEEN((Inputs!$E5-(Inputs!$E5-Inputs!$D5)*2)*10000,(Inputs!$E5+(Inputs!$F5-Inputs!$E5)*2)*10000)/10000</f>
        <v>0.8411</v>
      </c>
      <c r="SF5" s="236">
        <f>RANDBETWEEN((Inputs!$E5-(Inputs!$E5-Inputs!$D5)*2)*10000,(Inputs!$E5+(Inputs!$F5-Inputs!$E5)*2)*10000)/10000</f>
        <v>0.7707</v>
      </c>
      <c r="SG5" s="236">
        <f>RANDBETWEEN((Inputs!$E5-(Inputs!$E5-Inputs!$D5)*2)*10000,(Inputs!$E5+(Inputs!$F5-Inputs!$E5)*2)*10000)/10000</f>
        <v>0.8415</v>
      </c>
      <c r="SH5" s="236">
        <f>RANDBETWEEN((Inputs!$E5-(Inputs!$E5-Inputs!$D5)*2)*10000,(Inputs!$E5+(Inputs!$F5-Inputs!$E5)*2)*10000)/10000</f>
        <v>0.9223</v>
      </c>
      <c r="SI5" s="236">
        <f>RANDBETWEEN((Inputs!$E5-(Inputs!$E5-Inputs!$D5)*2)*10000,(Inputs!$E5+(Inputs!$F5-Inputs!$E5)*2)*10000)/10000</f>
        <v>0.8502</v>
      </c>
      <c r="SJ5" s="236">
        <f>RANDBETWEEN((Inputs!$E5-(Inputs!$E5-Inputs!$D5)*2)*10000,(Inputs!$E5+(Inputs!$F5-Inputs!$E5)*2)*10000)/10000</f>
        <v>0.8823</v>
      </c>
      <c r="SK5" s="236">
        <f>RANDBETWEEN((Inputs!$E5-(Inputs!$E5-Inputs!$D5)*2)*10000,(Inputs!$E5+(Inputs!$F5-Inputs!$E5)*2)*10000)/10000</f>
        <v>0.8526</v>
      </c>
      <c r="SL5" s="236">
        <f>RANDBETWEEN((Inputs!$E5-(Inputs!$E5-Inputs!$D5)*2)*10000,(Inputs!$E5+(Inputs!$F5-Inputs!$E5)*2)*10000)/10000</f>
        <v>0.8834</v>
      </c>
    </row>
    <row r="6">
      <c r="A6" s="55" t="s">
        <v>81</v>
      </c>
      <c r="B6" s="54">
        <f>Inputs!E6</f>
        <v>865</v>
      </c>
      <c r="C6" s="237"/>
      <c r="D6" s="231"/>
      <c r="E6" s="232"/>
      <c r="F6" s="54"/>
      <c r="G6" s="54">
        <f t="shared" ref="G6:SL6" si="3">$B6</f>
        <v>865</v>
      </c>
      <c r="H6" s="54">
        <f t="shared" si="3"/>
        <v>865</v>
      </c>
      <c r="I6" s="54">
        <f t="shared" si="3"/>
        <v>865</v>
      </c>
      <c r="J6" s="54">
        <f t="shared" si="3"/>
        <v>865</v>
      </c>
      <c r="K6" s="54">
        <f t="shared" si="3"/>
        <v>865</v>
      </c>
      <c r="L6" s="54">
        <f t="shared" si="3"/>
        <v>865</v>
      </c>
      <c r="M6" s="54">
        <f t="shared" si="3"/>
        <v>865</v>
      </c>
      <c r="N6" s="54">
        <f t="shared" si="3"/>
        <v>865</v>
      </c>
      <c r="O6" s="54">
        <f t="shared" si="3"/>
        <v>865</v>
      </c>
      <c r="P6" s="54">
        <f t="shared" si="3"/>
        <v>865</v>
      </c>
      <c r="Q6" s="54">
        <f t="shared" si="3"/>
        <v>865</v>
      </c>
      <c r="R6" s="54">
        <f t="shared" si="3"/>
        <v>865</v>
      </c>
      <c r="S6" s="54">
        <f t="shared" si="3"/>
        <v>865</v>
      </c>
      <c r="T6" s="54">
        <f t="shared" si="3"/>
        <v>865</v>
      </c>
      <c r="U6" s="54">
        <f t="shared" si="3"/>
        <v>865</v>
      </c>
      <c r="V6" s="54">
        <f t="shared" si="3"/>
        <v>865</v>
      </c>
      <c r="W6" s="54">
        <f t="shared" si="3"/>
        <v>865</v>
      </c>
      <c r="X6" s="54">
        <f t="shared" si="3"/>
        <v>865</v>
      </c>
      <c r="Y6" s="54">
        <f t="shared" si="3"/>
        <v>865</v>
      </c>
      <c r="Z6" s="54">
        <f t="shared" si="3"/>
        <v>865</v>
      </c>
      <c r="AA6" s="54">
        <f t="shared" si="3"/>
        <v>865</v>
      </c>
      <c r="AB6" s="54">
        <f t="shared" si="3"/>
        <v>865</v>
      </c>
      <c r="AC6" s="54">
        <f t="shared" si="3"/>
        <v>865</v>
      </c>
      <c r="AD6" s="54">
        <f t="shared" si="3"/>
        <v>865</v>
      </c>
      <c r="AE6" s="54">
        <f t="shared" si="3"/>
        <v>865</v>
      </c>
      <c r="AF6" s="54">
        <f t="shared" si="3"/>
        <v>865</v>
      </c>
      <c r="AG6" s="54">
        <f t="shared" si="3"/>
        <v>865</v>
      </c>
      <c r="AH6" s="54">
        <f t="shared" si="3"/>
        <v>865</v>
      </c>
      <c r="AI6" s="54">
        <f t="shared" si="3"/>
        <v>865</v>
      </c>
      <c r="AJ6" s="54">
        <f t="shared" si="3"/>
        <v>865</v>
      </c>
      <c r="AK6" s="54">
        <f t="shared" si="3"/>
        <v>865</v>
      </c>
      <c r="AL6" s="54">
        <f t="shared" si="3"/>
        <v>865</v>
      </c>
      <c r="AM6" s="54">
        <f t="shared" si="3"/>
        <v>865</v>
      </c>
      <c r="AN6" s="54">
        <f t="shared" si="3"/>
        <v>865</v>
      </c>
      <c r="AO6" s="54">
        <f t="shared" si="3"/>
        <v>865</v>
      </c>
      <c r="AP6" s="54">
        <f t="shared" si="3"/>
        <v>865</v>
      </c>
      <c r="AQ6" s="54">
        <f t="shared" si="3"/>
        <v>865</v>
      </c>
      <c r="AR6" s="54">
        <f t="shared" si="3"/>
        <v>865</v>
      </c>
      <c r="AS6" s="54">
        <f t="shared" si="3"/>
        <v>865</v>
      </c>
      <c r="AT6" s="54">
        <f t="shared" si="3"/>
        <v>865</v>
      </c>
      <c r="AU6" s="54">
        <f t="shared" si="3"/>
        <v>865</v>
      </c>
      <c r="AV6" s="54">
        <f t="shared" si="3"/>
        <v>865</v>
      </c>
      <c r="AW6" s="54">
        <f t="shared" si="3"/>
        <v>865</v>
      </c>
      <c r="AX6" s="54">
        <f t="shared" si="3"/>
        <v>865</v>
      </c>
      <c r="AY6" s="54">
        <f t="shared" si="3"/>
        <v>865</v>
      </c>
      <c r="AZ6" s="54">
        <f t="shared" si="3"/>
        <v>865</v>
      </c>
      <c r="BA6" s="54">
        <f t="shared" si="3"/>
        <v>865</v>
      </c>
      <c r="BB6" s="54">
        <f t="shared" si="3"/>
        <v>865</v>
      </c>
      <c r="BC6" s="54">
        <f t="shared" si="3"/>
        <v>865</v>
      </c>
      <c r="BD6" s="54">
        <f t="shared" si="3"/>
        <v>865</v>
      </c>
      <c r="BE6" s="54">
        <f t="shared" si="3"/>
        <v>865</v>
      </c>
      <c r="BF6" s="54">
        <f t="shared" si="3"/>
        <v>865</v>
      </c>
      <c r="BG6" s="54">
        <f t="shared" si="3"/>
        <v>865</v>
      </c>
      <c r="BH6" s="54">
        <f t="shared" si="3"/>
        <v>865</v>
      </c>
      <c r="BI6" s="54">
        <f t="shared" si="3"/>
        <v>865</v>
      </c>
      <c r="BJ6" s="54">
        <f t="shared" si="3"/>
        <v>865</v>
      </c>
      <c r="BK6" s="54">
        <f t="shared" si="3"/>
        <v>865</v>
      </c>
      <c r="BL6" s="54">
        <f t="shared" si="3"/>
        <v>865</v>
      </c>
      <c r="BM6" s="54">
        <f t="shared" si="3"/>
        <v>865</v>
      </c>
      <c r="BN6" s="54">
        <f t="shared" si="3"/>
        <v>865</v>
      </c>
      <c r="BO6" s="54">
        <f t="shared" si="3"/>
        <v>865</v>
      </c>
      <c r="BP6" s="54">
        <f t="shared" si="3"/>
        <v>865</v>
      </c>
      <c r="BQ6" s="54">
        <f t="shared" si="3"/>
        <v>865</v>
      </c>
      <c r="BR6" s="54">
        <f t="shared" si="3"/>
        <v>865</v>
      </c>
      <c r="BS6" s="54">
        <f t="shared" si="3"/>
        <v>865</v>
      </c>
      <c r="BT6" s="54">
        <f t="shared" si="3"/>
        <v>865</v>
      </c>
      <c r="BU6" s="54">
        <f t="shared" si="3"/>
        <v>865</v>
      </c>
      <c r="BV6" s="54">
        <f t="shared" si="3"/>
        <v>865</v>
      </c>
      <c r="BW6" s="54">
        <f t="shared" si="3"/>
        <v>865</v>
      </c>
      <c r="BX6" s="54">
        <f t="shared" si="3"/>
        <v>865</v>
      </c>
      <c r="BY6" s="54">
        <f t="shared" si="3"/>
        <v>865</v>
      </c>
      <c r="BZ6" s="54">
        <f t="shared" si="3"/>
        <v>865</v>
      </c>
      <c r="CA6" s="54">
        <f t="shared" si="3"/>
        <v>865</v>
      </c>
      <c r="CB6" s="54">
        <f t="shared" si="3"/>
        <v>865</v>
      </c>
      <c r="CC6" s="54">
        <f t="shared" si="3"/>
        <v>865</v>
      </c>
      <c r="CD6" s="54">
        <f t="shared" si="3"/>
        <v>865</v>
      </c>
      <c r="CE6" s="54">
        <f t="shared" si="3"/>
        <v>865</v>
      </c>
      <c r="CF6" s="54">
        <f t="shared" si="3"/>
        <v>865</v>
      </c>
      <c r="CG6" s="54">
        <f t="shared" si="3"/>
        <v>865</v>
      </c>
      <c r="CH6" s="54">
        <f t="shared" si="3"/>
        <v>865</v>
      </c>
      <c r="CI6" s="54">
        <f t="shared" si="3"/>
        <v>865</v>
      </c>
      <c r="CJ6" s="54">
        <f t="shared" si="3"/>
        <v>865</v>
      </c>
      <c r="CK6" s="54">
        <f t="shared" si="3"/>
        <v>865</v>
      </c>
      <c r="CL6" s="54">
        <f t="shared" si="3"/>
        <v>865</v>
      </c>
      <c r="CM6" s="54">
        <f t="shared" si="3"/>
        <v>865</v>
      </c>
      <c r="CN6" s="54">
        <f t="shared" si="3"/>
        <v>865</v>
      </c>
      <c r="CO6" s="54">
        <f t="shared" si="3"/>
        <v>865</v>
      </c>
      <c r="CP6" s="54">
        <f t="shared" si="3"/>
        <v>865</v>
      </c>
      <c r="CQ6" s="54">
        <f t="shared" si="3"/>
        <v>865</v>
      </c>
      <c r="CR6" s="54">
        <f t="shared" si="3"/>
        <v>865</v>
      </c>
      <c r="CS6" s="54">
        <f t="shared" si="3"/>
        <v>865</v>
      </c>
      <c r="CT6" s="54">
        <f t="shared" si="3"/>
        <v>865</v>
      </c>
      <c r="CU6" s="54">
        <f t="shared" si="3"/>
        <v>865</v>
      </c>
      <c r="CV6" s="54">
        <f t="shared" si="3"/>
        <v>865</v>
      </c>
      <c r="CW6" s="54">
        <f t="shared" si="3"/>
        <v>865</v>
      </c>
      <c r="CX6" s="54">
        <f t="shared" si="3"/>
        <v>865</v>
      </c>
      <c r="CY6" s="54">
        <f t="shared" si="3"/>
        <v>865</v>
      </c>
      <c r="CZ6" s="54">
        <f t="shared" si="3"/>
        <v>865</v>
      </c>
      <c r="DA6" s="54">
        <f t="shared" si="3"/>
        <v>865</v>
      </c>
      <c r="DB6" s="54">
        <f t="shared" si="3"/>
        <v>865</v>
      </c>
      <c r="DC6" s="54">
        <f t="shared" si="3"/>
        <v>865</v>
      </c>
      <c r="DD6" s="54">
        <f t="shared" si="3"/>
        <v>865</v>
      </c>
      <c r="DE6" s="54">
        <f t="shared" si="3"/>
        <v>865</v>
      </c>
      <c r="DF6" s="54">
        <f t="shared" si="3"/>
        <v>865</v>
      </c>
      <c r="DG6" s="54">
        <f t="shared" si="3"/>
        <v>865</v>
      </c>
      <c r="DH6" s="54">
        <f t="shared" si="3"/>
        <v>865</v>
      </c>
      <c r="DI6" s="54">
        <f t="shared" si="3"/>
        <v>865</v>
      </c>
      <c r="DJ6" s="54">
        <f t="shared" si="3"/>
        <v>865</v>
      </c>
      <c r="DK6" s="54">
        <f t="shared" si="3"/>
        <v>865</v>
      </c>
      <c r="DL6" s="54">
        <f t="shared" si="3"/>
        <v>865</v>
      </c>
      <c r="DM6" s="54">
        <f t="shared" si="3"/>
        <v>865</v>
      </c>
      <c r="DN6" s="54">
        <f t="shared" si="3"/>
        <v>865</v>
      </c>
      <c r="DO6" s="54">
        <f t="shared" si="3"/>
        <v>865</v>
      </c>
      <c r="DP6" s="54">
        <f t="shared" si="3"/>
        <v>865</v>
      </c>
      <c r="DQ6" s="54">
        <f t="shared" si="3"/>
        <v>865</v>
      </c>
      <c r="DR6" s="54">
        <f t="shared" si="3"/>
        <v>865</v>
      </c>
      <c r="DS6" s="54">
        <f t="shared" si="3"/>
        <v>865</v>
      </c>
      <c r="DT6" s="54">
        <f t="shared" si="3"/>
        <v>865</v>
      </c>
      <c r="DU6" s="54">
        <f t="shared" si="3"/>
        <v>865</v>
      </c>
      <c r="DV6" s="54">
        <f t="shared" si="3"/>
        <v>865</v>
      </c>
      <c r="DW6" s="54">
        <f t="shared" si="3"/>
        <v>865</v>
      </c>
      <c r="DX6" s="54">
        <f t="shared" si="3"/>
        <v>865</v>
      </c>
      <c r="DY6" s="54">
        <f t="shared" si="3"/>
        <v>865</v>
      </c>
      <c r="DZ6" s="54">
        <f t="shared" si="3"/>
        <v>865</v>
      </c>
      <c r="EA6" s="54">
        <f t="shared" si="3"/>
        <v>865</v>
      </c>
      <c r="EB6" s="54">
        <f t="shared" si="3"/>
        <v>865</v>
      </c>
      <c r="EC6" s="54">
        <f t="shared" si="3"/>
        <v>865</v>
      </c>
      <c r="ED6" s="54">
        <f t="shared" si="3"/>
        <v>865</v>
      </c>
      <c r="EE6" s="54">
        <f t="shared" si="3"/>
        <v>865</v>
      </c>
      <c r="EF6" s="54">
        <f t="shared" si="3"/>
        <v>865</v>
      </c>
      <c r="EG6" s="54">
        <f t="shared" si="3"/>
        <v>865</v>
      </c>
      <c r="EH6" s="54">
        <f t="shared" si="3"/>
        <v>865</v>
      </c>
      <c r="EI6" s="54">
        <f t="shared" si="3"/>
        <v>865</v>
      </c>
      <c r="EJ6" s="54">
        <f t="shared" si="3"/>
        <v>865</v>
      </c>
      <c r="EK6" s="54">
        <f t="shared" si="3"/>
        <v>865</v>
      </c>
      <c r="EL6" s="54">
        <f t="shared" si="3"/>
        <v>865</v>
      </c>
      <c r="EM6" s="54">
        <f t="shared" si="3"/>
        <v>865</v>
      </c>
      <c r="EN6" s="54">
        <f t="shared" si="3"/>
        <v>865</v>
      </c>
      <c r="EO6" s="54">
        <f t="shared" si="3"/>
        <v>865</v>
      </c>
      <c r="EP6" s="54">
        <f t="shared" si="3"/>
        <v>865</v>
      </c>
      <c r="EQ6" s="54">
        <f t="shared" si="3"/>
        <v>865</v>
      </c>
      <c r="ER6" s="54">
        <f t="shared" si="3"/>
        <v>865</v>
      </c>
      <c r="ES6" s="54">
        <f t="shared" si="3"/>
        <v>865</v>
      </c>
      <c r="ET6" s="54">
        <f t="shared" si="3"/>
        <v>865</v>
      </c>
      <c r="EU6" s="54">
        <f t="shared" si="3"/>
        <v>865</v>
      </c>
      <c r="EV6" s="54">
        <f t="shared" si="3"/>
        <v>865</v>
      </c>
      <c r="EW6" s="54">
        <f t="shared" si="3"/>
        <v>865</v>
      </c>
      <c r="EX6" s="54">
        <f t="shared" si="3"/>
        <v>865</v>
      </c>
      <c r="EY6" s="54">
        <f t="shared" si="3"/>
        <v>865</v>
      </c>
      <c r="EZ6" s="54">
        <f t="shared" si="3"/>
        <v>865</v>
      </c>
      <c r="FA6" s="54">
        <f t="shared" si="3"/>
        <v>865</v>
      </c>
      <c r="FB6" s="54">
        <f t="shared" si="3"/>
        <v>865</v>
      </c>
      <c r="FC6" s="54">
        <f t="shared" si="3"/>
        <v>865</v>
      </c>
      <c r="FD6" s="54">
        <f t="shared" si="3"/>
        <v>865</v>
      </c>
      <c r="FE6" s="54">
        <f t="shared" si="3"/>
        <v>865</v>
      </c>
      <c r="FF6" s="54">
        <f t="shared" si="3"/>
        <v>865</v>
      </c>
      <c r="FG6" s="54">
        <f t="shared" si="3"/>
        <v>865</v>
      </c>
      <c r="FH6" s="54">
        <f t="shared" si="3"/>
        <v>865</v>
      </c>
      <c r="FI6" s="54">
        <f t="shared" si="3"/>
        <v>865</v>
      </c>
      <c r="FJ6" s="54">
        <f t="shared" si="3"/>
        <v>865</v>
      </c>
      <c r="FK6" s="54">
        <f t="shared" si="3"/>
        <v>865</v>
      </c>
      <c r="FL6" s="54">
        <f t="shared" si="3"/>
        <v>865</v>
      </c>
      <c r="FM6" s="54">
        <f t="shared" si="3"/>
        <v>865</v>
      </c>
      <c r="FN6" s="54">
        <f t="shared" si="3"/>
        <v>865</v>
      </c>
      <c r="FO6" s="54">
        <f t="shared" si="3"/>
        <v>865</v>
      </c>
      <c r="FP6" s="54">
        <f t="shared" si="3"/>
        <v>865</v>
      </c>
      <c r="FQ6" s="54">
        <f t="shared" si="3"/>
        <v>865</v>
      </c>
      <c r="FR6" s="54">
        <f t="shared" si="3"/>
        <v>865</v>
      </c>
      <c r="FS6" s="54">
        <f t="shared" si="3"/>
        <v>865</v>
      </c>
      <c r="FT6" s="54">
        <f t="shared" si="3"/>
        <v>865</v>
      </c>
      <c r="FU6" s="54">
        <f t="shared" si="3"/>
        <v>865</v>
      </c>
      <c r="FV6" s="54">
        <f t="shared" si="3"/>
        <v>865</v>
      </c>
      <c r="FW6" s="54">
        <f t="shared" si="3"/>
        <v>865</v>
      </c>
      <c r="FX6" s="54">
        <f t="shared" si="3"/>
        <v>865</v>
      </c>
      <c r="FY6" s="54">
        <f t="shared" si="3"/>
        <v>865</v>
      </c>
      <c r="FZ6" s="54">
        <f t="shared" si="3"/>
        <v>865</v>
      </c>
      <c r="GA6" s="54">
        <f t="shared" si="3"/>
        <v>865</v>
      </c>
      <c r="GB6" s="54">
        <f t="shared" si="3"/>
        <v>865</v>
      </c>
      <c r="GC6" s="54">
        <f t="shared" si="3"/>
        <v>865</v>
      </c>
      <c r="GD6" s="54">
        <f t="shared" si="3"/>
        <v>865</v>
      </c>
      <c r="GE6" s="54">
        <f t="shared" si="3"/>
        <v>865</v>
      </c>
      <c r="GF6" s="54">
        <f t="shared" si="3"/>
        <v>865</v>
      </c>
      <c r="GG6" s="54">
        <f t="shared" si="3"/>
        <v>865</v>
      </c>
      <c r="GH6" s="54">
        <f t="shared" si="3"/>
        <v>865</v>
      </c>
      <c r="GI6" s="54">
        <f t="shared" si="3"/>
        <v>865</v>
      </c>
      <c r="GJ6" s="54">
        <f t="shared" si="3"/>
        <v>865</v>
      </c>
      <c r="GK6" s="54">
        <f t="shared" si="3"/>
        <v>865</v>
      </c>
      <c r="GL6" s="54">
        <f t="shared" si="3"/>
        <v>865</v>
      </c>
      <c r="GM6" s="54">
        <f t="shared" si="3"/>
        <v>865</v>
      </c>
      <c r="GN6" s="54">
        <f t="shared" si="3"/>
        <v>865</v>
      </c>
      <c r="GO6" s="54">
        <f t="shared" si="3"/>
        <v>865</v>
      </c>
      <c r="GP6" s="54">
        <f t="shared" si="3"/>
        <v>865</v>
      </c>
      <c r="GQ6" s="54">
        <f t="shared" si="3"/>
        <v>865</v>
      </c>
      <c r="GR6" s="54">
        <f t="shared" si="3"/>
        <v>865</v>
      </c>
      <c r="GS6" s="54">
        <f t="shared" si="3"/>
        <v>865</v>
      </c>
      <c r="GT6" s="54">
        <f t="shared" si="3"/>
        <v>865</v>
      </c>
      <c r="GU6" s="54">
        <f t="shared" si="3"/>
        <v>865</v>
      </c>
      <c r="GV6" s="54">
        <f t="shared" si="3"/>
        <v>865</v>
      </c>
      <c r="GW6" s="54">
        <f t="shared" si="3"/>
        <v>865</v>
      </c>
      <c r="GX6" s="54">
        <f t="shared" si="3"/>
        <v>865</v>
      </c>
      <c r="GY6" s="54">
        <f t="shared" si="3"/>
        <v>865</v>
      </c>
      <c r="GZ6" s="54">
        <f t="shared" si="3"/>
        <v>865</v>
      </c>
      <c r="HA6" s="54">
        <f t="shared" si="3"/>
        <v>865</v>
      </c>
      <c r="HB6" s="54">
        <f t="shared" si="3"/>
        <v>865</v>
      </c>
      <c r="HC6" s="54">
        <f t="shared" si="3"/>
        <v>865</v>
      </c>
      <c r="HD6" s="54">
        <f t="shared" si="3"/>
        <v>865</v>
      </c>
      <c r="HE6" s="54">
        <f t="shared" si="3"/>
        <v>865</v>
      </c>
      <c r="HF6" s="54">
        <f t="shared" si="3"/>
        <v>865</v>
      </c>
      <c r="HG6" s="54">
        <f t="shared" si="3"/>
        <v>865</v>
      </c>
      <c r="HH6" s="54">
        <f t="shared" si="3"/>
        <v>865</v>
      </c>
      <c r="HI6" s="54">
        <f t="shared" si="3"/>
        <v>865</v>
      </c>
      <c r="HJ6" s="54">
        <f t="shared" si="3"/>
        <v>865</v>
      </c>
      <c r="HK6" s="54">
        <f t="shared" si="3"/>
        <v>865</v>
      </c>
      <c r="HL6" s="54">
        <f t="shared" si="3"/>
        <v>865</v>
      </c>
      <c r="HM6" s="54">
        <f t="shared" si="3"/>
        <v>865</v>
      </c>
      <c r="HN6" s="54">
        <f t="shared" si="3"/>
        <v>865</v>
      </c>
      <c r="HO6" s="54">
        <f t="shared" si="3"/>
        <v>865</v>
      </c>
      <c r="HP6" s="54">
        <f t="shared" si="3"/>
        <v>865</v>
      </c>
      <c r="HQ6" s="54">
        <f t="shared" si="3"/>
        <v>865</v>
      </c>
      <c r="HR6" s="54">
        <f t="shared" si="3"/>
        <v>865</v>
      </c>
      <c r="HS6" s="54">
        <f t="shared" si="3"/>
        <v>865</v>
      </c>
      <c r="HT6" s="54">
        <f t="shared" si="3"/>
        <v>865</v>
      </c>
      <c r="HU6" s="54">
        <f t="shared" si="3"/>
        <v>865</v>
      </c>
      <c r="HV6" s="54">
        <f t="shared" si="3"/>
        <v>865</v>
      </c>
      <c r="HW6" s="54">
        <f t="shared" si="3"/>
        <v>865</v>
      </c>
      <c r="HX6" s="54">
        <f t="shared" si="3"/>
        <v>865</v>
      </c>
      <c r="HY6" s="54">
        <f t="shared" si="3"/>
        <v>865</v>
      </c>
      <c r="HZ6" s="54">
        <f t="shared" si="3"/>
        <v>865</v>
      </c>
      <c r="IA6" s="54">
        <f t="shared" si="3"/>
        <v>865</v>
      </c>
      <c r="IB6" s="54">
        <f t="shared" si="3"/>
        <v>865</v>
      </c>
      <c r="IC6" s="54">
        <f t="shared" si="3"/>
        <v>865</v>
      </c>
      <c r="ID6" s="54">
        <f t="shared" si="3"/>
        <v>865</v>
      </c>
      <c r="IE6" s="54">
        <f t="shared" si="3"/>
        <v>865</v>
      </c>
      <c r="IF6" s="54">
        <f t="shared" si="3"/>
        <v>865</v>
      </c>
      <c r="IG6" s="54">
        <f t="shared" si="3"/>
        <v>865</v>
      </c>
      <c r="IH6" s="54">
        <f t="shared" si="3"/>
        <v>865</v>
      </c>
      <c r="II6" s="54">
        <f t="shared" si="3"/>
        <v>865</v>
      </c>
      <c r="IJ6" s="54">
        <f t="shared" si="3"/>
        <v>865</v>
      </c>
      <c r="IK6" s="54">
        <f t="shared" si="3"/>
        <v>865</v>
      </c>
      <c r="IL6" s="54">
        <f t="shared" si="3"/>
        <v>865</v>
      </c>
      <c r="IM6" s="54">
        <f t="shared" si="3"/>
        <v>865</v>
      </c>
      <c r="IN6" s="54">
        <f t="shared" si="3"/>
        <v>865</v>
      </c>
      <c r="IO6" s="54">
        <f t="shared" si="3"/>
        <v>865</v>
      </c>
      <c r="IP6" s="54">
        <f t="shared" si="3"/>
        <v>865</v>
      </c>
      <c r="IQ6" s="54">
        <f t="shared" si="3"/>
        <v>865</v>
      </c>
      <c r="IR6" s="54">
        <f t="shared" si="3"/>
        <v>865</v>
      </c>
      <c r="IS6" s="54">
        <f t="shared" si="3"/>
        <v>865</v>
      </c>
      <c r="IT6" s="54">
        <f t="shared" si="3"/>
        <v>865</v>
      </c>
      <c r="IU6" s="54">
        <f t="shared" si="3"/>
        <v>865</v>
      </c>
      <c r="IV6" s="54">
        <f t="shared" si="3"/>
        <v>865</v>
      </c>
      <c r="IW6" s="54">
        <f t="shared" si="3"/>
        <v>865</v>
      </c>
      <c r="IX6" s="54">
        <f t="shared" si="3"/>
        <v>865</v>
      </c>
      <c r="IY6" s="54">
        <f t="shared" si="3"/>
        <v>865</v>
      </c>
      <c r="IZ6" s="54">
        <f t="shared" si="3"/>
        <v>865</v>
      </c>
      <c r="JA6" s="54">
        <f t="shared" si="3"/>
        <v>865</v>
      </c>
      <c r="JB6" s="54">
        <f t="shared" si="3"/>
        <v>865</v>
      </c>
      <c r="JC6" s="54">
        <f t="shared" si="3"/>
        <v>865</v>
      </c>
      <c r="JD6" s="54">
        <f t="shared" si="3"/>
        <v>865</v>
      </c>
      <c r="JE6" s="54">
        <f t="shared" si="3"/>
        <v>865</v>
      </c>
      <c r="JF6" s="54">
        <f t="shared" si="3"/>
        <v>865</v>
      </c>
      <c r="JG6" s="54">
        <f t="shared" si="3"/>
        <v>865</v>
      </c>
      <c r="JH6" s="54">
        <f t="shared" si="3"/>
        <v>865</v>
      </c>
      <c r="JI6" s="54">
        <f t="shared" si="3"/>
        <v>865</v>
      </c>
      <c r="JJ6" s="54">
        <f t="shared" si="3"/>
        <v>865</v>
      </c>
      <c r="JK6" s="54">
        <f t="shared" si="3"/>
        <v>865</v>
      </c>
      <c r="JL6" s="54">
        <f t="shared" si="3"/>
        <v>865</v>
      </c>
      <c r="JM6" s="54">
        <f t="shared" si="3"/>
        <v>865</v>
      </c>
      <c r="JN6" s="54">
        <f t="shared" si="3"/>
        <v>865</v>
      </c>
      <c r="JO6" s="54">
        <f t="shared" si="3"/>
        <v>865</v>
      </c>
      <c r="JP6" s="54">
        <f t="shared" si="3"/>
        <v>865</v>
      </c>
      <c r="JQ6" s="54">
        <f t="shared" si="3"/>
        <v>865</v>
      </c>
      <c r="JR6" s="54">
        <f t="shared" si="3"/>
        <v>865</v>
      </c>
      <c r="JS6" s="54">
        <f t="shared" si="3"/>
        <v>865</v>
      </c>
      <c r="JT6" s="54">
        <f t="shared" si="3"/>
        <v>865</v>
      </c>
      <c r="JU6" s="54">
        <f t="shared" si="3"/>
        <v>865</v>
      </c>
      <c r="JV6" s="54">
        <f t="shared" si="3"/>
        <v>865</v>
      </c>
      <c r="JW6" s="54">
        <f t="shared" si="3"/>
        <v>865</v>
      </c>
      <c r="JX6" s="54">
        <f t="shared" si="3"/>
        <v>865</v>
      </c>
      <c r="JY6" s="54">
        <f t="shared" si="3"/>
        <v>865</v>
      </c>
      <c r="JZ6" s="54">
        <f t="shared" si="3"/>
        <v>865</v>
      </c>
      <c r="KA6" s="54">
        <f t="shared" si="3"/>
        <v>865</v>
      </c>
      <c r="KB6" s="54">
        <f t="shared" si="3"/>
        <v>865</v>
      </c>
      <c r="KC6" s="54">
        <f t="shared" si="3"/>
        <v>865</v>
      </c>
      <c r="KD6" s="54">
        <f t="shared" si="3"/>
        <v>865</v>
      </c>
      <c r="KE6" s="54">
        <f t="shared" si="3"/>
        <v>865</v>
      </c>
      <c r="KF6" s="54">
        <f t="shared" si="3"/>
        <v>865</v>
      </c>
      <c r="KG6" s="54">
        <f t="shared" si="3"/>
        <v>865</v>
      </c>
      <c r="KH6" s="54">
        <f t="shared" si="3"/>
        <v>865</v>
      </c>
      <c r="KI6" s="54">
        <f t="shared" si="3"/>
        <v>865</v>
      </c>
      <c r="KJ6" s="54">
        <f t="shared" si="3"/>
        <v>865</v>
      </c>
      <c r="KK6" s="54">
        <f t="shared" si="3"/>
        <v>865</v>
      </c>
      <c r="KL6" s="54">
        <f t="shared" si="3"/>
        <v>865</v>
      </c>
      <c r="KM6" s="54">
        <f t="shared" si="3"/>
        <v>865</v>
      </c>
      <c r="KN6" s="54">
        <f t="shared" si="3"/>
        <v>865</v>
      </c>
      <c r="KO6" s="54">
        <f t="shared" si="3"/>
        <v>865</v>
      </c>
      <c r="KP6" s="54">
        <f t="shared" si="3"/>
        <v>865</v>
      </c>
      <c r="KQ6" s="54">
        <f t="shared" si="3"/>
        <v>865</v>
      </c>
      <c r="KR6" s="54">
        <f t="shared" si="3"/>
        <v>865</v>
      </c>
      <c r="KS6" s="54">
        <f t="shared" si="3"/>
        <v>865</v>
      </c>
      <c r="KT6" s="54">
        <f t="shared" si="3"/>
        <v>865</v>
      </c>
      <c r="KU6" s="54">
        <f t="shared" si="3"/>
        <v>865</v>
      </c>
      <c r="KV6" s="54">
        <f t="shared" si="3"/>
        <v>865</v>
      </c>
      <c r="KW6" s="54">
        <f t="shared" si="3"/>
        <v>865</v>
      </c>
      <c r="KX6" s="54">
        <f t="shared" si="3"/>
        <v>865</v>
      </c>
      <c r="KY6" s="54">
        <f t="shared" si="3"/>
        <v>865</v>
      </c>
      <c r="KZ6" s="54">
        <f t="shared" si="3"/>
        <v>865</v>
      </c>
      <c r="LA6" s="54">
        <f t="shared" si="3"/>
        <v>865</v>
      </c>
      <c r="LB6" s="54">
        <f t="shared" si="3"/>
        <v>865</v>
      </c>
      <c r="LC6" s="54">
        <f t="shared" si="3"/>
        <v>865</v>
      </c>
      <c r="LD6" s="54">
        <f t="shared" si="3"/>
        <v>865</v>
      </c>
      <c r="LE6" s="54">
        <f t="shared" si="3"/>
        <v>865</v>
      </c>
      <c r="LF6" s="54">
        <f t="shared" si="3"/>
        <v>865</v>
      </c>
      <c r="LG6" s="54">
        <f t="shared" si="3"/>
        <v>865</v>
      </c>
      <c r="LH6" s="54">
        <f t="shared" si="3"/>
        <v>865</v>
      </c>
      <c r="LI6" s="54">
        <f t="shared" si="3"/>
        <v>865</v>
      </c>
      <c r="LJ6" s="54">
        <f t="shared" si="3"/>
        <v>865</v>
      </c>
      <c r="LK6" s="54">
        <f t="shared" si="3"/>
        <v>865</v>
      </c>
      <c r="LL6" s="54">
        <f t="shared" si="3"/>
        <v>865</v>
      </c>
      <c r="LM6" s="54">
        <f t="shared" si="3"/>
        <v>865</v>
      </c>
      <c r="LN6" s="54">
        <f t="shared" si="3"/>
        <v>865</v>
      </c>
      <c r="LO6" s="54">
        <f t="shared" si="3"/>
        <v>865</v>
      </c>
      <c r="LP6" s="54">
        <f t="shared" si="3"/>
        <v>865</v>
      </c>
      <c r="LQ6" s="54">
        <f t="shared" si="3"/>
        <v>865</v>
      </c>
      <c r="LR6" s="54">
        <f t="shared" si="3"/>
        <v>865</v>
      </c>
      <c r="LS6" s="54">
        <f t="shared" si="3"/>
        <v>865</v>
      </c>
      <c r="LT6" s="54">
        <f t="shared" si="3"/>
        <v>865</v>
      </c>
      <c r="LU6" s="54">
        <f t="shared" si="3"/>
        <v>865</v>
      </c>
      <c r="LV6" s="54">
        <f t="shared" si="3"/>
        <v>865</v>
      </c>
      <c r="LW6" s="54">
        <f t="shared" si="3"/>
        <v>865</v>
      </c>
      <c r="LX6" s="54">
        <f t="shared" si="3"/>
        <v>865</v>
      </c>
      <c r="LY6" s="54">
        <f t="shared" si="3"/>
        <v>865</v>
      </c>
      <c r="LZ6" s="54">
        <f t="shared" si="3"/>
        <v>865</v>
      </c>
      <c r="MA6" s="54">
        <f t="shared" si="3"/>
        <v>865</v>
      </c>
      <c r="MB6" s="54">
        <f t="shared" si="3"/>
        <v>865</v>
      </c>
      <c r="MC6" s="54">
        <f t="shared" si="3"/>
        <v>865</v>
      </c>
      <c r="MD6" s="54">
        <f t="shared" si="3"/>
        <v>865</v>
      </c>
      <c r="ME6" s="54">
        <f t="shared" si="3"/>
        <v>865</v>
      </c>
      <c r="MF6" s="54">
        <f t="shared" si="3"/>
        <v>865</v>
      </c>
      <c r="MG6" s="54">
        <f t="shared" si="3"/>
        <v>865</v>
      </c>
      <c r="MH6" s="54">
        <f t="shared" si="3"/>
        <v>865</v>
      </c>
      <c r="MI6" s="54">
        <f t="shared" si="3"/>
        <v>865</v>
      </c>
      <c r="MJ6" s="54">
        <f t="shared" si="3"/>
        <v>865</v>
      </c>
      <c r="MK6" s="54">
        <f t="shared" si="3"/>
        <v>865</v>
      </c>
      <c r="ML6" s="54">
        <f t="shared" si="3"/>
        <v>865</v>
      </c>
      <c r="MM6" s="54">
        <f t="shared" si="3"/>
        <v>865</v>
      </c>
      <c r="MN6" s="54">
        <f t="shared" si="3"/>
        <v>865</v>
      </c>
      <c r="MO6" s="54">
        <f t="shared" si="3"/>
        <v>865</v>
      </c>
      <c r="MP6" s="54">
        <f t="shared" si="3"/>
        <v>865</v>
      </c>
      <c r="MQ6" s="54">
        <f t="shared" si="3"/>
        <v>865</v>
      </c>
      <c r="MR6" s="54">
        <f t="shared" si="3"/>
        <v>865</v>
      </c>
      <c r="MS6" s="54">
        <f t="shared" si="3"/>
        <v>865</v>
      </c>
      <c r="MT6" s="54">
        <f t="shared" si="3"/>
        <v>865</v>
      </c>
      <c r="MU6" s="54">
        <f t="shared" si="3"/>
        <v>865</v>
      </c>
      <c r="MV6" s="54">
        <f t="shared" si="3"/>
        <v>865</v>
      </c>
      <c r="MW6" s="54">
        <f t="shared" si="3"/>
        <v>865</v>
      </c>
      <c r="MX6" s="54">
        <f t="shared" si="3"/>
        <v>865</v>
      </c>
      <c r="MY6" s="54">
        <f t="shared" si="3"/>
        <v>865</v>
      </c>
      <c r="MZ6" s="54">
        <f t="shared" si="3"/>
        <v>865</v>
      </c>
      <c r="NA6" s="54">
        <f t="shared" si="3"/>
        <v>865</v>
      </c>
      <c r="NB6" s="54">
        <f t="shared" si="3"/>
        <v>865</v>
      </c>
      <c r="NC6" s="54">
        <f t="shared" si="3"/>
        <v>865</v>
      </c>
      <c r="ND6" s="54">
        <f t="shared" si="3"/>
        <v>865</v>
      </c>
      <c r="NE6" s="54">
        <f t="shared" si="3"/>
        <v>865</v>
      </c>
      <c r="NF6" s="54">
        <f t="shared" si="3"/>
        <v>865</v>
      </c>
      <c r="NG6" s="54">
        <f t="shared" si="3"/>
        <v>865</v>
      </c>
      <c r="NH6" s="54">
        <f t="shared" si="3"/>
        <v>865</v>
      </c>
      <c r="NI6" s="54">
        <f t="shared" si="3"/>
        <v>865</v>
      </c>
      <c r="NJ6" s="54">
        <f t="shared" si="3"/>
        <v>865</v>
      </c>
      <c r="NK6" s="54">
        <f t="shared" si="3"/>
        <v>865</v>
      </c>
      <c r="NL6" s="54">
        <f t="shared" si="3"/>
        <v>865</v>
      </c>
      <c r="NM6" s="54">
        <f t="shared" si="3"/>
        <v>865</v>
      </c>
      <c r="NN6" s="54">
        <f t="shared" si="3"/>
        <v>865</v>
      </c>
      <c r="NO6" s="54">
        <f t="shared" si="3"/>
        <v>865</v>
      </c>
      <c r="NP6" s="54">
        <f t="shared" si="3"/>
        <v>865</v>
      </c>
      <c r="NQ6" s="54">
        <f t="shared" si="3"/>
        <v>865</v>
      </c>
      <c r="NR6" s="54">
        <f t="shared" si="3"/>
        <v>865</v>
      </c>
      <c r="NS6" s="54">
        <f t="shared" si="3"/>
        <v>865</v>
      </c>
      <c r="NT6" s="54">
        <f t="shared" si="3"/>
        <v>865</v>
      </c>
      <c r="NU6" s="54">
        <f t="shared" si="3"/>
        <v>865</v>
      </c>
      <c r="NV6" s="54">
        <f t="shared" si="3"/>
        <v>865</v>
      </c>
      <c r="NW6" s="54">
        <f t="shared" si="3"/>
        <v>865</v>
      </c>
      <c r="NX6" s="54">
        <f t="shared" si="3"/>
        <v>865</v>
      </c>
      <c r="NY6" s="54">
        <f t="shared" si="3"/>
        <v>865</v>
      </c>
      <c r="NZ6" s="54">
        <f t="shared" si="3"/>
        <v>865</v>
      </c>
      <c r="OA6" s="54">
        <f t="shared" si="3"/>
        <v>865</v>
      </c>
      <c r="OB6" s="54">
        <f t="shared" si="3"/>
        <v>865</v>
      </c>
      <c r="OC6" s="54">
        <f t="shared" si="3"/>
        <v>865</v>
      </c>
      <c r="OD6" s="54">
        <f t="shared" si="3"/>
        <v>865</v>
      </c>
      <c r="OE6" s="54">
        <f t="shared" si="3"/>
        <v>865</v>
      </c>
      <c r="OF6" s="54">
        <f t="shared" si="3"/>
        <v>865</v>
      </c>
      <c r="OG6" s="54">
        <f t="shared" si="3"/>
        <v>865</v>
      </c>
      <c r="OH6" s="54">
        <f t="shared" si="3"/>
        <v>865</v>
      </c>
      <c r="OI6" s="54">
        <f t="shared" si="3"/>
        <v>865</v>
      </c>
      <c r="OJ6" s="54">
        <f t="shared" si="3"/>
        <v>865</v>
      </c>
      <c r="OK6" s="54">
        <f t="shared" si="3"/>
        <v>865</v>
      </c>
      <c r="OL6" s="54">
        <f t="shared" si="3"/>
        <v>865</v>
      </c>
      <c r="OM6" s="54">
        <f t="shared" si="3"/>
        <v>865</v>
      </c>
      <c r="ON6" s="54">
        <f t="shared" si="3"/>
        <v>865</v>
      </c>
      <c r="OO6" s="54">
        <f t="shared" si="3"/>
        <v>865</v>
      </c>
      <c r="OP6" s="54">
        <f t="shared" si="3"/>
        <v>865</v>
      </c>
      <c r="OQ6" s="54">
        <f t="shared" si="3"/>
        <v>865</v>
      </c>
      <c r="OR6" s="54">
        <f t="shared" si="3"/>
        <v>865</v>
      </c>
      <c r="OS6" s="54">
        <f t="shared" si="3"/>
        <v>865</v>
      </c>
      <c r="OT6" s="54">
        <f t="shared" si="3"/>
        <v>865</v>
      </c>
      <c r="OU6" s="54">
        <f t="shared" si="3"/>
        <v>865</v>
      </c>
      <c r="OV6" s="54">
        <f t="shared" si="3"/>
        <v>865</v>
      </c>
      <c r="OW6" s="54">
        <f t="shared" si="3"/>
        <v>865</v>
      </c>
      <c r="OX6" s="54">
        <f t="shared" si="3"/>
        <v>865</v>
      </c>
      <c r="OY6" s="54">
        <f t="shared" si="3"/>
        <v>865</v>
      </c>
      <c r="OZ6" s="54">
        <f t="shared" si="3"/>
        <v>865</v>
      </c>
      <c r="PA6" s="54">
        <f t="shared" si="3"/>
        <v>865</v>
      </c>
      <c r="PB6" s="54">
        <f t="shared" si="3"/>
        <v>865</v>
      </c>
      <c r="PC6" s="54">
        <f t="shared" si="3"/>
        <v>865</v>
      </c>
      <c r="PD6" s="54">
        <f t="shared" si="3"/>
        <v>865</v>
      </c>
      <c r="PE6" s="54">
        <f t="shared" si="3"/>
        <v>865</v>
      </c>
      <c r="PF6" s="54">
        <f t="shared" si="3"/>
        <v>865</v>
      </c>
      <c r="PG6" s="54">
        <f t="shared" si="3"/>
        <v>865</v>
      </c>
      <c r="PH6" s="54">
        <f t="shared" si="3"/>
        <v>865</v>
      </c>
      <c r="PI6" s="54">
        <f t="shared" si="3"/>
        <v>865</v>
      </c>
      <c r="PJ6" s="54">
        <f t="shared" si="3"/>
        <v>865</v>
      </c>
      <c r="PK6" s="54">
        <f t="shared" si="3"/>
        <v>865</v>
      </c>
      <c r="PL6" s="54">
        <f t="shared" si="3"/>
        <v>865</v>
      </c>
      <c r="PM6" s="54">
        <f t="shared" si="3"/>
        <v>865</v>
      </c>
      <c r="PN6" s="54">
        <f t="shared" si="3"/>
        <v>865</v>
      </c>
      <c r="PO6" s="54">
        <f t="shared" si="3"/>
        <v>865</v>
      </c>
      <c r="PP6" s="54">
        <f t="shared" si="3"/>
        <v>865</v>
      </c>
      <c r="PQ6" s="54">
        <f t="shared" si="3"/>
        <v>865</v>
      </c>
      <c r="PR6" s="54">
        <f t="shared" si="3"/>
        <v>865</v>
      </c>
      <c r="PS6" s="54">
        <f t="shared" si="3"/>
        <v>865</v>
      </c>
      <c r="PT6" s="54">
        <f t="shared" si="3"/>
        <v>865</v>
      </c>
      <c r="PU6" s="54">
        <f t="shared" si="3"/>
        <v>865</v>
      </c>
      <c r="PV6" s="54">
        <f t="shared" si="3"/>
        <v>865</v>
      </c>
      <c r="PW6" s="54">
        <f t="shared" si="3"/>
        <v>865</v>
      </c>
      <c r="PX6" s="54">
        <f t="shared" si="3"/>
        <v>865</v>
      </c>
      <c r="PY6" s="54">
        <f t="shared" si="3"/>
        <v>865</v>
      </c>
      <c r="PZ6" s="54">
        <f t="shared" si="3"/>
        <v>865</v>
      </c>
      <c r="QA6" s="54">
        <f t="shared" si="3"/>
        <v>865</v>
      </c>
      <c r="QB6" s="54">
        <f t="shared" si="3"/>
        <v>865</v>
      </c>
      <c r="QC6" s="54">
        <f t="shared" si="3"/>
        <v>865</v>
      </c>
      <c r="QD6" s="54">
        <f t="shared" si="3"/>
        <v>865</v>
      </c>
      <c r="QE6" s="54">
        <f t="shared" si="3"/>
        <v>865</v>
      </c>
      <c r="QF6" s="54">
        <f t="shared" si="3"/>
        <v>865</v>
      </c>
      <c r="QG6" s="54">
        <f t="shared" si="3"/>
        <v>865</v>
      </c>
      <c r="QH6" s="54">
        <f t="shared" si="3"/>
        <v>865</v>
      </c>
      <c r="QI6" s="54">
        <f t="shared" si="3"/>
        <v>865</v>
      </c>
      <c r="QJ6" s="54">
        <f t="shared" si="3"/>
        <v>865</v>
      </c>
      <c r="QK6" s="54">
        <f t="shared" si="3"/>
        <v>865</v>
      </c>
      <c r="QL6" s="54">
        <f t="shared" si="3"/>
        <v>865</v>
      </c>
      <c r="QM6" s="54">
        <f t="shared" si="3"/>
        <v>865</v>
      </c>
      <c r="QN6" s="54">
        <f t="shared" si="3"/>
        <v>865</v>
      </c>
      <c r="QO6" s="54">
        <f t="shared" si="3"/>
        <v>865</v>
      </c>
      <c r="QP6" s="54">
        <f t="shared" si="3"/>
        <v>865</v>
      </c>
      <c r="QQ6" s="54">
        <f t="shared" si="3"/>
        <v>865</v>
      </c>
      <c r="QR6" s="54">
        <f t="shared" si="3"/>
        <v>865</v>
      </c>
      <c r="QS6" s="54">
        <f t="shared" si="3"/>
        <v>865</v>
      </c>
      <c r="QT6" s="54">
        <f t="shared" si="3"/>
        <v>865</v>
      </c>
      <c r="QU6" s="54">
        <f t="shared" si="3"/>
        <v>865</v>
      </c>
      <c r="QV6" s="54">
        <f t="shared" si="3"/>
        <v>865</v>
      </c>
      <c r="QW6" s="54">
        <f t="shared" si="3"/>
        <v>865</v>
      </c>
      <c r="QX6" s="54">
        <f t="shared" si="3"/>
        <v>865</v>
      </c>
      <c r="QY6" s="54">
        <f t="shared" si="3"/>
        <v>865</v>
      </c>
      <c r="QZ6" s="54">
        <f t="shared" si="3"/>
        <v>865</v>
      </c>
      <c r="RA6" s="54">
        <f t="shared" si="3"/>
        <v>865</v>
      </c>
      <c r="RB6" s="54">
        <f t="shared" si="3"/>
        <v>865</v>
      </c>
      <c r="RC6" s="54">
        <f t="shared" si="3"/>
        <v>865</v>
      </c>
      <c r="RD6" s="54">
        <f t="shared" si="3"/>
        <v>865</v>
      </c>
      <c r="RE6" s="54">
        <f t="shared" si="3"/>
        <v>865</v>
      </c>
      <c r="RF6" s="54">
        <f t="shared" si="3"/>
        <v>865</v>
      </c>
      <c r="RG6" s="54">
        <f t="shared" si="3"/>
        <v>865</v>
      </c>
      <c r="RH6" s="54">
        <f t="shared" si="3"/>
        <v>865</v>
      </c>
      <c r="RI6" s="54">
        <f t="shared" si="3"/>
        <v>865</v>
      </c>
      <c r="RJ6" s="54">
        <f t="shared" si="3"/>
        <v>865</v>
      </c>
      <c r="RK6" s="54">
        <f t="shared" si="3"/>
        <v>865</v>
      </c>
      <c r="RL6" s="54">
        <f t="shared" si="3"/>
        <v>865</v>
      </c>
      <c r="RM6" s="54">
        <f t="shared" si="3"/>
        <v>865</v>
      </c>
      <c r="RN6" s="54">
        <f t="shared" si="3"/>
        <v>865</v>
      </c>
      <c r="RO6" s="54">
        <f t="shared" si="3"/>
        <v>865</v>
      </c>
      <c r="RP6" s="54">
        <f t="shared" si="3"/>
        <v>865</v>
      </c>
      <c r="RQ6" s="54">
        <f t="shared" si="3"/>
        <v>865</v>
      </c>
      <c r="RR6" s="54">
        <f t="shared" si="3"/>
        <v>865</v>
      </c>
      <c r="RS6" s="54">
        <f t="shared" si="3"/>
        <v>865</v>
      </c>
      <c r="RT6" s="54">
        <f t="shared" si="3"/>
        <v>865</v>
      </c>
      <c r="RU6" s="54">
        <f t="shared" si="3"/>
        <v>865</v>
      </c>
      <c r="RV6" s="54">
        <f t="shared" si="3"/>
        <v>865</v>
      </c>
      <c r="RW6" s="54">
        <f t="shared" si="3"/>
        <v>865</v>
      </c>
      <c r="RX6" s="54">
        <f t="shared" si="3"/>
        <v>865</v>
      </c>
      <c r="RY6" s="54">
        <f t="shared" si="3"/>
        <v>865</v>
      </c>
      <c r="RZ6" s="54">
        <f t="shared" si="3"/>
        <v>865</v>
      </c>
      <c r="SA6" s="54">
        <f t="shared" si="3"/>
        <v>865</v>
      </c>
      <c r="SB6" s="54">
        <f t="shared" si="3"/>
        <v>865</v>
      </c>
      <c r="SC6" s="54">
        <f t="shared" si="3"/>
        <v>865</v>
      </c>
      <c r="SD6" s="54">
        <f t="shared" si="3"/>
        <v>865</v>
      </c>
      <c r="SE6" s="54">
        <f t="shared" si="3"/>
        <v>865</v>
      </c>
      <c r="SF6" s="54">
        <f t="shared" si="3"/>
        <v>865</v>
      </c>
      <c r="SG6" s="54">
        <f t="shared" si="3"/>
        <v>865</v>
      </c>
      <c r="SH6" s="54">
        <f t="shared" si="3"/>
        <v>865</v>
      </c>
      <c r="SI6" s="54">
        <f t="shared" si="3"/>
        <v>865</v>
      </c>
      <c r="SJ6" s="54">
        <f t="shared" si="3"/>
        <v>865</v>
      </c>
      <c r="SK6" s="54">
        <f t="shared" si="3"/>
        <v>865</v>
      </c>
      <c r="SL6" s="54">
        <f t="shared" si="3"/>
        <v>865</v>
      </c>
    </row>
    <row r="7">
      <c r="A7" s="53" t="s">
        <v>83</v>
      </c>
      <c r="B7" s="60">
        <f>(B4*B5)/B6</f>
        <v>971.0982659</v>
      </c>
      <c r="C7" s="238"/>
      <c r="D7" s="239"/>
      <c r="E7" s="240"/>
      <c r="F7" s="60"/>
      <c r="G7" s="60">
        <f t="shared" ref="G7:SL7" si="4">(G4*G5)/G6</f>
        <v>1009.710983</v>
      </c>
      <c r="H7" s="60">
        <f t="shared" si="4"/>
        <v>1076.763006</v>
      </c>
      <c r="I7" s="60">
        <f t="shared" si="4"/>
        <v>990.7514451</v>
      </c>
      <c r="J7" s="60">
        <f t="shared" si="4"/>
        <v>888.5549133</v>
      </c>
      <c r="K7" s="60">
        <f t="shared" si="4"/>
        <v>901.849711</v>
      </c>
      <c r="L7" s="60">
        <f t="shared" si="4"/>
        <v>870.982659</v>
      </c>
      <c r="M7" s="60">
        <f t="shared" si="4"/>
        <v>965.3179191</v>
      </c>
      <c r="N7" s="60">
        <f t="shared" si="4"/>
        <v>1061.156069</v>
      </c>
      <c r="O7" s="60">
        <f t="shared" si="4"/>
        <v>960.4624277</v>
      </c>
      <c r="P7" s="60">
        <f t="shared" si="4"/>
        <v>906.2427746</v>
      </c>
      <c r="Q7" s="60">
        <f t="shared" si="4"/>
        <v>878.265896</v>
      </c>
      <c r="R7" s="60">
        <f t="shared" si="4"/>
        <v>1039.190751</v>
      </c>
      <c r="S7" s="60">
        <f t="shared" si="4"/>
        <v>997.3410405</v>
      </c>
      <c r="T7" s="60">
        <f t="shared" si="4"/>
        <v>959.8843931</v>
      </c>
      <c r="U7" s="60">
        <f t="shared" si="4"/>
        <v>1022.65896</v>
      </c>
      <c r="V7" s="60">
        <f t="shared" si="4"/>
        <v>1073.757225</v>
      </c>
      <c r="W7" s="60">
        <f t="shared" si="4"/>
        <v>863.9306358</v>
      </c>
      <c r="X7" s="60">
        <f t="shared" si="4"/>
        <v>870.4046243</v>
      </c>
      <c r="Y7" s="60">
        <f t="shared" si="4"/>
        <v>992.2543353</v>
      </c>
      <c r="Z7" s="60">
        <f t="shared" si="4"/>
        <v>936.8786127</v>
      </c>
      <c r="AA7" s="60">
        <f t="shared" si="4"/>
        <v>1033.641618</v>
      </c>
      <c r="AB7" s="60">
        <f t="shared" si="4"/>
        <v>872.2543353</v>
      </c>
      <c r="AC7" s="60">
        <f t="shared" si="4"/>
        <v>1056.99422</v>
      </c>
      <c r="AD7" s="60">
        <f t="shared" si="4"/>
        <v>997.2254335</v>
      </c>
      <c r="AE7" s="60">
        <f t="shared" si="4"/>
        <v>936.416185</v>
      </c>
      <c r="AF7" s="60">
        <f t="shared" si="4"/>
        <v>1080.693642</v>
      </c>
      <c r="AG7" s="60">
        <f t="shared" si="4"/>
        <v>1008.439306</v>
      </c>
      <c r="AH7" s="60">
        <f t="shared" si="4"/>
        <v>1011.32948</v>
      </c>
      <c r="AI7" s="60">
        <f t="shared" si="4"/>
        <v>872.716763</v>
      </c>
      <c r="AJ7" s="60">
        <f t="shared" si="4"/>
        <v>863.4682081</v>
      </c>
      <c r="AK7" s="60">
        <f t="shared" si="4"/>
        <v>1008.901734</v>
      </c>
      <c r="AL7" s="60">
        <f t="shared" si="4"/>
        <v>920</v>
      </c>
      <c r="AM7" s="60">
        <f t="shared" si="4"/>
        <v>916.8786127</v>
      </c>
      <c r="AN7" s="60">
        <f t="shared" si="4"/>
        <v>970.7514451</v>
      </c>
      <c r="AO7" s="60">
        <f t="shared" si="4"/>
        <v>960.6936416</v>
      </c>
      <c r="AP7" s="60">
        <f t="shared" si="4"/>
        <v>867.283237</v>
      </c>
      <c r="AQ7" s="60">
        <f t="shared" si="4"/>
        <v>901.5028902</v>
      </c>
      <c r="AR7" s="60">
        <f t="shared" si="4"/>
        <v>913.5260116</v>
      </c>
      <c r="AS7" s="60">
        <f t="shared" si="4"/>
        <v>1024.508671</v>
      </c>
      <c r="AT7" s="60">
        <f t="shared" si="4"/>
        <v>1039.884393</v>
      </c>
      <c r="AU7" s="60">
        <f t="shared" si="4"/>
        <v>866.8208092</v>
      </c>
      <c r="AV7" s="60">
        <f t="shared" si="4"/>
        <v>1033.063584</v>
      </c>
      <c r="AW7" s="60">
        <f t="shared" si="4"/>
        <v>943.3526012</v>
      </c>
      <c r="AX7" s="60">
        <f t="shared" si="4"/>
        <v>1044.971098</v>
      </c>
      <c r="AY7" s="60">
        <f t="shared" si="4"/>
        <v>856.300578</v>
      </c>
      <c r="AZ7" s="60">
        <f t="shared" si="4"/>
        <v>995.9537572</v>
      </c>
      <c r="BA7" s="60">
        <f t="shared" si="4"/>
        <v>1023.00578</v>
      </c>
      <c r="BB7" s="60">
        <f t="shared" si="4"/>
        <v>885.7803468</v>
      </c>
      <c r="BC7" s="60">
        <f t="shared" si="4"/>
        <v>1015.953757</v>
      </c>
      <c r="BD7" s="60">
        <f t="shared" si="4"/>
        <v>966.0115607</v>
      </c>
      <c r="BE7" s="60">
        <f t="shared" si="4"/>
        <v>1033.757225</v>
      </c>
      <c r="BF7" s="60">
        <f t="shared" si="4"/>
        <v>889.7109827</v>
      </c>
      <c r="BG7" s="60">
        <f t="shared" si="4"/>
        <v>1066.242775</v>
      </c>
      <c r="BH7" s="60">
        <f t="shared" si="4"/>
        <v>887.6300578</v>
      </c>
      <c r="BI7" s="60">
        <f t="shared" si="4"/>
        <v>1065.086705</v>
      </c>
      <c r="BJ7" s="60">
        <f t="shared" si="4"/>
        <v>875.0289017</v>
      </c>
      <c r="BK7" s="60">
        <f t="shared" si="4"/>
        <v>1000.693642</v>
      </c>
      <c r="BL7" s="60">
        <f t="shared" si="4"/>
        <v>973.2947977</v>
      </c>
      <c r="BM7" s="60">
        <f t="shared" si="4"/>
        <v>866.7052023</v>
      </c>
      <c r="BN7" s="60">
        <f t="shared" si="4"/>
        <v>1034.33526</v>
      </c>
      <c r="BO7" s="60">
        <f t="shared" si="4"/>
        <v>899.1907514</v>
      </c>
      <c r="BP7" s="60">
        <f t="shared" si="4"/>
        <v>926.1271676</v>
      </c>
      <c r="BQ7" s="60">
        <f t="shared" si="4"/>
        <v>1055.375723</v>
      </c>
      <c r="BR7" s="60">
        <f t="shared" si="4"/>
        <v>982.8901734</v>
      </c>
      <c r="BS7" s="60">
        <f t="shared" si="4"/>
        <v>1007.16763</v>
      </c>
      <c r="BT7" s="60">
        <f t="shared" si="4"/>
        <v>889.3641618</v>
      </c>
      <c r="BU7" s="60">
        <f t="shared" si="4"/>
        <v>917.4566474</v>
      </c>
      <c r="BV7" s="60">
        <f t="shared" si="4"/>
        <v>869.5953757</v>
      </c>
      <c r="BW7" s="60">
        <f t="shared" si="4"/>
        <v>910.867052</v>
      </c>
      <c r="BX7" s="60">
        <f t="shared" si="4"/>
        <v>984.5086705</v>
      </c>
      <c r="BY7" s="60">
        <f t="shared" si="4"/>
        <v>927.8612717</v>
      </c>
      <c r="BZ7" s="60">
        <f t="shared" si="4"/>
        <v>919.0751445</v>
      </c>
      <c r="CA7" s="60">
        <f t="shared" si="4"/>
        <v>1086.473988</v>
      </c>
      <c r="CB7" s="60">
        <f t="shared" si="4"/>
        <v>957.8034682</v>
      </c>
      <c r="CC7" s="60">
        <f t="shared" si="4"/>
        <v>1076.416185</v>
      </c>
      <c r="CD7" s="60">
        <f t="shared" si="4"/>
        <v>1023.930636</v>
      </c>
      <c r="CE7" s="60">
        <f t="shared" si="4"/>
        <v>1030.635838</v>
      </c>
      <c r="CF7" s="60">
        <f t="shared" si="4"/>
        <v>1051.907514</v>
      </c>
      <c r="CG7" s="60">
        <f t="shared" si="4"/>
        <v>894.3352601</v>
      </c>
      <c r="CH7" s="60">
        <f t="shared" si="4"/>
        <v>900.4624277</v>
      </c>
      <c r="CI7" s="60">
        <f t="shared" si="4"/>
        <v>1033.063584</v>
      </c>
      <c r="CJ7" s="60">
        <f t="shared" si="4"/>
        <v>918.265896</v>
      </c>
      <c r="CK7" s="60">
        <f t="shared" si="4"/>
        <v>1022.890173</v>
      </c>
      <c r="CL7" s="60">
        <f t="shared" si="4"/>
        <v>876.1849711</v>
      </c>
      <c r="CM7" s="60">
        <f t="shared" si="4"/>
        <v>938.6127168</v>
      </c>
      <c r="CN7" s="60">
        <f t="shared" si="4"/>
        <v>1036.878613</v>
      </c>
      <c r="CO7" s="60">
        <f t="shared" si="4"/>
        <v>925.433526</v>
      </c>
      <c r="CP7" s="60">
        <f t="shared" si="4"/>
        <v>1003.468208</v>
      </c>
      <c r="CQ7" s="60">
        <f t="shared" si="4"/>
        <v>944.8554913</v>
      </c>
      <c r="CR7" s="60">
        <f t="shared" si="4"/>
        <v>880.1156069</v>
      </c>
      <c r="CS7" s="60">
        <f t="shared" si="4"/>
        <v>894.6820809</v>
      </c>
      <c r="CT7" s="60">
        <f t="shared" si="4"/>
        <v>1006.820809</v>
      </c>
      <c r="CU7" s="60">
        <f t="shared" si="4"/>
        <v>911.2138728</v>
      </c>
      <c r="CV7" s="60">
        <f t="shared" si="4"/>
        <v>970.7514451</v>
      </c>
      <c r="CW7" s="60">
        <f t="shared" si="4"/>
        <v>1024.624277</v>
      </c>
      <c r="CX7" s="60">
        <f t="shared" si="4"/>
        <v>867.6300578</v>
      </c>
      <c r="CY7" s="60">
        <f t="shared" si="4"/>
        <v>1008.554913</v>
      </c>
      <c r="CZ7" s="60">
        <f t="shared" si="4"/>
        <v>986.4739884</v>
      </c>
      <c r="DA7" s="60">
        <f t="shared" si="4"/>
        <v>1046.011561</v>
      </c>
      <c r="DB7" s="60">
        <f t="shared" si="4"/>
        <v>960.3468208</v>
      </c>
      <c r="DC7" s="60">
        <f t="shared" si="4"/>
        <v>1011.676301</v>
      </c>
      <c r="DD7" s="60">
        <f t="shared" si="4"/>
        <v>974.1040462</v>
      </c>
      <c r="DE7" s="60">
        <f t="shared" si="4"/>
        <v>883.1213873</v>
      </c>
      <c r="DF7" s="60">
        <f t="shared" si="4"/>
        <v>880.2312139</v>
      </c>
      <c r="DG7" s="60">
        <f t="shared" si="4"/>
        <v>975.6069364</v>
      </c>
      <c r="DH7" s="60">
        <f t="shared" si="4"/>
        <v>900</v>
      </c>
      <c r="DI7" s="60">
        <f t="shared" si="4"/>
        <v>910.4046243</v>
      </c>
      <c r="DJ7" s="60">
        <f t="shared" si="4"/>
        <v>943.1213873</v>
      </c>
      <c r="DK7" s="60">
        <f t="shared" si="4"/>
        <v>984.6242775</v>
      </c>
      <c r="DL7" s="60">
        <f t="shared" si="4"/>
        <v>881.2716763</v>
      </c>
      <c r="DM7" s="60">
        <f t="shared" si="4"/>
        <v>1056.99422</v>
      </c>
      <c r="DN7" s="60">
        <f t="shared" si="4"/>
        <v>900.3468208</v>
      </c>
      <c r="DO7" s="60">
        <f t="shared" si="4"/>
        <v>1023.468208</v>
      </c>
      <c r="DP7" s="60">
        <f t="shared" si="4"/>
        <v>893.1791908</v>
      </c>
      <c r="DQ7" s="60">
        <f t="shared" si="4"/>
        <v>1003.815029</v>
      </c>
      <c r="DR7" s="60">
        <f t="shared" si="4"/>
        <v>976.300578</v>
      </c>
      <c r="DS7" s="60">
        <f t="shared" si="4"/>
        <v>945.3179191</v>
      </c>
      <c r="DT7" s="60">
        <f t="shared" si="4"/>
        <v>869.4797688</v>
      </c>
      <c r="DU7" s="60">
        <f t="shared" si="4"/>
        <v>875.4913295</v>
      </c>
      <c r="DV7" s="60">
        <f t="shared" si="4"/>
        <v>1035.606936</v>
      </c>
      <c r="DW7" s="60">
        <f t="shared" si="4"/>
        <v>1084.855491</v>
      </c>
      <c r="DX7" s="60">
        <f t="shared" si="4"/>
        <v>1027.976879</v>
      </c>
      <c r="DY7" s="60">
        <f t="shared" si="4"/>
        <v>973.8728324</v>
      </c>
      <c r="DZ7" s="60">
        <f t="shared" si="4"/>
        <v>881.2716763</v>
      </c>
      <c r="EA7" s="60">
        <f t="shared" si="4"/>
        <v>910.2890173</v>
      </c>
      <c r="EB7" s="60">
        <f t="shared" si="4"/>
        <v>1004.16185</v>
      </c>
      <c r="EC7" s="60">
        <f t="shared" si="4"/>
        <v>934.2196532</v>
      </c>
      <c r="ED7" s="60">
        <f t="shared" si="4"/>
        <v>878.150289</v>
      </c>
      <c r="EE7" s="60">
        <f t="shared" si="4"/>
        <v>922.1965318</v>
      </c>
      <c r="EF7" s="60">
        <f t="shared" si="4"/>
        <v>1024.277457</v>
      </c>
      <c r="EG7" s="60">
        <f t="shared" si="4"/>
        <v>879.7687861</v>
      </c>
      <c r="EH7" s="60">
        <f t="shared" si="4"/>
        <v>1031.32948</v>
      </c>
      <c r="EI7" s="60">
        <f t="shared" si="4"/>
        <v>1007.16763</v>
      </c>
      <c r="EJ7" s="60">
        <f t="shared" si="4"/>
        <v>930.4046243</v>
      </c>
      <c r="EK7" s="60">
        <f t="shared" si="4"/>
        <v>1066.705202</v>
      </c>
      <c r="EL7" s="60">
        <f t="shared" si="4"/>
        <v>895.7225434</v>
      </c>
      <c r="EM7" s="60">
        <f t="shared" si="4"/>
        <v>946.7052023</v>
      </c>
      <c r="EN7" s="60">
        <f t="shared" si="4"/>
        <v>914.7976879</v>
      </c>
      <c r="EO7" s="60">
        <f t="shared" si="4"/>
        <v>1055.144509</v>
      </c>
      <c r="EP7" s="60">
        <f t="shared" si="4"/>
        <v>1065.317919</v>
      </c>
      <c r="EQ7" s="60">
        <f t="shared" si="4"/>
        <v>993.7572254</v>
      </c>
      <c r="ER7" s="60">
        <f t="shared" si="4"/>
        <v>1004.16185</v>
      </c>
      <c r="ES7" s="60">
        <f t="shared" si="4"/>
        <v>1067.514451</v>
      </c>
      <c r="ET7" s="60">
        <f t="shared" si="4"/>
        <v>871.4450867</v>
      </c>
      <c r="EU7" s="60">
        <f t="shared" si="4"/>
        <v>1043.121387</v>
      </c>
      <c r="EV7" s="60">
        <f t="shared" si="4"/>
        <v>1006.358382</v>
      </c>
      <c r="EW7" s="60">
        <f t="shared" si="4"/>
        <v>860.4624277</v>
      </c>
      <c r="EX7" s="60">
        <f t="shared" si="4"/>
        <v>1046.936416</v>
      </c>
      <c r="EY7" s="60">
        <f t="shared" si="4"/>
        <v>1041.734104</v>
      </c>
      <c r="EZ7" s="60">
        <f t="shared" si="4"/>
        <v>1080</v>
      </c>
      <c r="FA7" s="60">
        <f t="shared" si="4"/>
        <v>1005.317919</v>
      </c>
      <c r="FB7" s="60">
        <f t="shared" si="4"/>
        <v>1069.132948</v>
      </c>
      <c r="FC7" s="60">
        <f t="shared" si="4"/>
        <v>1016.416185</v>
      </c>
      <c r="FD7" s="60">
        <f t="shared" si="4"/>
        <v>895.3757225</v>
      </c>
      <c r="FE7" s="60">
        <f t="shared" si="4"/>
        <v>887.9768786</v>
      </c>
      <c r="FF7" s="60">
        <f t="shared" si="4"/>
        <v>979.7687861</v>
      </c>
      <c r="FG7" s="60">
        <f t="shared" si="4"/>
        <v>898.6127168</v>
      </c>
      <c r="FH7" s="60">
        <f t="shared" si="4"/>
        <v>928.2080925</v>
      </c>
      <c r="FI7" s="60">
        <f t="shared" si="4"/>
        <v>1052.83237</v>
      </c>
      <c r="FJ7" s="60">
        <f t="shared" si="4"/>
        <v>899.7687861</v>
      </c>
      <c r="FK7" s="60">
        <f t="shared" si="4"/>
        <v>969.132948</v>
      </c>
      <c r="FL7" s="60">
        <f t="shared" si="4"/>
        <v>1070.982659</v>
      </c>
      <c r="FM7" s="60">
        <f t="shared" si="4"/>
        <v>880.9248555</v>
      </c>
      <c r="FN7" s="60">
        <f t="shared" si="4"/>
        <v>948.5549133</v>
      </c>
      <c r="FO7" s="60">
        <f t="shared" si="4"/>
        <v>898.6127168</v>
      </c>
      <c r="FP7" s="60">
        <f t="shared" si="4"/>
        <v>949.4797688</v>
      </c>
      <c r="FQ7" s="60">
        <f t="shared" si="4"/>
        <v>1055.491329</v>
      </c>
      <c r="FR7" s="60">
        <f t="shared" si="4"/>
        <v>884.3930636</v>
      </c>
      <c r="FS7" s="60">
        <f t="shared" si="4"/>
        <v>913.1791908</v>
      </c>
      <c r="FT7" s="60">
        <f t="shared" si="4"/>
        <v>905.7803468</v>
      </c>
      <c r="FU7" s="60">
        <f t="shared" si="4"/>
        <v>1078.265896</v>
      </c>
      <c r="FV7" s="60">
        <f t="shared" si="4"/>
        <v>945.0867052</v>
      </c>
      <c r="FW7" s="60">
        <f t="shared" si="4"/>
        <v>888.2080925</v>
      </c>
      <c r="FX7" s="60">
        <f t="shared" si="4"/>
        <v>978.9595376</v>
      </c>
      <c r="FY7" s="60">
        <f t="shared" si="4"/>
        <v>1047.052023</v>
      </c>
      <c r="FZ7" s="60">
        <f t="shared" si="4"/>
        <v>939.6531792</v>
      </c>
      <c r="GA7" s="60">
        <f t="shared" si="4"/>
        <v>1070.751445</v>
      </c>
      <c r="GB7" s="60">
        <f t="shared" si="4"/>
        <v>884.6242775</v>
      </c>
      <c r="GC7" s="60">
        <f t="shared" si="4"/>
        <v>994.3352601</v>
      </c>
      <c r="GD7" s="60">
        <f t="shared" si="4"/>
        <v>898.4971098</v>
      </c>
      <c r="GE7" s="60">
        <f t="shared" si="4"/>
        <v>884.6242775</v>
      </c>
      <c r="GF7" s="60">
        <f t="shared" si="4"/>
        <v>861.1560694</v>
      </c>
      <c r="GG7" s="60">
        <f t="shared" si="4"/>
        <v>950.6358382</v>
      </c>
      <c r="GH7" s="60">
        <f t="shared" si="4"/>
        <v>897.1098266</v>
      </c>
      <c r="GI7" s="60">
        <f t="shared" si="4"/>
        <v>887.3988439</v>
      </c>
      <c r="GJ7" s="60">
        <f t="shared" si="4"/>
        <v>887.1676301</v>
      </c>
      <c r="GK7" s="60">
        <f t="shared" si="4"/>
        <v>898.150289</v>
      </c>
      <c r="GL7" s="60">
        <f t="shared" si="4"/>
        <v>1018.959538</v>
      </c>
      <c r="GM7" s="60">
        <f t="shared" si="4"/>
        <v>1050.520231</v>
      </c>
      <c r="GN7" s="60">
        <f t="shared" si="4"/>
        <v>939.0751445</v>
      </c>
      <c r="GO7" s="60">
        <f t="shared" si="4"/>
        <v>1026.011561</v>
      </c>
      <c r="GP7" s="60">
        <f t="shared" si="4"/>
        <v>1064.046243</v>
      </c>
      <c r="GQ7" s="60">
        <f t="shared" si="4"/>
        <v>893.9884393</v>
      </c>
      <c r="GR7" s="60">
        <f t="shared" si="4"/>
        <v>857.8034682</v>
      </c>
      <c r="GS7" s="60">
        <f t="shared" si="4"/>
        <v>1049.710983</v>
      </c>
      <c r="GT7" s="60">
        <f t="shared" si="4"/>
        <v>992.0231214</v>
      </c>
      <c r="GU7" s="60">
        <f t="shared" si="4"/>
        <v>955.4913295</v>
      </c>
      <c r="GV7" s="60">
        <f t="shared" si="4"/>
        <v>889.2485549</v>
      </c>
      <c r="GW7" s="60">
        <f t="shared" si="4"/>
        <v>949.2485549</v>
      </c>
      <c r="GX7" s="60">
        <f t="shared" si="4"/>
        <v>924.2774566</v>
      </c>
      <c r="GY7" s="60">
        <f t="shared" si="4"/>
        <v>890.5202312</v>
      </c>
      <c r="GZ7" s="60">
        <f t="shared" si="4"/>
        <v>929.2485549</v>
      </c>
      <c r="HA7" s="60">
        <f t="shared" si="4"/>
        <v>1043.468208</v>
      </c>
      <c r="HB7" s="60">
        <f t="shared" si="4"/>
        <v>1048.554913</v>
      </c>
      <c r="HC7" s="60">
        <f t="shared" si="4"/>
        <v>952.716763</v>
      </c>
      <c r="HD7" s="60">
        <f t="shared" si="4"/>
        <v>995.9537572</v>
      </c>
      <c r="HE7" s="60">
        <f t="shared" si="4"/>
        <v>1069.248555</v>
      </c>
      <c r="HF7" s="60">
        <f t="shared" si="4"/>
        <v>898.4971098</v>
      </c>
      <c r="HG7" s="60">
        <f t="shared" si="4"/>
        <v>1040.462428</v>
      </c>
      <c r="HH7" s="60">
        <f t="shared" si="4"/>
        <v>917.5722543</v>
      </c>
      <c r="HI7" s="60">
        <f t="shared" si="4"/>
        <v>962.1965318</v>
      </c>
      <c r="HJ7" s="60">
        <f t="shared" si="4"/>
        <v>996.8786127</v>
      </c>
      <c r="HK7" s="60">
        <f t="shared" si="4"/>
        <v>863.2369942</v>
      </c>
      <c r="HL7" s="60">
        <f t="shared" si="4"/>
        <v>912.3699422</v>
      </c>
      <c r="HM7" s="60">
        <f t="shared" si="4"/>
        <v>1045.66474</v>
      </c>
      <c r="HN7" s="60">
        <f t="shared" si="4"/>
        <v>950.5202312</v>
      </c>
      <c r="HO7" s="60">
        <f t="shared" si="4"/>
        <v>862.6589595</v>
      </c>
      <c r="HP7" s="60">
        <f t="shared" si="4"/>
        <v>1035.144509</v>
      </c>
      <c r="HQ7" s="60">
        <f t="shared" si="4"/>
        <v>978.265896</v>
      </c>
      <c r="HR7" s="60">
        <f t="shared" si="4"/>
        <v>1060</v>
      </c>
      <c r="HS7" s="60">
        <f t="shared" si="4"/>
        <v>1009.942197</v>
      </c>
      <c r="HT7" s="60">
        <f t="shared" si="4"/>
        <v>1051.560694</v>
      </c>
      <c r="HU7" s="60">
        <f t="shared" si="4"/>
        <v>925.8959538</v>
      </c>
      <c r="HV7" s="60">
        <f t="shared" si="4"/>
        <v>1073.526012</v>
      </c>
      <c r="HW7" s="60">
        <f t="shared" si="4"/>
        <v>959.7687861</v>
      </c>
      <c r="HX7" s="60">
        <f t="shared" si="4"/>
        <v>1060.462428</v>
      </c>
      <c r="HY7" s="60">
        <f t="shared" si="4"/>
        <v>989.9421965</v>
      </c>
      <c r="HZ7" s="60">
        <f t="shared" si="4"/>
        <v>954.1040462</v>
      </c>
      <c r="IA7" s="60">
        <f t="shared" si="4"/>
        <v>909.9421965</v>
      </c>
      <c r="IB7" s="60">
        <f t="shared" si="4"/>
        <v>1074.797688</v>
      </c>
      <c r="IC7" s="60">
        <f t="shared" si="4"/>
        <v>918.8439306</v>
      </c>
      <c r="ID7" s="60">
        <f t="shared" si="4"/>
        <v>1058.265896</v>
      </c>
      <c r="IE7" s="60">
        <f t="shared" si="4"/>
        <v>956.5317919</v>
      </c>
      <c r="IF7" s="60">
        <f t="shared" si="4"/>
        <v>857.6878613</v>
      </c>
      <c r="IG7" s="60">
        <f t="shared" si="4"/>
        <v>1008.323699</v>
      </c>
      <c r="IH7" s="60">
        <f t="shared" si="4"/>
        <v>933.7572254</v>
      </c>
      <c r="II7" s="60">
        <f t="shared" si="4"/>
        <v>1019.768786</v>
      </c>
      <c r="IJ7" s="60">
        <f t="shared" si="4"/>
        <v>965.433526</v>
      </c>
      <c r="IK7" s="60">
        <f t="shared" si="4"/>
        <v>1073.526012</v>
      </c>
      <c r="IL7" s="60">
        <f t="shared" si="4"/>
        <v>962.7745665</v>
      </c>
      <c r="IM7" s="60">
        <f t="shared" si="4"/>
        <v>933.2947977</v>
      </c>
      <c r="IN7" s="60">
        <f t="shared" si="4"/>
        <v>1002.196532</v>
      </c>
      <c r="IO7" s="60">
        <f t="shared" si="4"/>
        <v>970.5202312</v>
      </c>
      <c r="IP7" s="60">
        <f t="shared" si="4"/>
        <v>891.0982659</v>
      </c>
      <c r="IQ7" s="60">
        <f t="shared" si="4"/>
        <v>857.3410405</v>
      </c>
      <c r="IR7" s="60">
        <f t="shared" si="4"/>
        <v>908.6705202</v>
      </c>
      <c r="IS7" s="60">
        <f t="shared" si="4"/>
        <v>966.8208092</v>
      </c>
      <c r="IT7" s="60">
        <f t="shared" si="4"/>
        <v>966.5895954</v>
      </c>
      <c r="IU7" s="60">
        <f t="shared" si="4"/>
        <v>879.3063584</v>
      </c>
      <c r="IV7" s="60">
        <f t="shared" si="4"/>
        <v>924.2774566</v>
      </c>
      <c r="IW7" s="60">
        <f t="shared" si="4"/>
        <v>1041.387283</v>
      </c>
      <c r="IX7" s="60">
        <f t="shared" si="4"/>
        <v>883.583815</v>
      </c>
      <c r="IY7" s="60">
        <f t="shared" si="4"/>
        <v>877.2254335</v>
      </c>
      <c r="IZ7" s="60">
        <f t="shared" si="4"/>
        <v>915.9537572</v>
      </c>
      <c r="JA7" s="60">
        <f t="shared" si="4"/>
        <v>959.7687861</v>
      </c>
      <c r="JB7" s="60">
        <f t="shared" si="4"/>
        <v>983.0057803</v>
      </c>
      <c r="JC7" s="60">
        <f t="shared" si="4"/>
        <v>903.0057803</v>
      </c>
      <c r="JD7" s="60">
        <f t="shared" si="4"/>
        <v>906.8208092</v>
      </c>
      <c r="JE7" s="60">
        <f t="shared" si="4"/>
        <v>965.3179191</v>
      </c>
      <c r="JF7" s="60">
        <f t="shared" si="4"/>
        <v>928.2080925</v>
      </c>
      <c r="JG7" s="60">
        <f t="shared" si="4"/>
        <v>1075.953757</v>
      </c>
      <c r="JH7" s="60">
        <f t="shared" si="4"/>
        <v>962.7745665</v>
      </c>
      <c r="JI7" s="60">
        <f t="shared" si="4"/>
        <v>1046.705202</v>
      </c>
      <c r="JJ7" s="60">
        <f t="shared" si="4"/>
        <v>924.5086705</v>
      </c>
      <c r="JK7" s="60">
        <f t="shared" si="4"/>
        <v>1036.531792</v>
      </c>
      <c r="JL7" s="60">
        <f t="shared" si="4"/>
        <v>1033.988439</v>
      </c>
      <c r="JM7" s="60">
        <f t="shared" si="4"/>
        <v>1045.433526</v>
      </c>
      <c r="JN7" s="60">
        <f t="shared" si="4"/>
        <v>987.283237</v>
      </c>
      <c r="JO7" s="60">
        <f t="shared" si="4"/>
        <v>1019.884393</v>
      </c>
      <c r="JP7" s="60">
        <f t="shared" si="4"/>
        <v>1062.312139</v>
      </c>
      <c r="JQ7" s="60">
        <f t="shared" si="4"/>
        <v>1069.017341</v>
      </c>
      <c r="JR7" s="60">
        <f t="shared" si="4"/>
        <v>946.0115607</v>
      </c>
      <c r="JS7" s="60">
        <f t="shared" si="4"/>
        <v>926.8208092</v>
      </c>
      <c r="JT7" s="60">
        <f t="shared" si="4"/>
        <v>979.4219653</v>
      </c>
      <c r="JU7" s="60">
        <f t="shared" si="4"/>
        <v>861.849711</v>
      </c>
      <c r="JV7" s="60">
        <f t="shared" si="4"/>
        <v>964.6242775</v>
      </c>
      <c r="JW7" s="60">
        <f t="shared" si="4"/>
        <v>918.265896</v>
      </c>
      <c r="JX7" s="60">
        <f t="shared" si="4"/>
        <v>993.6416185</v>
      </c>
      <c r="JY7" s="60">
        <f t="shared" si="4"/>
        <v>1001.618497</v>
      </c>
      <c r="JZ7" s="60">
        <f t="shared" si="4"/>
        <v>1047.514451</v>
      </c>
      <c r="KA7" s="60">
        <f t="shared" si="4"/>
        <v>928.4393064</v>
      </c>
      <c r="KB7" s="60">
        <f t="shared" si="4"/>
        <v>1075.606936</v>
      </c>
      <c r="KC7" s="60">
        <f t="shared" si="4"/>
        <v>990.5202312</v>
      </c>
      <c r="KD7" s="60">
        <f t="shared" si="4"/>
        <v>1056.069364</v>
      </c>
      <c r="KE7" s="60">
        <f t="shared" si="4"/>
        <v>856.7630058</v>
      </c>
      <c r="KF7" s="60">
        <f t="shared" si="4"/>
        <v>858.0346821</v>
      </c>
      <c r="KG7" s="60">
        <f t="shared" si="4"/>
        <v>1004.277457</v>
      </c>
      <c r="KH7" s="60">
        <f t="shared" si="4"/>
        <v>873.9884393</v>
      </c>
      <c r="KI7" s="60">
        <f t="shared" si="4"/>
        <v>1044.508671</v>
      </c>
      <c r="KJ7" s="60">
        <f t="shared" si="4"/>
        <v>973.7572254</v>
      </c>
      <c r="KK7" s="60">
        <f t="shared" si="4"/>
        <v>917.1098266</v>
      </c>
      <c r="KL7" s="60">
        <f t="shared" si="4"/>
        <v>990.7514451</v>
      </c>
      <c r="KM7" s="60">
        <f t="shared" si="4"/>
        <v>961.5028902</v>
      </c>
      <c r="KN7" s="60">
        <f t="shared" si="4"/>
        <v>896.8786127</v>
      </c>
      <c r="KO7" s="60">
        <f t="shared" si="4"/>
        <v>991.2138728</v>
      </c>
      <c r="KP7" s="60">
        <f t="shared" si="4"/>
        <v>1076.99422</v>
      </c>
      <c r="KQ7" s="60">
        <f t="shared" si="4"/>
        <v>980.3468208</v>
      </c>
      <c r="KR7" s="60">
        <f t="shared" si="4"/>
        <v>884.9710983</v>
      </c>
      <c r="KS7" s="60">
        <f t="shared" si="4"/>
        <v>857.2254335</v>
      </c>
      <c r="KT7" s="60">
        <f t="shared" si="4"/>
        <v>953.8728324</v>
      </c>
      <c r="KU7" s="60">
        <f t="shared" si="4"/>
        <v>891.0982659</v>
      </c>
      <c r="KV7" s="60">
        <f t="shared" si="4"/>
        <v>930.4046243</v>
      </c>
      <c r="KW7" s="60">
        <f t="shared" si="4"/>
        <v>930.5202312</v>
      </c>
      <c r="KX7" s="60">
        <f t="shared" si="4"/>
        <v>897.6878613</v>
      </c>
      <c r="KY7" s="60">
        <f t="shared" si="4"/>
        <v>903.4682081</v>
      </c>
      <c r="KZ7" s="60">
        <f t="shared" si="4"/>
        <v>894.1040462</v>
      </c>
      <c r="LA7" s="60">
        <f t="shared" si="4"/>
        <v>1027.052023</v>
      </c>
      <c r="LB7" s="60">
        <f t="shared" si="4"/>
        <v>979.7687861</v>
      </c>
      <c r="LC7" s="60">
        <f t="shared" si="4"/>
        <v>1076.878613</v>
      </c>
      <c r="LD7" s="60">
        <f t="shared" si="4"/>
        <v>998.265896</v>
      </c>
      <c r="LE7" s="60">
        <f t="shared" si="4"/>
        <v>1043.236994</v>
      </c>
      <c r="LF7" s="60">
        <f t="shared" si="4"/>
        <v>912.2543353</v>
      </c>
      <c r="LG7" s="60">
        <f t="shared" si="4"/>
        <v>927.0520231</v>
      </c>
      <c r="LH7" s="60">
        <f t="shared" si="4"/>
        <v>889.2485549</v>
      </c>
      <c r="LI7" s="60">
        <f t="shared" si="4"/>
        <v>1061.50289</v>
      </c>
      <c r="LJ7" s="60">
        <f t="shared" si="4"/>
        <v>1022.196532</v>
      </c>
      <c r="LK7" s="60">
        <f t="shared" si="4"/>
        <v>961.5028902</v>
      </c>
      <c r="LL7" s="60">
        <f t="shared" si="4"/>
        <v>879.4219653</v>
      </c>
      <c r="LM7" s="60">
        <f t="shared" si="4"/>
        <v>896.416185</v>
      </c>
      <c r="LN7" s="60">
        <f t="shared" si="4"/>
        <v>1053.641618</v>
      </c>
      <c r="LO7" s="60">
        <f t="shared" si="4"/>
        <v>894.6820809</v>
      </c>
      <c r="LP7" s="60">
        <f t="shared" si="4"/>
        <v>912.2543353</v>
      </c>
      <c r="LQ7" s="60">
        <f t="shared" si="4"/>
        <v>936.7630058</v>
      </c>
      <c r="LR7" s="60">
        <f t="shared" si="4"/>
        <v>940.2312139</v>
      </c>
      <c r="LS7" s="60">
        <f t="shared" si="4"/>
        <v>969.5953757</v>
      </c>
      <c r="LT7" s="60">
        <f t="shared" si="4"/>
        <v>888.5549133</v>
      </c>
      <c r="LU7" s="60">
        <f t="shared" si="4"/>
        <v>876.300578</v>
      </c>
      <c r="LV7" s="60">
        <f t="shared" si="4"/>
        <v>867.8612717</v>
      </c>
      <c r="LW7" s="60">
        <f t="shared" si="4"/>
        <v>930.2890173</v>
      </c>
      <c r="LX7" s="60">
        <f t="shared" si="4"/>
        <v>858.4971098</v>
      </c>
      <c r="LY7" s="60">
        <f t="shared" si="4"/>
        <v>1080.115607</v>
      </c>
      <c r="LZ7" s="60">
        <f t="shared" si="4"/>
        <v>856.8786127</v>
      </c>
      <c r="MA7" s="60">
        <f t="shared" si="4"/>
        <v>1011.907514</v>
      </c>
      <c r="MB7" s="60">
        <f t="shared" si="4"/>
        <v>1043.236994</v>
      </c>
      <c r="MC7" s="60">
        <f t="shared" si="4"/>
        <v>953.1791908</v>
      </c>
      <c r="MD7" s="60">
        <f t="shared" si="4"/>
        <v>863.699422</v>
      </c>
      <c r="ME7" s="60">
        <f t="shared" si="4"/>
        <v>949.8265896</v>
      </c>
      <c r="MF7" s="60">
        <f t="shared" si="4"/>
        <v>1081.040462</v>
      </c>
      <c r="MG7" s="60">
        <f t="shared" si="4"/>
        <v>1041.965318</v>
      </c>
      <c r="MH7" s="60">
        <f t="shared" si="4"/>
        <v>1012.601156</v>
      </c>
      <c r="MI7" s="60">
        <f t="shared" si="4"/>
        <v>974.9132948</v>
      </c>
      <c r="MJ7" s="60">
        <f t="shared" si="4"/>
        <v>882.8901734</v>
      </c>
      <c r="MK7" s="60">
        <f t="shared" si="4"/>
        <v>1041.965318</v>
      </c>
      <c r="ML7" s="60">
        <f t="shared" si="4"/>
        <v>1070.982659</v>
      </c>
      <c r="MM7" s="60">
        <f t="shared" si="4"/>
        <v>882.8901734</v>
      </c>
      <c r="MN7" s="60">
        <f t="shared" si="4"/>
        <v>1076.99422</v>
      </c>
      <c r="MO7" s="60">
        <f t="shared" si="4"/>
        <v>1058.150289</v>
      </c>
      <c r="MP7" s="60">
        <f t="shared" si="4"/>
        <v>987.5144509</v>
      </c>
      <c r="MQ7" s="60">
        <f t="shared" si="4"/>
        <v>1009.942197</v>
      </c>
      <c r="MR7" s="60">
        <f t="shared" si="4"/>
        <v>881.6184971</v>
      </c>
      <c r="MS7" s="60">
        <f t="shared" si="4"/>
        <v>1017.572254</v>
      </c>
      <c r="MT7" s="60">
        <f t="shared" si="4"/>
        <v>912.1387283</v>
      </c>
      <c r="MU7" s="60">
        <f t="shared" si="4"/>
        <v>1081.040462</v>
      </c>
      <c r="MV7" s="60">
        <f t="shared" si="4"/>
        <v>961.0404624</v>
      </c>
      <c r="MW7" s="60">
        <f t="shared" si="4"/>
        <v>866.2427746</v>
      </c>
      <c r="MX7" s="60">
        <f t="shared" si="4"/>
        <v>1028.554913</v>
      </c>
      <c r="MY7" s="60">
        <f t="shared" si="4"/>
        <v>894.6820809</v>
      </c>
      <c r="MZ7" s="60">
        <f t="shared" si="4"/>
        <v>856.300578</v>
      </c>
      <c r="NA7" s="60">
        <f t="shared" si="4"/>
        <v>1073.063584</v>
      </c>
      <c r="NB7" s="60">
        <f t="shared" si="4"/>
        <v>1050.057803</v>
      </c>
      <c r="NC7" s="60">
        <f t="shared" si="4"/>
        <v>1047.976879</v>
      </c>
      <c r="ND7" s="60">
        <f t="shared" si="4"/>
        <v>920.9248555</v>
      </c>
      <c r="NE7" s="60">
        <f t="shared" si="4"/>
        <v>916.8786127</v>
      </c>
      <c r="NF7" s="60">
        <f t="shared" si="4"/>
        <v>1044.16185</v>
      </c>
      <c r="NG7" s="60">
        <f t="shared" si="4"/>
        <v>1062.427746</v>
      </c>
      <c r="NH7" s="60">
        <f t="shared" si="4"/>
        <v>859.3063584</v>
      </c>
      <c r="NI7" s="60">
        <f t="shared" si="4"/>
        <v>1065.202312</v>
      </c>
      <c r="NJ7" s="60">
        <f t="shared" si="4"/>
        <v>940.2312139</v>
      </c>
      <c r="NK7" s="60">
        <f t="shared" si="4"/>
        <v>981.849711</v>
      </c>
      <c r="NL7" s="60">
        <f t="shared" si="4"/>
        <v>910.1734104</v>
      </c>
      <c r="NM7" s="60">
        <f t="shared" si="4"/>
        <v>928.6705202</v>
      </c>
      <c r="NN7" s="60">
        <f t="shared" si="4"/>
        <v>1046.820809</v>
      </c>
      <c r="NO7" s="60">
        <f t="shared" si="4"/>
        <v>955.4913295</v>
      </c>
      <c r="NP7" s="60">
        <f t="shared" si="4"/>
        <v>1006.127168</v>
      </c>
      <c r="NQ7" s="60">
        <f t="shared" si="4"/>
        <v>1050.057803</v>
      </c>
      <c r="NR7" s="60">
        <f t="shared" si="4"/>
        <v>1028.208092</v>
      </c>
      <c r="NS7" s="60">
        <f t="shared" si="4"/>
        <v>883.3526012</v>
      </c>
      <c r="NT7" s="60">
        <f t="shared" si="4"/>
        <v>1022.774566</v>
      </c>
      <c r="NU7" s="60">
        <f t="shared" si="4"/>
        <v>1044.855491</v>
      </c>
      <c r="NV7" s="60">
        <f t="shared" si="4"/>
        <v>1059.768786</v>
      </c>
      <c r="NW7" s="60">
        <f t="shared" si="4"/>
        <v>913.7572254</v>
      </c>
      <c r="NX7" s="60">
        <f t="shared" si="4"/>
        <v>948.6705202</v>
      </c>
      <c r="NY7" s="60">
        <f t="shared" si="4"/>
        <v>1068.901734</v>
      </c>
      <c r="NZ7" s="60">
        <f t="shared" si="4"/>
        <v>871.3294798</v>
      </c>
      <c r="OA7" s="60">
        <f t="shared" si="4"/>
        <v>903.583815</v>
      </c>
      <c r="OB7" s="60">
        <f t="shared" si="4"/>
        <v>954.3352601</v>
      </c>
      <c r="OC7" s="60">
        <f t="shared" si="4"/>
        <v>887.9768786</v>
      </c>
      <c r="OD7" s="60">
        <f t="shared" si="4"/>
        <v>884.6242775</v>
      </c>
      <c r="OE7" s="60">
        <f t="shared" si="4"/>
        <v>1040.693642</v>
      </c>
      <c r="OF7" s="60">
        <f t="shared" si="4"/>
        <v>922.6589595</v>
      </c>
      <c r="OG7" s="60">
        <f t="shared" si="4"/>
        <v>873.6416185</v>
      </c>
      <c r="OH7" s="60">
        <f t="shared" si="4"/>
        <v>1076.647399</v>
      </c>
      <c r="OI7" s="60">
        <f t="shared" si="4"/>
        <v>1066.820809</v>
      </c>
      <c r="OJ7" s="60">
        <f t="shared" si="4"/>
        <v>977.3410405</v>
      </c>
      <c r="OK7" s="60">
        <f t="shared" si="4"/>
        <v>956.416185</v>
      </c>
      <c r="OL7" s="60">
        <f t="shared" si="4"/>
        <v>892.6011561</v>
      </c>
      <c r="OM7" s="60">
        <f t="shared" si="4"/>
        <v>1039.768786</v>
      </c>
      <c r="ON7" s="60">
        <f t="shared" si="4"/>
        <v>998.8439306</v>
      </c>
      <c r="OO7" s="60">
        <f t="shared" si="4"/>
        <v>1032.369942</v>
      </c>
      <c r="OP7" s="60">
        <f t="shared" si="4"/>
        <v>918.3815029</v>
      </c>
      <c r="OQ7" s="60">
        <f t="shared" si="4"/>
        <v>893.9884393</v>
      </c>
      <c r="OR7" s="60">
        <f t="shared" si="4"/>
        <v>1087.630058</v>
      </c>
      <c r="OS7" s="60">
        <f t="shared" si="4"/>
        <v>1075.83815</v>
      </c>
      <c r="OT7" s="60">
        <f t="shared" si="4"/>
        <v>859.4219653</v>
      </c>
      <c r="OU7" s="60">
        <f t="shared" si="4"/>
        <v>878.150289</v>
      </c>
      <c r="OV7" s="60">
        <f t="shared" si="4"/>
        <v>1051.907514</v>
      </c>
      <c r="OW7" s="60">
        <f t="shared" si="4"/>
        <v>856.6473988</v>
      </c>
      <c r="OX7" s="60">
        <f t="shared" si="4"/>
        <v>1040.346821</v>
      </c>
      <c r="OY7" s="60">
        <f t="shared" si="4"/>
        <v>909.7109827</v>
      </c>
      <c r="OZ7" s="60">
        <f t="shared" si="4"/>
        <v>865.3179191</v>
      </c>
      <c r="PA7" s="60">
        <f t="shared" si="4"/>
        <v>931.2138728</v>
      </c>
      <c r="PB7" s="60">
        <f t="shared" si="4"/>
        <v>916.9942197</v>
      </c>
      <c r="PC7" s="60">
        <f t="shared" si="4"/>
        <v>1024.739884</v>
      </c>
      <c r="PD7" s="60">
        <f t="shared" si="4"/>
        <v>988.7861272</v>
      </c>
      <c r="PE7" s="60">
        <f t="shared" si="4"/>
        <v>1004.508671</v>
      </c>
      <c r="PF7" s="60">
        <f t="shared" si="4"/>
        <v>891.7919075</v>
      </c>
      <c r="PG7" s="60">
        <f t="shared" si="4"/>
        <v>1078.381503</v>
      </c>
      <c r="PH7" s="60">
        <f t="shared" si="4"/>
        <v>1019.653179</v>
      </c>
      <c r="PI7" s="60">
        <f t="shared" si="4"/>
        <v>1007.976879</v>
      </c>
      <c r="PJ7" s="60">
        <f t="shared" si="4"/>
        <v>1060.462428</v>
      </c>
      <c r="PK7" s="60">
        <f t="shared" si="4"/>
        <v>1066.589595</v>
      </c>
      <c r="PL7" s="60">
        <f t="shared" si="4"/>
        <v>1069.942197</v>
      </c>
      <c r="PM7" s="60">
        <f t="shared" si="4"/>
        <v>954.4508671</v>
      </c>
      <c r="PN7" s="60">
        <f t="shared" si="4"/>
        <v>887.6300578</v>
      </c>
      <c r="PO7" s="60">
        <f t="shared" si="4"/>
        <v>1068.092486</v>
      </c>
      <c r="PP7" s="60">
        <f t="shared" si="4"/>
        <v>885.5491329</v>
      </c>
      <c r="PQ7" s="60">
        <f t="shared" si="4"/>
        <v>922.7745665</v>
      </c>
      <c r="PR7" s="60">
        <f t="shared" si="4"/>
        <v>1069.710983</v>
      </c>
      <c r="PS7" s="60">
        <f t="shared" si="4"/>
        <v>934.7976879</v>
      </c>
      <c r="PT7" s="60">
        <f t="shared" si="4"/>
        <v>1049.017341</v>
      </c>
      <c r="PU7" s="60">
        <f t="shared" si="4"/>
        <v>953.6416185</v>
      </c>
      <c r="PV7" s="60">
        <f t="shared" si="4"/>
        <v>920.2312139</v>
      </c>
      <c r="PW7" s="60">
        <f t="shared" si="4"/>
        <v>1001.040462</v>
      </c>
      <c r="PX7" s="60">
        <f t="shared" si="4"/>
        <v>885.0867052</v>
      </c>
      <c r="PY7" s="60">
        <f t="shared" si="4"/>
        <v>1050.404624</v>
      </c>
      <c r="PZ7" s="60">
        <f t="shared" si="4"/>
        <v>896.7630058</v>
      </c>
      <c r="QA7" s="60">
        <f t="shared" si="4"/>
        <v>860</v>
      </c>
      <c r="QB7" s="60">
        <f t="shared" si="4"/>
        <v>880.1156069</v>
      </c>
      <c r="QC7" s="60">
        <f t="shared" si="4"/>
        <v>1081.849711</v>
      </c>
      <c r="QD7" s="60">
        <f t="shared" si="4"/>
        <v>900.9248555</v>
      </c>
      <c r="QE7" s="60">
        <f t="shared" si="4"/>
        <v>943.583815</v>
      </c>
      <c r="QF7" s="60">
        <f t="shared" si="4"/>
        <v>1073.410405</v>
      </c>
      <c r="QG7" s="60">
        <f t="shared" si="4"/>
        <v>1048.092486</v>
      </c>
      <c r="QH7" s="60">
        <f t="shared" si="4"/>
        <v>930.4046243</v>
      </c>
      <c r="QI7" s="60">
        <f t="shared" si="4"/>
        <v>906.4739884</v>
      </c>
      <c r="QJ7" s="60">
        <f t="shared" si="4"/>
        <v>900.1156069</v>
      </c>
      <c r="QK7" s="60">
        <f t="shared" si="4"/>
        <v>856.8786127</v>
      </c>
      <c r="QL7" s="60">
        <f t="shared" si="4"/>
        <v>905.8959538</v>
      </c>
      <c r="QM7" s="60">
        <f t="shared" si="4"/>
        <v>943.583815</v>
      </c>
      <c r="QN7" s="60">
        <f t="shared" si="4"/>
        <v>934.9132948</v>
      </c>
      <c r="QO7" s="60">
        <f t="shared" si="4"/>
        <v>1063.352601</v>
      </c>
      <c r="QP7" s="60">
        <f t="shared" si="4"/>
        <v>906.3583815</v>
      </c>
      <c r="QQ7" s="60">
        <f t="shared" si="4"/>
        <v>988.6705202</v>
      </c>
      <c r="QR7" s="60">
        <f t="shared" si="4"/>
        <v>855.0289017</v>
      </c>
      <c r="QS7" s="60">
        <f t="shared" si="4"/>
        <v>1001.040462</v>
      </c>
      <c r="QT7" s="60">
        <f t="shared" si="4"/>
        <v>890.5202312</v>
      </c>
      <c r="QU7" s="60">
        <f t="shared" si="4"/>
        <v>916.300578</v>
      </c>
      <c r="QV7" s="60">
        <f t="shared" si="4"/>
        <v>992.9479769</v>
      </c>
      <c r="QW7" s="60">
        <f t="shared" si="4"/>
        <v>979.3063584</v>
      </c>
      <c r="QX7" s="60">
        <f t="shared" si="4"/>
        <v>955.6069364</v>
      </c>
      <c r="QY7" s="60">
        <f t="shared" si="4"/>
        <v>932.8323699</v>
      </c>
      <c r="QZ7" s="60">
        <f t="shared" si="4"/>
        <v>925.3179191</v>
      </c>
      <c r="RA7" s="60">
        <f t="shared" si="4"/>
        <v>882.4277457</v>
      </c>
      <c r="RB7" s="60">
        <f t="shared" si="4"/>
        <v>927.1676301</v>
      </c>
      <c r="RC7" s="60">
        <f t="shared" si="4"/>
        <v>904.2774566</v>
      </c>
      <c r="RD7" s="60">
        <f t="shared" si="4"/>
        <v>1023.699422</v>
      </c>
      <c r="RE7" s="60">
        <f t="shared" si="4"/>
        <v>1034.219653</v>
      </c>
      <c r="RF7" s="60">
        <f t="shared" si="4"/>
        <v>878.150289</v>
      </c>
      <c r="RG7" s="60">
        <f t="shared" si="4"/>
        <v>906.5895954</v>
      </c>
      <c r="RH7" s="60">
        <f t="shared" si="4"/>
        <v>969.9421965</v>
      </c>
      <c r="RI7" s="60">
        <f t="shared" si="4"/>
        <v>1063.121387</v>
      </c>
      <c r="RJ7" s="60">
        <f t="shared" si="4"/>
        <v>882.8901734</v>
      </c>
      <c r="RK7" s="60">
        <f t="shared" si="4"/>
        <v>897.6878613</v>
      </c>
      <c r="RL7" s="60">
        <f t="shared" si="4"/>
        <v>914.6820809</v>
      </c>
      <c r="RM7" s="60">
        <f t="shared" si="4"/>
        <v>916.1849711</v>
      </c>
      <c r="RN7" s="60">
        <f t="shared" si="4"/>
        <v>1016.300578</v>
      </c>
      <c r="RO7" s="60">
        <f t="shared" si="4"/>
        <v>963.9306358</v>
      </c>
      <c r="RP7" s="60">
        <f t="shared" si="4"/>
        <v>1028.092486</v>
      </c>
      <c r="RQ7" s="60">
        <f t="shared" si="4"/>
        <v>1086.820809</v>
      </c>
      <c r="RR7" s="60">
        <f t="shared" si="4"/>
        <v>1074.104046</v>
      </c>
      <c r="RS7" s="60">
        <f t="shared" si="4"/>
        <v>1086.705202</v>
      </c>
      <c r="RT7" s="60">
        <f t="shared" si="4"/>
        <v>943.2369942</v>
      </c>
      <c r="RU7" s="60">
        <f t="shared" si="4"/>
        <v>1021.040462</v>
      </c>
      <c r="RV7" s="60">
        <f t="shared" si="4"/>
        <v>933.5260116</v>
      </c>
      <c r="RW7" s="60">
        <f t="shared" si="4"/>
        <v>1074.797688</v>
      </c>
      <c r="RX7" s="60">
        <f t="shared" si="4"/>
        <v>1046.705202</v>
      </c>
      <c r="RY7" s="60">
        <f t="shared" si="4"/>
        <v>888.4393064</v>
      </c>
      <c r="RZ7" s="60">
        <f t="shared" si="4"/>
        <v>1065.549133</v>
      </c>
      <c r="SA7" s="60">
        <f t="shared" si="4"/>
        <v>919.0751445</v>
      </c>
      <c r="SB7" s="60">
        <f t="shared" si="4"/>
        <v>867.6300578</v>
      </c>
      <c r="SC7" s="60">
        <f t="shared" si="4"/>
        <v>993.4104046</v>
      </c>
      <c r="SD7" s="60">
        <f t="shared" si="4"/>
        <v>1021.040462</v>
      </c>
      <c r="SE7" s="60">
        <f t="shared" si="4"/>
        <v>972.3699422</v>
      </c>
      <c r="SF7" s="60">
        <f t="shared" si="4"/>
        <v>890.982659</v>
      </c>
      <c r="SG7" s="60">
        <f t="shared" si="4"/>
        <v>972.8323699</v>
      </c>
      <c r="SH7" s="60">
        <f t="shared" si="4"/>
        <v>1066.242775</v>
      </c>
      <c r="SI7" s="60">
        <f t="shared" si="4"/>
        <v>982.8901734</v>
      </c>
      <c r="SJ7" s="60">
        <f t="shared" si="4"/>
        <v>1020</v>
      </c>
      <c r="SK7" s="60">
        <f t="shared" si="4"/>
        <v>985.6647399</v>
      </c>
      <c r="SL7" s="60">
        <f t="shared" si="4"/>
        <v>1021.271676</v>
      </c>
    </row>
    <row r="8">
      <c r="A8" s="53" t="s">
        <v>86</v>
      </c>
      <c r="B8" s="77">
        <f>Inputs!E8</f>
        <v>4.2</v>
      </c>
      <c r="C8" s="241"/>
      <c r="D8" s="242"/>
      <c r="E8" s="243"/>
      <c r="F8" s="63"/>
      <c r="G8" s="77">
        <f t="shared" ref="G8:SL8" si="5">$B8</f>
        <v>4.2</v>
      </c>
      <c r="H8" s="77">
        <f t="shared" si="5"/>
        <v>4.2</v>
      </c>
      <c r="I8" s="77">
        <f t="shared" si="5"/>
        <v>4.2</v>
      </c>
      <c r="J8" s="77">
        <f t="shared" si="5"/>
        <v>4.2</v>
      </c>
      <c r="K8" s="77">
        <f t="shared" si="5"/>
        <v>4.2</v>
      </c>
      <c r="L8" s="77">
        <f t="shared" si="5"/>
        <v>4.2</v>
      </c>
      <c r="M8" s="77">
        <f t="shared" si="5"/>
        <v>4.2</v>
      </c>
      <c r="N8" s="77">
        <f t="shared" si="5"/>
        <v>4.2</v>
      </c>
      <c r="O8" s="77">
        <f t="shared" si="5"/>
        <v>4.2</v>
      </c>
      <c r="P8" s="77">
        <f t="shared" si="5"/>
        <v>4.2</v>
      </c>
      <c r="Q8" s="77">
        <f t="shared" si="5"/>
        <v>4.2</v>
      </c>
      <c r="R8" s="77">
        <f t="shared" si="5"/>
        <v>4.2</v>
      </c>
      <c r="S8" s="77">
        <f t="shared" si="5"/>
        <v>4.2</v>
      </c>
      <c r="T8" s="77">
        <f t="shared" si="5"/>
        <v>4.2</v>
      </c>
      <c r="U8" s="77">
        <f t="shared" si="5"/>
        <v>4.2</v>
      </c>
      <c r="V8" s="77">
        <f t="shared" si="5"/>
        <v>4.2</v>
      </c>
      <c r="W8" s="77">
        <f t="shared" si="5"/>
        <v>4.2</v>
      </c>
      <c r="X8" s="77">
        <f t="shared" si="5"/>
        <v>4.2</v>
      </c>
      <c r="Y8" s="77">
        <f t="shared" si="5"/>
        <v>4.2</v>
      </c>
      <c r="Z8" s="77">
        <f t="shared" si="5"/>
        <v>4.2</v>
      </c>
      <c r="AA8" s="77">
        <f t="shared" si="5"/>
        <v>4.2</v>
      </c>
      <c r="AB8" s="77">
        <f t="shared" si="5"/>
        <v>4.2</v>
      </c>
      <c r="AC8" s="77">
        <f t="shared" si="5"/>
        <v>4.2</v>
      </c>
      <c r="AD8" s="77">
        <f t="shared" si="5"/>
        <v>4.2</v>
      </c>
      <c r="AE8" s="77">
        <f t="shared" si="5"/>
        <v>4.2</v>
      </c>
      <c r="AF8" s="77">
        <f t="shared" si="5"/>
        <v>4.2</v>
      </c>
      <c r="AG8" s="77">
        <f t="shared" si="5"/>
        <v>4.2</v>
      </c>
      <c r="AH8" s="77">
        <f t="shared" si="5"/>
        <v>4.2</v>
      </c>
      <c r="AI8" s="77">
        <f t="shared" si="5"/>
        <v>4.2</v>
      </c>
      <c r="AJ8" s="77">
        <f t="shared" si="5"/>
        <v>4.2</v>
      </c>
      <c r="AK8" s="77">
        <f t="shared" si="5"/>
        <v>4.2</v>
      </c>
      <c r="AL8" s="77">
        <f t="shared" si="5"/>
        <v>4.2</v>
      </c>
      <c r="AM8" s="77">
        <f t="shared" si="5"/>
        <v>4.2</v>
      </c>
      <c r="AN8" s="77">
        <f t="shared" si="5"/>
        <v>4.2</v>
      </c>
      <c r="AO8" s="77">
        <f t="shared" si="5"/>
        <v>4.2</v>
      </c>
      <c r="AP8" s="77">
        <f t="shared" si="5"/>
        <v>4.2</v>
      </c>
      <c r="AQ8" s="77">
        <f t="shared" si="5"/>
        <v>4.2</v>
      </c>
      <c r="AR8" s="77">
        <f t="shared" si="5"/>
        <v>4.2</v>
      </c>
      <c r="AS8" s="77">
        <f t="shared" si="5"/>
        <v>4.2</v>
      </c>
      <c r="AT8" s="77">
        <f t="shared" si="5"/>
        <v>4.2</v>
      </c>
      <c r="AU8" s="77">
        <f t="shared" si="5"/>
        <v>4.2</v>
      </c>
      <c r="AV8" s="77">
        <f t="shared" si="5"/>
        <v>4.2</v>
      </c>
      <c r="AW8" s="77">
        <f t="shared" si="5"/>
        <v>4.2</v>
      </c>
      <c r="AX8" s="77">
        <f t="shared" si="5"/>
        <v>4.2</v>
      </c>
      <c r="AY8" s="77">
        <f t="shared" si="5"/>
        <v>4.2</v>
      </c>
      <c r="AZ8" s="77">
        <f t="shared" si="5"/>
        <v>4.2</v>
      </c>
      <c r="BA8" s="77">
        <f t="shared" si="5"/>
        <v>4.2</v>
      </c>
      <c r="BB8" s="77">
        <f t="shared" si="5"/>
        <v>4.2</v>
      </c>
      <c r="BC8" s="77">
        <f t="shared" si="5"/>
        <v>4.2</v>
      </c>
      <c r="BD8" s="77">
        <f t="shared" si="5"/>
        <v>4.2</v>
      </c>
      <c r="BE8" s="77">
        <f t="shared" si="5"/>
        <v>4.2</v>
      </c>
      <c r="BF8" s="77">
        <f t="shared" si="5"/>
        <v>4.2</v>
      </c>
      <c r="BG8" s="77">
        <f t="shared" si="5"/>
        <v>4.2</v>
      </c>
      <c r="BH8" s="77">
        <f t="shared" si="5"/>
        <v>4.2</v>
      </c>
      <c r="BI8" s="77">
        <f t="shared" si="5"/>
        <v>4.2</v>
      </c>
      <c r="BJ8" s="77">
        <f t="shared" si="5"/>
        <v>4.2</v>
      </c>
      <c r="BK8" s="77">
        <f t="shared" si="5"/>
        <v>4.2</v>
      </c>
      <c r="BL8" s="77">
        <f t="shared" si="5"/>
        <v>4.2</v>
      </c>
      <c r="BM8" s="77">
        <f t="shared" si="5"/>
        <v>4.2</v>
      </c>
      <c r="BN8" s="77">
        <f t="shared" si="5"/>
        <v>4.2</v>
      </c>
      <c r="BO8" s="77">
        <f t="shared" si="5"/>
        <v>4.2</v>
      </c>
      <c r="BP8" s="77">
        <f t="shared" si="5"/>
        <v>4.2</v>
      </c>
      <c r="BQ8" s="77">
        <f t="shared" si="5"/>
        <v>4.2</v>
      </c>
      <c r="BR8" s="77">
        <f t="shared" si="5"/>
        <v>4.2</v>
      </c>
      <c r="BS8" s="77">
        <f t="shared" si="5"/>
        <v>4.2</v>
      </c>
      <c r="BT8" s="77">
        <f t="shared" si="5"/>
        <v>4.2</v>
      </c>
      <c r="BU8" s="77">
        <f t="shared" si="5"/>
        <v>4.2</v>
      </c>
      <c r="BV8" s="77">
        <f t="shared" si="5"/>
        <v>4.2</v>
      </c>
      <c r="BW8" s="77">
        <f t="shared" si="5"/>
        <v>4.2</v>
      </c>
      <c r="BX8" s="77">
        <f t="shared" si="5"/>
        <v>4.2</v>
      </c>
      <c r="BY8" s="77">
        <f t="shared" si="5"/>
        <v>4.2</v>
      </c>
      <c r="BZ8" s="77">
        <f t="shared" si="5"/>
        <v>4.2</v>
      </c>
      <c r="CA8" s="77">
        <f t="shared" si="5"/>
        <v>4.2</v>
      </c>
      <c r="CB8" s="77">
        <f t="shared" si="5"/>
        <v>4.2</v>
      </c>
      <c r="CC8" s="77">
        <f t="shared" si="5"/>
        <v>4.2</v>
      </c>
      <c r="CD8" s="77">
        <f t="shared" si="5"/>
        <v>4.2</v>
      </c>
      <c r="CE8" s="77">
        <f t="shared" si="5"/>
        <v>4.2</v>
      </c>
      <c r="CF8" s="77">
        <f t="shared" si="5"/>
        <v>4.2</v>
      </c>
      <c r="CG8" s="77">
        <f t="shared" si="5"/>
        <v>4.2</v>
      </c>
      <c r="CH8" s="77">
        <f t="shared" si="5"/>
        <v>4.2</v>
      </c>
      <c r="CI8" s="77">
        <f t="shared" si="5"/>
        <v>4.2</v>
      </c>
      <c r="CJ8" s="77">
        <f t="shared" si="5"/>
        <v>4.2</v>
      </c>
      <c r="CK8" s="77">
        <f t="shared" si="5"/>
        <v>4.2</v>
      </c>
      <c r="CL8" s="77">
        <f t="shared" si="5"/>
        <v>4.2</v>
      </c>
      <c r="CM8" s="77">
        <f t="shared" si="5"/>
        <v>4.2</v>
      </c>
      <c r="CN8" s="77">
        <f t="shared" si="5"/>
        <v>4.2</v>
      </c>
      <c r="CO8" s="77">
        <f t="shared" si="5"/>
        <v>4.2</v>
      </c>
      <c r="CP8" s="77">
        <f t="shared" si="5"/>
        <v>4.2</v>
      </c>
      <c r="CQ8" s="77">
        <f t="shared" si="5"/>
        <v>4.2</v>
      </c>
      <c r="CR8" s="77">
        <f t="shared" si="5"/>
        <v>4.2</v>
      </c>
      <c r="CS8" s="77">
        <f t="shared" si="5"/>
        <v>4.2</v>
      </c>
      <c r="CT8" s="77">
        <f t="shared" si="5"/>
        <v>4.2</v>
      </c>
      <c r="CU8" s="77">
        <f t="shared" si="5"/>
        <v>4.2</v>
      </c>
      <c r="CV8" s="77">
        <f t="shared" si="5"/>
        <v>4.2</v>
      </c>
      <c r="CW8" s="77">
        <f t="shared" si="5"/>
        <v>4.2</v>
      </c>
      <c r="CX8" s="77">
        <f t="shared" si="5"/>
        <v>4.2</v>
      </c>
      <c r="CY8" s="77">
        <f t="shared" si="5"/>
        <v>4.2</v>
      </c>
      <c r="CZ8" s="77">
        <f t="shared" si="5"/>
        <v>4.2</v>
      </c>
      <c r="DA8" s="77">
        <f t="shared" si="5"/>
        <v>4.2</v>
      </c>
      <c r="DB8" s="77">
        <f t="shared" si="5"/>
        <v>4.2</v>
      </c>
      <c r="DC8" s="77">
        <f t="shared" si="5"/>
        <v>4.2</v>
      </c>
      <c r="DD8" s="77">
        <f t="shared" si="5"/>
        <v>4.2</v>
      </c>
      <c r="DE8" s="77">
        <f t="shared" si="5"/>
        <v>4.2</v>
      </c>
      <c r="DF8" s="77">
        <f t="shared" si="5"/>
        <v>4.2</v>
      </c>
      <c r="DG8" s="77">
        <f t="shared" si="5"/>
        <v>4.2</v>
      </c>
      <c r="DH8" s="77">
        <f t="shared" si="5"/>
        <v>4.2</v>
      </c>
      <c r="DI8" s="77">
        <f t="shared" si="5"/>
        <v>4.2</v>
      </c>
      <c r="DJ8" s="77">
        <f t="shared" si="5"/>
        <v>4.2</v>
      </c>
      <c r="DK8" s="77">
        <f t="shared" si="5"/>
        <v>4.2</v>
      </c>
      <c r="DL8" s="77">
        <f t="shared" si="5"/>
        <v>4.2</v>
      </c>
      <c r="DM8" s="77">
        <f t="shared" si="5"/>
        <v>4.2</v>
      </c>
      <c r="DN8" s="77">
        <f t="shared" si="5"/>
        <v>4.2</v>
      </c>
      <c r="DO8" s="77">
        <f t="shared" si="5"/>
        <v>4.2</v>
      </c>
      <c r="DP8" s="77">
        <f t="shared" si="5"/>
        <v>4.2</v>
      </c>
      <c r="DQ8" s="77">
        <f t="shared" si="5"/>
        <v>4.2</v>
      </c>
      <c r="DR8" s="77">
        <f t="shared" si="5"/>
        <v>4.2</v>
      </c>
      <c r="DS8" s="77">
        <f t="shared" si="5"/>
        <v>4.2</v>
      </c>
      <c r="DT8" s="77">
        <f t="shared" si="5"/>
        <v>4.2</v>
      </c>
      <c r="DU8" s="77">
        <f t="shared" si="5"/>
        <v>4.2</v>
      </c>
      <c r="DV8" s="77">
        <f t="shared" si="5"/>
        <v>4.2</v>
      </c>
      <c r="DW8" s="77">
        <f t="shared" si="5"/>
        <v>4.2</v>
      </c>
      <c r="DX8" s="77">
        <f t="shared" si="5"/>
        <v>4.2</v>
      </c>
      <c r="DY8" s="77">
        <f t="shared" si="5"/>
        <v>4.2</v>
      </c>
      <c r="DZ8" s="77">
        <f t="shared" si="5"/>
        <v>4.2</v>
      </c>
      <c r="EA8" s="77">
        <f t="shared" si="5"/>
        <v>4.2</v>
      </c>
      <c r="EB8" s="77">
        <f t="shared" si="5"/>
        <v>4.2</v>
      </c>
      <c r="EC8" s="77">
        <f t="shared" si="5"/>
        <v>4.2</v>
      </c>
      <c r="ED8" s="77">
        <f t="shared" si="5"/>
        <v>4.2</v>
      </c>
      <c r="EE8" s="77">
        <f t="shared" si="5"/>
        <v>4.2</v>
      </c>
      <c r="EF8" s="77">
        <f t="shared" si="5"/>
        <v>4.2</v>
      </c>
      <c r="EG8" s="77">
        <f t="shared" si="5"/>
        <v>4.2</v>
      </c>
      <c r="EH8" s="77">
        <f t="shared" si="5"/>
        <v>4.2</v>
      </c>
      <c r="EI8" s="77">
        <f t="shared" si="5"/>
        <v>4.2</v>
      </c>
      <c r="EJ8" s="77">
        <f t="shared" si="5"/>
        <v>4.2</v>
      </c>
      <c r="EK8" s="77">
        <f t="shared" si="5"/>
        <v>4.2</v>
      </c>
      <c r="EL8" s="77">
        <f t="shared" si="5"/>
        <v>4.2</v>
      </c>
      <c r="EM8" s="77">
        <f t="shared" si="5"/>
        <v>4.2</v>
      </c>
      <c r="EN8" s="77">
        <f t="shared" si="5"/>
        <v>4.2</v>
      </c>
      <c r="EO8" s="77">
        <f t="shared" si="5"/>
        <v>4.2</v>
      </c>
      <c r="EP8" s="77">
        <f t="shared" si="5"/>
        <v>4.2</v>
      </c>
      <c r="EQ8" s="77">
        <f t="shared" si="5"/>
        <v>4.2</v>
      </c>
      <c r="ER8" s="77">
        <f t="shared" si="5"/>
        <v>4.2</v>
      </c>
      <c r="ES8" s="77">
        <f t="shared" si="5"/>
        <v>4.2</v>
      </c>
      <c r="ET8" s="77">
        <f t="shared" si="5"/>
        <v>4.2</v>
      </c>
      <c r="EU8" s="77">
        <f t="shared" si="5"/>
        <v>4.2</v>
      </c>
      <c r="EV8" s="77">
        <f t="shared" si="5"/>
        <v>4.2</v>
      </c>
      <c r="EW8" s="77">
        <f t="shared" si="5"/>
        <v>4.2</v>
      </c>
      <c r="EX8" s="77">
        <f t="shared" si="5"/>
        <v>4.2</v>
      </c>
      <c r="EY8" s="77">
        <f t="shared" si="5"/>
        <v>4.2</v>
      </c>
      <c r="EZ8" s="77">
        <f t="shared" si="5"/>
        <v>4.2</v>
      </c>
      <c r="FA8" s="77">
        <f t="shared" si="5"/>
        <v>4.2</v>
      </c>
      <c r="FB8" s="77">
        <f t="shared" si="5"/>
        <v>4.2</v>
      </c>
      <c r="FC8" s="77">
        <f t="shared" si="5"/>
        <v>4.2</v>
      </c>
      <c r="FD8" s="77">
        <f t="shared" si="5"/>
        <v>4.2</v>
      </c>
      <c r="FE8" s="77">
        <f t="shared" si="5"/>
        <v>4.2</v>
      </c>
      <c r="FF8" s="77">
        <f t="shared" si="5"/>
        <v>4.2</v>
      </c>
      <c r="FG8" s="77">
        <f t="shared" si="5"/>
        <v>4.2</v>
      </c>
      <c r="FH8" s="77">
        <f t="shared" si="5"/>
        <v>4.2</v>
      </c>
      <c r="FI8" s="77">
        <f t="shared" si="5"/>
        <v>4.2</v>
      </c>
      <c r="FJ8" s="77">
        <f t="shared" si="5"/>
        <v>4.2</v>
      </c>
      <c r="FK8" s="77">
        <f t="shared" si="5"/>
        <v>4.2</v>
      </c>
      <c r="FL8" s="77">
        <f t="shared" si="5"/>
        <v>4.2</v>
      </c>
      <c r="FM8" s="77">
        <f t="shared" si="5"/>
        <v>4.2</v>
      </c>
      <c r="FN8" s="77">
        <f t="shared" si="5"/>
        <v>4.2</v>
      </c>
      <c r="FO8" s="77">
        <f t="shared" si="5"/>
        <v>4.2</v>
      </c>
      <c r="FP8" s="77">
        <f t="shared" si="5"/>
        <v>4.2</v>
      </c>
      <c r="FQ8" s="77">
        <f t="shared" si="5"/>
        <v>4.2</v>
      </c>
      <c r="FR8" s="77">
        <f t="shared" si="5"/>
        <v>4.2</v>
      </c>
      <c r="FS8" s="77">
        <f t="shared" si="5"/>
        <v>4.2</v>
      </c>
      <c r="FT8" s="77">
        <f t="shared" si="5"/>
        <v>4.2</v>
      </c>
      <c r="FU8" s="77">
        <f t="shared" si="5"/>
        <v>4.2</v>
      </c>
      <c r="FV8" s="77">
        <f t="shared" si="5"/>
        <v>4.2</v>
      </c>
      <c r="FW8" s="77">
        <f t="shared" si="5"/>
        <v>4.2</v>
      </c>
      <c r="FX8" s="77">
        <f t="shared" si="5"/>
        <v>4.2</v>
      </c>
      <c r="FY8" s="77">
        <f t="shared" si="5"/>
        <v>4.2</v>
      </c>
      <c r="FZ8" s="77">
        <f t="shared" si="5"/>
        <v>4.2</v>
      </c>
      <c r="GA8" s="77">
        <f t="shared" si="5"/>
        <v>4.2</v>
      </c>
      <c r="GB8" s="77">
        <f t="shared" si="5"/>
        <v>4.2</v>
      </c>
      <c r="GC8" s="77">
        <f t="shared" si="5"/>
        <v>4.2</v>
      </c>
      <c r="GD8" s="77">
        <f t="shared" si="5"/>
        <v>4.2</v>
      </c>
      <c r="GE8" s="77">
        <f t="shared" si="5"/>
        <v>4.2</v>
      </c>
      <c r="GF8" s="77">
        <f t="shared" si="5"/>
        <v>4.2</v>
      </c>
      <c r="GG8" s="77">
        <f t="shared" si="5"/>
        <v>4.2</v>
      </c>
      <c r="GH8" s="77">
        <f t="shared" si="5"/>
        <v>4.2</v>
      </c>
      <c r="GI8" s="77">
        <f t="shared" si="5"/>
        <v>4.2</v>
      </c>
      <c r="GJ8" s="77">
        <f t="shared" si="5"/>
        <v>4.2</v>
      </c>
      <c r="GK8" s="77">
        <f t="shared" si="5"/>
        <v>4.2</v>
      </c>
      <c r="GL8" s="77">
        <f t="shared" si="5"/>
        <v>4.2</v>
      </c>
      <c r="GM8" s="77">
        <f t="shared" si="5"/>
        <v>4.2</v>
      </c>
      <c r="GN8" s="77">
        <f t="shared" si="5"/>
        <v>4.2</v>
      </c>
      <c r="GO8" s="77">
        <f t="shared" si="5"/>
        <v>4.2</v>
      </c>
      <c r="GP8" s="77">
        <f t="shared" si="5"/>
        <v>4.2</v>
      </c>
      <c r="GQ8" s="77">
        <f t="shared" si="5"/>
        <v>4.2</v>
      </c>
      <c r="GR8" s="77">
        <f t="shared" si="5"/>
        <v>4.2</v>
      </c>
      <c r="GS8" s="77">
        <f t="shared" si="5"/>
        <v>4.2</v>
      </c>
      <c r="GT8" s="77">
        <f t="shared" si="5"/>
        <v>4.2</v>
      </c>
      <c r="GU8" s="77">
        <f t="shared" si="5"/>
        <v>4.2</v>
      </c>
      <c r="GV8" s="77">
        <f t="shared" si="5"/>
        <v>4.2</v>
      </c>
      <c r="GW8" s="77">
        <f t="shared" si="5"/>
        <v>4.2</v>
      </c>
      <c r="GX8" s="77">
        <f t="shared" si="5"/>
        <v>4.2</v>
      </c>
      <c r="GY8" s="77">
        <f t="shared" si="5"/>
        <v>4.2</v>
      </c>
      <c r="GZ8" s="77">
        <f t="shared" si="5"/>
        <v>4.2</v>
      </c>
      <c r="HA8" s="77">
        <f t="shared" si="5"/>
        <v>4.2</v>
      </c>
      <c r="HB8" s="77">
        <f t="shared" si="5"/>
        <v>4.2</v>
      </c>
      <c r="HC8" s="77">
        <f t="shared" si="5"/>
        <v>4.2</v>
      </c>
      <c r="HD8" s="77">
        <f t="shared" si="5"/>
        <v>4.2</v>
      </c>
      <c r="HE8" s="77">
        <f t="shared" si="5"/>
        <v>4.2</v>
      </c>
      <c r="HF8" s="77">
        <f t="shared" si="5"/>
        <v>4.2</v>
      </c>
      <c r="HG8" s="77">
        <f t="shared" si="5"/>
        <v>4.2</v>
      </c>
      <c r="HH8" s="77">
        <f t="shared" si="5"/>
        <v>4.2</v>
      </c>
      <c r="HI8" s="77">
        <f t="shared" si="5"/>
        <v>4.2</v>
      </c>
      <c r="HJ8" s="77">
        <f t="shared" si="5"/>
        <v>4.2</v>
      </c>
      <c r="HK8" s="77">
        <f t="shared" si="5"/>
        <v>4.2</v>
      </c>
      <c r="HL8" s="77">
        <f t="shared" si="5"/>
        <v>4.2</v>
      </c>
      <c r="HM8" s="77">
        <f t="shared" si="5"/>
        <v>4.2</v>
      </c>
      <c r="HN8" s="77">
        <f t="shared" si="5"/>
        <v>4.2</v>
      </c>
      <c r="HO8" s="77">
        <f t="shared" si="5"/>
        <v>4.2</v>
      </c>
      <c r="HP8" s="77">
        <f t="shared" si="5"/>
        <v>4.2</v>
      </c>
      <c r="HQ8" s="77">
        <f t="shared" si="5"/>
        <v>4.2</v>
      </c>
      <c r="HR8" s="77">
        <f t="shared" si="5"/>
        <v>4.2</v>
      </c>
      <c r="HS8" s="77">
        <f t="shared" si="5"/>
        <v>4.2</v>
      </c>
      <c r="HT8" s="77">
        <f t="shared" si="5"/>
        <v>4.2</v>
      </c>
      <c r="HU8" s="77">
        <f t="shared" si="5"/>
        <v>4.2</v>
      </c>
      <c r="HV8" s="77">
        <f t="shared" si="5"/>
        <v>4.2</v>
      </c>
      <c r="HW8" s="77">
        <f t="shared" si="5"/>
        <v>4.2</v>
      </c>
      <c r="HX8" s="77">
        <f t="shared" si="5"/>
        <v>4.2</v>
      </c>
      <c r="HY8" s="77">
        <f t="shared" si="5"/>
        <v>4.2</v>
      </c>
      <c r="HZ8" s="77">
        <f t="shared" si="5"/>
        <v>4.2</v>
      </c>
      <c r="IA8" s="77">
        <f t="shared" si="5"/>
        <v>4.2</v>
      </c>
      <c r="IB8" s="77">
        <f t="shared" si="5"/>
        <v>4.2</v>
      </c>
      <c r="IC8" s="77">
        <f t="shared" si="5"/>
        <v>4.2</v>
      </c>
      <c r="ID8" s="77">
        <f t="shared" si="5"/>
        <v>4.2</v>
      </c>
      <c r="IE8" s="77">
        <f t="shared" si="5"/>
        <v>4.2</v>
      </c>
      <c r="IF8" s="77">
        <f t="shared" si="5"/>
        <v>4.2</v>
      </c>
      <c r="IG8" s="77">
        <f t="shared" si="5"/>
        <v>4.2</v>
      </c>
      <c r="IH8" s="77">
        <f t="shared" si="5"/>
        <v>4.2</v>
      </c>
      <c r="II8" s="77">
        <f t="shared" si="5"/>
        <v>4.2</v>
      </c>
      <c r="IJ8" s="77">
        <f t="shared" si="5"/>
        <v>4.2</v>
      </c>
      <c r="IK8" s="77">
        <f t="shared" si="5"/>
        <v>4.2</v>
      </c>
      <c r="IL8" s="77">
        <f t="shared" si="5"/>
        <v>4.2</v>
      </c>
      <c r="IM8" s="77">
        <f t="shared" si="5"/>
        <v>4.2</v>
      </c>
      <c r="IN8" s="77">
        <f t="shared" si="5"/>
        <v>4.2</v>
      </c>
      <c r="IO8" s="77">
        <f t="shared" si="5"/>
        <v>4.2</v>
      </c>
      <c r="IP8" s="77">
        <f t="shared" si="5"/>
        <v>4.2</v>
      </c>
      <c r="IQ8" s="77">
        <f t="shared" si="5"/>
        <v>4.2</v>
      </c>
      <c r="IR8" s="77">
        <f t="shared" si="5"/>
        <v>4.2</v>
      </c>
      <c r="IS8" s="77">
        <f t="shared" si="5"/>
        <v>4.2</v>
      </c>
      <c r="IT8" s="77">
        <f t="shared" si="5"/>
        <v>4.2</v>
      </c>
      <c r="IU8" s="77">
        <f t="shared" si="5"/>
        <v>4.2</v>
      </c>
      <c r="IV8" s="77">
        <f t="shared" si="5"/>
        <v>4.2</v>
      </c>
      <c r="IW8" s="77">
        <f t="shared" si="5"/>
        <v>4.2</v>
      </c>
      <c r="IX8" s="77">
        <f t="shared" si="5"/>
        <v>4.2</v>
      </c>
      <c r="IY8" s="77">
        <f t="shared" si="5"/>
        <v>4.2</v>
      </c>
      <c r="IZ8" s="77">
        <f t="shared" si="5"/>
        <v>4.2</v>
      </c>
      <c r="JA8" s="77">
        <f t="shared" si="5"/>
        <v>4.2</v>
      </c>
      <c r="JB8" s="77">
        <f t="shared" si="5"/>
        <v>4.2</v>
      </c>
      <c r="JC8" s="77">
        <f t="shared" si="5"/>
        <v>4.2</v>
      </c>
      <c r="JD8" s="77">
        <f t="shared" si="5"/>
        <v>4.2</v>
      </c>
      <c r="JE8" s="77">
        <f t="shared" si="5"/>
        <v>4.2</v>
      </c>
      <c r="JF8" s="77">
        <f t="shared" si="5"/>
        <v>4.2</v>
      </c>
      <c r="JG8" s="77">
        <f t="shared" si="5"/>
        <v>4.2</v>
      </c>
      <c r="JH8" s="77">
        <f t="shared" si="5"/>
        <v>4.2</v>
      </c>
      <c r="JI8" s="77">
        <f t="shared" si="5"/>
        <v>4.2</v>
      </c>
      <c r="JJ8" s="77">
        <f t="shared" si="5"/>
        <v>4.2</v>
      </c>
      <c r="JK8" s="77">
        <f t="shared" si="5"/>
        <v>4.2</v>
      </c>
      <c r="JL8" s="77">
        <f t="shared" si="5"/>
        <v>4.2</v>
      </c>
      <c r="JM8" s="77">
        <f t="shared" si="5"/>
        <v>4.2</v>
      </c>
      <c r="JN8" s="77">
        <f t="shared" si="5"/>
        <v>4.2</v>
      </c>
      <c r="JO8" s="77">
        <f t="shared" si="5"/>
        <v>4.2</v>
      </c>
      <c r="JP8" s="77">
        <f t="shared" si="5"/>
        <v>4.2</v>
      </c>
      <c r="JQ8" s="77">
        <f t="shared" si="5"/>
        <v>4.2</v>
      </c>
      <c r="JR8" s="77">
        <f t="shared" si="5"/>
        <v>4.2</v>
      </c>
      <c r="JS8" s="77">
        <f t="shared" si="5"/>
        <v>4.2</v>
      </c>
      <c r="JT8" s="77">
        <f t="shared" si="5"/>
        <v>4.2</v>
      </c>
      <c r="JU8" s="77">
        <f t="shared" si="5"/>
        <v>4.2</v>
      </c>
      <c r="JV8" s="77">
        <f t="shared" si="5"/>
        <v>4.2</v>
      </c>
      <c r="JW8" s="77">
        <f t="shared" si="5"/>
        <v>4.2</v>
      </c>
      <c r="JX8" s="77">
        <f t="shared" si="5"/>
        <v>4.2</v>
      </c>
      <c r="JY8" s="77">
        <f t="shared" si="5"/>
        <v>4.2</v>
      </c>
      <c r="JZ8" s="77">
        <f t="shared" si="5"/>
        <v>4.2</v>
      </c>
      <c r="KA8" s="77">
        <f t="shared" si="5"/>
        <v>4.2</v>
      </c>
      <c r="KB8" s="77">
        <f t="shared" si="5"/>
        <v>4.2</v>
      </c>
      <c r="KC8" s="77">
        <f t="shared" si="5"/>
        <v>4.2</v>
      </c>
      <c r="KD8" s="77">
        <f t="shared" si="5"/>
        <v>4.2</v>
      </c>
      <c r="KE8" s="77">
        <f t="shared" si="5"/>
        <v>4.2</v>
      </c>
      <c r="KF8" s="77">
        <f t="shared" si="5"/>
        <v>4.2</v>
      </c>
      <c r="KG8" s="77">
        <f t="shared" si="5"/>
        <v>4.2</v>
      </c>
      <c r="KH8" s="77">
        <f t="shared" si="5"/>
        <v>4.2</v>
      </c>
      <c r="KI8" s="77">
        <f t="shared" si="5"/>
        <v>4.2</v>
      </c>
      <c r="KJ8" s="77">
        <f t="shared" si="5"/>
        <v>4.2</v>
      </c>
      <c r="KK8" s="77">
        <f t="shared" si="5"/>
        <v>4.2</v>
      </c>
      <c r="KL8" s="77">
        <f t="shared" si="5"/>
        <v>4.2</v>
      </c>
      <c r="KM8" s="77">
        <f t="shared" si="5"/>
        <v>4.2</v>
      </c>
      <c r="KN8" s="77">
        <f t="shared" si="5"/>
        <v>4.2</v>
      </c>
      <c r="KO8" s="77">
        <f t="shared" si="5"/>
        <v>4.2</v>
      </c>
      <c r="KP8" s="77">
        <f t="shared" si="5"/>
        <v>4.2</v>
      </c>
      <c r="KQ8" s="77">
        <f t="shared" si="5"/>
        <v>4.2</v>
      </c>
      <c r="KR8" s="77">
        <f t="shared" si="5"/>
        <v>4.2</v>
      </c>
      <c r="KS8" s="77">
        <f t="shared" si="5"/>
        <v>4.2</v>
      </c>
      <c r="KT8" s="77">
        <f t="shared" si="5"/>
        <v>4.2</v>
      </c>
      <c r="KU8" s="77">
        <f t="shared" si="5"/>
        <v>4.2</v>
      </c>
      <c r="KV8" s="77">
        <f t="shared" si="5"/>
        <v>4.2</v>
      </c>
      <c r="KW8" s="77">
        <f t="shared" si="5"/>
        <v>4.2</v>
      </c>
      <c r="KX8" s="77">
        <f t="shared" si="5"/>
        <v>4.2</v>
      </c>
      <c r="KY8" s="77">
        <f t="shared" si="5"/>
        <v>4.2</v>
      </c>
      <c r="KZ8" s="77">
        <f t="shared" si="5"/>
        <v>4.2</v>
      </c>
      <c r="LA8" s="77">
        <f t="shared" si="5"/>
        <v>4.2</v>
      </c>
      <c r="LB8" s="77">
        <f t="shared" si="5"/>
        <v>4.2</v>
      </c>
      <c r="LC8" s="77">
        <f t="shared" si="5"/>
        <v>4.2</v>
      </c>
      <c r="LD8" s="77">
        <f t="shared" si="5"/>
        <v>4.2</v>
      </c>
      <c r="LE8" s="77">
        <f t="shared" si="5"/>
        <v>4.2</v>
      </c>
      <c r="LF8" s="77">
        <f t="shared" si="5"/>
        <v>4.2</v>
      </c>
      <c r="LG8" s="77">
        <f t="shared" si="5"/>
        <v>4.2</v>
      </c>
      <c r="LH8" s="77">
        <f t="shared" si="5"/>
        <v>4.2</v>
      </c>
      <c r="LI8" s="77">
        <f t="shared" si="5"/>
        <v>4.2</v>
      </c>
      <c r="LJ8" s="77">
        <f t="shared" si="5"/>
        <v>4.2</v>
      </c>
      <c r="LK8" s="77">
        <f t="shared" si="5"/>
        <v>4.2</v>
      </c>
      <c r="LL8" s="77">
        <f t="shared" si="5"/>
        <v>4.2</v>
      </c>
      <c r="LM8" s="77">
        <f t="shared" si="5"/>
        <v>4.2</v>
      </c>
      <c r="LN8" s="77">
        <f t="shared" si="5"/>
        <v>4.2</v>
      </c>
      <c r="LO8" s="77">
        <f t="shared" si="5"/>
        <v>4.2</v>
      </c>
      <c r="LP8" s="77">
        <f t="shared" si="5"/>
        <v>4.2</v>
      </c>
      <c r="LQ8" s="77">
        <f t="shared" si="5"/>
        <v>4.2</v>
      </c>
      <c r="LR8" s="77">
        <f t="shared" si="5"/>
        <v>4.2</v>
      </c>
      <c r="LS8" s="77">
        <f t="shared" si="5"/>
        <v>4.2</v>
      </c>
      <c r="LT8" s="77">
        <f t="shared" si="5"/>
        <v>4.2</v>
      </c>
      <c r="LU8" s="77">
        <f t="shared" si="5"/>
        <v>4.2</v>
      </c>
      <c r="LV8" s="77">
        <f t="shared" si="5"/>
        <v>4.2</v>
      </c>
      <c r="LW8" s="77">
        <f t="shared" si="5"/>
        <v>4.2</v>
      </c>
      <c r="LX8" s="77">
        <f t="shared" si="5"/>
        <v>4.2</v>
      </c>
      <c r="LY8" s="77">
        <f t="shared" si="5"/>
        <v>4.2</v>
      </c>
      <c r="LZ8" s="77">
        <f t="shared" si="5"/>
        <v>4.2</v>
      </c>
      <c r="MA8" s="77">
        <f t="shared" si="5"/>
        <v>4.2</v>
      </c>
      <c r="MB8" s="77">
        <f t="shared" si="5"/>
        <v>4.2</v>
      </c>
      <c r="MC8" s="77">
        <f t="shared" si="5"/>
        <v>4.2</v>
      </c>
      <c r="MD8" s="77">
        <f t="shared" si="5"/>
        <v>4.2</v>
      </c>
      <c r="ME8" s="77">
        <f t="shared" si="5"/>
        <v>4.2</v>
      </c>
      <c r="MF8" s="77">
        <f t="shared" si="5"/>
        <v>4.2</v>
      </c>
      <c r="MG8" s="77">
        <f t="shared" si="5"/>
        <v>4.2</v>
      </c>
      <c r="MH8" s="77">
        <f t="shared" si="5"/>
        <v>4.2</v>
      </c>
      <c r="MI8" s="77">
        <f t="shared" si="5"/>
        <v>4.2</v>
      </c>
      <c r="MJ8" s="77">
        <f t="shared" si="5"/>
        <v>4.2</v>
      </c>
      <c r="MK8" s="77">
        <f t="shared" si="5"/>
        <v>4.2</v>
      </c>
      <c r="ML8" s="77">
        <f t="shared" si="5"/>
        <v>4.2</v>
      </c>
      <c r="MM8" s="77">
        <f t="shared" si="5"/>
        <v>4.2</v>
      </c>
      <c r="MN8" s="77">
        <f t="shared" si="5"/>
        <v>4.2</v>
      </c>
      <c r="MO8" s="77">
        <f t="shared" si="5"/>
        <v>4.2</v>
      </c>
      <c r="MP8" s="77">
        <f t="shared" si="5"/>
        <v>4.2</v>
      </c>
      <c r="MQ8" s="77">
        <f t="shared" si="5"/>
        <v>4.2</v>
      </c>
      <c r="MR8" s="77">
        <f t="shared" si="5"/>
        <v>4.2</v>
      </c>
      <c r="MS8" s="77">
        <f t="shared" si="5"/>
        <v>4.2</v>
      </c>
      <c r="MT8" s="77">
        <f t="shared" si="5"/>
        <v>4.2</v>
      </c>
      <c r="MU8" s="77">
        <f t="shared" si="5"/>
        <v>4.2</v>
      </c>
      <c r="MV8" s="77">
        <f t="shared" si="5"/>
        <v>4.2</v>
      </c>
      <c r="MW8" s="77">
        <f t="shared" si="5"/>
        <v>4.2</v>
      </c>
      <c r="MX8" s="77">
        <f t="shared" si="5"/>
        <v>4.2</v>
      </c>
      <c r="MY8" s="77">
        <f t="shared" si="5"/>
        <v>4.2</v>
      </c>
      <c r="MZ8" s="77">
        <f t="shared" si="5"/>
        <v>4.2</v>
      </c>
      <c r="NA8" s="77">
        <f t="shared" si="5"/>
        <v>4.2</v>
      </c>
      <c r="NB8" s="77">
        <f t="shared" si="5"/>
        <v>4.2</v>
      </c>
      <c r="NC8" s="77">
        <f t="shared" si="5"/>
        <v>4.2</v>
      </c>
      <c r="ND8" s="77">
        <f t="shared" si="5"/>
        <v>4.2</v>
      </c>
      <c r="NE8" s="77">
        <f t="shared" si="5"/>
        <v>4.2</v>
      </c>
      <c r="NF8" s="77">
        <f t="shared" si="5"/>
        <v>4.2</v>
      </c>
      <c r="NG8" s="77">
        <f t="shared" si="5"/>
        <v>4.2</v>
      </c>
      <c r="NH8" s="77">
        <f t="shared" si="5"/>
        <v>4.2</v>
      </c>
      <c r="NI8" s="77">
        <f t="shared" si="5"/>
        <v>4.2</v>
      </c>
      <c r="NJ8" s="77">
        <f t="shared" si="5"/>
        <v>4.2</v>
      </c>
      <c r="NK8" s="77">
        <f t="shared" si="5"/>
        <v>4.2</v>
      </c>
      <c r="NL8" s="77">
        <f t="shared" si="5"/>
        <v>4.2</v>
      </c>
      <c r="NM8" s="77">
        <f t="shared" si="5"/>
        <v>4.2</v>
      </c>
      <c r="NN8" s="77">
        <f t="shared" si="5"/>
        <v>4.2</v>
      </c>
      <c r="NO8" s="77">
        <f t="shared" si="5"/>
        <v>4.2</v>
      </c>
      <c r="NP8" s="77">
        <f t="shared" si="5"/>
        <v>4.2</v>
      </c>
      <c r="NQ8" s="77">
        <f t="shared" si="5"/>
        <v>4.2</v>
      </c>
      <c r="NR8" s="77">
        <f t="shared" si="5"/>
        <v>4.2</v>
      </c>
      <c r="NS8" s="77">
        <f t="shared" si="5"/>
        <v>4.2</v>
      </c>
      <c r="NT8" s="77">
        <f t="shared" si="5"/>
        <v>4.2</v>
      </c>
      <c r="NU8" s="77">
        <f t="shared" si="5"/>
        <v>4.2</v>
      </c>
      <c r="NV8" s="77">
        <f t="shared" si="5"/>
        <v>4.2</v>
      </c>
      <c r="NW8" s="77">
        <f t="shared" si="5"/>
        <v>4.2</v>
      </c>
      <c r="NX8" s="77">
        <f t="shared" si="5"/>
        <v>4.2</v>
      </c>
      <c r="NY8" s="77">
        <f t="shared" si="5"/>
        <v>4.2</v>
      </c>
      <c r="NZ8" s="77">
        <f t="shared" si="5"/>
        <v>4.2</v>
      </c>
      <c r="OA8" s="77">
        <f t="shared" si="5"/>
        <v>4.2</v>
      </c>
      <c r="OB8" s="77">
        <f t="shared" si="5"/>
        <v>4.2</v>
      </c>
      <c r="OC8" s="77">
        <f t="shared" si="5"/>
        <v>4.2</v>
      </c>
      <c r="OD8" s="77">
        <f t="shared" si="5"/>
        <v>4.2</v>
      </c>
      <c r="OE8" s="77">
        <f t="shared" si="5"/>
        <v>4.2</v>
      </c>
      <c r="OF8" s="77">
        <f t="shared" si="5"/>
        <v>4.2</v>
      </c>
      <c r="OG8" s="77">
        <f t="shared" si="5"/>
        <v>4.2</v>
      </c>
      <c r="OH8" s="77">
        <f t="shared" si="5"/>
        <v>4.2</v>
      </c>
      <c r="OI8" s="77">
        <f t="shared" si="5"/>
        <v>4.2</v>
      </c>
      <c r="OJ8" s="77">
        <f t="shared" si="5"/>
        <v>4.2</v>
      </c>
      <c r="OK8" s="77">
        <f t="shared" si="5"/>
        <v>4.2</v>
      </c>
      <c r="OL8" s="77">
        <f t="shared" si="5"/>
        <v>4.2</v>
      </c>
      <c r="OM8" s="77">
        <f t="shared" si="5"/>
        <v>4.2</v>
      </c>
      <c r="ON8" s="77">
        <f t="shared" si="5"/>
        <v>4.2</v>
      </c>
      <c r="OO8" s="77">
        <f t="shared" si="5"/>
        <v>4.2</v>
      </c>
      <c r="OP8" s="77">
        <f t="shared" si="5"/>
        <v>4.2</v>
      </c>
      <c r="OQ8" s="77">
        <f t="shared" si="5"/>
        <v>4.2</v>
      </c>
      <c r="OR8" s="77">
        <f t="shared" si="5"/>
        <v>4.2</v>
      </c>
      <c r="OS8" s="77">
        <f t="shared" si="5"/>
        <v>4.2</v>
      </c>
      <c r="OT8" s="77">
        <f t="shared" si="5"/>
        <v>4.2</v>
      </c>
      <c r="OU8" s="77">
        <f t="shared" si="5"/>
        <v>4.2</v>
      </c>
      <c r="OV8" s="77">
        <f t="shared" si="5"/>
        <v>4.2</v>
      </c>
      <c r="OW8" s="77">
        <f t="shared" si="5"/>
        <v>4.2</v>
      </c>
      <c r="OX8" s="77">
        <f t="shared" si="5"/>
        <v>4.2</v>
      </c>
      <c r="OY8" s="77">
        <f t="shared" si="5"/>
        <v>4.2</v>
      </c>
      <c r="OZ8" s="77">
        <f t="shared" si="5"/>
        <v>4.2</v>
      </c>
      <c r="PA8" s="77">
        <f t="shared" si="5"/>
        <v>4.2</v>
      </c>
      <c r="PB8" s="77">
        <f t="shared" si="5"/>
        <v>4.2</v>
      </c>
      <c r="PC8" s="77">
        <f t="shared" si="5"/>
        <v>4.2</v>
      </c>
      <c r="PD8" s="77">
        <f t="shared" si="5"/>
        <v>4.2</v>
      </c>
      <c r="PE8" s="77">
        <f t="shared" si="5"/>
        <v>4.2</v>
      </c>
      <c r="PF8" s="77">
        <f t="shared" si="5"/>
        <v>4.2</v>
      </c>
      <c r="PG8" s="77">
        <f t="shared" si="5"/>
        <v>4.2</v>
      </c>
      <c r="PH8" s="77">
        <f t="shared" si="5"/>
        <v>4.2</v>
      </c>
      <c r="PI8" s="77">
        <f t="shared" si="5"/>
        <v>4.2</v>
      </c>
      <c r="PJ8" s="77">
        <f t="shared" si="5"/>
        <v>4.2</v>
      </c>
      <c r="PK8" s="77">
        <f t="shared" si="5"/>
        <v>4.2</v>
      </c>
      <c r="PL8" s="77">
        <f t="shared" si="5"/>
        <v>4.2</v>
      </c>
      <c r="PM8" s="77">
        <f t="shared" si="5"/>
        <v>4.2</v>
      </c>
      <c r="PN8" s="77">
        <f t="shared" si="5"/>
        <v>4.2</v>
      </c>
      <c r="PO8" s="77">
        <f t="shared" si="5"/>
        <v>4.2</v>
      </c>
      <c r="PP8" s="77">
        <f t="shared" si="5"/>
        <v>4.2</v>
      </c>
      <c r="PQ8" s="77">
        <f t="shared" si="5"/>
        <v>4.2</v>
      </c>
      <c r="PR8" s="77">
        <f t="shared" si="5"/>
        <v>4.2</v>
      </c>
      <c r="PS8" s="77">
        <f t="shared" si="5"/>
        <v>4.2</v>
      </c>
      <c r="PT8" s="77">
        <f t="shared" si="5"/>
        <v>4.2</v>
      </c>
      <c r="PU8" s="77">
        <f t="shared" si="5"/>
        <v>4.2</v>
      </c>
      <c r="PV8" s="77">
        <f t="shared" si="5"/>
        <v>4.2</v>
      </c>
      <c r="PW8" s="77">
        <f t="shared" si="5"/>
        <v>4.2</v>
      </c>
      <c r="PX8" s="77">
        <f t="shared" si="5"/>
        <v>4.2</v>
      </c>
      <c r="PY8" s="77">
        <f t="shared" si="5"/>
        <v>4.2</v>
      </c>
      <c r="PZ8" s="77">
        <f t="shared" si="5"/>
        <v>4.2</v>
      </c>
      <c r="QA8" s="77">
        <f t="shared" si="5"/>
        <v>4.2</v>
      </c>
      <c r="QB8" s="77">
        <f t="shared" si="5"/>
        <v>4.2</v>
      </c>
      <c r="QC8" s="77">
        <f t="shared" si="5"/>
        <v>4.2</v>
      </c>
      <c r="QD8" s="77">
        <f t="shared" si="5"/>
        <v>4.2</v>
      </c>
      <c r="QE8" s="77">
        <f t="shared" si="5"/>
        <v>4.2</v>
      </c>
      <c r="QF8" s="77">
        <f t="shared" si="5"/>
        <v>4.2</v>
      </c>
      <c r="QG8" s="77">
        <f t="shared" si="5"/>
        <v>4.2</v>
      </c>
      <c r="QH8" s="77">
        <f t="shared" si="5"/>
        <v>4.2</v>
      </c>
      <c r="QI8" s="77">
        <f t="shared" si="5"/>
        <v>4.2</v>
      </c>
      <c r="QJ8" s="77">
        <f t="shared" si="5"/>
        <v>4.2</v>
      </c>
      <c r="QK8" s="77">
        <f t="shared" si="5"/>
        <v>4.2</v>
      </c>
      <c r="QL8" s="77">
        <f t="shared" si="5"/>
        <v>4.2</v>
      </c>
      <c r="QM8" s="77">
        <f t="shared" si="5"/>
        <v>4.2</v>
      </c>
      <c r="QN8" s="77">
        <f t="shared" si="5"/>
        <v>4.2</v>
      </c>
      <c r="QO8" s="77">
        <f t="shared" si="5"/>
        <v>4.2</v>
      </c>
      <c r="QP8" s="77">
        <f t="shared" si="5"/>
        <v>4.2</v>
      </c>
      <c r="QQ8" s="77">
        <f t="shared" si="5"/>
        <v>4.2</v>
      </c>
      <c r="QR8" s="77">
        <f t="shared" si="5"/>
        <v>4.2</v>
      </c>
      <c r="QS8" s="77">
        <f t="shared" si="5"/>
        <v>4.2</v>
      </c>
      <c r="QT8" s="77">
        <f t="shared" si="5"/>
        <v>4.2</v>
      </c>
      <c r="QU8" s="77">
        <f t="shared" si="5"/>
        <v>4.2</v>
      </c>
      <c r="QV8" s="77">
        <f t="shared" si="5"/>
        <v>4.2</v>
      </c>
      <c r="QW8" s="77">
        <f t="shared" si="5"/>
        <v>4.2</v>
      </c>
      <c r="QX8" s="77">
        <f t="shared" si="5"/>
        <v>4.2</v>
      </c>
      <c r="QY8" s="77">
        <f t="shared" si="5"/>
        <v>4.2</v>
      </c>
      <c r="QZ8" s="77">
        <f t="shared" si="5"/>
        <v>4.2</v>
      </c>
      <c r="RA8" s="77">
        <f t="shared" si="5"/>
        <v>4.2</v>
      </c>
      <c r="RB8" s="77">
        <f t="shared" si="5"/>
        <v>4.2</v>
      </c>
      <c r="RC8" s="77">
        <f t="shared" si="5"/>
        <v>4.2</v>
      </c>
      <c r="RD8" s="77">
        <f t="shared" si="5"/>
        <v>4.2</v>
      </c>
      <c r="RE8" s="77">
        <f t="shared" si="5"/>
        <v>4.2</v>
      </c>
      <c r="RF8" s="77">
        <f t="shared" si="5"/>
        <v>4.2</v>
      </c>
      <c r="RG8" s="77">
        <f t="shared" si="5"/>
        <v>4.2</v>
      </c>
      <c r="RH8" s="77">
        <f t="shared" si="5"/>
        <v>4.2</v>
      </c>
      <c r="RI8" s="77">
        <f t="shared" si="5"/>
        <v>4.2</v>
      </c>
      <c r="RJ8" s="77">
        <f t="shared" si="5"/>
        <v>4.2</v>
      </c>
      <c r="RK8" s="77">
        <f t="shared" si="5"/>
        <v>4.2</v>
      </c>
      <c r="RL8" s="77">
        <f t="shared" si="5"/>
        <v>4.2</v>
      </c>
      <c r="RM8" s="77">
        <f t="shared" si="5"/>
        <v>4.2</v>
      </c>
      <c r="RN8" s="77">
        <f t="shared" si="5"/>
        <v>4.2</v>
      </c>
      <c r="RO8" s="77">
        <f t="shared" si="5"/>
        <v>4.2</v>
      </c>
      <c r="RP8" s="77">
        <f t="shared" si="5"/>
        <v>4.2</v>
      </c>
      <c r="RQ8" s="77">
        <f t="shared" si="5"/>
        <v>4.2</v>
      </c>
      <c r="RR8" s="77">
        <f t="shared" si="5"/>
        <v>4.2</v>
      </c>
      <c r="RS8" s="77">
        <f t="shared" si="5"/>
        <v>4.2</v>
      </c>
      <c r="RT8" s="77">
        <f t="shared" si="5"/>
        <v>4.2</v>
      </c>
      <c r="RU8" s="77">
        <f t="shared" si="5"/>
        <v>4.2</v>
      </c>
      <c r="RV8" s="77">
        <f t="shared" si="5"/>
        <v>4.2</v>
      </c>
      <c r="RW8" s="77">
        <f t="shared" si="5"/>
        <v>4.2</v>
      </c>
      <c r="RX8" s="77">
        <f t="shared" si="5"/>
        <v>4.2</v>
      </c>
      <c r="RY8" s="77">
        <f t="shared" si="5"/>
        <v>4.2</v>
      </c>
      <c r="RZ8" s="77">
        <f t="shared" si="5"/>
        <v>4.2</v>
      </c>
      <c r="SA8" s="77">
        <f t="shared" si="5"/>
        <v>4.2</v>
      </c>
      <c r="SB8" s="77">
        <f t="shared" si="5"/>
        <v>4.2</v>
      </c>
      <c r="SC8" s="77">
        <f t="shared" si="5"/>
        <v>4.2</v>
      </c>
      <c r="SD8" s="77">
        <f t="shared" si="5"/>
        <v>4.2</v>
      </c>
      <c r="SE8" s="77">
        <f t="shared" si="5"/>
        <v>4.2</v>
      </c>
      <c r="SF8" s="77">
        <f t="shared" si="5"/>
        <v>4.2</v>
      </c>
      <c r="SG8" s="77">
        <f t="shared" si="5"/>
        <v>4.2</v>
      </c>
      <c r="SH8" s="77">
        <f t="shared" si="5"/>
        <v>4.2</v>
      </c>
      <c r="SI8" s="77">
        <f t="shared" si="5"/>
        <v>4.2</v>
      </c>
      <c r="SJ8" s="77">
        <f t="shared" si="5"/>
        <v>4.2</v>
      </c>
      <c r="SK8" s="77">
        <f t="shared" si="5"/>
        <v>4.2</v>
      </c>
      <c r="SL8" s="77">
        <f t="shared" si="5"/>
        <v>4.2</v>
      </c>
    </row>
    <row r="9">
      <c r="A9" s="64" t="s">
        <v>88</v>
      </c>
      <c r="B9" s="60">
        <f>B8*B7</f>
        <v>4078.612717</v>
      </c>
      <c r="C9" s="238"/>
      <c r="D9" s="239"/>
      <c r="E9" s="240"/>
      <c r="F9" s="60"/>
      <c r="G9" s="60">
        <f t="shared" ref="G9:SL9" si="6">G8*G7</f>
        <v>4240.786127</v>
      </c>
      <c r="H9" s="60">
        <f t="shared" si="6"/>
        <v>4522.404624</v>
      </c>
      <c r="I9" s="60">
        <f t="shared" si="6"/>
        <v>4161.156069</v>
      </c>
      <c r="J9" s="60">
        <f t="shared" si="6"/>
        <v>3731.930636</v>
      </c>
      <c r="K9" s="60">
        <f t="shared" si="6"/>
        <v>3787.768786</v>
      </c>
      <c r="L9" s="60">
        <f t="shared" si="6"/>
        <v>3658.127168</v>
      </c>
      <c r="M9" s="60">
        <f t="shared" si="6"/>
        <v>4054.33526</v>
      </c>
      <c r="N9" s="60">
        <f t="shared" si="6"/>
        <v>4456.855491</v>
      </c>
      <c r="O9" s="60">
        <f t="shared" si="6"/>
        <v>4033.942197</v>
      </c>
      <c r="P9" s="60">
        <f t="shared" si="6"/>
        <v>3806.219653</v>
      </c>
      <c r="Q9" s="60">
        <f t="shared" si="6"/>
        <v>3688.716763</v>
      </c>
      <c r="R9" s="60">
        <f t="shared" si="6"/>
        <v>4364.601156</v>
      </c>
      <c r="S9" s="60">
        <f t="shared" si="6"/>
        <v>4188.83237</v>
      </c>
      <c r="T9" s="60">
        <f t="shared" si="6"/>
        <v>4031.514451</v>
      </c>
      <c r="U9" s="60">
        <f t="shared" si="6"/>
        <v>4295.16763</v>
      </c>
      <c r="V9" s="60">
        <f t="shared" si="6"/>
        <v>4509.780347</v>
      </c>
      <c r="W9" s="60">
        <f t="shared" si="6"/>
        <v>3628.508671</v>
      </c>
      <c r="X9" s="60">
        <f t="shared" si="6"/>
        <v>3655.699422</v>
      </c>
      <c r="Y9" s="60">
        <f t="shared" si="6"/>
        <v>4167.468208</v>
      </c>
      <c r="Z9" s="60">
        <f t="shared" si="6"/>
        <v>3934.890173</v>
      </c>
      <c r="AA9" s="60">
        <f t="shared" si="6"/>
        <v>4341.294798</v>
      </c>
      <c r="AB9" s="60">
        <f t="shared" si="6"/>
        <v>3663.468208</v>
      </c>
      <c r="AC9" s="60">
        <f t="shared" si="6"/>
        <v>4439.375723</v>
      </c>
      <c r="AD9" s="60">
        <f t="shared" si="6"/>
        <v>4188.346821</v>
      </c>
      <c r="AE9" s="60">
        <f t="shared" si="6"/>
        <v>3932.947977</v>
      </c>
      <c r="AF9" s="60">
        <f t="shared" si="6"/>
        <v>4538.913295</v>
      </c>
      <c r="AG9" s="60">
        <f t="shared" si="6"/>
        <v>4235.445087</v>
      </c>
      <c r="AH9" s="60">
        <f t="shared" si="6"/>
        <v>4247.583815</v>
      </c>
      <c r="AI9" s="60">
        <f t="shared" si="6"/>
        <v>3665.410405</v>
      </c>
      <c r="AJ9" s="60">
        <f t="shared" si="6"/>
        <v>3626.566474</v>
      </c>
      <c r="AK9" s="60">
        <f t="shared" si="6"/>
        <v>4237.387283</v>
      </c>
      <c r="AL9" s="60">
        <f t="shared" si="6"/>
        <v>3864</v>
      </c>
      <c r="AM9" s="60">
        <f t="shared" si="6"/>
        <v>3850.890173</v>
      </c>
      <c r="AN9" s="60">
        <f t="shared" si="6"/>
        <v>4077.156069</v>
      </c>
      <c r="AO9" s="60">
        <f t="shared" si="6"/>
        <v>4034.913295</v>
      </c>
      <c r="AP9" s="60">
        <f t="shared" si="6"/>
        <v>3642.589595</v>
      </c>
      <c r="AQ9" s="60">
        <f t="shared" si="6"/>
        <v>3786.312139</v>
      </c>
      <c r="AR9" s="60">
        <f t="shared" si="6"/>
        <v>3836.809249</v>
      </c>
      <c r="AS9" s="60">
        <f t="shared" si="6"/>
        <v>4302.936416</v>
      </c>
      <c r="AT9" s="60">
        <f t="shared" si="6"/>
        <v>4367.514451</v>
      </c>
      <c r="AU9" s="60">
        <f t="shared" si="6"/>
        <v>3640.647399</v>
      </c>
      <c r="AV9" s="60">
        <f t="shared" si="6"/>
        <v>4338.867052</v>
      </c>
      <c r="AW9" s="60">
        <f t="shared" si="6"/>
        <v>3962.080925</v>
      </c>
      <c r="AX9" s="60">
        <f t="shared" si="6"/>
        <v>4388.878613</v>
      </c>
      <c r="AY9" s="60">
        <f t="shared" si="6"/>
        <v>3596.462428</v>
      </c>
      <c r="AZ9" s="60">
        <f t="shared" si="6"/>
        <v>4183.00578</v>
      </c>
      <c r="BA9" s="60">
        <f t="shared" si="6"/>
        <v>4296.624277</v>
      </c>
      <c r="BB9" s="60">
        <f t="shared" si="6"/>
        <v>3720.277457</v>
      </c>
      <c r="BC9" s="60">
        <f t="shared" si="6"/>
        <v>4267.00578</v>
      </c>
      <c r="BD9" s="60">
        <f t="shared" si="6"/>
        <v>4057.248555</v>
      </c>
      <c r="BE9" s="60">
        <f t="shared" si="6"/>
        <v>4341.780347</v>
      </c>
      <c r="BF9" s="60">
        <f t="shared" si="6"/>
        <v>3736.786127</v>
      </c>
      <c r="BG9" s="60">
        <f t="shared" si="6"/>
        <v>4478.219653</v>
      </c>
      <c r="BH9" s="60">
        <f t="shared" si="6"/>
        <v>3728.046243</v>
      </c>
      <c r="BI9" s="60">
        <f t="shared" si="6"/>
        <v>4473.364162</v>
      </c>
      <c r="BJ9" s="60">
        <f t="shared" si="6"/>
        <v>3675.121387</v>
      </c>
      <c r="BK9" s="60">
        <f t="shared" si="6"/>
        <v>4202.913295</v>
      </c>
      <c r="BL9" s="60">
        <f t="shared" si="6"/>
        <v>4087.83815</v>
      </c>
      <c r="BM9" s="60">
        <f t="shared" si="6"/>
        <v>3640.16185</v>
      </c>
      <c r="BN9" s="60">
        <f t="shared" si="6"/>
        <v>4344.208092</v>
      </c>
      <c r="BO9" s="60">
        <f t="shared" si="6"/>
        <v>3776.601156</v>
      </c>
      <c r="BP9" s="60">
        <f t="shared" si="6"/>
        <v>3889.734104</v>
      </c>
      <c r="BQ9" s="60">
        <f t="shared" si="6"/>
        <v>4432.578035</v>
      </c>
      <c r="BR9" s="60">
        <f t="shared" si="6"/>
        <v>4128.138728</v>
      </c>
      <c r="BS9" s="60">
        <f t="shared" si="6"/>
        <v>4230.104046</v>
      </c>
      <c r="BT9" s="60">
        <f t="shared" si="6"/>
        <v>3735.32948</v>
      </c>
      <c r="BU9" s="60">
        <f t="shared" si="6"/>
        <v>3853.317919</v>
      </c>
      <c r="BV9" s="60">
        <f t="shared" si="6"/>
        <v>3652.300578</v>
      </c>
      <c r="BW9" s="60">
        <f t="shared" si="6"/>
        <v>3825.641618</v>
      </c>
      <c r="BX9" s="60">
        <f t="shared" si="6"/>
        <v>4134.936416</v>
      </c>
      <c r="BY9" s="60">
        <f t="shared" si="6"/>
        <v>3897.017341</v>
      </c>
      <c r="BZ9" s="60">
        <f t="shared" si="6"/>
        <v>3860.115607</v>
      </c>
      <c r="CA9" s="60">
        <f t="shared" si="6"/>
        <v>4563.190751</v>
      </c>
      <c r="CB9" s="60">
        <f t="shared" si="6"/>
        <v>4022.774566</v>
      </c>
      <c r="CC9" s="60">
        <f t="shared" si="6"/>
        <v>4520.947977</v>
      </c>
      <c r="CD9" s="60">
        <f t="shared" si="6"/>
        <v>4300.508671</v>
      </c>
      <c r="CE9" s="60">
        <f t="shared" si="6"/>
        <v>4328.67052</v>
      </c>
      <c r="CF9" s="60">
        <f t="shared" si="6"/>
        <v>4418.011561</v>
      </c>
      <c r="CG9" s="60">
        <f t="shared" si="6"/>
        <v>3756.208092</v>
      </c>
      <c r="CH9" s="60">
        <f t="shared" si="6"/>
        <v>3781.942197</v>
      </c>
      <c r="CI9" s="60">
        <f t="shared" si="6"/>
        <v>4338.867052</v>
      </c>
      <c r="CJ9" s="60">
        <f t="shared" si="6"/>
        <v>3856.716763</v>
      </c>
      <c r="CK9" s="60">
        <f t="shared" si="6"/>
        <v>4296.138728</v>
      </c>
      <c r="CL9" s="60">
        <f t="shared" si="6"/>
        <v>3679.976879</v>
      </c>
      <c r="CM9" s="60">
        <f t="shared" si="6"/>
        <v>3942.17341</v>
      </c>
      <c r="CN9" s="60">
        <f t="shared" si="6"/>
        <v>4354.890173</v>
      </c>
      <c r="CO9" s="60">
        <f t="shared" si="6"/>
        <v>3886.820809</v>
      </c>
      <c r="CP9" s="60">
        <f t="shared" si="6"/>
        <v>4214.566474</v>
      </c>
      <c r="CQ9" s="60">
        <f t="shared" si="6"/>
        <v>3968.393064</v>
      </c>
      <c r="CR9" s="60">
        <f t="shared" si="6"/>
        <v>3696.485549</v>
      </c>
      <c r="CS9" s="60">
        <f t="shared" si="6"/>
        <v>3757.66474</v>
      </c>
      <c r="CT9" s="60">
        <f t="shared" si="6"/>
        <v>4228.647399</v>
      </c>
      <c r="CU9" s="60">
        <f t="shared" si="6"/>
        <v>3827.098266</v>
      </c>
      <c r="CV9" s="60">
        <f t="shared" si="6"/>
        <v>4077.156069</v>
      </c>
      <c r="CW9" s="60">
        <f t="shared" si="6"/>
        <v>4303.421965</v>
      </c>
      <c r="CX9" s="60">
        <f t="shared" si="6"/>
        <v>3644.046243</v>
      </c>
      <c r="CY9" s="60">
        <f t="shared" si="6"/>
        <v>4235.930636</v>
      </c>
      <c r="CZ9" s="60">
        <f t="shared" si="6"/>
        <v>4143.190751</v>
      </c>
      <c r="DA9" s="60">
        <f t="shared" si="6"/>
        <v>4393.248555</v>
      </c>
      <c r="DB9" s="60">
        <f t="shared" si="6"/>
        <v>4033.456647</v>
      </c>
      <c r="DC9" s="60">
        <f t="shared" si="6"/>
        <v>4249.040462</v>
      </c>
      <c r="DD9" s="60">
        <f t="shared" si="6"/>
        <v>4091.236994</v>
      </c>
      <c r="DE9" s="60">
        <f t="shared" si="6"/>
        <v>3709.109827</v>
      </c>
      <c r="DF9" s="60">
        <f t="shared" si="6"/>
        <v>3696.971098</v>
      </c>
      <c r="DG9" s="60">
        <f t="shared" si="6"/>
        <v>4097.549133</v>
      </c>
      <c r="DH9" s="60">
        <f t="shared" si="6"/>
        <v>3780</v>
      </c>
      <c r="DI9" s="60">
        <f t="shared" si="6"/>
        <v>3823.699422</v>
      </c>
      <c r="DJ9" s="60">
        <f t="shared" si="6"/>
        <v>3961.109827</v>
      </c>
      <c r="DK9" s="60">
        <f t="shared" si="6"/>
        <v>4135.421965</v>
      </c>
      <c r="DL9" s="60">
        <f t="shared" si="6"/>
        <v>3701.34104</v>
      </c>
      <c r="DM9" s="60">
        <f t="shared" si="6"/>
        <v>4439.375723</v>
      </c>
      <c r="DN9" s="60">
        <f t="shared" si="6"/>
        <v>3781.456647</v>
      </c>
      <c r="DO9" s="60">
        <f t="shared" si="6"/>
        <v>4298.566474</v>
      </c>
      <c r="DP9" s="60">
        <f t="shared" si="6"/>
        <v>3751.352601</v>
      </c>
      <c r="DQ9" s="60">
        <f t="shared" si="6"/>
        <v>4216.023121</v>
      </c>
      <c r="DR9" s="60">
        <f t="shared" si="6"/>
        <v>4100.462428</v>
      </c>
      <c r="DS9" s="60">
        <f t="shared" si="6"/>
        <v>3970.33526</v>
      </c>
      <c r="DT9" s="60">
        <f t="shared" si="6"/>
        <v>3651.815029</v>
      </c>
      <c r="DU9" s="60">
        <f t="shared" si="6"/>
        <v>3677.063584</v>
      </c>
      <c r="DV9" s="60">
        <f t="shared" si="6"/>
        <v>4349.549133</v>
      </c>
      <c r="DW9" s="60">
        <f t="shared" si="6"/>
        <v>4556.393064</v>
      </c>
      <c r="DX9" s="60">
        <f t="shared" si="6"/>
        <v>4317.50289</v>
      </c>
      <c r="DY9" s="60">
        <f t="shared" si="6"/>
        <v>4090.265896</v>
      </c>
      <c r="DZ9" s="60">
        <f t="shared" si="6"/>
        <v>3701.34104</v>
      </c>
      <c r="EA9" s="60">
        <f t="shared" si="6"/>
        <v>3823.213873</v>
      </c>
      <c r="EB9" s="60">
        <f t="shared" si="6"/>
        <v>4217.479769</v>
      </c>
      <c r="EC9" s="60">
        <f t="shared" si="6"/>
        <v>3923.722543</v>
      </c>
      <c r="ED9" s="60">
        <f t="shared" si="6"/>
        <v>3688.231214</v>
      </c>
      <c r="EE9" s="60">
        <f t="shared" si="6"/>
        <v>3873.225434</v>
      </c>
      <c r="EF9" s="60">
        <f t="shared" si="6"/>
        <v>4301.965318</v>
      </c>
      <c r="EG9" s="60">
        <f t="shared" si="6"/>
        <v>3695.028902</v>
      </c>
      <c r="EH9" s="60">
        <f t="shared" si="6"/>
        <v>4331.583815</v>
      </c>
      <c r="EI9" s="60">
        <f t="shared" si="6"/>
        <v>4230.104046</v>
      </c>
      <c r="EJ9" s="60">
        <f t="shared" si="6"/>
        <v>3907.699422</v>
      </c>
      <c r="EK9" s="60">
        <f t="shared" si="6"/>
        <v>4480.16185</v>
      </c>
      <c r="EL9" s="60">
        <f t="shared" si="6"/>
        <v>3762.034682</v>
      </c>
      <c r="EM9" s="60">
        <f t="shared" si="6"/>
        <v>3976.16185</v>
      </c>
      <c r="EN9" s="60">
        <f t="shared" si="6"/>
        <v>3842.150289</v>
      </c>
      <c r="EO9" s="60">
        <f t="shared" si="6"/>
        <v>4431.606936</v>
      </c>
      <c r="EP9" s="60">
        <f t="shared" si="6"/>
        <v>4474.33526</v>
      </c>
      <c r="EQ9" s="60">
        <f t="shared" si="6"/>
        <v>4173.780347</v>
      </c>
      <c r="ER9" s="60">
        <f t="shared" si="6"/>
        <v>4217.479769</v>
      </c>
      <c r="ES9" s="60">
        <f t="shared" si="6"/>
        <v>4483.560694</v>
      </c>
      <c r="ET9" s="60">
        <f t="shared" si="6"/>
        <v>3660.069364</v>
      </c>
      <c r="EU9" s="60">
        <f t="shared" si="6"/>
        <v>4381.109827</v>
      </c>
      <c r="EV9" s="60">
        <f t="shared" si="6"/>
        <v>4226.705202</v>
      </c>
      <c r="EW9" s="60">
        <f t="shared" si="6"/>
        <v>3613.942197</v>
      </c>
      <c r="EX9" s="60">
        <f t="shared" si="6"/>
        <v>4397.132948</v>
      </c>
      <c r="EY9" s="60">
        <f t="shared" si="6"/>
        <v>4375.283237</v>
      </c>
      <c r="EZ9" s="60">
        <f t="shared" si="6"/>
        <v>4536</v>
      </c>
      <c r="FA9" s="60">
        <f t="shared" si="6"/>
        <v>4222.33526</v>
      </c>
      <c r="FB9" s="60">
        <f t="shared" si="6"/>
        <v>4490.358382</v>
      </c>
      <c r="FC9" s="60">
        <f t="shared" si="6"/>
        <v>4268.947977</v>
      </c>
      <c r="FD9" s="60">
        <f t="shared" si="6"/>
        <v>3760.578035</v>
      </c>
      <c r="FE9" s="60">
        <f t="shared" si="6"/>
        <v>3729.50289</v>
      </c>
      <c r="FF9" s="60">
        <f t="shared" si="6"/>
        <v>4115.028902</v>
      </c>
      <c r="FG9" s="60">
        <f t="shared" si="6"/>
        <v>3774.17341</v>
      </c>
      <c r="FH9" s="60">
        <f t="shared" si="6"/>
        <v>3898.473988</v>
      </c>
      <c r="FI9" s="60">
        <f t="shared" si="6"/>
        <v>4421.895954</v>
      </c>
      <c r="FJ9" s="60">
        <f t="shared" si="6"/>
        <v>3779.028902</v>
      </c>
      <c r="FK9" s="60">
        <f t="shared" si="6"/>
        <v>4070.358382</v>
      </c>
      <c r="FL9" s="60">
        <f t="shared" si="6"/>
        <v>4498.127168</v>
      </c>
      <c r="FM9" s="60">
        <f t="shared" si="6"/>
        <v>3699.884393</v>
      </c>
      <c r="FN9" s="60">
        <f t="shared" si="6"/>
        <v>3983.930636</v>
      </c>
      <c r="FO9" s="60">
        <f t="shared" si="6"/>
        <v>3774.17341</v>
      </c>
      <c r="FP9" s="60">
        <f t="shared" si="6"/>
        <v>3987.815029</v>
      </c>
      <c r="FQ9" s="60">
        <f t="shared" si="6"/>
        <v>4433.063584</v>
      </c>
      <c r="FR9" s="60">
        <f t="shared" si="6"/>
        <v>3714.450867</v>
      </c>
      <c r="FS9" s="60">
        <f t="shared" si="6"/>
        <v>3835.352601</v>
      </c>
      <c r="FT9" s="60">
        <f t="shared" si="6"/>
        <v>3804.277457</v>
      </c>
      <c r="FU9" s="60">
        <f t="shared" si="6"/>
        <v>4528.716763</v>
      </c>
      <c r="FV9" s="60">
        <f t="shared" si="6"/>
        <v>3969.364162</v>
      </c>
      <c r="FW9" s="60">
        <f t="shared" si="6"/>
        <v>3730.473988</v>
      </c>
      <c r="FX9" s="60">
        <f t="shared" si="6"/>
        <v>4111.630058</v>
      </c>
      <c r="FY9" s="60">
        <f t="shared" si="6"/>
        <v>4397.618497</v>
      </c>
      <c r="FZ9" s="60">
        <f t="shared" si="6"/>
        <v>3946.543353</v>
      </c>
      <c r="GA9" s="60">
        <f t="shared" si="6"/>
        <v>4497.156069</v>
      </c>
      <c r="GB9" s="60">
        <f t="shared" si="6"/>
        <v>3715.421965</v>
      </c>
      <c r="GC9" s="60">
        <f t="shared" si="6"/>
        <v>4176.208092</v>
      </c>
      <c r="GD9" s="60">
        <f t="shared" si="6"/>
        <v>3773.687861</v>
      </c>
      <c r="GE9" s="60">
        <f t="shared" si="6"/>
        <v>3715.421965</v>
      </c>
      <c r="GF9" s="60">
        <f t="shared" si="6"/>
        <v>3616.855491</v>
      </c>
      <c r="GG9" s="60">
        <f t="shared" si="6"/>
        <v>3992.67052</v>
      </c>
      <c r="GH9" s="60">
        <f t="shared" si="6"/>
        <v>3767.861272</v>
      </c>
      <c r="GI9" s="60">
        <f t="shared" si="6"/>
        <v>3727.075145</v>
      </c>
      <c r="GJ9" s="60">
        <f t="shared" si="6"/>
        <v>3726.104046</v>
      </c>
      <c r="GK9" s="60">
        <f t="shared" si="6"/>
        <v>3772.231214</v>
      </c>
      <c r="GL9" s="60">
        <f t="shared" si="6"/>
        <v>4279.630058</v>
      </c>
      <c r="GM9" s="60">
        <f t="shared" si="6"/>
        <v>4412.184971</v>
      </c>
      <c r="GN9" s="60">
        <f t="shared" si="6"/>
        <v>3944.115607</v>
      </c>
      <c r="GO9" s="60">
        <f t="shared" si="6"/>
        <v>4309.248555</v>
      </c>
      <c r="GP9" s="60">
        <f t="shared" si="6"/>
        <v>4468.99422</v>
      </c>
      <c r="GQ9" s="60">
        <f t="shared" si="6"/>
        <v>3754.751445</v>
      </c>
      <c r="GR9" s="60">
        <f t="shared" si="6"/>
        <v>3602.774566</v>
      </c>
      <c r="GS9" s="60">
        <f t="shared" si="6"/>
        <v>4408.786127</v>
      </c>
      <c r="GT9" s="60">
        <f t="shared" si="6"/>
        <v>4166.49711</v>
      </c>
      <c r="GU9" s="60">
        <f t="shared" si="6"/>
        <v>4013.063584</v>
      </c>
      <c r="GV9" s="60">
        <f t="shared" si="6"/>
        <v>3734.843931</v>
      </c>
      <c r="GW9" s="60">
        <f t="shared" si="6"/>
        <v>3986.843931</v>
      </c>
      <c r="GX9" s="60">
        <f t="shared" si="6"/>
        <v>3881.965318</v>
      </c>
      <c r="GY9" s="60">
        <f t="shared" si="6"/>
        <v>3740.184971</v>
      </c>
      <c r="GZ9" s="60">
        <f t="shared" si="6"/>
        <v>3902.843931</v>
      </c>
      <c r="HA9" s="60">
        <f t="shared" si="6"/>
        <v>4382.566474</v>
      </c>
      <c r="HB9" s="60">
        <f t="shared" si="6"/>
        <v>4403.930636</v>
      </c>
      <c r="HC9" s="60">
        <f t="shared" si="6"/>
        <v>4001.410405</v>
      </c>
      <c r="HD9" s="60">
        <f t="shared" si="6"/>
        <v>4183.00578</v>
      </c>
      <c r="HE9" s="60">
        <f t="shared" si="6"/>
        <v>4490.843931</v>
      </c>
      <c r="HF9" s="60">
        <f t="shared" si="6"/>
        <v>3773.687861</v>
      </c>
      <c r="HG9" s="60">
        <f t="shared" si="6"/>
        <v>4369.942197</v>
      </c>
      <c r="HH9" s="60">
        <f t="shared" si="6"/>
        <v>3853.803468</v>
      </c>
      <c r="HI9" s="60">
        <f t="shared" si="6"/>
        <v>4041.225434</v>
      </c>
      <c r="HJ9" s="60">
        <f t="shared" si="6"/>
        <v>4186.890173</v>
      </c>
      <c r="HK9" s="60">
        <f t="shared" si="6"/>
        <v>3625.595376</v>
      </c>
      <c r="HL9" s="60">
        <f t="shared" si="6"/>
        <v>3831.953757</v>
      </c>
      <c r="HM9" s="60">
        <f t="shared" si="6"/>
        <v>4391.791908</v>
      </c>
      <c r="HN9" s="60">
        <f t="shared" si="6"/>
        <v>3992.184971</v>
      </c>
      <c r="HO9" s="60">
        <f t="shared" si="6"/>
        <v>3623.16763</v>
      </c>
      <c r="HP9" s="60">
        <f t="shared" si="6"/>
        <v>4347.606936</v>
      </c>
      <c r="HQ9" s="60">
        <f t="shared" si="6"/>
        <v>4108.716763</v>
      </c>
      <c r="HR9" s="60">
        <f t="shared" si="6"/>
        <v>4452</v>
      </c>
      <c r="HS9" s="60">
        <f t="shared" si="6"/>
        <v>4241.757225</v>
      </c>
      <c r="HT9" s="60">
        <f t="shared" si="6"/>
        <v>4416.554913</v>
      </c>
      <c r="HU9" s="60">
        <f t="shared" si="6"/>
        <v>3888.763006</v>
      </c>
      <c r="HV9" s="60">
        <f t="shared" si="6"/>
        <v>4508.809249</v>
      </c>
      <c r="HW9" s="60">
        <f t="shared" si="6"/>
        <v>4031.028902</v>
      </c>
      <c r="HX9" s="60">
        <f t="shared" si="6"/>
        <v>4453.942197</v>
      </c>
      <c r="HY9" s="60">
        <f t="shared" si="6"/>
        <v>4157.757225</v>
      </c>
      <c r="HZ9" s="60">
        <f t="shared" si="6"/>
        <v>4007.236994</v>
      </c>
      <c r="IA9" s="60">
        <f t="shared" si="6"/>
        <v>3821.757225</v>
      </c>
      <c r="IB9" s="60">
        <f t="shared" si="6"/>
        <v>4514.150289</v>
      </c>
      <c r="IC9" s="60">
        <f t="shared" si="6"/>
        <v>3859.144509</v>
      </c>
      <c r="ID9" s="60">
        <f t="shared" si="6"/>
        <v>4444.716763</v>
      </c>
      <c r="IE9" s="60">
        <f t="shared" si="6"/>
        <v>4017.433526</v>
      </c>
      <c r="IF9" s="60">
        <f t="shared" si="6"/>
        <v>3602.289017</v>
      </c>
      <c r="IG9" s="60">
        <f t="shared" si="6"/>
        <v>4234.959538</v>
      </c>
      <c r="IH9" s="60">
        <f t="shared" si="6"/>
        <v>3921.780347</v>
      </c>
      <c r="II9" s="60">
        <f t="shared" si="6"/>
        <v>4283.028902</v>
      </c>
      <c r="IJ9" s="60">
        <f t="shared" si="6"/>
        <v>4054.820809</v>
      </c>
      <c r="IK9" s="60">
        <f t="shared" si="6"/>
        <v>4508.809249</v>
      </c>
      <c r="IL9" s="60">
        <f t="shared" si="6"/>
        <v>4043.653179</v>
      </c>
      <c r="IM9" s="60">
        <f t="shared" si="6"/>
        <v>3919.83815</v>
      </c>
      <c r="IN9" s="60">
        <f t="shared" si="6"/>
        <v>4209.225434</v>
      </c>
      <c r="IO9" s="60">
        <f t="shared" si="6"/>
        <v>4076.184971</v>
      </c>
      <c r="IP9" s="60">
        <f t="shared" si="6"/>
        <v>3742.612717</v>
      </c>
      <c r="IQ9" s="60">
        <f t="shared" si="6"/>
        <v>3600.83237</v>
      </c>
      <c r="IR9" s="60">
        <f t="shared" si="6"/>
        <v>3816.416185</v>
      </c>
      <c r="IS9" s="60">
        <f t="shared" si="6"/>
        <v>4060.647399</v>
      </c>
      <c r="IT9" s="60">
        <f t="shared" si="6"/>
        <v>4059.676301</v>
      </c>
      <c r="IU9" s="60">
        <f t="shared" si="6"/>
        <v>3693.086705</v>
      </c>
      <c r="IV9" s="60">
        <f t="shared" si="6"/>
        <v>3881.965318</v>
      </c>
      <c r="IW9" s="60">
        <f t="shared" si="6"/>
        <v>4373.82659</v>
      </c>
      <c r="IX9" s="60">
        <f t="shared" si="6"/>
        <v>3711.052023</v>
      </c>
      <c r="IY9" s="60">
        <f t="shared" si="6"/>
        <v>3684.346821</v>
      </c>
      <c r="IZ9" s="60">
        <f t="shared" si="6"/>
        <v>3847.00578</v>
      </c>
      <c r="JA9" s="60">
        <f t="shared" si="6"/>
        <v>4031.028902</v>
      </c>
      <c r="JB9" s="60">
        <f t="shared" si="6"/>
        <v>4128.624277</v>
      </c>
      <c r="JC9" s="60">
        <f t="shared" si="6"/>
        <v>3792.624277</v>
      </c>
      <c r="JD9" s="60">
        <f t="shared" si="6"/>
        <v>3808.647399</v>
      </c>
      <c r="JE9" s="60">
        <f t="shared" si="6"/>
        <v>4054.33526</v>
      </c>
      <c r="JF9" s="60">
        <f t="shared" si="6"/>
        <v>3898.473988</v>
      </c>
      <c r="JG9" s="60">
        <f t="shared" si="6"/>
        <v>4519.00578</v>
      </c>
      <c r="JH9" s="60">
        <f t="shared" si="6"/>
        <v>4043.653179</v>
      </c>
      <c r="JI9" s="60">
        <f t="shared" si="6"/>
        <v>4396.16185</v>
      </c>
      <c r="JJ9" s="60">
        <f t="shared" si="6"/>
        <v>3882.936416</v>
      </c>
      <c r="JK9" s="60">
        <f t="shared" si="6"/>
        <v>4353.433526</v>
      </c>
      <c r="JL9" s="60">
        <f t="shared" si="6"/>
        <v>4342.751445</v>
      </c>
      <c r="JM9" s="60">
        <f t="shared" si="6"/>
        <v>4390.820809</v>
      </c>
      <c r="JN9" s="60">
        <f t="shared" si="6"/>
        <v>4146.589595</v>
      </c>
      <c r="JO9" s="60">
        <f t="shared" si="6"/>
        <v>4283.514451</v>
      </c>
      <c r="JP9" s="60">
        <f t="shared" si="6"/>
        <v>4461.710983</v>
      </c>
      <c r="JQ9" s="60">
        <f t="shared" si="6"/>
        <v>4489.872832</v>
      </c>
      <c r="JR9" s="60">
        <f t="shared" si="6"/>
        <v>3973.248555</v>
      </c>
      <c r="JS9" s="60">
        <f t="shared" si="6"/>
        <v>3892.647399</v>
      </c>
      <c r="JT9" s="60">
        <f t="shared" si="6"/>
        <v>4113.572254</v>
      </c>
      <c r="JU9" s="60">
        <f t="shared" si="6"/>
        <v>3619.768786</v>
      </c>
      <c r="JV9" s="60">
        <f t="shared" si="6"/>
        <v>4051.421965</v>
      </c>
      <c r="JW9" s="60">
        <f t="shared" si="6"/>
        <v>3856.716763</v>
      </c>
      <c r="JX9" s="60">
        <f t="shared" si="6"/>
        <v>4173.294798</v>
      </c>
      <c r="JY9" s="60">
        <f t="shared" si="6"/>
        <v>4206.797688</v>
      </c>
      <c r="JZ9" s="60">
        <f t="shared" si="6"/>
        <v>4399.560694</v>
      </c>
      <c r="KA9" s="60">
        <f t="shared" si="6"/>
        <v>3899.445087</v>
      </c>
      <c r="KB9" s="60">
        <f t="shared" si="6"/>
        <v>4517.549133</v>
      </c>
      <c r="KC9" s="60">
        <f t="shared" si="6"/>
        <v>4160.184971</v>
      </c>
      <c r="KD9" s="60">
        <f t="shared" si="6"/>
        <v>4435.491329</v>
      </c>
      <c r="KE9" s="60">
        <f t="shared" si="6"/>
        <v>3598.404624</v>
      </c>
      <c r="KF9" s="60">
        <f t="shared" si="6"/>
        <v>3603.745665</v>
      </c>
      <c r="KG9" s="60">
        <f t="shared" si="6"/>
        <v>4217.965318</v>
      </c>
      <c r="KH9" s="60">
        <f t="shared" si="6"/>
        <v>3670.751445</v>
      </c>
      <c r="KI9" s="60">
        <f t="shared" si="6"/>
        <v>4386.936416</v>
      </c>
      <c r="KJ9" s="60">
        <f t="shared" si="6"/>
        <v>4089.780347</v>
      </c>
      <c r="KK9" s="60">
        <f t="shared" si="6"/>
        <v>3851.861272</v>
      </c>
      <c r="KL9" s="60">
        <f t="shared" si="6"/>
        <v>4161.156069</v>
      </c>
      <c r="KM9" s="60">
        <f t="shared" si="6"/>
        <v>4038.312139</v>
      </c>
      <c r="KN9" s="60">
        <f t="shared" si="6"/>
        <v>3766.890173</v>
      </c>
      <c r="KO9" s="60">
        <f t="shared" si="6"/>
        <v>4163.098266</v>
      </c>
      <c r="KP9" s="60">
        <f t="shared" si="6"/>
        <v>4523.375723</v>
      </c>
      <c r="KQ9" s="60">
        <f t="shared" si="6"/>
        <v>4117.456647</v>
      </c>
      <c r="KR9" s="60">
        <f t="shared" si="6"/>
        <v>3716.878613</v>
      </c>
      <c r="KS9" s="60">
        <f t="shared" si="6"/>
        <v>3600.346821</v>
      </c>
      <c r="KT9" s="60">
        <f t="shared" si="6"/>
        <v>4006.265896</v>
      </c>
      <c r="KU9" s="60">
        <f t="shared" si="6"/>
        <v>3742.612717</v>
      </c>
      <c r="KV9" s="60">
        <f t="shared" si="6"/>
        <v>3907.699422</v>
      </c>
      <c r="KW9" s="60">
        <f t="shared" si="6"/>
        <v>3908.184971</v>
      </c>
      <c r="KX9" s="60">
        <f t="shared" si="6"/>
        <v>3770.289017</v>
      </c>
      <c r="KY9" s="60">
        <f t="shared" si="6"/>
        <v>3794.566474</v>
      </c>
      <c r="KZ9" s="60">
        <f t="shared" si="6"/>
        <v>3755.236994</v>
      </c>
      <c r="LA9" s="60">
        <f t="shared" si="6"/>
        <v>4313.618497</v>
      </c>
      <c r="LB9" s="60">
        <f t="shared" si="6"/>
        <v>4115.028902</v>
      </c>
      <c r="LC9" s="60">
        <f t="shared" si="6"/>
        <v>4522.890173</v>
      </c>
      <c r="LD9" s="60">
        <f t="shared" si="6"/>
        <v>4192.716763</v>
      </c>
      <c r="LE9" s="60">
        <f t="shared" si="6"/>
        <v>4381.595376</v>
      </c>
      <c r="LF9" s="60">
        <f t="shared" si="6"/>
        <v>3831.468208</v>
      </c>
      <c r="LG9" s="60">
        <f t="shared" si="6"/>
        <v>3893.618497</v>
      </c>
      <c r="LH9" s="60">
        <f t="shared" si="6"/>
        <v>3734.843931</v>
      </c>
      <c r="LI9" s="60">
        <f t="shared" si="6"/>
        <v>4458.312139</v>
      </c>
      <c r="LJ9" s="60">
        <f t="shared" si="6"/>
        <v>4293.225434</v>
      </c>
      <c r="LK9" s="60">
        <f t="shared" si="6"/>
        <v>4038.312139</v>
      </c>
      <c r="LL9" s="60">
        <f t="shared" si="6"/>
        <v>3693.572254</v>
      </c>
      <c r="LM9" s="60">
        <f t="shared" si="6"/>
        <v>3764.947977</v>
      </c>
      <c r="LN9" s="60">
        <f t="shared" si="6"/>
        <v>4425.294798</v>
      </c>
      <c r="LO9" s="60">
        <f t="shared" si="6"/>
        <v>3757.66474</v>
      </c>
      <c r="LP9" s="60">
        <f t="shared" si="6"/>
        <v>3831.468208</v>
      </c>
      <c r="LQ9" s="60">
        <f t="shared" si="6"/>
        <v>3934.404624</v>
      </c>
      <c r="LR9" s="60">
        <f t="shared" si="6"/>
        <v>3948.971098</v>
      </c>
      <c r="LS9" s="60">
        <f t="shared" si="6"/>
        <v>4072.300578</v>
      </c>
      <c r="LT9" s="60">
        <f t="shared" si="6"/>
        <v>3731.930636</v>
      </c>
      <c r="LU9" s="60">
        <f t="shared" si="6"/>
        <v>3680.462428</v>
      </c>
      <c r="LV9" s="60">
        <f t="shared" si="6"/>
        <v>3645.017341</v>
      </c>
      <c r="LW9" s="60">
        <f t="shared" si="6"/>
        <v>3907.213873</v>
      </c>
      <c r="LX9" s="60">
        <f t="shared" si="6"/>
        <v>3605.687861</v>
      </c>
      <c r="LY9" s="60">
        <f t="shared" si="6"/>
        <v>4536.485549</v>
      </c>
      <c r="LZ9" s="60">
        <f t="shared" si="6"/>
        <v>3598.890173</v>
      </c>
      <c r="MA9" s="60">
        <f t="shared" si="6"/>
        <v>4250.011561</v>
      </c>
      <c r="MB9" s="60">
        <f t="shared" si="6"/>
        <v>4381.595376</v>
      </c>
      <c r="MC9" s="60">
        <f t="shared" si="6"/>
        <v>4003.352601</v>
      </c>
      <c r="MD9" s="60">
        <f t="shared" si="6"/>
        <v>3627.537572</v>
      </c>
      <c r="ME9" s="60">
        <f t="shared" si="6"/>
        <v>3989.271676</v>
      </c>
      <c r="MF9" s="60">
        <f t="shared" si="6"/>
        <v>4540.369942</v>
      </c>
      <c r="MG9" s="60">
        <f t="shared" si="6"/>
        <v>4376.254335</v>
      </c>
      <c r="MH9" s="60">
        <f t="shared" si="6"/>
        <v>4252.924855</v>
      </c>
      <c r="MI9" s="60">
        <f t="shared" si="6"/>
        <v>4094.635838</v>
      </c>
      <c r="MJ9" s="60">
        <f t="shared" si="6"/>
        <v>3708.138728</v>
      </c>
      <c r="MK9" s="60">
        <f t="shared" si="6"/>
        <v>4376.254335</v>
      </c>
      <c r="ML9" s="60">
        <f t="shared" si="6"/>
        <v>4498.127168</v>
      </c>
      <c r="MM9" s="60">
        <f t="shared" si="6"/>
        <v>3708.138728</v>
      </c>
      <c r="MN9" s="60">
        <f t="shared" si="6"/>
        <v>4523.375723</v>
      </c>
      <c r="MO9" s="60">
        <f t="shared" si="6"/>
        <v>4444.231214</v>
      </c>
      <c r="MP9" s="60">
        <f t="shared" si="6"/>
        <v>4147.560694</v>
      </c>
      <c r="MQ9" s="60">
        <f t="shared" si="6"/>
        <v>4241.757225</v>
      </c>
      <c r="MR9" s="60">
        <f t="shared" si="6"/>
        <v>3702.797688</v>
      </c>
      <c r="MS9" s="60">
        <f t="shared" si="6"/>
        <v>4273.803468</v>
      </c>
      <c r="MT9" s="60">
        <f t="shared" si="6"/>
        <v>3830.982659</v>
      </c>
      <c r="MU9" s="60">
        <f t="shared" si="6"/>
        <v>4540.369942</v>
      </c>
      <c r="MV9" s="60">
        <f t="shared" si="6"/>
        <v>4036.369942</v>
      </c>
      <c r="MW9" s="60">
        <f t="shared" si="6"/>
        <v>3638.219653</v>
      </c>
      <c r="MX9" s="60">
        <f t="shared" si="6"/>
        <v>4319.930636</v>
      </c>
      <c r="MY9" s="60">
        <f t="shared" si="6"/>
        <v>3757.66474</v>
      </c>
      <c r="MZ9" s="60">
        <f t="shared" si="6"/>
        <v>3596.462428</v>
      </c>
      <c r="NA9" s="60">
        <f t="shared" si="6"/>
        <v>4506.867052</v>
      </c>
      <c r="NB9" s="60">
        <f t="shared" si="6"/>
        <v>4410.242775</v>
      </c>
      <c r="NC9" s="60">
        <f t="shared" si="6"/>
        <v>4401.50289</v>
      </c>
      <c r="ND9" s="60">
        <f t="shared" si="6"/>
        <v>3867.884393</v>
      </c>
      <c r="NE9" s="60">
        <f t="shared" si="6"/>
        <v>3850.890173</v>
      </c>
      <c r="NF9" s="60">
        <f t="shared" si="6"/>
        <v>4385.479769</v>
      </c>
      <c r="NG9" s="60">
        <f t="shared" si="6"/>
        <v>4462.196532</v>
      </c>
      <c r="NH9" s="60">
        <f t="shared" si="6"/>
        <v>3609.086705</v>
      </c>
      <c r="NI9" s="60">
        <f t="shared" si="6"/>
        <v>4473.849711</v>
      </c>
      <c r="NJ9" s="60">
        <f t="shared" si="6"/>
        <v>3948.971098</v>
      </c>
      <c r="NK9" s="60">
        <f t="shared" si="6"/>
        <v>4123.768786</v>
      </c>
      <c r="NL9" s="60">
        <f t="shared" si="6"/>
        <v>3822.728324</v>
      </c>
      <c r="NM9" s="60">
        <f t="shared" si="6"/>
        <v>3900.416185</v>
      </c>
      <c r="NN9" s="60">
        <f t="shared" si="6"/>
        <v>4396.647399</v>
      </c>
      <c r="NO9" s="60">
        <f t="shared" si="6"/>
        <v>4013.063584</v>
      </c>
      <c r="NP9" s="60">
        <f t="shared" si="6"/>
        <v>4225.734104</v>
      </c>
      <c r="NQ9" s="60">
        <f t="shared" si="6"/>
        <v>4410.242775</v>
      </c>
      <c r="NR9" s="60">
        <f t="shared" si="6"/>
        <v>4318.473988</v>
      </c>
      <c r="NS9" s="60">
        <f t="shared" si="6"/>
        <v>3710.080925</v>
      </c>
      <c r="NT9" s="60">
        <f t="shared" si="6"/>
        <v>4295.653179</v>
      </c>
      <c r="NU9" s="60">
        <f t="shared" si="6"/>
        <v>4388.393064</v>
      </c>
      <c r="NV9" s="60">
        <f t="shared" si="6"/>
        <v>4451.028902</v>
      </c>
      <c r="NW9" s="60">
        <f t="shared" si="6"/>
        <v>3837.780347</v>
      </c>
      <c r="NX9" s="60">
        <f t="shared" si="6"/>
        <v>3984.416185</v>
      </c>
      <c r="NY9" s="60">
        <f t="shared" si="6"/>
        <v>4489.387283</v>
      </c>
      <c r="NZ9" s="60">
        <f t="shared" si="6"/>
        <v>3659.583815</v>
      </c>
      <c r="OA9" s="60">
        <f t="shared" si="6"/>
        <v>3795.052023</v>
      </c>
      <c r="OB9" s="60">
        <f t="shared" si="6"/>
        <v>4008.208092</v>
      </c>
      <c r="OC9" s="60">
        <f t="shared" si="6"/>
        <v>3729.50289</v>
      </c>
      <c r="OD9" s="60">
        <f t="shared" si="6"/>
        <v>3715.421965</v>
      </c>
      <c r="OE9" s="60">
        <f t="shared" si="6"/>
        <v>4370.913295</v>
      </c>
      <c r="OF9" s="60">
        <f t="shared" si="6"/>
        <v>3875.16763</v>
      </c>
      <c r="OG9" s="60">
        <f t="shared" si="6"/>
        <v>3669.294798</v>
      </c>
      <c r="OH9" s="60">
        <f t="shared" si="6"/>
        <v>4521.919075</v>
      </c>
      <c r="OI9" s="60">
        <f t="shared" si="6"/>
        <v>4480.647399</v>
      </c>
      <c r="OJ9" s="60">
        <f t="shared" si="6"/>
        <v>4104.83237</v>
      </c>
      <c r="OK9" s="60">
        <f t="shared" si="6"/>
        <v>4016.947977</v>
      </c>
      <c r="OL9" s="60">
        <f t="shared" si="6"/>
        <v>3748.924855</v>
      </c>
      <c r="OM9" s="60">
        <f t="shared" si="6"/>
        <v>4367.028902</v>
      </c>
      <c r="ON9" s="60">
        <f t="shared" si="6"/>
        <v>4195.144509</v>
      </c>
      <c r="OO9" s="60">
        <f t="shared" si="6"/>
        <v>4335.953757</v>
      </c>
      <c r="OP9" s="60">
        <f t="shared" si="6"/>
        <v>3857.202312</v>
      </c>
      <c r="OQ9" s="60">
        <f t="shared" si="6"/>
        <v>3754.751445</v>
      </c>
      <c r="OR9" s="60">
        <f t="shared" si="6"/>
        <v>4568.046243</v>
      </c>
      <c r="OS9" s="60">
        <f t="shared" si="6"/>
        <v>4518.520231</v>
      </c>
      <c r="OT9" s="60">
        <f t="shared" si="6"/>
        <v>3609.572254</v>
      </c>
      <c r="OU9" s="60">
        <f t="shared" si="6"/>
        <v>3688.231214</v>
      </c>
      <c r="OV9" s="60">
        <f t="shared" si="6"/>
        <v>4418.011561</v>
      </c>
      <c r="OW9" s="60">
        <f t="shared" si="6"/>
        <v>3597.919075</v>
      </c>
      <c r="OX9" s="60">
        <f t="shared" si="6"/>
        <v>4369.456647</v>
      </c>
      <c r="OY9" s="60">
        <f t="shared" si="6"/>
        <v>3820.786127</v>
      </c>
      <c r="OZ9" s="60">
        <f t="shared" si="6"/>
        <v>3634.33526</v>
      </c>
      <c r="PA9" s="60">
        <f t="shared" si="6"/>
        <v>3911.098266</v>
      </c>
      <c r="PB9" s="60">
        <f t="shared" si="6"/>
        <v>3851.375723</v>
      </c>
      <c r="PC9" s="60">
        <f t="shared" si="6"/>
        <v>4303.907514</v>
      </c>
      <c r="PD9" s="60">
        <f t="shared" si="6"/>
        <v>4152.901734</v>
      </c>
      <c r="PE9" s="60">
        <f t="shared" si="6"/>
        <v>4218.936416</v>
      </c>
      <c r="PF9" s="60">
        <f t="shared" si="6"/>
        <v>3745.526012</v>
      </c>
      <c r="PG9" s="60">
        <f t="shared" si="6"/>
        <v>4529.202312</v>
      </c>
      <c r="PH9" s="60">
        <f t="shared" si="6"/>
        <v>4282.543353</v>
      </c>
      <c r="PI9" s="60">
        <f t="shared" si="6"/>
        <v>4233.50289</v>
      </c>
      <c r="PJ9" s="60">
        <f t="shared" si="6"/>
        <v>4453.942197</v>
      </c>
      <c r="PK9" s="60">
        <f t="shared" si="6"/>
        <v>4479.676301</v>
      </c>
      <c r="PL9" s="60">
        <f t="shared" si="6"/>
        <v>4493.757225</v>
      </c>
      <c r="PM9" s="60">
        <f t="shared" si="6"/>
        <v>4008.693642</v>
      </c>
      <c r="PN9" s="60">
        <f t="shared" si="6"/>
        <v>3728.046243</v>
      </c>
      <c r="PO9" s="60">
        <f t="shared" si="6"/>
        <v>4485.988439</v>
      </c>
      <c r="PP9" s="60">
        <f t="shared" si="6"/>
        <v>3719.306358</v>
      </c>
      <c r="PQ9" s="60">
        <f t="shared" si="6"/>
        <v>3875.653179</v>
      </c>
      <c r="PR9" s="60">
        <f t="shared" si="6"/>
        <v>4492.786127</v>
      </c>
      <c r="PS9" s="60">
        <f t="shared" si="6"/>
        <v>3926.150289</v>
      </c>
      <c r="PT9" s="60">
        <f t="shared" si="6"/>
        <v>4405.872832</v>
      </c>
      <c r="PU9" s="60">
        <f t="shared" si="6"/>
        <v>4005.294798</v>
      </c>
      <c r="PV9" s="60">
        <f t="shared" si="6"/>
        <v>3864.971098</v>
      </c>
      <c r="PW9" s="60">
        <f t="shared" si="6"/>
        <v>4204.369942</v>
      </c>
      <c r="PX9" s="60">
        <f t="shared" si="6"/>
        <v>3717.364162</v>
      </c>
      <c r="PY9" s="60">
        <f t="shared" si="6"/>
        <v>4411.699422</v>
      </c>
      <c r="PZ9" s="60">
        <f t="shared" si="6"/>
        <v>3766.404624</v>
      </c>
      <c r="QA9" s="60">
        <f t="shared" si="6"/>
        <v>3612</v>
      </c>
      <c r="QB9" s="60">
        <f t="shared" si="6"/>
        <v>3696.485549</v>
      </c>
      <c r="QC9" s="60">
        <f t="shared" si="6"/>
        <v>4543.768786</v>
      </c>
      <c r="QD9" s="60">
        <f t="shared" si="6"/>
        <v>3783.884393</v>
      </c>
      <c r="QE9" s="60">
        <f t="shared" si="6"/>
        <v>3963.052023</v>
      </c>
      <c r="QF9" s="60">
        <f t="shared" si="6"/>
        <v>4508.323699</v>
      </c>
      <c r="QG9" s="60">
        <f t="shared" si="6"/>
        <v>4401.988439</v>
      </c>
      <c r="QH9" s="60">
        <f t="shared" si="6"/>
        <v>3907.699422</v>
      </c>
      <c r="QI9" s="60">
        <f t="shared" si="6"/>
        <v>3807.190751</v>
      </c>
      <c r="QJ9" s="60">
        <f t="shared" si="6"/>
        <v>3780.485549</v>
      </c>
      <c r="QK9" s="60">
        <f t="shared" si="6"/>
        <v>3598.890173</v>
      </c>
      <c r="QL9" s="60">
        <f t="shared" si="6"/>
        <v>3804.763006</v>
      </c>
      <c r="QM9" s="60">
        <f t="shared" si="6"/>
        <v>3963.052023</v>
      </c>
      <c r="QN9" s="60">
        <f t="shared" si="6"/>
        <v>3926.635838</v>
      </c>
      <c r="QO9" s="60">
        <f t="shared" si="6"/>
        <v>4466.080925</v>
      </c>
      <c r="QP9" s="60">
        <f t="shared" si="6"/>
        <v>3806.705202</v>
      </c>
      <c r="QQ9" s="60">
        <f t="shared" si="6"/>
        <v>4152.416185</v>
      </c>
      <c r="QR9" s="60">
        <f t="shared" si="6"/>
        <v>3591.121387</v>
      </c>
      <c r="QS9" s="60">
        <f t="shared" si="6"/>
        <v>4204.369942</v>
      </c>
      <c r="QT9" s="60">
        <f t="shared" si="6"/>
        <v>3740.184971</v>
      </c>
      <c r="QU9" s="60">
        <f t="shared" si="6"/>
        <v>3848.462428</v>
      </c>
      <c r="QV9" s="60">
        <f t="shared" si="6"/>
        <v>4170.381503</v>
      </c>
      <c r="QW9" s="60">
        <f t="shared" si="6"/>
        <v>4113.086705</v>
      </c>
      <c r="QX9" s="60">
        <f t="shared" si="6"/>
        <v>4013.549133</v>
      </c>
      <c r="QY9" s="60">
        <f t="shared" si="6"/>
        <v>3917.895954</v>
      </c>
      <c r="QZ9" s="60">
        <f t="shared" si="6"/>
        <v>3886.33526</v>
      </c>
      <c r="RA9" s="60">
        <f t="shared" si="6"/>
        <v>3706.196532</v>
      </c>
      <c r="RB9" s="60">
        <f t="shared" si="6"/>
        <v>3894.104046</v>
      </c>
      <c r="RC9" s="60">
        <f t="shared" si="6"/>
        <v>3797.965318</v>
      </c>
      <c r="RD9" s="60">
        <f t="shared" si="6"/>
        <v>4299.537572</v>
      </c>
      <c r="RE9" s="60">
        <f t="shared" si="6"/>
        <v>4343.722543</v>
      </c>
      <c r="RF9" s="60">
        <f t="shared" si="6"/>
        <v>3688.231214</v>
      </c>
      <c r="RG9" s="60">
        <f t="shared" si="6"/>
        <v>3807.676301</v>
      </c>
      <c r="RH9" s="60">
        <f t="shared" si="6"/>
        <v>4073.757225</v>
      </c>
      <c r="RI9" s="60">
        <f t="shared" si="6"/>
        <v>4465.109827</v>
      </c>
      <c r="RJ9" s="60">
        <f t="shared" si="6"/>
        <v>3708.138728</v>
      </c>
      <c r="RK9" s="60">
        <f t="shared" si="6"/>
        <v>3770.289017</v>
      </c>
      <c r="RL9" s="60">
        <f t="shared" si="6"/>
        <v>3841.66474</v>
      </c>
      <c r="RM9" s="60">
        <f t="shared" si="6"/>
        <v>3847.976879</v>
      </c>
      <c r="RN9" s="60">
        <f t="shared" si="6"/>
        <v>4268.462428</v>
      </c>
      <c r="RO9" s="60">
        <f t="shared" si="6"/>
        <v>4048.508671</v>
      </c>
      <c r="RP9" s="60">
        <f t="shared" si="6"/>
        <v>4317.988439</v>
      </c>
      <c r="RQ9" s="60">
        <f t="shared" si="6"/>
        <v>4564.647399</v>
      </c>
      <c r="RR9" s="60">
        <f t="shared" si="6"/>
        <v>4511.236994</v>
      </c>
      <c r="RS9" s="60">
        <f t="shared" si="6"/>
        <v>4564.16185</v>
      </c>
      <c r="RT9" s="60">
        <f t="shared" si="6"/>
        <v>3961.595376</v>
      </c>
      <c r="RU9" s="60">
        <f t="shared" si="6"/>
        <v>4288.369942</v>
      </c>
      <c r="RV9" s="60">
        <f t="shared" si="6"/>
        <v>3920.809249</v>
      </c>
      <c r="RW9" s="60">
        <f t="shared" si="6"/>
        <v>4514.150289</v>
      </c>
      <c r="RX9" s="60">
        <f t="shared" si="6"/>
        <v>4396.16185</v>
      </c>
      <c r="RY9" s="60">
        <f t="shared" si="6"/>
        <v>3731.445087</v>
      </c>
      <c r="RZ9" s="60">
        <f t="shared" si="6"/>
        <v>4475.306358</v>
      </c>
      <c r="SA9" s="60">
        <f t="shared" si="6"/>
        <v>3860.115607</v>
      </c>
      <c r="SB9" s="60">
        <f t="shared" si="6"/>
        <v>3644.046243</v>
      </c>
      <c r="SC9" s="60">
        <f t="shared" si="6"/>
        <v>4172.323699</v>
      </c>
      <c r="SD9" s="60">
        <f t="shared" si="6"/>
        <v>4288.369942</v>
      </c>
      <c r="SE9" s="60">
        <f t="shared" si="6"/>
        <v>4083.953757</v>
      </c>
      <c r="SF9" s="60">
        <f t="shared" si="6"/>
        <v>3742.127168</v>
      </c>
      <c r="SG9" s="60">
        <f t="shared" si="6"/>
        <v>4085.895954</v>
      </c>
      <c r="SH9" s="60">
        <f t="shared" si="6"/>
        <v>4478.219653</v>
      </c>
      <c r="SI9" s="60">
        <f t="shared" si="6"/>
        <v>4128.138728</v>
      </c>
      <c r="SJ9" s="60">
        <f t="shared" si="6"/>
        <v>4284</v>
      </c>
      <c r="SK9" s="60">
        <f t="shared" si="6"/>
        <v>4139.791908</v>
      </c>
      <c r="SL9" s="60">
        <f t="shared" si="6"/>
        <v>4289.34104</v>
      </c>
    </row>
    <row r="10">
      <c r="A10" s="65" t="s">
        <v>89</v>
      </c>
      <c r="B10" s="66"/>
      <c r="C10" s="244"/>
      <c r="D10" s="245"/>
      <c r="E10" s="246"/>
      <c r="F10" s="66"/>
      <c r="G10" s="66"/>
      <c r="H10" s="66"/>
      <c r="I10" s="66"/>
      <c r="J10" s="66"/>
      <c r="K10" s="66"/>
      <c r="L10" s="66"/>
      <c r="M10" s="66"/>
      <c r="N10" s="66"/>
      <c r="O10" s="66"/>
      <c r="P10" s="66"/>
      <c r="Q10" s="66"/>
      <c r="R10" s="66"/>
      <c r="S10" s="66"/>
      <c r="T10" s="66"/>
      <c r="U10" s="66"/>
      <c r="V10" s="66"/>
      <c r="W10" s="66"/>
      <c r="X10" s="66"/>
      <c r="Y10" s="66"/>
      <c r="Z10" s="66"/>
      <c r="AA10" s="66"/>
      <c r="AB10" s="66"/>
      <c r="AC10" s="66"/>
      <c r="AD10" s="66"/>
      <c r="AE10" s="66"/>
      <c r="AF10" s="66"/>
      <c r="AG10" s="66"/>
      <c r="AH10" s="66"/>
      <c r="AI10" s="66"/>
      <c r="AJ10" s="66"/>
      <c r="AK10" s="66"/>
      <c r="AL10" s="66"/>
      <c r="AM10" s="66"/>
      <c r="AN10" s="66"/>
      <c r="AO10" s="66"/>
      <c r="AP10" s="66"/>
      <c r="AQ10" s="66"/>
      <c r="AR10" s="66"/>
      <c r="AS10" s="66"/>
      <c r="AT10" s="66"/>
      <c r="AU10" s="66"/>
      <c r="AV10" s="66"/>
      <c r="AW10" s="66"/>
      <c r="AX10" s="66"/>
      <c r="AY10" s="66"/>
      <c r="AZ10" s="66"/>
      <c r="BA10" s="66"/>
      <c r="BB10" s="66"/>
      <c r="BC10" s="66"/>
      <c r="BD10" s="66"/>
      <c r="BE10" s="66"/>
      <c r="BF10" s="66"/>
      <c r="BG10" s="66"/>
      <c r="BH10" s="66"/>
      <c r="BI10" s="66"/>
      <c r="BJ10" s="66"/>
      <c r="BK10" s="66"/>
      <c r="BL10" s="66"/>
      <c r="BM10" s="66"/>
      <c r="BN10" s="66"/>
      <c r="BO10" s="66"/>
      <c r="BP10" s="66"/>
      <c r="BQ10" s="66"/>
      <c r="BR10" s="66"/>
      <c r="BS10" s="66"/>
      <c r="BT10" s="66"/>
      <c r="BU10" s="66"/>
      <c r="BV10" s="66"/>
      <c r="BW10" s="66"/>
      <c r="BX10" s="66"/>
      <c r="BY10" s="66"/>
      <c r="BZ10" s="66"/>
      <c r="CA10" s="66"/>
      <c r="CB10" s="66"/>
      <c r="CC10" s="66"/>
      <c r="CD10" s="66"/>
      <c r="CE10" s="66"/>
      <c r="CF10" s="66"/>
      <c r="CG10" s="66"/>
      <c r="CH10" s="66"/>
      <c r="CI10" s="66"/>
      <c r="CJ10" s="66"/>
      <c r="CK10" s="66"/>
      <c r="CL10" s="66"/>
      <c r="CM10" s="66"/>
      <c r="CN10" s="66"/>
      <c r="CO10" s="66"/>
      <c r="CP10" s="66"/>
      <c r="CQ10" s="66"/>
      <c r="CR10" s="66"/>
      <c r="CS10" s="66"/>
      <c r="CT10" s="66"/>
      <c r="CU10" s="66"/>
      <c r="CV10" s="66"/>
      <c r="CW10" s="66"/>
      <c r="CX10" s="66"/>
      <c r="CY10" s="66"/>
      <c r="CZ10" s="66"/>
      <c r="DA10" s="66"/>
      <c r="DB10" s="66"/>
      <c r="DC10" s="66"/>
      <c r="DD10" s="66"/>
      <c r="DE10" s="66"/>
      <c r="DF10" s="66"/>
      <c r="DG10" s="66"/>
      <c r="DH10" s="66"/>
      <c r="DI10" s="66"/>
      <c r="DJ10" s="66"/>
      <c r="DK10" s="66"/>
      <c r="DL10" s="66"/>
      <c r="DM10" s="66"/>
      <c r="DN10" s="66"/>
      <c r="DO10" s="66"/>
      <c r="DP10" s="66"/>
      <c r="DQ10" s="66"/>
      <c r="DR10" s="66"/>
      <c r="DS10" s="66"/>
      <c r="DT10" s="66"/>
      <c r="DU10" s="66"/>
      <c r="DV10" s="66"/>
      <c r="DW10" s="66"/>
      <c r="DX10" s="66"/>
      <c r="DY10" s="66"/>
      <c r="DZ10" s="66"/>
      <c r="EA10" s="66"/>
      <c r="EB10" s="66"/>
      <c r="EC10" s="66"/>
      <c r="ED10" s="66"/>
      <c r="EE10" s="66"/>
      <c r="EF10" s="66"/>
      <c r="EG10" s="66"/>
      <c r="EH10" s="66"/>
      <c r="EI10" s="66"/>
      <c r="EJ10" s="66"/>
      <c r="EK10" s="66"/>
      <c r="EL10" s="66"/>
      <c r="EM10" s="66"/>
      <c r="EN10" s="66"/>
      <c r="EO10" s="66"/>
      <c r="EP10" s="66"/>
      <c r="EQ10" s="66"/>
      <c r="ER10" s="66"/>
      <c r="ES10" s="66"/>
      <c r="ET10" s="66"/>
      <c r="EU10" s="66"/>
      <c r="EV10" s="66"/>
      <c r="EW10" s="66"/>
      <c r="EX10" s="66"/>
      <c r="EY10" s="66"/>
      <c r="EZ10" s="66"/>
      <c r="FA10" s="66"/>
      <c r="FB10" s="66"/>
      <c r="FC10" s="66"/>
      <c r="FD10" s="66"/>
      <c r="FE10" s="66"/>
      <c r="FF10" s="66"/>
      <c r="FG10" s="66"/>
      <c r="FH10" s="66"/>
      <c r="FI10" s="66"/>
      <c r="FJ10" s="66"/>
      <c r="FK10" s="66"/>
      <c r="FL10" s="66"/>
      <c r="FM10" s="66"/>
      <c r="FN10" s="66"/>
      <c r="FO10" s="66"/>
      <c r="FP10" s="66"/>
      <c r="FQ10" s="66"/>
      <c r="FR10" s="66"/>
      <c r="FS10" s="66"/>
      <c r="FT10" s="66"/>
      <c r="FU10" s="66"/>
      <c r="FV10" s="66"/>
      <c r="FW10" s="66"/>
      <c r="FX10" s="66"/>
      <c r="FY10" s="66"/>
      <c r="FZ10" s="66"/>
      <c r="GA10" s="66"/>
      <c r="GB10" s="66"/>
      <c r="GC10" s="66"/>
      <c r="GD10" s="66"/>
      <c r="GE10" s="66"/>
      <c r="GF10" s="66"/>
      <c r="GG10" s="66"/>
      <c r="GH10" s="66"/>
      <c r="GI10" s="66"/>
      <c r="GJ10" s="66"/>
      <c r="GK10" s="66"/>
      <c r="GL10" s="66"/>
      <c r="GM10" s="66"/>
      <c r="GN10" s="66"/>
      <c r="GO10" s="66"/>
      <c r="GP10" s="66"/>
      <c r="GQ10" s="66"/>
      <c r="GR10" s="66"/>
      <c r="GS10" s="66"/>
      <c r="GT10" s="66"/>
      <c r="GU10" s="66"/>
      <c r="GV10" s="66"/>
      <c r="GW10" s="66"/>
      <c r="GX10" s="66"/>
      <c r="GY10" s="66"/>
      <c r="GZ10" s="66"/>
      <c r="HA10" s="66"/>
      <c r="HB10" s="66"/>
      <c r="HC10" s="66"/>
      <c r="HD10" s="66"/>
      <c r="HE10" s="66"/>
      <c r="HF10" s="66"/>
      <c r="HG10" s="66"/>
      <c r="HH10" s="66"/>
      <c r="HI10" s="66"/>
      <c r="HJ10" s="66"/>
      <c r="HK10" s="66"/>
      <c r="HL10" s="66"/>
      <c r="HM10" s="66"/>
      <c r="HN10" s="66"/>
      <c r="HO10" s="66"/>
      <c r="HP10" s="66"/>
      <c r="HQ10" s="66"/>
      <c r="HR10" s="66"/>
      <c r="HS10" s="66"/>
      <c r="HT10" s="66"/>
      <c r="HU10" s="66"/>
      <c r="HV10" s="66"/>
      <c r="HW10" s="66"/>
      <c r="HX10" s="66"/>
      <c r="HY10" s="66"/>
      <c r="HZ10" s="66"/>
      <c r="IA10" s="66"/>
      <c r="IB10" s="66"/>
      <c r="IC10" s="66"/>
      <c r="ID10" s="66"/>
      <c r="IE10" s="66"/>
      <c r="IF10" s="66"/>
      <c r="IG10" s="66"/>
      <c r="IH10" s="66"/>
      <c r="II10" s="66"/>
      <c r="IJ10" s="66"/>
      <c r="IK10" s="66"/>
      <c r="IL10" s="66"/>
      <c r="IM10" s="66"/>
      <c r="IN10" s="66"/>
      <c r="IO10" s="66"/>
      <c r="IP10" s="66"/>
      <c r="IQ10" s="66"/>
      <c r="IR10" s="66"/>
      <c r="IS10" s="66"/>
      <c r="IT10" s="66"/>
      <c r="IU10" s="66"/>
      <c r="IV10" s="66"/>
      <c r="IW10" s="66"/>
      <c r="IX10" s="66"/>
      <c r="IY10" s="66"/>
      <c r="IZ10" s="66"/>
      <c r="JA10" s="66"/>
      <c r="JB10" s="66"/>
      <c r="JC10" s="66"/>
      <c r="JD10" s="66"/>
      <c r="JE10" s="66"/>
      <c r="JF10" s="66"/>
      <c r="JG10" s="66"/>
      <c r="JH10" s="66"/>
      <c r="JI10" s="66"/>
      <c r="JJ10" s="66"/>
      <c r="JK10" s="66"/>
      <c r="JL10" s="66"/>
      <c r="JM10" s="66"/>
      <c r="JN10" s="66"/>
      <c r="JO10" s="66"/>
      <c r="JP10" s="66"/>
      <c r="JQ10" s="66"/>
      <c r="JR10" s="66"/>
      <c r="JS10" s="66"/>
      <c r="JT10" s="66"/>
      <c r="JU10" s="66"/>
      <c r="JV10" s="66"/>
      <c r="JW10" s="66"/>
      <c r="JX10" s="66"/>
      <c r="JY10" s="66"/>
      <c r="JZ10" s="66"/>
      <c r="KA10" s="66"/>
      <c r="KB10" s="66"/>
      <c r="KC10" s="66"/>
      <c r="KD10" s="66"/>
      <c r="KE10" s="66"/>
      <c r="KF10" s="66"/>
      <c r="KG10" s="66"/>
      <c r="KH10" s="66"/>
      <c r="KI10" s="66"/>
      <c r="KJ10" s="66"/>
      <c r="KK10" s="66"/>
      <c r="KL10" s="66"/>
      <c r="KM10" s="66"/>
      <c r="KN10" s="66"/>
      <c r="KO10" s="66"/>
      <c r="KP10" s="66"/>
      <c r="KQ10" s="66"/>
      <c r="KR10" s="66"/>
      <c r="KS10" s="66"/>
      <c r="KT10" s="66"/>
      <c r="KU10" s="66"/>
      <c r="KV10" s="66"/>
      <c r="KW10" s="66"/>
      <c r="KX10" s="66"/>
      <c r="KY10" s="66"/>
      <c r="KZ10" s="66"/>
      <c r="LA10" s="66"/>
      <c r="LB10" s="66"/>
      <c r="LC10" s="66"/>
      <c r="LD10" s="66"/>
      <c r="LE10" s="66"/>
      <c r="LF10" s="66"/>
      <c r="LG10" s="66"/>
      <c r="LH10" s="66"/>
      <c r="LI10" s="66"/>
      <c r="LJ10" s="66"/>
      <c r="LK10" s="66"/>
      <c r="LL10" s="66"/>
      <c r="LM10" s="66"/>
      <c r="LN10" s="66"/>
      <c r="LO10" s="66"/>
      <c r="LP10" s="66"/>
      <c r="LQ10" s="66"/>
      <c r="LR10" s="66"/>
      <c r="LS10" s="66"/>
      <c r="LT10" s="66"/>
      <c r="LU10" s="66"/>
      <c r="LV10" s="66"/>
      <c r="LW10" s="66"/>
      <c r="LX10" s="66"/>
      <c r="LY10" s="66"/>
      <c r="LZ10" s="66"/>
      <c r="MA10" s="66"/>
      <c r="MB10" s="66"/>
      <c r="MC10" s="66"/>
      <c r="MD10" s="66"/>
      <c r="ME10" s="66"/>
      <c r="MF10" s="66"/>
      <c r="MG10" s="66"/>
      <c r="MH10" s="66"/>
      <c r="MI10" s="66"/>
      <c r="MJ10" s="66"/>
      <c r="MK10" s="66"/>
      <c r="ML10" s="66"/>
      <c r="MM10" s="66"/>
      <c r="MN10" s="66"/>
      <c r="MO10" s="66"/>
      <c r="MP10" s="66"/>
      <c r="MQ10" s="66"/>
      <c r="MR10" s="66"/>
      <c r="MS10" s="66"/>
      <c r="MT10" s="66"/>
      <c r="MU10" s="66"/>
      <c r="MV10" s="66"/>
      <c r="MW10" s="66"/>
      <c r="MX10" s="66"/>
      <c r="MY10" s="66"/>
      <c r="MZ10" s="66"/>
      <c r="NA10" s="66"/>
      <c r="NB10" s="66"/>
      <c r="NC10" s="66"/>
      <c r="ND10" s="66"/>
      <c r="NE10" s="66"/>
      <c r="NF10" s="66"/>
      <c r="NG10" s="66"/>
      <c r="NH10" s="66"/>
      <c r="NI10" s="66"/>
      <c r="NJ10" s="66"/>
      <c r="NK10" s="66"/>
      <c r="NL10" s="66"/>
      <c r="NM10" s="66"/>
      <c r="NN10" s="66"/>
      <c r="NO10" s="66"/>
      <c r="NP10" s="66"/>
      <c r="NQ10" s="66"/>
      <c r="NR10" s="66"/>
      <c r="NS10" s="66"/>
      <c r="NT10" s="66"/>
      <c r="NU10" s="66"/>
      <c r="NV10" s="66"/>
      <c r="NW10" s="66"/>
      <c r="NX10" s="66"/>
      <c r="NY10" s="66"/>
      <c r="NZ10" s="66"/>
      <c r="OA10" s="66"/>
      <c r="OB10" s="66"/>
      <c r="OC10" s="66"/>
      <c r="OD10" s="66"/>
      <c r="OE10" s="66"/>
      <c r="OF10" s="66"/>
      <c r="OG10" s="66"/>
      <c r="OH10" s="66"/>
      <c r="OI10" s="66"/>
      <c r="OJ10" s="66"/>
      <c r="OK10" s="66"/>
      <c r="OL10" s="66"/>
      <c r="OM10" s="66"/>
      <c r="ON10" s="66"/>
      <c r="OO10" s="66"/>
      <c r="OP10" s="66"/>
      <c r="OQ10" s="66"/>
      <c r="OR10" s="66"/>
      <c r="OS10" s="66"/>
      <c r="OT10" s="66"/>
      <c r="OU10" s="66"/>
      <c r="OV10" s="66"/>
      <c r="OW10" s="66"/>
      <c r="OX10" s="66"/>
      <c r="OY10" s="66"/>
      <c r="OZ10" s="66"/>
      <c r="PA10" s="66"/>
      <c r="PB10" s="66"/>
      <c r="PC10" s="66"/>
      <c r="PD10" s="66"/>
      <c r="PE10" s="66"/>
      <c r="PF10" s="66"/>
      <c r="PG10" s="66"/>
      <c r="PH10" s="66"/>
      <c r="PI10" s="66"/>
      <c r="PJ10" s="66"/>
      <c r="PK10" s="66"/>
      <c r="PL10" s="66"/>
      <c r="PM10" s="66"/>
      <c r="PN10" s="66"/>
      <c r="PO10" s="66"/>
      <c r="PP10" s="66"/>
      <c r="PQ10" s="66"/>
      <c r="PR10" s="66"/>
      <c r="PS10" s="66"/>
      <c r="PT10" s="66"/>
      <c r="PU10" s="66"/>
      <c r="PV10" s="66"/>
      <c r="PW10" s="66"/>
      <c r="PX10" s="66"/>
      <c r="PY10" s="66"/>
      <c r="PZ10" s="66"/>
      <c r="QA10" s="66"/>
      <c r="QB10" s="66"/>
      <c r="QC10" s="66"/>
      <c r="QD10" s="66"/>
      <c r="QE10" s="66"/>
      <c r="QF10" s="66"/>
      <c r="QG10" s="66"/>
      <c r="QH10" s="66"/>
      <c r="QI10" s="66"/>
      <c r="QJ10" s="66"/>
      <c r="QK10" s="66"/>
      <c r="QL10" s="66"/>
      <c r="QM10" s="66"/>
      <c r="QN10" s="66"/>
      <c r="QO10" s="66"/>
      <c r="QP10" s="66"/>
      <c r="QQ10" s="66"/>
      <c r="QR10" s="66"/>
      <c r="QS10" s="66"/>
      <c r="QT10" s="66"/>
      <c r="QU10" s="66"/>
      <c r="QV10" s="66"/>
      <c r="QW10" s="66"/>
      <c r="QX10" s="66"/>
      <c r="QY10" s="66"/>
      <c r="QZ10" s="66"/>
      <c r="RA10" s="66"/>
      <c r="RB10" s="66"/>
      <c r="RC10" s="66"/>
      <c r="RD10" s="66"/>
      <c r="RE10" s="66"/>
      <c r="RF10" s="66"/>
      <c r="RG10" s="66"/>
      <c r="RH10" s="66"/>
      <c r="RI10" s="66"/>
      <c r="RJ10" s="66"/>
      <c r="RK10" s="66"/>
      <c r="RL10" s="66"/>
      <c r="RM10" s="66"/>
      <c r="RN10" s="66"/>
      <c r="RO10" s="66"/>
      <c r="RP10" s="66"/>
      <c r="RQ10" s="66"/>
      <c r="RR10" s="66"/>
      <c r="RS10" s="66"/>
      <c r="RT10" s="66"/>
      <c r="RU10" s="66"/>
      <c r="RV10" s="66"/>
      <c r="RW10" s="66"/>
      <c r="RX10" s="66"/>
      <c r="RY10" s="66"/>
      <c r="RZ10" s="66"/>
      <c r="SA10" s="66"/>
      <c r="SB10" s="66"/>
      <c r="SC10" s="66"/>
      <c r="SD10" s="66"/>
      <c r="SE10" s="66"/>
      <c r="SF10" s="66"/>
      <c r="SG10" s="66"/>
      <c r="SH10" s="66"/>
      <c r="SI10" s="66"/>
      <c r="SJ10" s="66"/>
      <c r="SK10" s="66"/>
      <c r="SL10" s="66"/>
    </row>
    <row r="11">
      <c r="A11" s="58" t="s">
        <v>90</v>
      </c>
      <c r="B11" s="54">
        <f t="array" ref="B11">INDEX('New CEA'!$B14:$F14,MATCH($B$2,'New CEA'!B$2:F$2,0))</f>
        <v>651.9660358</v>
      </c>
      <c r="C11" s="247">
        <f>AVERAGE(G11:SL11)</f>
        <v>653.7365462</v>
      </c>
      <c r="D11" s="248">
        <f>PERCENTILE($G11:$SL11,0.25)</f>
        <v>554.056175</v>
      </c>
      <c r="E11" s="249">
        <f>PERCENTILE($G11:$SL11,0.75)</f>
        <v>750.067375</v>
      </c>
      <c r="F11" s="62"/>
      <c r="G11" s="250">
        <f>RANDBETWEEN((Inputs!$E11-(Inputs!$E11-Inputs!$D11)*2)*10000,(Inputs!$E11+(Inputs!$F11-Inputs!$E11)*2)*10000)/10000</f>
        <v>817.9051</v>
      </c>
      <c r="H11" s="250">
        <f>RANDBETWEEN((Inputs!$E11-(Inputs!$E11-Inputs!$D11)*2)*10000,(Inputs!$E11+(Inputs!$F11-Inputs!$E11)*2)*10000)/10000</f>
        <v>793.049</v>
      </c>
      <c r="I11" s="250">
        <f>RANDBETWEEN((Inputs!$E11-(Inputs!$E11-Inputs!$D11)*2)*10000,(Inputs!$E11+(Inputs!$F11-Inputs!$E11)*2)*10000)/10000</f>
        <v>697.8467</v>
      </c>
      <c r="J11" s="250">
        <f>RANDBETWEEN((Inputs!$E11-(Inputs!$E11-Inputs!$D11)*2)*10000,(Inputs!$E11+(Inputs!$F11-Inputs!$E11)*2)*10000)/10000</f>
        <v>488.0784</v>
      </c>
      <c r="K11" s="250">
        <f>RANDBETWEEN((Inputs!$E11-(Inputs!$E11-Inputs!$D11)*2)*10000,(Inputs!$E11+(Inputs!$F11-Inputs!$E11)*2)*10000)/10000</f>
        <v>819.7316</v>
      </c>
      <c r="L11" s="250">
        <f>RANDBETWEEN((Inputs!$E11-(Inputs!$E11-Inputs!$D11)*2)*10000,(Inputs!$E11+(Inputs!$F11-Inputs!$E11)*2)*10000)/10000</f>
        <v>609.1298</v>
      </c>
      <c r="M11" s="250">
        <f>RANDBETWEEN((Inputs!$E11-(Inputs!$E11-Inputs!$D11)*2)*10000,(Inputs!$E11+(Inputs!$F11-Inputs!$E11)*2)*10000)/10000</f>
        <v>484.7656</v>
      </c>
      <c r="N11" s="250">
        <f>RANDBETWEEN((Inputs!$E11-(Inputs!$E11-Inputs!$D11)*2)*10000,(Inputs!$E11+(Inputs!$F11-Inputs!$E11)*2)*10000)/10000</f>
        <v>604.9603</v>
      </c>
      <c r="O11" s="250">
        <f>RANDBETWEEN((Inputs!$E11-(Inputs!$E11-Inputs!$D11)*2)*10000,(Inputs!$E11+(Inputs!$F11-Inputs!$E11)*2)*10000)/10000</f>
        <v>474.7226</v>
      </c>
      <c r="P11" s="250">
        <f>RANDBETWEEN((Inputs!$E11-(Inputs!$E11-Inputs!$D11)*2)*10000,(Inputs!$E11+(Inputs!$F11-Inputs!$E11)*2)*10000)/10000</f>
        <v>783.2593</v>
      </c>
      <c r="Q11" s="250">
        <f>RANDBETWEEN((Inputs!$E11-(Inputs!$E11-Inputs!$D11)*2)*10000,(Inputs!$E11+(Inputs!$F11-Inputs!$E11)*2)*10000)/10000</f>
        <v>521.0417</v>
      </c>
      <c r="R11" s="250">
        <f>RANDBETWEEN((Inputs!$E11-(Inputs!$E11-Inputs!$D11)*2)*10000,(Inputs!$E11+(Inputs!$F11-Inputs!$E11)*2)*10000)/10000</f>
        <v>591.2846</v>
      </c>
      <c r="S11" s="250">
        <f>RANDBETWEEN((Inputs!$E11-(Inputs!$E11-Inputs!$D11)*2)*10000,(Inputs!$E11+(Inputs!$F11-Inputs!$E11)*2)*10000)/10000</f>
        <v>531.5744</v>
      </c>
      <c r="T11" s="250">
        <f>RANDBETWEEN((Inputs!$E11-(Inputs!$E11-Inputs!$D11)*2)*10000,(Inputs!$E11+(Inputs!$F11-Inputs!$E11)*2)*10000)/10000</f>
        <v>688.6645</v>
      </c>
      <c r="U11" s="250">
        <f>RANDBETWEEN((Inputs!$E11-(Inputs!$E11-Inputs!$D11)*2)*10000,(Inputs!$E11+(Inputs!$F11-Inputs!$E11)*2)*10000)/10000</f>
        <v>481.1234</v>
      </c>
      <c r="V11" s="250">
        <f>RANDBETWEEN((Inputs!$E11-(Inputs!$E11-Inputs!$D11)*2)*10000,(Inputs!$E11+(Inputs!$F11-Inputs!$E11)*2)*10000)/10000</f>
        <v>764.3916</v>
      </c>
      <c r="W11" s="250">
        <f>RANDBETWEEN((Inputs!$E11-(Inputs!$E11-Inputs!$D11)*2)*10000,(Inputs!$E11+(Inputs!$F11-Inputs!$E11)*2)*10000)/10000</f>
        <v>473.6097</v>
      </c>
      <c r="X11" s="250">
        <f>RANDBETWEEN((Inputs!$E11-(Inputs!$E11-Inputs!$D11)*2)*10000,(Inputs!$E11+(Inputs!$F11-Inputs!$E11)*2)*10000)/10000</f>
        <v>519.2298</v>
      </c>
      <c r="Y11" s="250">
        <f>RANDBETWEEN((Inputs!$E11-(Inputs!$E11-Inputs!$D11)*2)*10000,(Inputs!$E11+(Inputs!$F11-Inputs!$E11)*2)*10000)/10000</f>
        <v>680.2142</v>
      </c>
      <c r="Z11" s="250">
        <f>RANDBETWEEN((Inputs!$E11-(Inputs!$E11-Inputs!$D11)*2)*10000,(Inputs!$E11+(Inputs!$F11-Inputs!$E11)*2)*10000)/10000</f>
        <v>806.6558</v>
      </c>
      <c r="AA11" s="250">
        <f>RANDBETWEEN((Inputs!$E11-(Inputs!$E11-Inputs!$D11)*2)*10000,(Inputs!$E11+(Inputs!$F11-Inputs!$E11)*2)*10000)/10000</f>
        <v>554.3526</v>
      </c>
      <c r="AB11" s="250">
        <f>RANDBETWEEN((Inputs!$E11-(Inputs!$E11-Inputs!$D11)*2)*10000,(Inputs!$E11+(Inputs!$F11-Inputs!$E11)*2)*10000)/10000</f>
        <v>507.124</v>
      </c>
      <c r="AC11" s="250">
        <f>RANDBETWEEN((Inputs!$E11-(Inputs!$E11-Inputs!$D11)*2)*10000,(Inputs!$E11+(Inputs!$F11-Inputs!$E11)*2)*10000)/10000</f>
        <v>741.9853</v>
      </c>
      <c r="AD11" s="250">
        <f>RANDBETWEEN((Inputs!$E11-(Inputs!$E11-Inputs!$D11)*2)*10000,(Inputs!$E11+(Inputs!$F11-Inputs!$E11)*2)*10000)/10000</f>
        <v>810.4088</v>
      </c>
      <c r="AE11" s="250">
        <f>RANDBETWEEN((Inputs!$E11-(Inputs!$E11-Inputs!$D11)*2)*10000,(Inputs!$E11+(Inputs!$F11-Inputs!$E11)*2)*10000)/10000</f>
        <v>805.8511</v>
      </c>
      <c r="AF11" s="250">
        <f>RANDBETWEEN((Inputs!$E11-(Inputs!$E11-Inputs!$D11)*2)*10000,(Inputs!$E11+(Inputs!$F11-Inputs!$E11)*2)*10000)/10000</f>
        <v>594.7461</v>
      </c>
      <c r="AG11" s="250">
        <f>RANDBETWEEN((Inputs!$E11-(Inputs!$E11-Inputs!$D11)*2)*10000,(Inputs!$E11+(Inputs!$F11-Inputs!$E11)*2)*10000)/10000</f>
        <v>673.3912</v>
      </c>
      <c r="AH11" s="250">
        <f>RANDBETWEEN((Inputs!$E11-(Inputs!$E11-Inputs!$D11)*2)*10000,(Inputs!$E11+(Inputs!$F11-Inputs!$E11)*2)*10000)/10000</f>
        <v>737.3436</v>
      </c>
      <c r="AI11" s="250">
        <f>RANDBETWEEN((Inputs!$E11-(Inputs!$E11-Inputs!$D11)*2)*10000,(Inputs!$E11+(Inputs!$F11-Inputs!$E11)*2)*10000)/10000</f>
        <v>550.1182</v>
      </c>
      <c r="AJ11" s="250">
        <f>RANDBETWEEN((Inputs!$E11-(Inputs!$E11-Inputs!$D11)*2)*10000,(Inputs!$E11+(Inputs!$F11-Inputs!$E11)*2)*10000)/10000</f>
        <v>735.4873</v>
      </c>
      <c r="AK11" s="250">
        <f>RANDBETWEEN((Inputs!$E11-(Inputs!$E11-Inputs!$D11)*2)*10000,(Inputs!$E11+(Inputs!$F11-Inputs!$E11)*2)*10000)/10000</f>
        <v>744.2362</v>
      </c>
      <c r="AL11" s="250">
        <f>RANDBETWEEN((Inputs!$E11-(Inputs!$E11-Inputs!$D11)*2)*10000,(Inputs!$E11+(Inputs!$F11-Inputs!$E11)*2)*10000)/10000</f>
        <v>693.4461</v>
      </c>
      <c r="AM11" s="250">
        <f>RANDBETWEEN((Inputs!$E11-(Inputs!$E11-Inputs!$D11)*2)*10000,(Inputs!$E11+(Inputs!$F11-Inputs!$E11)*2)*10000)/10000</f>
        <v>639.4921</v>
      </c>
      <c r="AN11" s="250">
        <f>RANDBETWEEN((Inputs!$E11-(Inputs!$E11-Inputs!$D11)*2)*10000,(Inputs!$E11+(Inputs!$F11-Inputs!$E11)*2)*10000)/10000</f>
        <v>561.8218</v>
      </c>
      <c r="AO11" s="250">
        <f>RANDBETWEEN((Inputs!$E11-(Inputs!$E11-Inputs!$D11)*2)*10000,(Inputs!$E11+(Inputs!$F11-Inputs!$E11)*2)*10000)/10000</f>
        <v>502.7054</v>
      </c>
      <c r="AP11" s="250">
        <f>RANDBETWEEN((Inputs!$E11-(Inputs!$E11-Inputs!$D11)*2)*10000,(Inputs!$E11+(Inputs!$F11-Inputs!$E11)*2)*10000)/10000</f>
        <v>643.5597</v>
      </c>
      <c r="AQ11" s="250">
        <f>RANDBETWEEN((Inputs!$E11-(Inputs!$E11-Inputs!$D11)*2)*10000,(Inputs!$E11+(Inputs!$F11-Inputs!$E11)*2)*10000)/10000</f>
        <v>753.4215</v>
      </c>
      <c r="AR11" s="250">
        <f>RANDBETWEEN((Inputs!$E11-(Inputs!$E11-Inputs!$D11)*2)*10000,(Inputs!$E11+(Inputs!$F11-Inputs!$E11)*2)*10000)/10000</f>
        <v>527.4369</v>
      </c>
      <c r="AS11" s="250">
        <f>RANDBETWEEN((Inputs!$E11-(Inputs!$E11-Inputs!$D11)*2)*10000,(Inputs!$E11+(Inputs!$F11-Inputs!$E11)*2)*10000)/10000</f>
        <v>617.1028</v>
      </c>
      <c r="AT11" s="250">
        <f>RANDBETWEEN((Inputs!$E11-(Inputs!$E11-Inputs!$D11)*2)*10000,(Inputs!$E11+(Inputs!$F11-Inputs!$E11)*2)*10000)/10000</f>
        <v>586.0403</v>
      </c>
      <c r="AU11" s="250">
        <f>RANDBETWEEN((Inputs!$E11-(Inputs!$E11-Inputs!$D11)*2)*10000,(Inputs!$E11+(Inputs!$F11-Inputs!$E11)*2)*10000)/10000</f>
        <v>793.3217</v>
      </c>
      <c r="AV11" s="250">
        <f>RANDBETWEEN((Inputs!$E11-(Inputs!$E11-Inputs!$D11)*2)*10000,(Inputs!$E11+(Inputs!$F11-Inputs!$E11)*2)*10000)/10000</f>
        <v>720.0138</v>
      </c>
      <c r="AW11" s="250">
        <f>RANDBETWEEN((Inputs!$E11-(Inputs!$E11-Inputs!$D11)*2)*10000,(Inputs!$E11+(Inputs!$F11-Inputs!$E11)*2)*10000)/10000</f>
        <v>718.4111</v>
      </c>
      <c r="AX11" s="250">
        <f>RANDBETWEEN((Inputs!$E11-(Inputs!$E11-Inputs!$D11)*2)*10000,(Inputs!$E11+(Inputs!$F11-Inputs!$E11)*2)*10000)/10000</f>
        <v>606.9529</v>
      </c>
      <c r="AY11" s="250">
        <f>RANDBETWEEN((Inputs!$E11-(Inputs!$E11-Inputs!$D11)*2)*10000,(Inputs!$E11+(Inputs!$F11-Inputs!$E11)*2)*10000)/10000</f>
        <v>457.9685</v>
      </c>
      <c r="AZ11" s="250">
        <f>RANDBETWEEN((Inputs!$E11-(Inputs!$E11-Inputs!$D11)*2)*10000,(Inputs!$E11+(Inputs!$F11-Inputs!$E11)*2)*10000)/10000</f>
        <v>650.1186</v>
      </c>
      <c r="BA11" s="250">
        <f>RANDBETWEEN((Inputs!$E11-(Inputs!$E11-Inputs!$D11)*2)*10000,(Inputs!$E11+(Inputs!$F11-Inputs!$E11)*2)*10000)/10000</f>
        <v>754.7937</v>
      </c>
      <c r="BB11" s="250">
        <f>RANDBETWEEN((Inputs!$E11-(Inputs!$E11-Inputs!$D11)*2)*10000,(Inputs!$E11+(Inputs!$F11-Inputs!$E11)*2)*10000)/10000</f>
        <v>502.5781</v>
      </c>
      <c r="BC11" s="250">
        <f>RANDBETWEEN((Inputs!$E11-(Inputs!$E11-Inputs!$D11)*2)*10000,(Inputs!$E11+(Inputs!$F11-Inputs!$E11)*2)*10000)/10000</f>
        <v>779.2518</v>
      </c>
      <c r="BD11" s="250">
        <f>RANDBETWEEN((Inputs!$E11-(Inputs!$E11-Inputs!$D11)*2)*10000,(Inputs!$E11+(Inputs!$F11-Inputs!$E11)*2)*10000)/10000</f>
        <v>761.0435</v>
      </c>
      <c r="BE11" s="250">
        <f>RANDBETWEEN((Inputs!$E11-(Inputs!$E11-Inputs!$D11)*2)*10000,(Inputs!$E11+(Inputs!$F11-Inputs!$E11)*2)*10000)/10000</f>
        <v>530.9001</v>
      </c>
      <c r="BF11" s="250">
        <f>RANDBETWEEN((Inputs!$E11-(Inputs!$E11-Inputs!$D11)*2)*10000,(Inputs!$E11+(Inputs!$F11-Inputs!$E11)*2)*10000)/10000</f>
        <v>798.6415</v>
      </c>
      <c r="BG11" s="250">
        <f>RANDBETWEEN((Inputs!$E11-(Inputs!$E11-Inputs!$D11)*2)*10000,(Inputs!$E11+(Inputs!$F11-Inputs!$E11)*2)*10000)/10000</f>
        <v>766.3558</v>
      </c>
      <c r="BH11" s="250">
        <f>RANDBETWEEN((Inputs!$E11-(Inputs!$E11-Inputs!$D11)*2)*10000,(Inputs!$E11+(Inputs!$F11-Inputs!$E11)*2)*10000)/10000</f>
        <v>824.3963</v>
      </c>
      <c r="BI11" s="250">
        <f>RANDBETWEEN((Inputs!$E11-(Inputs!$E11-Inputs!$D11)*2)*10000,(Inputs!$E11+(Inputs!$F11-Inputs!$E11)*2)*10000)/10000</f>
        <v>598.0991</v>
      </c>
      <c r="BJ11" s="250">
        <f>RANDBETWEEN((Inputs!$E11-(Inputs!$E11-Inputs!$D11)*2)*10000,(Inputs!$E11+(Inputs!$F11-Inputs!$E11)*2)*10000)/10000</f>
        <v>833.9838</v>
      </c>
      <c r="BK11" s="250">
        <f>RANDBETWEEN((Inputs!$E11-(Inputs!$E11-Inputs!$D11)*2)*10000,(Inputs!$E11+(Inputs!$F11-Inputs!$E11)*2)*10000)/10000</f>
        <v>634.1872</v>
      </c>
      <c r="BL11" s="250">
        <f>RANDBETWEEN((Inputs!$E11-(Inputs!$E11-Inputs!$D11)*2)*10000,(Inputs!$E11+(Inputs!$F11-Inputs!$E11)*2)*10000)/10000</f>
        <v>563.4012</v>
      </c>
      <c r="BM11" s="250">
        <f>RANDBETWEEN((Inputs!$E11-(Inputs!$E11-Inputs!$D11)*2)*10000,(Inputs!$E11+(Inputs!$F11-Inputs!$E11)*2)*10000)/10000</f>
        <v>715.6481</v>
      </c>
      <c r="BN11" s="250">
        <f>RANDBETWEEN((Inputs!$E11-(Inputs!$E11-Inputs!$D11)*2)*10000,(Inputs!$E11+(Inputs!$F11-Inputs!$E11)*2)*10000)/10000</f>
        <v>542.0233</v>
      </c>
      <c r="BO11" s="250">
        <f>RANDBETWEEN((Inputs!$E11-(Inputs!$E11-Inputs!$D11)*2)*10000,(Inputs!$E11+(Inputs!$F11-Inputs!$E11)*2)*10000)/10000</f>
        <v>749.1804</v>
      </c>
      <c r="BP11" s="250">
        <f>RANDBETWEEN((Inputs!$E11-(Inputs!$E11-Inputs!$D11)*2)*10000,(Inputs!$E11+(Inputs!$F11-Inputs!$E11)*2)*10000)/10000</f>
        <v>529.9747</v>
      </c>
      <c r="BQ11" s="250">
        <f>RANDBETWEEN((Inputs!$E11-(Inputs!$E11-Inputs!$D11)*2)*10000,(Inputs!$E11+(Inputs!$F11-Inputs!$E11)*2)*10000)/10000</f>
        <v>620.5156</v>
      </c>
      <c r="BR11" s="250">
        <f>RANDBETWEEN((Inputs!$E11-(Inputs!$E11-Inputs!$D11)*2)*10000,(Inputs!$E11+(Inputs!$F11-Inputs!$E11)*2)*10000)/10000</f>
        <v>755.0102</v>
      </c>
      <c r="BS11" s="250">
        <f>RANDBETWEEN((Inputs!$E11-(Inputs!$E11-Inputs!$D11)*2)*10000,(Inputs!$E11+(Inputs!$F11-Inputs!$E11)*2)*10000)/10000</f>
        <v>648.374</v>
      </c>
      <c r="BT11" s="250">
        <f>RANDBETWEEN((Inputs!$E11-(Inputs!$E11-Inputs!$D11)*2)*10000,(Inputs!$E11+(Inputs!$F11-Inputs!$E11)*2)*10000)/10000</f>
        <v>705.8147</v>
      </c>
      <c r="BU11" s="250">
        <f>RANDBETWEEN((Inputs!$E11-(Inputs!$E11-Inputs!$D11)*2)*10000,(Inputs!$E11+(Inputs!$F11-Inputs!$E11)*2)*10000)/10000</f>
        <v>530.7299</v>
      </c>
      <c r="BV11" s="250">
        <f>RANDBETWEEN((Inputs!$E11-(Inputs!$E11-Inputs!$D11)*2)*10000,(Inputs!$E11+(Inputs!$F11-Inputs!$E11)*2)*10000)/10000</f>
        <v>609.3356</v>
      </c>
      <c r="BW11" s="250">
        <f>RANDBETWEEN((Inputs!$E11-(Inputs!$E11-Inputs!$D11)*2)*10000,(Inputs!$E11+(Inputs!$F11-Inputs!$E11)*2)*10000)/10000</f>
        <v>510.7467</v>
      </c>
      <c r="BX11" s="250">
        <f>RANDBETWEEN((Inputs!$E11-(Inputs!$E11-Inputs!$D11)*2)*10000,(Inputs!$E11+(Inputs!$F11-Inputs!$E11)*2)*10000)/10000</f>
        <v>501.9853</v>
      </c>
      <c r="BY11" s="250">
        <f>RANDBETWEEN((Inputs!$E11-(Inputs!$E11-Inputs!$D11)*2)*10000,(Inputs!$E11+(Inputs!$F11-Inputs!$E11)*2)*10000)/10000</f>
        <v>699.2308</v>
      </c>
      <c r="BZ11" s="250">
        <f>RANDBETWEEN((Inputs!$E11-(Inputs!$E11-Inputs!$D11)*2)*10000,(Inputs!$E11+(Inputs!$F11-Inputs!$E11)*2)*10000)/10000</f>
        <v>556.7191</v>
      </c>
      <c r="CA11" s="250">
        <f>RANDBETWEEN((Inputs!$E11-(Inputs!$E11-Inputs!$D11)*2)*10000,(Inputs!$E11+(Inputs!$F11-Inputs!$E11)*2)*10000)/10000</f>
        <v>800.9608</v>
      </c>
      <c r="CB11" s="250">
        <f>RANDBETWEEN((Inputs!$E11-(Inputs!$E11-Inputs!$D11)*2)*10000,(Inputs!$E11+(Inputs!$F11-Inputs!$E11)*2)*10000)/10000</f>
        <v>757.4358</v>
      </c>
      <c r="CC11" s="250">
        <f>RANDBETWEEN((Inputs!$E11-(Inputs!$E11-Inputs!$D11)*2)*10000,(Inputs!$E11+(Inputs!$F11-Inputs!$E11)*2)*10000)/10000</f>
        <v>652.7555</v>
      </c>
      <c r="CD11" s="250">
        <f>RANDBETWEEN((Inputs!$E11-(Inputs!$E11-Inputs!$D11)*2)*10000,(Inputs!$E11+(Inputs!$F11-Inputs!$E11)*2)*10000)/10000</f>
        <v>770.9845</v>
      </c>
      <c r="CE11" s="250">
        <f>RANDBETWEEN((Inputs!$E11-(Inputs!$E11-Inputs!$D11)*2)*10000,(Inputs!$E11+(Inputs!$F11-Inputs!$E11)*2)*10000)/10000</f>
        <v>503.2547</v>
      </c>
      <c r="CF11" s="250">
        <f>RANDBETWEEN((Inputs!$E11-(Inputs!$E11-Inputs!$D11)*2)*10000,(Inputs!$E11+(Inputs!$F11-Inputs!$E11)*2)*10000)/10000</f>
        <v>678.7117</v>
      </c>
      <c r="CG11" s="250">
        <f>RANDBETWEEN((Inputs!$E11-(Inputs!$E11-Inputs!$D11)*2)*10000,(Inputs!$E11+(Inputs!$F11-Inputs!$E11)*2)*10000)/10000</f>
        <v>666.8437</v>
      </c>
      <c r="CH11" s="250">
        <f>RANDBETWEEN((Inputs!$E11-(Inputs!$E11-Inputs!$D11)*2)*10000,(Inputs!$E11+(Inputs!$F11-Inputs!$E11)*2)*10000)/10000</f>
        <v>754.429</v>
      </c>
      <c r="CI11" s="250">
        <f>RANDBETWEEN((Inputs!$E11-(Inputs!$E11-Inputs!$D11)*2)*10000,(Inputs!$E11+(Inputs!$F11-Inputs!$E11)*2)*10000)/10000</f>
        <v>637.7609</v>
      </c>
      <c r="CJ11" s="250">
        <f>RANDBETWEEN((Inputs!$E11-(Inputs!$E11-Inputs!$D11)*2)*10000,(Inputs!$E11+(Inputs!$F11-Inputs!$E11)*2)*10000)/10000</f>
        <v>541.6262</v>
      </c>
      <c r="CK11" s="250">
        <f>RANDBETWEEN((Inputs!$E11-(Inputs!$E11-Inputs!$D11)*2)*10000,(Inputs!$E11+(Inputs!$F11-Inputs!$E11)*2)*10000)/10000</f>
        <v>764.0992</v>
      </c>
      <c r="CL11" s="250">
        <f>RANDBETWEEN((Inputs!$E11-(Inputs!$E11-Inputs!$D11)*2)*10000,(Inputs!$E11+(Inputs!$F11-Inputs!$E11)*2)*10000)/10000</f>
        <v>752.8202</v>
      </c>
      <c r="CM11" s="250">
        <f>RANDBETWEEN((Inputs!$E11-(Inputs!$E11-Inputs!$D11)*2)*10000,(Inputs!$E11+(Inputs!$F11-Inputs!$E11)*2)*10000)/10000</f>
        <v>611.6148</v>
      </c>
      <c r="CN11" s="250">
        <f>RANDBETWEEN((Inputs!$E11-(Inputs!$E11-Inputs!$D11)*2)*10000,(Inputs!$E11+(Inputs!$F11-Inputs!$E11)*2)*10000)/10000</f>
        <v>628.5922</v>
      </c>
      <c r="CO11" s="250">
        <f>RANDBETWEEN((Inputs!$E11-(Inputs!$E11-Inputs!$D11)*2)*10000,(Inputs!$E11+(Inputs!$F11-Inputs!$E11)*2)*10000)/10000</f>
        <v>722.7196</v>
      </c>
      <c r="CP11" s="250">
        <f>RANDBETWEEN((Inputs!$E11-(Inputs!$E11-Inputs!$D11)*2)*10000,(Inputs!$E11+(Inputs!$F11-Inputs!$E11)*2)*10000)/10000</f>
        <v>698.6893</v>
      </c>
      <c r="CQ11" s="250">
        <f>RANDBETWEEN((Inputs!$E11-(Inputs!$E11-Inputs!$D11)*2)*10000,(Inputs!$E11+(Inputs!$F11-Inputs!$E11)*2)*10000)/10000</f>
        <v>815.1815</v>
      </c>
      <c r="CR11" s="250">
        <f>RANDBETWEEN((Inputs!$E11-(Inputs!$E11-Inputs!$D11)*2)*10000,(Inputs!$E11+(Inputs!$F11-Inputs!$E11)*2)*10000)/10000</f>
        <v>670.8906</v>
      </c>
      <c r="CS11" s="250">
        <f>RANDBETWEEN((Inputs!$E11-(Inputs!$E11-Inputs!$D11)*2)*10000,(Inputs!$E11+(Inputs!$F11-Inputs!$E11)*2)*10000)/10000</f>
        <v>472.2458</v>
      </c>
      <c r="CT11" s="250">
        <f>RANDBETWEEN((Inputs!$E11-(Inputs!$E11-Inputs!$D11)*2)*10000,(Inputs!$E11+(Inputs!$F11-Inputs!$E11)*2)*10000)/10000</f>
        <v>727.7661</v>
      </c>
      <c r="CU11" s="250">
        <f>RANDBETWEEN((Inputs!$E11-(Inputs!$E11-Inputs!$D11)*2)*10000,(Inputs!$E11+(Inputs!$F11-Inputs!$E11)*2)*10000)/10000</f>
        <v>672.9301</v>
      </c>
      <c r="CV11" s="250">
        <f>RANDBETWEEN((Inputs!$E11-(Inputs!$E11-Inputs!$D11)*2)*10000,(Inputs!$E11+(Inputs!$F11-Inputs!$E11)*2)*10000)/10000</f>
        <v>758.841</v>
      </c>
      <c r="CW11" s="250">
        <f>RANDBETWEEN((Inputs!$E11-(Inputs!$E11-Inputs!$D11)*2)*10000,(Inputs!$E11+(Inputs!$F11-Inputs!$E11)*2)*10000)/10000</f>
        <v>654.2124</v>
      </c>
      <c r="CX11" s="250">
        <f>RANDBETWEEN((Inputs!$E11-(Inputs!$E11-Inputs!$D11)*2)*10000,(Inputs!$E11+(Inputs!$F11-Inputs!$E11)*2)*10000)/10000</f>
        <v>688.1761</v>
      </c>
      <c r="CY11" s="250">
        <f>RANDBETWEEN((Inputs!$E11-(Inputs!$E11-Inputs!$D11)*2)*10000,(Inputs!$E11+(Inputs!$F11-Inputs!$E11)*2)*10000)/10000</f>
        <v>590.8455</v>
      </c>
      <c r="CZ11" s="250">
        <f>RANDBETWEEN((Inputs!$E11-(Inputs!$E11-Inputs!$D11)*2)*10000,(Inputs!$E11+(Inputs!$F11-Inputs!$E11)*2)*10000)/10000</f>
        <v>704.1944</v>
      </c>
      <c r="DA11" s="250">
        <f>RANDBETWEEN((Inputs!$E11-(Inputs!$E11-Inputs!$D11)*2)*10000,(Inputs!$E11+(Inputs!$F11-Inputs!$E11)*2)*10000)/10000</f>
        <v>604.4873</v>
      </c>
      <c r="DB11" s="250">
        <f>RANDBETWEEN((Inputs!$E11-(Inputs!$E11-Inputs!$D11)*2)*10000,(Inputs!$E11+(Inputs!$F11-Inputs!$E11)*2)*10000)/10000</f>
        <v>695.4348</v>
      </c>
      <c r="DC11" s="250">
        <f>RANDBETWEEN((Inputs!$E11-(Inputs!$E11-Inputs!$D11)*2)*10000,(Inputs!$E11+(Inputs!$F11-Inputs!$E11)*2)*10000)/10000</f>
        <v>671.8654</v>
      </c>
      <c r="DD11" s="250">
        <f>RANDBETWEEN((Inputs!$E11-(Inputs!$E11-Inputs!$D11)*2)*10000,(Inputs!$E11+(Inputs!$F11-Inputs!$E11)*2)*10000)/10000</f>
        <v>749.9277</v>
      </c>
      <c r="DE11" s="250">
        <f>RANDBETWEEN((Inputs!$E11-(Inputs!$E11-Inputs!$D11)*2)*10000,(Inputs!$E11+(Inputs!$F11-Inputs!$E11)*2)*10000)/10000</f>
        <v>827.579</v>
      </c>
      <c r="DF11" s="250">
        <f>RANDBETWEEN((Inputs!$E11-(Inputs!$E11-Inputs!$D11)*2)*10000,(Inputs!$E11+(Inputs!$F11-Inputs!$E11)*2)*10000)/10000</f>
        <v>728.1712</v>
      </c>
      <c r="DG11" s="250">
        <f>RANDBETWEEN((Inputs!$E11-(Inputs!$E11-Inputs!$D11)*2)*10000,(Inputs!$E11+(Inputs!$F11-Inputs!$E11)*2)*10000)/10000</f>
        <v>504.0517</v>
      </c>
      <c r="DH11" s="250">
        <f>RANDBETWEEN((Inputs!$E11-(Inputs!$E11-Inputs!$D11)*2)*10000,(Inputs!$E11+(Inputs!$F11-Inputs!$E11)*2)*10000)/10000</f>
        <v>808.1136</v>
      </c>
      <c r="DI11" s="250">
        <f>RANDBETWEEN((Inputs!$E11-(Inputs!$E11-Inputs!$D11)*2)*10000,(Inputs!$E11+(Inputs!$F11-Inputs!$E11)*2)*10000)/10000</f>
        <v>845.4578</v>
      </c>
      <c r="DJ11" s="250">
        <f>RANDBETWEEN((Inputs!$E11-(Inputs!$E11-Inputs!$D11)*2)*10000,(Inputs!$E11+(Inputs!$F11-Inputs!$E11)*2)*10000)/10000</f>
        <v>548.2439</v>
      </c>
      <c r="DK11" s="250">
        <f>RANDBETWEEN((Inputs!$E11-(Inputs!$E11-Inputs!$D11)*2)*10000,(Inputs!$E11+(Inputs!$F11-Inputs!$E11)*2)*10000)/10000</f>
        <v>515.6371</v>
      </c>
      <c r="DL11" s="250">
        <f>RANDBETWEEN((Inputs!$E11-(Inputs!$E11-Inputs!$D11)*2)*10000,(Inputs!$E11+(Inputs!$F11-Inputs!$E11)*2)*10000)/10000</f>
        <v>755.0782</v>
      </c>
      <c r="DM11" s="250">
        <f>RANDBETWEEN((Inputs!$E11-(Inputs!$E11-Inputs!$D11)*2)*10000,(Inputs!$E11+(Inputs!$F11-Inputs!$E11)*2)*10000)/10000</f>
        <v>573.7902</v>
      </c>
      <c r="DN11" s="250">
        <f>RANDBETWEEN((Inputs!$E11-(Inputs!$E11-Inputs!$D11)*2)*10000,(Inputs!$E11+(Inputs!$F11-Inputs!$E11)*2)*10000)/10000</f>
        <v>520.2865</v>
      </c>
      <c r="DO11" s="250">
        <f>RANDBETWEEN((Inputs!$E11-(Inputs!$E11-Inputs!$D11)*2)*10000,(Inputs!$E11+(Inputs!$F11-Inputs!$E11)*2)*10000)/10000</f>
        <v>810.3946</v>
      </c>
      <c r="DP11" s="250">
        <f>RANDBETWEEN((Inputs!$E11-(Inputs!$E11-Inputs!$D11)*2)*10000,(Inputs!$E11+(Inputs!$F11-Inputs!$E11)*2)*10000)/10000</f>
        <v>774.4901</v>
      </c>
      <c r="DQ11" s="250">
        <f>RANDBETWEEN((Inputs!$E11-(Inputs!$E11-Inputs!$D11)*2)*10000,(Inputs!$E11+(Inputs!$F11-Inputs!$E11)*2)*10000)/10000</f>
        <v>735.8183</v>
      </c>
      <c r="DR11" s="250">
        <f>RANDBETWEEN((Inputs!$E11-(Inputs!$E11-Inputs!$D11)*2)*10000,(Inputs!$E11+(Inputs!$F11-Inputs!$E11)*2)*10000)/10000</f>
        <v>764.4353</v>
      </c>
      <c r="DS11" s="250">
        <f>RANDBETWEEN((Inputs!$E11-(Inputs!$E11-Inputs!$D11)*2)*10000,(Inputs!$E11+(Inputs!$F11-Inputs!$E11)*2)*10000)/10000</f>
        <v>563.6899</v>
      </c>
      <c r="DT11" s="250">
        <f>RANDBETWEEN((Inputs!$E11-(Inputs!$E11-Inputs!$D11)*2)*10000,(Inputs!$E11+(Inputs!$F11-Inputs!$E11)*2)*10000)/10000</f>
        <v>831.087</v>
      </c>
      <c r="DU11" s="250">
        <f>RANDBETWEEN((Inputs!$E11-(Inputs!$E11-Inputs!$D11)*2)*10000,(Inputs!$E11+(Inputs!$F11-Inputs!$E11)*2)*10000)/10000</f>
        <v>645.2704</v>
      </c>
      <c r="DV11" s="250">
        <f>RANDBETWEEN((Inputs!$E11-(Inputs!$E11-Inputs!$D11)*2)*10000,(Inputs!$E11+(Inputs!$F11-Inputs!$E11)*2)*10000)/10000</f>
        <v>672.7392</v>
      </c>
      <c r="DW11" s="250">
        <f>RANDBETWEEN((Inputs!$E11-(Inputs!$E11-Inputs!$D11)*2)*10000,(Inputs!$E11+(Inputs!$F11-Inputs!$E11)*2)*10000)/10000</f>
        <v>806.3024</v>
      </c>
      <c r="DX11" s="250">
        <f>RANDBETWEEN((Inputs!$E11-(Inputs!$E11-Inputs!$D11)*2)*10000,(Inputs!$E11+(Inputs!$F11-Inputs!$E11)*2)*10000)/10000</f>
        <v>515.7304</v>
      </c>
      <c r="DY11" s="250">
        <f>RANDBETWEEN((Inputs!$E11-(Inputs!$E11-Inputs!$D11)*2)*10000,(Inputs!$E11+(Inputs!$F11-Inputs!$E11)*2)*10000)/10000</f>
        <v>586.3516</v>
      </c>
      <c r="DZ11" s="250">
        <f>RANDBETWEEN((Inputs!$E11-(Inputs!$E11-Inputs!$D11)*2)*10000,(Inputs!$E11+(Inputs!$F11-Inputs!$E11)*2)*10000)/10000</f>
        <v>636.764</v>
      </c>
      <c r="EA11" s="250">
        <f>RANDBETWEEN((Inputs!$E11-(Inputs!$E11-Inputs!$D11)*2)*10000,(Inputs!$E11+(Inputs!$F11-Inputs!$E11)*2)*10000)/10000</f>
        <v>664.3068</v>
      </c>
      <c r="EB11" s="250">
        <f>RANDBETWEEN((Inputs!$E11-(Inputs!$E11-Inputs!$D11)*2)*10000,(Inputs!$E11+(Inputs!$F11-Inputs!$E11)*2)*10000)/10000</f>
        <v>814.579</v>
      </c>
      <c r="EC11" s="250">
        <f>RANDBETWEEN((Inputs!$E11-(Inputs!$E11-Inputs!$D11)*2)*10000,(Inputs!$E11+(Inputs!$F11-Inputs!$E11)*2)*10000)/10000</f>
        <v>479.0249</v>
      </c>
      <c r="ED11" s="250">
        <f>RANDBETWEEN((Inputs!$E11-(Inputs!$E11-Inputs!$D11)*2)*10000,(Inputs!$E11+(Inputs!$F11-Inputs!$E11)*2)*10000)/10000</f>
        <v>524.1201</v>
      </c>
      <c r="EE11" s="250">
        <f>RANDBETWEEN((Inputs!$E11-(Inputs!$E11-Inputs!$D11)*2)*10000,(Inputs!$E11+(Inputs!$F11-Inputs!$E11)*2)*10000)/10000</f>
        <v>756.4348</v>
      </c>
      <c r="EF11" s="250">
        <f>RANDBETWEEN((Inputs!$E11-(Inputs!$E11-Inputs!$D11)*2)*10000,(Inputs!$E11+(Inputs!$F11-Inputs!$E11)*2)*10000)/10000</f>
        <v>780.1672</v>
      </c>
      <c r="EG11" s="250">
        <f>RANDBETWEEN((Inputs!$E11-(Inputs!$E11-Inputs!$D11)*2)*10000,(Inputs!$E11+(Inputs!$F11-Inputs!$E11)*2)*10000)/10000</f>
        <v>524.2346</v>
      </c>
      <c r="EH11" s="250">
        <f>RANDBETWEEN((Inputs!$E11-(Inputs!$E11-Inputs!$D11)*2)*10000,(Inputs!$E11+(Inputs!$F11-Inputs!$E11)*2)*10000)/10000</f>
        <v>822.9041</v>
      </c>
      <c r="EI11" s="250">
        <f>RANDBETWEEN((Inputs!$E11-(Inputs!$E11-Inputs!$D11)*2)*10000,(Inputs!$E11+(Inputs!$F11-Inputs!$E11)*2)*10000)/10000</f>
        <v>633.5263</v>
      </c>
      <c r="EJ11" s="250">
        <f>RANDBETWEEN((Inputs!$E11-(Inputs!$E11-Inputs!$D11)*2)*10000,(Inputs!$E11+(Inputs!$F11-Inputs!$E11)*2)*10000)/10000</f>
        <v>608.5747</v>
      </c>
      <c r="EK11" s="250">
        <f>RANDBETWEEN((Inputs!$E11-(Inputs!$E11-Inputs!$D11)*2)*10000,(Inputs!$E11+(Inputs!$F11-Inputs!$E11)*2)*10000)/10000</f>
        <v>658.3935</v>
      </c>
      <c r="EL11" s="250">
        <f>RANDBETWEEN((Inputs!$E11-(Inputs!$E11-Inputs!$D11)*2)*10000,(Inputs!$E11+(Inputs!$F11-Inputs!$E11)*2)*10000)/10000</f>
        <v>589.141</v>
      </c>
      <c r="EM11" s="250">
        <f>RANDBETWEEN((Inputs!$E11-(Inputs!$E11-Inputs!$D11)*2)*10000,(Inputs!$E11+(Inputs!$F11-Inputs!$E11)*2)*10000)/10000</f>
        <v>802.2579</v>
      </c>
      <c r="EN11" s="250">
        <f>RANDBETWEEN((Inputs!$E11-(Inputs!$E11-Inputs!$D11)*2)*10000,(Inputs!$E11+(Inputs!$F11-Inputs!$E11)*2)*10000)/10000</f>
        <v>580.6193</v>
      </c>
      <c r="EO11" s="250">
        <f>RANDBETWEEN((Inputs!$E11-(Inputs!$E11-Inputs!$D11)*2)*10000,(Inputs!$E11+(Inputs!$F11-Inputs!$E11)*2)*10000)/10000</f>
        <v>680.2126</v>
      </c>
      <c r="EP11" s="250">
        <f>RANDBETWEEN((Inputs!$E11-(Inputs!$E11-Inputs!$D11)*2)*10000,(Inputs!$E11+(Inputs!$F11-Inputs!$E11)*2)*10000)/10000</f>
        <v>671.8749</v>
      </c>
      <c r="EQ11" s="250">
        <f>RANDBETWEEN((Inputs!$E11-(Inputs!$E11-Inputs!$D11)*2)*10000,(Inputs!$E11+(Inputs!$F11-Inputs!$E11)*2)*10000)/10000</f>
        <v>515.3817</v>
      </c>
      <c r="ER11" s="250">
        <f>RANDBETWEEN((Inputs!$E11-(Inputs!$E11-Inputs!$D11)*2)*10000,(Inputs!$E11+(Inputs!$F11-Inputs!$E11)*2)*10000)/10000</f>
        <v>550.8307</v>
      </c>
      <c r="ES11" s="250">
        <f>RANDBETWEEN((Inputs!$E11-(Inputs!$E11-Inputs!$D11)*2)*10000,(Inputs!$E11+(Inputs!$F11-Inputs!$E11)*2)*10000)/10000</f>
        <v>722.1201</v>
      </c>
      <c r="ET11" s="250">
        <f>RANDBETWEEN((Inputs!$E11-(Inputs!$E11-Inputs!$D11)*2)*10000,(Inputs!$E11+(Inputs!$F11-Inputs!$E11)*2)*10000)/10000</f>
        <v>520.7386</v>
      </c>
      <c r="EU11" s="250">
        <f>RANDBETWEEN((Inputs!$E11-(Inputs!$E11-Inputs!$D11)*2)*10000,(Inputs!$E11+(Inputs!$F11-Inputs!$E11)*2)*10000)/10000</f>
        <v>716.2272</v>
      </c>
      <c r="EV11" s="250">
        <f>RANDBETWEEN((Inputs!$E11-(Inputs!$E11-Inputs!$D11)*2)*10000,(Inputs!$E11+(Inputs!$F11-Inputs!$E11)*2)*10000)/10000</f>
        <v>836.0069</v>
      </c>
      <c r="EW11" s="250">
        <f>RANDBETWEEN((Inputs!$E11-(Inputs!$E11-Inputs!$D11)*2)*10000,(Inputs!$E11+(Inputs!$F11-Inputs!$E11)*2)*10000)/10000</f>
        <v>537.8555</v>
      </c>
      <c r="EX11" s="250">
        <f>RANDBETWEEN((Inputs!$E11-(Inputs!$E11-Inputs!$D11)*2)*10000,(Inputs!$E11+(Inputs!$F11-Inputs!$E11)*2)*10000)/10000</f>
        <v>828.7401</v>
      </c>
      <c r="EY11" s="250">
        <f>RANDBETWEEN((Inputs!$E11-(Inputs!$E11-Inputs!$D11)*2)*10000,(Inputs!$E11+(Inputs!$F11-Inputs!$E11)*2)*10000)/10000</f>
        <v>624.9912</v>
      </c>
      <c r="EZ11" s="250">
        <f>RANDBETWEEN((Inputs!$E11-(Inputs!$E11-Inputs!$D11)*2)*10000,(Inputs!$E11+(Inputs!$F11-Inputs!$E11)*2)*10000)/10000</f>
        <v>459.6794</v>
      </c>
      <c r="FA11" s="250">
        <f>RANDBETWEEN((Inputs!$E11-(Inputs!$E11-Inputs!$D11)*2)*10000,(Inputs!$E11+(Inputs!$F11-Inputs!$E11)*2)*10000)/10000</f>
        <v>561.488</v>
      </c>
      <c r="FB11" s="250">
        <f>RANDBETWEEN((Inputs!$E11-(Inputs!$E11-Inputs!$D11)*2)*10000,(Inputs!$E11+(Inputs!$F11-Inputs!$E11)*2)*10000)/10000</f>
        <v>792.6115</v>
      </c>
      <c r="FC11" s="250">
        <f>RANDBETWEEN((Inputs!$E11-(Inputs!$E11-Inputs!$D11)*2)*10000,(Inputs!$E11+(Inputs!$F11-Inputs!$E11)*2)*10000)/10000</f>
        <v>552.0008</v>
      </c>
      <c r="FD11" s="250">
        <f>RANDBETWEEN((Inputs!$E11-(Inputs!$E11-Inputs!$D11)*2)*10000,(Inputs!$E11+(Inputs!$F11-Inputs!$E11)*2)*10000)/10000</f>
        <v>744.0805</v>
      </c>
      <c r="FE11" s="250">
        <f>RANDBETWEEN((Inputs!$E11-(Inputs!$E11-Inputs!$D11)*2)*10000,(Inputs!$E11+(Inputs!$F11-Inputs!$E11)*2)*10000)/10000</f>
        <v>649.2067</v>
      </c>
      <c r="FF11" s="250">
        <f>RANDBETWEEN((Inputs!$E11-(Inputs!$E11-Inputs!$D11)*2)*10000,(Inputs!$E11+(Inputs!$F11-Inputs!$E11)*2)*10000)/10000</f>
        <v>593.9344</v>
      </c>
      <c r="FG11" s="250">
        <f>RANDBETWEEN((Inputs!$E11-(Inputs!$E11-Inputs!$D11)*2)*10000,(Inputs!$E11+(Inputs!$F11-Inputs!$E11)*2)*10000)/10000</f>
        <v>691.4625</v>
      </c>
      <c r="FH11" s="250">
        <f>RANDBETWEEN((Inputs!$E11-(Inputs!$E11-Inputs!$D11)*2)*10000,(Inputs!$E11+(Inputs!$F11-Inputs!$E11)*2)*10000)/10000</f>
        <v>745.0474</v>
      </c>
      <c r="FI11" s="250">
        <f>RANDBETWEEN((Inputs!$E11-(Inputs!$E11-Inputs!$D11)*2)*10000,(Inputs!$E11+(Inputs!$F11-Inputs!$E11)*2)*10000)/10000</f>
        <v>835.1366</v>
      </c>
      <c r="FJ11" s="250">
        <f>RANDBETWEEN((Inputs!$E11-(Inputs!$E11-Inputs!$D11)*2)*10000,(Inputs!$E11+(Inputs!$F11-Inputs!$E11)*2)*10000)/10000</f>
        <v>756.8747</v>
      </c>
      <c r="FK11" s="250">
        <f>RANDBETWEEN((Inputs!$E11-(Inputs!$E11-Inputs!$D11)*2)*10000,(Inputs!$E11+(Inputs!$F11-Inputs!$E11)*2)*10000)/10000</f>
        <v>774.1859</v>
      </c>
      <c r="FL11" s="250">
        <f>RANDBETWEEN((Inputs!$E11-(Inputs!$E11-Inputs!$D11)*2)*10000,(Inputs!$E11+(Inputs!$F11-Inputs!$E11)*2)*10000)/10000</f>
        <v>492.5043</v>
      </c>
      <c r="FM11" s="250">
        <f>RANDBETWEEN((Inputs!$E11-(Inputs!$E11-Inputs!$D11)*2)*10000,(Inputs!$E11+(Inputs!$F11-Inputs!$E11)*2)*10000)/10000</f>
        <v>630.6208</v>
      </c>
      <c r="FN11" s="250">
        <f>RANDBETWEEN((Inputs!$E11-(Inputs!$E11-Inputs!$D11)*2)*10000,(Inputs!$E11+(Inputs!$F11-Inputs!$E11)*2)*10000)/10000</f>
        <v>735.0611</v>
      </c>
      <c r="FO11" s="250">
        <f>RANDBETWEEN((Inputs!$E11-(Inputs!$E11-Inputs!$D11)*2)*10000,(Inputs!$E11+(Inputs!$F11-Inputs!$E11)*2)*10000)/10000</f>
        <v>644.8064</v>
      </c>
      <c r="FP11" s="250">
        <f>RANDBETWEEN((Inputs!$E11-(Inputs!$E11-Inputs!$D11)*2)*10000,(Inputs!$E11+(Inputs!$F11-Inputs!$E11)*2)*10000)/10000</f>
        <v>464.1699</v>
      </c>
      <c r="FQ11" s="250">
        <f>RANDBETWEEN((Inputs!$E11-(Inputs!$E11-Inputs!$D11)*2)*10000,(Inputs!$E11+(Inputs!$F11-Inputs!$E11)*2)*10000)/10000</f>
        <v>667.2289</v>
      </c>
      <c r="FR11" s="250">
        <f>RANDBETWEEN((Inputs!$E11-(Inputs!$E11-Inputs!$D11)*2)*10000,(Inputs!$E11+(Inputs!$F11-Inputs!$E11)*2)*10000)/10000</f>
        <v>694.1384</v>
      </c>
      <c r="FS11" s="250">
        <f>RANDBETWEEN((Inputs!$E11-(Inputs!$E11-Inputs!$D11)*2)*10000,(Inputs!$E11+(Inputs!$F11-Inputs!$E11)*2)*10000)/10000</f>
        <v>548.9169</v>
      </c>
      <c r="FT11" s="250">
        <f>RANDBETWEEN((Inputs!$E11-(Inputs!$E11-Inputs!$D11)*2)*10000,(Inputs!$E11+(Inputs!$F11-Inputs!$E11)*2)*10000)/10000</f>
        <v>542.5591</v>
      </c>
      <c r="FU11" s="250">
        <f>RANDBETWEEN((Inputs!$E11-(Inputs!$E11-Inputs!$D11)*2)*10000,(Inputs!$E11+(Inputs!$F11-Inputs!$E11)*2)*10000)/10000</f>
        <v>750.4864</v>
      </c>
      <c r="FV11" s="250">
        <f>RANDBETWEEN((Inputs!$E11-(Inputs!$E11-Inputs!$D11)*2)*10000,(Inputs!$E11+(Inputs!$F11-Inputs!$E11)*2)*10000)/10000</f>
        <v>640.744</v>
      </c>
      <c r="FW11" s="250">
        <f>RANDBETWEEN((Inputs!$E11-(Inputs!$E11-Inputs!$D11)*2)*10000,(Inputs!$E11+(Inputs!$F11-Inputs!$E11)*2)*10000)/10000</f>
        <v>603.5156</v>
      </c>
      <c r="FX11" s="250">
        <f>RANDBETWEEN((Inputs!$E11-(Inputs!$E11-Inputs!$D11)*2)*10000,(Inputs!$E11+(Inputs!$F11-Inputs!$E11)*2)*10000)/10000</f>
        <v>599.4248</v>
      </c>
      <c r="FY11" s="250">
        <f>RANDBETWEEN((Inputs!$E11-(Inputs!$E11-Inputs!$D11)*2)*10000,(Inputs!$E11+(Inputs!$F11-Inputs!$E11)*2)*10000)/10000</f>
        <v>771.9225</v>
      </c>
      <c r="FZ11" s="250">
        <f>RANDBETWEEN((Inputs!$E11-(Inputs!$E11-Inputs!$D11)*2)*10000,(Inputs!$E11+(Inputs!$F11-Inputs!$E11)*2)*10000)/10000</f>
        <v>706.2881</v>
      </c>
      <c r="GA11" s="250">
        <f>RANDBETWEEN((Inputs!$E11-(Inputs!$E11-Inputs!$D11)*2)*10000,(Inputs!$E11+(Inputs!$F11-Inputs!$E11)*2)*10000)/10000</f>
        <v>797.9461</v>
      </c>
      <c r="GB11" s="250">
        <f>RANDBETWEEN((Inputs!$E11-(Inputs!$E11-Inputs!$D11)*2)*10000,(Inputs!$E11+(Inputs!$F11-Inputs!$E11)*2)*10000)/10000</f>
        <v>726.4462</v>
      </c>
      <c r="GC11" s="250">
        <f>RANDBETWEEN((Inputs!$E11-(Inputs!$E11-Inputs!$D11)*2)*10000,(Inputs!$E11+(Inputs!$F11-Inputs!$E11)*2)*10000)/10000</f>
        <v>827.0405</v>
      </c>
      <c r="GD11" s="250">
        <f>RANDBETWEEN((Inputs!$E11-(Inputs!$E11-Inputs!$D11)*2)*10000,(Inputs!$E11+(Inputs!$F11-Inputs!$E11)*2)*10000)/10000</f>
        <v>709.9681</v>
      </c>
      <c r="GE11" s="250">
        <f>RANDBETWEEN((Inputs!$E11-(Inputs!$E11-Inputs!$D11)*2)*10000,(Inputs!$E11+(Inputs!$F11-Inputs!$E11)*2)*10000)/10000</f>
        <v>846.6969</v>
      </c>
      <c r="GF11" s="250">
        <f>RANDBETWEEN((Inputs!$E11-(Inputs!$E11-Inputs!$D11)*2)*10000,(Inputs!$E11+(Inputs!$F11-Inputs!$E11)*2)*10000)/10000</f>
        <v>592.1617</v>
      </c>
      <c r="GG11" s="250">
        <f>RANDBETWEEN((Inputs!$E11-(Inputs!$E11-Inputs!$D11)*2)*10000,(Inputs!$E11+(Inputs!$F11-Inputs!$E11)*2)*10000)/10000</f>
        <v>685.9126</v>
      </c>
      <c r="GH11" s="250">
        <f>RANDBETWEEN((Inputs!$E11-(Inputs!$E11-Inputs!$D11)*2)*10000,(Inputs!$E11+(Inputs!$F11-Inputs!$E11)*2)*10000)/10000</f>
        <v>744.2426</v>
      </c>
      <c r="GI11" s="250">
        <f>RANDBETWEEN((Inputs!$E11-(Inputs!$E11-Inputs!$D11)*2)*10000,(Inputs!$E11+(Inputs!$F11-Inputs!$E11)*2)*10000)/10000</f>
        <v>722.4666</v>
      </c>
      <c r="GJ11" s="250">
        <f>RANDBETWEEN((Inputs!$E11-(Inputs!$E11-Inputs!$D11)*2)*10000,(Inputs!$E11+(Inputs!$F11-Inputs!$E11)*2)*10000)/10000</f>
        <v>541.0762</v>
      </c>
      <c r="GK11" s="250">
        <f>RANDBETWEEN((Inputs!$E11-(Inputs!$E11-Inputs!$D11)*2)*10000,(Inputs!$E11+(Inputs!$F11-Inputs!$E11)*2)*10000)/10000</f>
        <v>814.1235</v>
      </c>
      <c r="GL11" s="250">
        <f>RANDBETWEEN((Inputs!$E11-(Inputs!$E11-Inputs!$D11)*2)*10000,(Inputs!$E11+(Inputs!$F11-Inputs!$E11)*2)*10000)/10000</f>
        <v>626.8007</v>
      </c>
      <c r="GM11" s="250">
        <f>RANDBETWEEN((Inputs!$E11-(Inputs!$E11-Inputs!$D11)*2)*10000,(Inputs!$E11+(Inputs!$F11-Inputs!$E11)*2)*10000)/10000</f>
        <v>696.5382</v>
      </c>
      <c r="GN11" s="250">
        <f>RANDBETWEEN((Inputs!$E11-(Inputs!$E11-Inputs!$D11)*2)*10000,(Inputs!$E11+(Inputs!$F11-Inputs!$E11)*2)*10000)/10000</f>
        <v>517.335</v>
      </c>
      <c r="GO11" s="250">
        <f>RANDBETWEEN((Inputs!$E11-(Inputs!$E11-Inputs!$D11)*2)*10000,(Inputs!$E11+(Inputs!$F11-Inputs!$E11)*2)*10000)/10000</f>
        <v>794.6683</v>
      </c>
      <c r="GP11" s="250">
        <f>RANDBETWEEN((Inputs!$E11-(Inputs!$E11-Inputs!$D11)*2)*10000,(Inputs!$E11+(Inputs!$F11-Inputs!$E11)*2)*10000)/10000</f>
        <v>684.2529</v>
      </c>
      <c r="GQ11" s="250">
        <f>RANDBETWEEN((Inputs!$E11-(Inputs!$E11-Inputs!$D11)*2)*10000,(Inputs!$E11+(Inputs!$F11-Inputs!$E11)*2)*10000)/10000</f>
        <v>462.634</v>
      </c>
      <c r="GR11" s="250">
        <f>RANDBETWEEN((Inputs!$E11-(Inputs!$E11-Inputs!$D11)*2)*10000,(Inputs!$E11+(Inputs!$F11-Inputs!$E11)*2)*10000)/10000</f>
        <v>554.297</v>
      </c>
      <c r="GS11" s="250">
        <f>RANDBETWEEN((Inputs!$E11-(Inputs!$E11-Inputs!$D11)*2)*10000,(Inputs!$E11+(Inputs!$F11-Inputs!$E11)*2)*10000)/10000</f>
        <v>509.287</v>
      </c>
      <c r="GT11" s="250">
        <f>RANDBETWEEN((Inputs!$E11-(Inputs!$E11-Inputs!$D11)*2)*10000,(Inputs!$E11+(Inputs!$F11-Inputs!$E11)*2)*10000)/10000</f>
        <v>697.721</v>
      </c>
      <c r="GU11" s="250">
        <f>RANDBETWEEN((Inputs!$E11-(Inputs!$E11-Inputs!$D11)*2)*10000,(Inputs!$E11+(Inputs!$F11-Inputs!$E11)*2)*10000)/10000</f>
        <v>811.2075</v>
      </c>
      <c r="GV11" s="250">
        <f>RANDBETWEEN((Inputs!$E11-(Inputs!$E11-Inputs!$D11)*2)*10000,(Inputs!$E11+(Inputs!$F11-Inputs!$E11)*2)*10000)/10000</f>
        <v>649.0231</v>
      </c>
      <c r="GW11" s="250">
        <f>RANDBETWEEN((Inputs!$E11-(Inputs!$E11-Inputs!$D11)*2)*10000,(Inputs!$E11+(Inputs!$F11-Inputs!$E11)*2)*10000)/10000</f>
        <v>767.9773</v>
      </c>
      <c r="GX11" s="250">
        <f>RANDBETWEEN((Inputs!$E11-(Inputs!$E11-Inputs!$D11)*2)*10000,(Inputs!$E11+(Inputs!$F11-Inputs!$E11)*2)*10000)/10000</f>
        <v>637.6327</v>
      </c>
      <c r="GY11" s="250">
        <f>RANDBETWEEN((Inputs!$E11-(Inputs!$E11-Inputs!$D11)*2)*10000,(Inputs!$E11+(Inputs!$F11-Inputs!$E11)*2)*10000)/10000</f>
        <v>750.4911</v>
      </c>
      <c r="GZ11" s="250">
        <f>RANDBETWEEN((Inputs!$E11-(Inputs!$E11-Inputs!$D11)*2)*10000,(Inputs!$E11+(Inputs!$F11-Inputs!$E11)*2)*10000)/10000</f>
        <v>634.3411</v>
      </c>
      <c r="HA11" s="250">
        <f>RANDBETWEEN((Inputs!$E11-(Inputs!$E11-Inputs!$D11)*2)*10000,(Inputs!$E11+(Inputs!$F11-Inputs!$E11)*2)*10000)/10000</f>
        <v>610.6166</v>
      </c>
      <c r="HB11" s="250">
        <f>RANDBETWEEN((Inputs!$E11-(Inputs!$E11-Inputs!$D11)*2)*10000,(Inputs!$E11+(Inputs!$F11-Inputs!$E11)*2)*10000)/10000</f>
        <v>617.6549</v>
      </c>
      <c r="HC11" s="250">
        <f>RANDBETWEEN((Inputs!$E11-(Inputs!$E11-Inputs!$D11)*2)*10000,(Inputs!$E11+(Inputs!$F11-Inputs!$E11)*2)*10000)/10000</f>
        <v>577.1417</v>
      </c>
      <c r="HD11" s="250">
        <f>RANDBETWEEN((Inputs!$E11-(Inputs!$E11-Inputs!$D11)*2)*10000,(Inputs!$E11+(Inputs!$F11-Inputs!$E11)*2)*10000)/10000</f>
        <v>826.5613</v>
      </c>
      <c r="HE11" s="250">
        <f>RANDBETWEEN((Inputs!$E11-(Inputs!$E11-Inputs!$D11)*2)*10000,(Inputs!$E11+(Inputs!$F11-Inputs!$E11)*2)*10000)/10000</f>
        <v>591.8542</v>
      </c>
      <c r="HF11" s="250">
        <f>RANDBETWEEN((Inputs!$E11-(Inputs!$E11-Inputs!$D11)*2)*10000,(Inputs!$E11+(Inputs!$F11-Inputs!$E11)*2)*10000)/10000</f>
        <v>603.0721</v>
      </c>
      <c r="HG11" s="250">
        <f>RANDBETWEEN((Inputs!$E11-(Inputs!$E11-Inputs!$D11)*2)*10000,(Inputs!$E11+(Inputs!$F11-Inputs!$E11)*2)*10000)/10000</f>
        <v>682.4664</v>
      </c>
      <c r="HH11" s="250">
        <f>RANDBETWEEN((Inputs!$E11-(Inputs!$E11-Inputs!$D11)*2)*10000,(Inputs!$E11+(Inputs!$F11-Inputs!$E11)*2)*10000)/10000</f>
        <v>590.5507</v>
      </c>
      <c r="HI11" s="250">
        <f>RANDBETWEEN((Inputs!$E11-(Inputs!$E11-Inputs!$D11)*2)*10000,(Inputs!$E11+(Inputs!$F11-Inputs!$E11)*2)*10000)/10000</f>
        <v>796.3733</v>
      </c>
      <c r="HJ11" s="250">
        <f>RANDBETWEEN((Inputs!$E11-(Inputs!$E11-Inputs!$D11)*2)*10000,(Inputs!$E11+(Inputs!$F11-Inputs!$E11)*2)*10000)/10000</f>
        <v>690.4571</v>
      </c>
      <c r="HK11" s="250">
        <f>RANDBETWEEN((Inputs!$E11-(Inputs!$E11-Inputs!$D11)*2)*10000,(Inputs!$E11+(Inputs!$F11-Inputs!$E11)*2)*10000)/10000</f>
        <v>772.9259</v>
      </c>
      <c r="HL11" s="250">
        <f>RANDBETWEEN((Inputs!$E11-(Inputs!$E11-Inputs!$D11)*2)*10000,(Inputs!$E11+(Inputs!$F11-Inputs!$E11)*2)*10000)/10000</f>
        <v>564.0931</v>
      </c>
      <c r="HM11" s="250">
        <f>RANDBETWEEN((Inputs!$E11-(Inputs!$E11-Inputs!$D11)*2)*10000,(Inputs!$E11+(Inputs!$F11-Inputs!$E11)*2)*10000)/10000</f>
        <v>702.1735</v>
      </c>
      <c r="HN11" s="250">
        <f>RANDBETWEEN((Inputs!$E11-(Inputs!$E11-Inputs!$D11)*2)*10000,(Inputs!$E11+(Inputs!$F11-Inputs!$E11)*2)*10000)/10000</f>
        <v>624.3755</v>
      </c>
      <c r="HO11" s="250">
        <f>RANDBETWEEN((Inputs!$E11-(Inputs!$E11-Inputs!$D11)*2)*10000,(Inputs!$E11+(Inputs!$F11-Inputs!$E11)*2)*10000)/10000</f>
        <v>703.1041</v>
      </c>
      <c r="HP11" s="250">
        <f>RANDBETWEEN((Inputs!$E11-(Inputs!$E11-Inputs!$D11)*2)*10000,(Inputs!$E11+(Inputs!$F11-Inputs!$E11)*2)*10000)/10000</f>
        <v>696.4688</v>
      </c>
      <c r="HQ11" s="250">
        <f>RANDBETWEEN((Inputs!$E11-(Inputs!$E11-Inputs!$D11)*2)*10000,(Inputs!$E11+(Inputs!$F11-Inputs!$E11)*2)*10000)/10000</f>
        <v>770.0217</v>
      </c>
      <c r="HR11" s="250">
        <f>RANDBETWEEN((Inputs!$E11-(Inputs!$E11-Inputs!$D11)*2)*10000,(Inputs!$E11+(Inputs!$F11-Inputs!$E11)*2)*10000)/10000</f>
        <v>456.7055</v>
      </c>
      <c r="HS11" s="250">
        <f>RANDBETWEEN((Inputs!$E11-(Inputs!$E11-Inputs!$D11)*2)*10000,(Inputs!$E11+(Inputs!$F11-Inputs!$E11)*2)*10000)/10000</f>
        <v>651.0553</v>
      </c>
      <c r="HT11" s="250">
        <f>RANDBETWEEN((Inputs!$E11-(Inputs!$E11-Inputs!$D11)*2)*10000,(Inputs!$E11+(Inputs!$F11-Inputs!$E11)*2)*10000)/10000</f>
        <v>552.9582</v>
      </c>
      <c r="HU11" s="250">
        <f>RANDBETWEEN((Inputs!$E11-(Inputs!$E11-Inputs!$D11)*2)*10000,(Inputs!$E11+(Inputs!$F11-Inputs!$E11)*2)*10000)/10000</f>
        <v>561.4387</v>
      </c>
      <c r="HV11" s="250">
        <f>RANDBETWEEN((Inputs!$E11-(Inputs!$E11-Inputs!$D11)*2)*10000,(Inputs!$E11+(Inputs!$F11-Inputs!$E11)*2)*10000)/10000</f>
        <v>758.3644</v>
      </c>
      <c r="HW11" s="250">
        <f>RANDBETWEEN((Inputs!$E11-(Inputs!$E11-Inputs!$D11)*2)*10000,(Inputs!$E11+(Inputs!$F11-Inputs!$E11)*2)*10000)/10000</f>
        <v>777.5754</v>
      </c>
      <c r="HX11" s="250">
        <f>RANDBETWEEN((Inputs!$E11-(Inputs!$E11-Inputs!$D11)*2)*10000,(Inputs!$E11+(Inputs!$F11-Inputs!$E11)*2)*10000)/10000</f>
        <v>837.7118</v>
      </c>
      <c r="HY11" s="250">
        <f>RANDBETWEEN((Inputs!$E11-(Inputs!$E11-Inputs!$D11)*2)*10000,(Inputs!$E11+(Inputs!$F11-Inputs!$E11)*2)*10000)/10000</f>
        <v>531.5181</v>
      </c>
      <c r="HZ11" s="250">
        <f>RANDBETWEEN((Inputs!$E11-(Inputs!$E11-Inputs!$D11)*2)*10000,(Inputs!$E11+(Inputs!$F11-Inputs!$E11)*2)*10000)/10000</f>
        <v>732.4996</v>
      </c>
      <c r="IA11" s="250">
        <f>RANDBETWEEN((Inputs!$E11-(Inputs!$E11-Inputs!$D11)*2)*10000,(Inputs!$E11+(Inputs!$F11-Inputs!$E11)*2)*10000)/10000</f>
        <v>587.7274</v>
      </c>
      <c r="IB11" s="250">
        <f>RANDBETWEEN((Inputs!$E11-(Inputs!$E11-Inputs!$D11)*2)*10000,(Inputs!$E11+(Inputs!$F11-Inputs!$E11)*2)*10000)/10000</f>
        <v>827.6181</v>
      </c>
      <c r="IC11" s="250">
        <f>RANDBETWEEN((Inputs!$E11-(Inputs!$E11-Inputs!$D11)*2)*10000,(Inputs!$E11+(Inputs!$F11-Inputs!$E11)*2)*10000)/10000</f>
        <v>594.4102</v>
      </c>
      <c r="ID11" s="250">
        <f>RANDBETWEEN((Inputs!$E11-(Inputs!$E11-Inputs!$D11)*2)*10000,(Inputs!$E11+(Inputs!$F11-Inputs!$E11)*2)*10000)/10000</f>
        <v>646.6576</v>
      </c>
      <c r="IE11" s="250">
        <f>RANDBETWEEN((Inputs!$E11-(Inputs!$E11-Inputs!$D11)*2)*10000,(Inputs!$E11+(Inputs!$F11-Inputs!$E11)*2)*10000)/10000</f>
        <v>649.0415</v>
      </c>
      <c r="IF11" s="250">
        <f>RANDBETWEEN((Inputs!$E11-(Inputs!$E11-Inputs!$D11)*2)*10000,(Inputs!$E11+(Inputs!$F11-Inputs!$E11)*2)*10000)/10000</f>
        <v>645.4566</v>
      </c>
      <c r="IG11" s="250">
        <f>RANDBETWEEN((Inputs!$E11-(Inputs!$E11-Inputs!$D11)*2)*10000,(Inputs!$E11+(Inputs!$F11-Inputs!$E11)*2)*10000)/10000</f>
        <v>536.502</v>
      </c>
      <c r="IH11" s="250">
        <f>RANDBETWEEN((Inputs!$E11-(Inputs!$E11-Inputs!$D11)*2)*10000,(Inputs!$E11+(Inputs!$F11-Inputs!$E11)*2)*10000)/10000</f>
        <v>687.1006</v>
      </c>
      <c r="II11" s="250">
        <f>RANDBETWEEN((Inputs!$E11-(Inputs!$E11-Inputs!$D11)*2)*10000,(Inputs!$E11+(Inputs!$F11-Inputs!$E11)*2)*10000)/10000</f>
        <v>816.0865</v>
      </c>
      <c r="IJ11" s="250">
        <f>RANDBETWEEN((Inputs!$E11-(Inputs!$E11-Inputs!$D11)*2)*10000,(Inputs!$E11+(Inputs!$F11-Inputs!$E11)*2)*10000)/10000</f>
        <v>743.1023</v>
      </c>
      <c r="IK11" s="250">
        <f>RANDBETWEEN((Inputs!$E11-(Inputs!$E11-Inputs!$D11)*2)*10000,(Inputs!$E11+(Inputs!$F11-Inputs!$E11)*2)*10000)/10000</f>
        <v>760.7207</v>
      </c>
      <c r="IL11" s="250">
        <f>RANDBETWEEN((Inputs!$E11-(Inputs!$E11-Inputs!$D11)*2)*10000,(Inputs!$E11+(Inputs!$F11-Inputs!$E11)*2)*10000)/10000</f>
        <v>538.7371</v>
      </c>
      <c r="IM11" s="250">
        <f>RANDBETWEEN((Inputs!$E11-(Inputs!$E11-Inputs!$D11)*2)*10000,(Inputs!$E11+(Inputs!$F11-Inputs!$E11)*2)*10000)/10000</f>
        <v>568.7792</v>
      </c>
      <c r="IN11" s="250">
        <f>RANDBETWEEN((Inputs!$E11-(Inputs!$E11-Inputs!$D11)*2)*10000,(Inputs!$E11+(Inputs!$F11-Inputs!$E11)*2)*10000)/10000</f>
        <v>727.0869</v>
      </c>
      <c r="IO11" s="250">
        <f>RANDBETWEEN((Inputs!$E11-(Inputs!$E11-Inputs!$D11)*2)*10000,(Inputs!$E11+(Inputs!$F11-Inputs!$E11)*2)*10000)/10000</f>
        <v>546.9321</v>
      </c>
      <c r="IP11" s="250">
        <f>RANDBETWEEN((Inputs!$E11-(Inputs!$E11-Inputs!$D11)*2)*10000,(Inputs!$E11+(Inputs!$F11-Inputs!$E11)*2)*10000)/10000</f>
        <v>461.6704</v>
      </c>
      <c r="IQ11" s="250">
        <f>RANDBETWEEN((Inputs!$E11-(Inputs!$E11-Inputs!$D11)*2)*10000,(Inputs!$E11+(Inputs!$F11-Inputs!$E11)*2)*10000)/10000</f>
        <v>547.4254</v>
      </c>
      <c r="IR11" s="250">
        <f>RANDBETWEEN((Inputs!$E11-(Inputs!$E11-Inputs!$D11)*2)*10000,(Inputs!$E11+(Inputs!$F11-Inputs!$E11)*2)*10000)/10000</f>
        <v>533.2425</v>
      </c>
      <c r="IS11" s="250">
        <f>RANDBETWEEN((Inputs!$E11-(Inputs!$E11-Inputs!$D11)*2)*10000,(Inputs!$E11+(Inputs!$F11-Inputs!$E11)*2)*10000)/10000</f>
        <v>484.609</v>
      </c>
      <c r="IT11" s="250">
        <f>RANDBETWEEN((Inputs!$E11-(Inputs!$E11-Inputs!$D11)*2)*10000,(Inputs!$E11+(Inputs!$F11-Inputs!$E11)*2)*10000)/10000</f>
        <v>626.1652</v>
      </c>
      <c r="IU11" s="250">
        <f>RANDBETWEEN((Inputs!$E11-(Inputs!$E11-Inputs!$D11)*2)*10000,(Inputs!$E11+(Inputs!$F11-Inputs!$E11)*2)*10000)/10000</f>
        <v>593.5963</v>
      </c>
      <c r="IV11" s="250">
        <f>RANDBETWEEN((Inputs!$E11-(Inputs!$E11-Inputs!$D11)*2)*10000,(Inputs!$E11+(Inputs!$F11-Inputs!$E11)*2)*10000)/10000</f>
        <v>509.1881</v>
      </c>
      <c r="IW11" s="250">
        <f>RANDBETWEEN((Inputs!$E11-(Inputs!$E11-Inputs!$D11)*2)*10000,(Inputs!$E11+(Inputs!$F11-Inputs!$E11)*2)*10000)/10000</f>
        <v>768.6564</v>
      </c>
      <c r="IX11" s="250">
        <f>RANDBETWEEN((Inputs!$E11-(Inputs!$E11-Inputs!$D11)*2)*10000,(Inputs!$E11+(Inputs!$F11-Inputs!$E11)*2)*10000)/10000</f>
        <v>761.3583</v>
      </c>
      <c r="IY11" s="250">
        <f>RANDBETWEEN((Inputs!$E11-(Inputs!$E11-Inputs!$D11)*2)*10000,(Inputs!$E11+(Inputs!$F11-Inputs!$E11)*2)*10000)/10000</f>
        <v>709.1026</v>
      </c>
      <c r="IZ11" s="250">
        <f>RANDBETWEEN((Inputs!$E11-(Inputs!$E11-Inputs!$D11)*2)*10000,(Inputs!$E11+(Inputs!$F11-Inputs!$E11)*2)*10000)/10000</f>
        <v>796.1359</v>
      </c>
      <c r="JA11" s="250">
        <f>RANDBETWEEN((Inputs!$E11-(Inputs!$E11-Inputs!$D11)*2)*10000,(Inputs!$E11+(Inputs!$F11-Inputs!$E11)*2)*10000)/10000</f>
        <v>456.7247</v>
      </c>
      <c r="JB11" s="250">
        <f>RANDBETWEEN((Inputs!$E11-(Inputs!$E11-Inputs!$D11)*2)*10000,(Inputs!$E11+(Inputs!$F11-Inputs!$E11)*2)*10000)/10000</f>
        <v>730.9503</v>
      </c>
      <c r="JC11" s="250">
        <f>RANDBETWEEN((Inputs!$E11-(Inputs!$E11-Inputs!$D11)*2)*10000,(Inputs!$E11+(Inputs!$F11-Inputs!$E11)*2)*10000)/10000</f>
        <v>554.6568</v>
      </c>
      <c r="JD11" s="250">
        <f>RANDBETWEEN((Inputs!$E11-(Inputs!$E11-Inputs!$D11)*2)*10000,(Inputs!$E11+(Inputs!$F11-Inputs!$E11)*2)*10000)/10000</f>
        <v>823.6177</v>
      </c>
      <c r="JE11" s="250">
        <f>RANDBETWEEN((Inputs!$E11-(Inputs!$E11-Inputs!$D11)*2)*10000,(Inputs!$E11+(Inputs!$F11-Inputs!$E11)*2)*10000)/10000</f>
        <v>754.4317</v>
      </c>
      <c r="JF11" s="250">
        <f>RANDBETWEEN((Inputs!$E11-(Inputs!$E11-Inputs!$D11)*2)*10000,(Inputs!$E11+(Inputs!$F11-Inputs!$E11)*2)*10000)/10000</f>
        <v>730.2709</v>
      </c>
      <c r="JG11" s="250">
        <f>RANDBETWEEN((Inputs!$E11-(Inputs!$E11-Inputs!$D11)*2)*10000,(Inputs!$E11+(Inputs!$F11-Inputs!$E11)*2)*10000)/10000</f>
        <v>716.8033</v>
      </c>
      <c r="JH11" s="250">
        <f>RANDBETWEEN((Inputs!$E11-(Inputs!$E11-Inputs!$D11)*2)*10000,(Inputs!$E11+(Inputs!$F11-Inputs!$E11)*2)*10000)/10000</f>
        <v>654.0543</v>
      </c>
      <c r="JI11" s="250">
        <f>RANDBETWEEN((Inputs!$E11-(Inputs!$E11-Inputs!$D11)*2)*10000,(Inputs!$E11+(Inputs!$F11-Inputs!$E11)*2)*10000)/10000</f>
        <v>661.8758</v>
      </c>
      <c r="JJ11" s="250">
        <f>RANDBETWEEN((Inputs!$E11-(Inputs!$E11-Inputs!$D11)*2)*10000,(Inputs!$E11+(Inputs!$F11-Inputs!$E11)*2)*10000)/10000</f>
        <v>532.9541</v>
      </c>
      <c r="JK11" s="250">
        <f>RANDBETWEEN((Inputs!$E11-(Inputs!$E11-Inputs!$D11)*2)*10000,(Inputs!$E11+(Inputs!$F11-Inputs!$E11)*2)*10000)/10000</f>
        <v>552.5497</v>
      </c>
      <c r="JL11" s="250">
        <f>RANDBETWEEN((Inputs!$E11-(Inputs!$E11-Inputs!$D11)*2)*10000,(Inputs!$E11+(Inputs!$F11-Inputs!$E11)*2)*10000)/10000</f>
        <v>688.556</v>
      </c>
      <c r="JM11" s="250">
        <f>RANDBETWEEN((Inputs!$E11-(Inputs!$E11-Inputs!$D11)*2)*10000,(Inputs!$E11+(Inputs!$F11-Inputs!$E11)*2)*10000)/10000</f>
        <v>645.8302</v>
      </c>
      <c r="JN11" s="250">
        <f>RANDBETWEEN((Inputs!$E11-(Inputs!$E11-Inputs!$D11)*2)*10000,(Inputs!$E11+(Inputs!$F11-Inputs!$E11)*2)*10000)/10000</f>
        <v>601.9897</v>
      </c>
      <c r="JO11" s="250">
        <f>RANDBETWEEN((Inputs!$E11-(Inputs!$E11-Inputs!$D11)*2)*10000,(Inputs!$E11+(Inputs!$F11-Inputs!$E11)*2)*10000)/10000</f>
        <v>529.0867</v>
      </c>
      <c r="JP11" s="250">
        <f>RANDBETWEEN((Inputs!$E11-(Inputs!$E11-Inputs!$D11)*2)*10000,(Inputs!$E11+(Inputs!$F11-Inputs!$E11)*2)*10000)/10000</f>
        <v>518.1406</v>
      </c>
      <c r="JQ11" s="250">
        <f>RANDBETWEEN((Inputs!$E11-(Inputs!$E11-Inputs!$D11)*2)*10000,(Inputs!$E11+(Inputs!$F11-Inputs!$E11)*2)*10000)/10000</f>
        <v>819.7743</v>
      </c>
      <c r="JR11" s="250">
        <f>RANDBETWEEN((Inputs!$E11-(Inputs!$E11-Inputs!$D11)*2)*10000,(Inputs!$E11+(Inputs!$F11-Inputs!$E11)*2)*10000)/10000</f>
        <v>619.03</v>
      </c>
      <c r="JS11" s="250">
        <f>RANDBETWEEN((Inputs!$E11-(Inputs!$E11-Inputs!$D11)*2)*10000,(Inputs!$E11+(Inputs!$F11-Inputs!$E11)*2)*10000)/10000</f>
        <v>757.6945</v>
      </c>
      <c r="JT11" s="250">
        <f>RANDBETWEEN((Inputs!$E11-(Inputs!$E11-Inputs!$D11)*2)*10000,(Inputs!$E11+(Inputs!$F11-Inputs!$E11)*2)*10000)/10000</f>
        <v>522.6513</v>
      </c>
      <c r="JU11" s="250">
        <f>RANDBETWEEN((Inputs!$E11-(Inputs!$E11-Inputs!$D11)*2)*10000,(Inputs!$E11+(Inputs!$F11-Inputs!$E11)*2)*10000)/10000</f>
        <v>819.319</v>
      </c>
      <c r="JV11" s="250">
        <f>RANDBETWEEN((Inputs!$E11-(Inputs!$E11-Inputs!$D11)*2)*10000,(Inputs!$E11+(Inputs!$F11-Inputs!$E11)*2)*10000)/10000</f>
        <v>460.0906</v>
      </c>
      <c r="JW11" s="250">
        <f>RANDBETWEEN((Inputs!$E11-(Inputs!$E11-Inputs!$D11)*2)*10000,(Inputs!$E11+(Inputs!$F11-Inputs!$E11)*2)*10000)/10000</f>
        <v>553.3337</v>
      </c>
      <c r="JX11" s="250">
        <f>RANDBETWEEN((Inputs!$E11-(Inputs!$E11-Inputs!$D11)*2)*10000,(Inputs!$E11+(Inputs!$F11-Inputs!$E11)*2)*10000)/10000</f>
        <v>621.2082</v>
      </c>
      <c r="JY11" s="250">
        <f>RANDBETWEEN((Inputs!$E11-(Inputs!$E11-Inputs!$D11)*2)*10000,(Inputs!$E11+(Inputs!$F11-Inputs!$E11)*2)*10000)/10000</f>
        <v>526.5006</v>
      </c>
      <c r="JZ11" s="250">
        <f>RANDBETWEEN((Inputs!$E11-(Inputs!$E11-Inputs!$D11)*2)*10000,(Inputs!$E11+(Inputs!$F11-Inputs!$E11)*2)*10000)/10000</f>
        <v>822.5776</v>
      </c>
      <c r="KA11" s="250">
        <f>RANDBETWEEN((Inputs!$E11-(Inputs!$E11-Inputs!$D11)*2)*10000,(Inputs!$E11+(Inputs!$F11-Inputs!$E11)*2)*10000)/10000</f>
        <v>566.5084</v>
      </c>
      <c r="KB11" s="250">
        <f>RANDBETWEEN((Inputs!$E11-(Inputs!$E11-Inputs!$D11)*2)*10000,(Inputs!$E11+(Inputs!$F11-Inputs!$E11)*2)*10000)/10000</f>
        <v>657.3935</v>
      </c>
      <c r="KC11" s="250">
        <f>RANDBETWEEN((Inputs!$E11-(Inputs!$E11-Inputs!$D11)*2)*10000,(Inputs!$E11+(Inputs!$F11-Inputs!$E11)*2)*10000)/10000</f>
        <v>793.7434</v>
      </c>
      <c r="KD11" s="250">
        <f>RANDBETWEEN((Inputs!$E11-(Inputs!$E11-Inputs!$D11)*2)*10000,(Inputs!$E11+(Inputs!$F11-Inputs!$E11)*2)*10000)/10000</f>
        <v>623.3818</v>
      </c>
      <c r="KE11" s="250">
        <f>RANDBETWEEN((Inputs!$E11-(Inputs!$E11-Inputs!$D11)*2)*10000,(Inputs!$E11+(Inputs!$F11-Inputs!$E11)*2)*10000)/10000</f>
        <v>675.9578</v>
      </c>
      <c r="KF11" s="250">
        <f>RANDBETWEEN((Inputs!$E11-(Inputs!$E11-Inputs!$D11)*2)*10000,(Inputs!$E11+(Inputs!$F11-Inputs!$E11)*2)*10000)/10000</f>
        <v>662.2175</v>
      </c>
      <c r="KG11" s="250">
        <f>RANDBETWEEN((Inputs!$E11-(Inputs!$E11-Inputs!$D11)*2)*10000,(Inputs!$E11+(Inputs!$F11-Inputs!$E11)*2)*10000)/10000</f>
        <v>785.1753</v>
      </c>
      <c r="KH11" s="250">
        <f>RANDBETWEEN((Inputs!$E11-(Inputs!$E11-Inputs!$D11)*2)*10000,(Inputs!$E11+(Inputs!$F11-Inputs!$E11)*2)*10000)/10000</f>
        <v>634.7702</v>
      </c>
      <c r="KI11" s="250">
        <f>RANDBETWEEN((Inputs!$E11-(Inputs!$E11-Inputs!$D11)*2)*10000,(Inputs!$E11+(Inputs!$F11-Inputs!$E11)*2)*10000)/10000</f>
        <v>782.1724</v>
      </c>
      <c r="KJ11" s="250">
        <f>RANDBETWEEN((Inputs!$E11-(Inputs!$E11-Inputs!$D11)*2)*10000,(Inputs!$E11+(Inputs!$F11-Inputs!$E11)*2)*10000)/10000</f>
        <v>540.1882</v>
      </c>
      <c r="KK11" s="250">
        <f>RANDBETWEEN((Inputs!$E11-(Inputs!$E11-Inputs!$D11)*2)*10000,(Inputs!$E11+(Inputs!$F11-Inputs!$E11)*2)*10000)/10000</f>
        <v>701.3219</v>
      </c>
      <c r="KL11" s="250">
        <f>RANDBETWEEN((Inputs!$E11-(Inputs!$E11-Inputs!$D11)*2)*10000,(Inputs!$E11+(Inputs!$F11-Inputs!$E11)*2)*10000)/10000</f>
        <v>662.4193</v>
      </c>
      <c r="KM11" s="250">
        <f>RANDBETWEEN((Inputs!$E11-(Inputs!$E11-Inputs!$D11)*2)*10000,(Inputs!$E11+(Inputs!$F11-Inputs!$E11)*2)*10000)/10000</f>
        <v>569.8949</v>
      </c>
      <c r="KN11" s="250">
        <f>RANDBETWEEN((Inputs!$E11-(Inputs!$E11-Inputs!$D11)*2)*10000,(Inputs!$E11+(Inputs!$F11-Inputs!$E11)*2)*10000)/10000</f>
        <v>527.2832</v>
      </c>
      <c r="KO11" s="250">
        <f>RANDBETWEEN((Inputs!$E11-(Inputs!$E11-Inputs!$D11)*2)*10000,(Inputs!$E11+(Inputs!$F11-Inputs!$E11)*2)*10000)/10000</f>
        <v>497.3526</v>
      </c>
      <c r="KP11" s="250">
        <f>RANDBETWEEN((Inputs!$E11-(Inputs!$E11-Inputs!$D11)*2)*10000,(Inputs!$E11+(Inputs!$F11-Inputs!$E11)*2)*10000)/10000</f>
        <v>698.8067</v>
      </c>
      <c r="KQ11" s="250">
        <f>RANDBETWEEN((Inputs!$E11-(Inputs!$E11-Inputs!$D11)*2)*10000,(Inputs!$E11+(Inputs!$F11-Inputs!$E11)*2)*10000)/10000</f>
        <v>460.0589</v>
      </c>
      <c r="KR11" s="250">
        <f>RANDBETWEEN((Inputs!$E11-(Inputs!$E11-Inputs!$D11)*2)*10000,(Inputs!$E11+(Inputs!$F11-Inputs!$E11)*2)*10000)/10000</f>
        <v>597.7814</v>
      </c>
      <c r="KS11" s="250">
        <f>RANDBETWEEN((Inputs!$E11-(Inputs!$E11-Inputs!$D11)*2)*10000,(Inputs!$E11+(Inputs!$F11-Inputs!$E11)*2)*10000)/10000</f>
        <v>507.2805</v>
      </c>
      <c r="KT11" s="250">
        <f>RANDBETWEEN((Inputs!$E11-(Inputs!$E11-Inputs!$D11)*2)*10000,(Inputs!$E11+(Inputs!$F11-Inputs!$E11)*2)*10000)/10000</f>
        <v>801.7066</v>
      </c>
      <c r="KU11" s="250">
        <f>RANDBETWEEN((Inputs!$E11-(Inputs!$E11-Inputs!$D11)*2)*10000,(Inputs!$E11+(Inputs!$F11-Inputs!$E11)*2)*10000)/10000</f>
        <v>791.9251</v>
      </c>
      <c r="KV11" s="250">
        <f>RANDBETWEEN((Inputs!$E11-(Inputs!$E11-Inputs!$D11)*2)*10000,(Inputs!$E11+(Inputs!$F11-Inputs!$E11)*2)*10000)/10000</f>
        <v>585.1462</v>
      </c>
      <c r="KW11" s="250">
        <f>RANDBETWEEN((Inputs!$E11-(Inputs!$E11-Inputs!$D11)*2)*10000,(Inputs!$E11+(Inputs!$F11-Inputs!$E11)*2)*10000)/10000</f>
        <v>752.2438</v>
      </c>
      <c r="KX11" s="250">
        <f>RANDBETWEEN((Inputs!$E11-(Inputs!$E11-Inputs!$D11)*2)*10000,(Inputs!$E11+(Inputs!$F11-Inputs!$E11)*2)*10000)/10000</f>
        <v>584.5441</v>
      </c>
      <c r="KY11" s="250">
        <f>RANDBETWEEN((Inputs!$E11-(Inputs!$E11-Inputs!$D11)*2)*10000,(Inputs!$E11+(Inputs!$F11-Inputs!$E11)*2)*10000)/10000</f>
        <v>497.0218</v>
      </c>
      <c r="KZ11" s="250">
        <f>RANDBETWEEN((Inputs!$E11-(Inputs!$E11-Inputs!$D11)*2)*10000,(Inputs!$E11+(Inputs!$F11-Inputs!$E11)*2)*10000)/10000</f>
        <v>612.7087</v>
      </c>
      <c r="LA11" s="250">
        <f>RANDBETWEEN((Inputs!$E11-(Inputs!$E11-Inputs!$D11)*2)*10000,(Inputs!$E11+(Inputs!$F11-Inputs!$E11)*2)*10000)/10000</f>
        <v>475.8242</v>
      </c>
      <c r="LB11" s="250">
        <f>RANDBETWEEN((Inputs!$E11-(Inputs!$E11-Inputs!$D11)*2)*10000,(Inputs!$E11+(Inputs!$F11-Inputs!$E11)*2)*10000)/10000</f>
        <v>562.6503</v>
      </c>
      <c r="LC11" s="250">
        <f>RANDBETWEEN((Inputs!$E11-(Inputs!$E11-Inputs!$D11)*2)*10000,(Inputs!$E11+(Inputs!$F11-Inputs!$E11)*2)*10000)/10000</f>
        <v>759.559</v>
      </c>
      <c r="LD11" s="250">
        <f>RANDBETWEEN((Inputs!$E11-(Inputs!$E11-Inputs!$D11)*2)*10000,(Inputs!$E11+(Inputs!$F11-Inputs!$E11)*2)*10000)/10000</f>
        <v>544.0137</v>
      </c>
      <c r="LE11" s="250">
        <f>RANDBETWEEN((Inputs!$E11-(Inputs!$E11-Inputs!$D11)*2)*10000,(Inputs!$E11+(Inputs!$F11-Inputs!$E11)*2)*10000)/10000</f>
        <v>510.2049</v>
      </c>
      <c r="LF11" s="250">
        <f>RANDBETWEEN((Inputs!$E11-(Inputs!$E11-Inputs!$D11)*2)*10000,(Inputs!$E11+(Inputs!$F11-Inputs!$E11)*2)*10000)/10000</f>
        <v>656.4048</v>
      </c>
      <c r="LG11" s="250">
        <f>RANDBETWEEN((Inputs!$E11-(Inputs!$E11-Inputs!$D11)*2)*10000,(Inputs!$E11+(Inputs!$F11-Inputs!$E11)*2)*10000)/10000</f>
        <v>714.8654</v>
      </c>
      <c r="LH11" s="250">
        <f>RANDBETWEEN((Inputs!$E11-(Inputs!$E11-Inputs!$D11)*2)*10000,(Inputs!$E11+(Inputs!$F11-Inputs!$E11)*2)*10000)/10000</f>
        <v>689.8054</v>
      </c>
      <c r="LI11" s="250">
        <f>RANDBETWEEN((Inputs!$E11-(Inputs!$E11-Inputs!$D11)*2)*10000,(Inputs!$E11+(Inputs!$F11-Inputs!$E11)*2)*10000)/10000</f>
        <v>610.2391</v>
      </c>
      <c r="LJ11" s="250">
        <f>RANDBETWEEN((Inputs!$E11-(Inputs!$E11-Inputs!$D11)*2)*10000,(Inputs!$E11+(Inputs!$F11-Inputs!$E11)*2)*10000)/10000</f>
        <v>553.1675</v>
      </c>
      <c r="LK11" s="250">
        <f>RANDBETWEEN((Inputs!$E11-(Inputs!$E11-Inputs!$D11)*2)*10000,(Inputs!$E11+(Inputs!$F11-Inputs!$E11)*2)*10000)/10000</f>
        <v>748.0443</v>
      </c>
      <c r="LL11" s="250">
        <f>RANDBETWEEN((Inputs!$E11-(Inputs!$E11-Inputs!$D11)*2)*10000,(Inputs!$E11+(Inputs!$F11-Inputs!$E11)*2)*10000)/10000</f>
        <v>648.6248</v>
      </c>
      <c r="LM11" s="250">
        <f>RANDBETWEEN((Inputs!$E11-(Inputs!$E11-Inputs!$D11)*2)*10000,(Inputs!$E11+(Inputs!$F11-Inputs!$E11)*2)*10000)/10000</f>
        <v>624.9815</v>
      </c>
      <c r="LN11" s="250">
        <f>RANDBETWEEN((Inputs!$E11-(Inputs!$E11-Inputs!$D11)*2)*10000,(Inputs!$E11+(Inputs!$F11-Inputs!$E11)*2)*10000)/10000</f>
        <v>689.2457</v>
      </c>
      <c r="LO11" s="250">
        <f>RANDBETWEEN((Inputs!$E11-(Inputs!$E11-Inputs!$D11)*2)*10000,(Inputs!$E11+(Inputs!$F11-Inputs!$E11)*2)*10000)/10000</f>
        <v>756.8834</v>
      </c>
      <c r="LP11" s="250">
        <f>RANDBETWEEN((Inputs!$E11-(Inputs!$E11-Inputs!$D11)*2)*10000,(Inputs!$E11+(Inputs!$F11-Inputs!$E11)*2)*10000)/10000</f>
        <v>816.9385</v>
      </c>
      <c r="LQ11" s="250">
        <f>RANDBETWEEN((Inputs!$E11-(Inputs!$E11-Inputs!$D11)*2)*10000,(Inputs!$E11+(Inputs!$F11-Inputs!$E11)*2)*10000)/10000</f>
        <v>804.5161</v>
      </c>
      <c r="LR11" s="250">
        <f>RANDBETWEEN((Inputs!$E11-(Inputs!$E11-Inputs!$D11)*2)*10000,(Inputs!$E11+(Inputs!$F11-Inputs!$E11)*2)*10000)/10000</f>
        <v>498.7071</v>
      </c>
      <c r="LS11" s="250">
        <f>RANDBETWEEN((Inputs!$E11-(Inputs!$E11-Inputs!$D11)*2)*10000,(Inputs!$E11+(Inputs!$F11-Inputs!$E11)*2)*10000)/10000</f>
        <v>672.1973</v>
      </c>
      <c r="LT11" s="250">
        <f>RANDBETWEEN((Inputs!$E11-(Inputs!$E11-Inputs!$D11)*2)*10000,(Inputs!$E11+(Inputs!$F11-Inputs!$E11)*2)*10000)/10000</f>
        <v>488.2414</v>
      </c>
      <c r="LU11" s="250">
        <f>RANDBETWEEN((Inputs!$E11-(Inputs!$E11-Inputs!$D11)*2)*10000,(Inputs!$E11+(Inputs!$F11-Inputs!$E11)*2)*10000)/10000</f>
        <v>779.0955</v>
      </c>
      <c r="LV11" s="250">
        <f>RANDBETWEEN((Inputs!$E11-(Inputs!$E11-Inputs!$D11)*2)*10000,(Inputs!$E11+(Inputs!$F11-Inputs!$E11)*2)*10000)/10000</f>
        <v>502.4165</v>
      </c>
      <c r="LW11" s="250">
        <f>RANDBETWEEN((Inputs!$E11-(Inputs!$E11-Inputs!$D11)*2)*10000,(Inputs!$E11+(Inputs!$F11-Inputs!$E11)*2)*10000)/10000</f>
        <v>740.5083</v>
      </c>
      <c r="LX11" s="250">
        <f>RANDBETWEEN((Inputs!$E11-(Inputs!$E11-Inputs!$D11)*2)*10000,(Inputs!$E11+(Inputs!$F11-Inputs!$E11)*2)*10000)/10000</f>
        <v>598.4316</v>
      </c>
      <c r="LY11" s="250">
        <f>RANDBETWEEN((Inputs!$E11-(Inputs!$E11-Inputs!$D11)*2)*10000,(Inputs!$E11+(Inputs!$F11-Inputs!$E11)*2)*10000)/10000</f>
        <v>803.4191</v>
      </c>
      <c r="LZ11" s="250">
        <f>RANDBETWEEN((Inputs!$E11-(Inputs!$E11-Inputs!$D11)*2)*10000,(Inputs!$E11+(Inputs!$F11-Inputs!$E11)*2)*10000)/10000</f>
        <v>789.7094</v>
      </c>
      <c r="MA11" s="250">
        <f>RANDBETWEEN((Inputs!$E11-(Inputs!$E11-Inputs!$D11)*2)*10000,(Inputs!$E11+(Inputs!$F11-Inputs!$E11)*2)*10000)/10000</f>
        <v>642.1285</v>
      </c>
      <c r="MB11" s="250">
        <f>RANDBETWEEN((Inputs!$E11-(Inputs!$E11-Inputs!$D11)*2)*10000,(Inputs!$E11+(Inputs!$F11-Inputs!$E11)*2)*10000)/10000</f>
        <v>563.5485</v>
      </c>
      <c r="MC11" s="250">
        <f>RANDBETWEEN((Inputs!$E11-(Inputs!$E11-Inputs!$D11)*2)*10000,(Inputs!$E11+(Inputs!$F11-Inputs!$E11)*2)*10000)/10000</f>
        <v>604.7616</v>
      </c>
      <c r="MD11" s="250">
        <f>RANDBETWEEN((Inputs!$E11-(Inputs!$E11-Inputs!$D11)*2)*10000,(Inputs!$E11+(Inputs!$F11-Inputs!$E11)*2)*10000)/10000</f>
        <v>547.6191</v>
      </c>
      <c r="ME11" s="250">
        <f>RANDBETWEEN((Inputs!$E11-(Inputs!$E11-Inputs!$D11)*2)*10000,(Inputs!$E11+(Inputs!$F11-Inputs!$E11)*2)*10000)/10000</f>
        <v>836.3404</v>
      </c>
      <c r="MF11" s="250">
        <f>RANDBETWEEN((Inputs!$E11-(Inputs!$E11-Inputs!$D11)*2)*10000,(Inputs!$E11+(Inputs!$F11-Inputs!$E11)*2)*10000)/10000</f>
        <v>837.4493</v>
      </c>
      <c r="MG11" s="250">
        <f>RANDBETWEEN((Inputs!$E11-(Inputs!$E11-Inputs!$D11)*2)*10000,(Inputs!$E11+(Inputs!$F11-Inputs!$E11)*2)*10000)/10000</f>
        <v>730.4366</v>
      </c>
      <c r="MH11" s="250">
        <f>RANDBETWEEN((Inputs!$E11-(Inputs!$E11-Inputs!$D11)*2)*10000,(Inputs!$E11+(Inputs!$F11-Inputs!$E11)*2)*10000)/10000</f>
        <v>835.857</v>
      </c>
      <c r="MI11" s="250">
        <f>RANDBETWEEN((Inputs!$E11-(Inputs!$E11-Inputs!$D11)*2)*10000,(Inputs!$E11+(Inputs!$F11-Inputs!$E11)*2)*10000)/10000</f>
        <v>556.1326</v>
      </c>
      <c r="MJ11" s="250">
        <f>RANDBETWEEN((Inputs!$E11-(Inputs!$E11-Inputs!$D11)*2)*10000,(Inputs!$E11+(Inputs!$F11-Inputs!$E11)*2)*10000)/10000</f>
        <v>514.0358</v>
      </c>
      <c r="MK11" s="250">
        <f>RANDBETWEEN((Inputs!$E11-(Inputs!$E11-Inputs!$D11)*2)*10000,(Inputs!$E11+(Inputs!$F11-Inputs!$E11)*2)*10000)/10000</f>
        <v>713.337</v>
      </c>
      <c r="ML11" s="250">
        <f>RANDBETWEEN((Inputs!$E11-(Inputs!$E11-Inputs!$D11)*2)*10000,(Inputs!$E11+(Inputs!$F11-Inputs!$E11)*2)*10000)/10000</f>
        <v>483.9726</v>
      </c>
      <c r="MM11" s="250">
        <f>RANDBETWEEN((Inputs!$E11-(Inputs!$E11-Inputs!$D11)*2)*10000,(Inputs!$E11+(Inputs!$F11-Inputs!$E11)*2)*10000)/10000</f>
        <v>606.3442</v>
      </c>
      <c r="MN11" s="250">
        <f>RANDBETWEEN((Inputs!$E11-(Inputs!$E11-Inputs!$D11)*2)*10000,(Inputs!$E11+(Inputs!$F11-Inputs!$E11)*2)*10000)/10000</f>
        <v>526.6279</v>
      </c>
      <c r="MO11" s="250">
        <f>RANDBETWEEN((Inputs!$E11-(Inputs!$E11-Inputs!$D11)*2)*10000,(Inputs!$E11+(Inputs!$F11-Inputs!$E11)*2)*10000)/10000</f>
        <v>693.7735</v>
      </c>
      <c r="MP11" s="250">
        <f>RANDBETWEEN((Inputs!$E11-(Inputs!$E11-Inputs!$D11)*2)*10000,(Inputs!$E11+(Inputs!$F11-Inputs!$E11)*2)*10000)/10000</f>
        <v>524.1916</v>
      </c>
      <c r="MQ11" s="250">
        <f>RANDBETWEEN((Inputs!$E11-(Inputs!$E11-Inputs!$D11)*2)*10000,(Inputs!$E11+(Inputs!$F11-Inputs!$E11)*2)*10000)/10000</f>
        <v>785.9629</v>
      </c>
      <c r="MR11" s="250">
        <f>RANDBETWEEN((Inputs!$E11-(Inputs!$E11-Inputs!$D11)*2)*10000,(Inputs!$E11+(Inputs!$F11-Inputs!$E11)*2)*10000)/10000</f>
        <v>522.9725</v>
      </c>
      <c r="MS11" s="250">
        <f>RANDBETWEEN((Inputs!$E11-(Inputs!$E11-Inputs!$D11)*2)*10000,(Inputs!$E11+(Inputs!$F11-Inputs!$E11)*2)*10000)/10000</f>
        <v>627.6376</v>
      </c>
      <c r="MT11" s="250">
        <f>RANDBETWEEN((Inputs!$E11-(Inputs!$E11-Inputs!$D11)*2)*10000,(Inputs!$E11+(Inputs!$F11-Inputs!$E11)*2)*10000)/10000</f>
        <v>521.5387</v>
      </c>
      <c r="MU11" s="250">
        <f>RANDBETWEEN((Inputs!$E11-(Inputs!$E11-Inputs!$D11)*2)*10000,(Inputs!$E11+(Inputs!$F11-Inputs!$E11)*2)*10000)/10000</f>
        <v>596.5072</v>
      </c>
      <c r="MV11" s="250">
        <f>RANDBETWEEN((Inputs!$E11-(Inputs!$E11-Inputs!$D11)*2)*10000,(Inputs!$E11+(Inputs!$F11-Inputs!$E11)*2)*10000)/10000</f>
        <v>507.1213</v>
      </c>
      <c r="MW11" s="250">
        <f>RANDBETWEEN((Inputs!$E11-(Inputs!$E11-Inputs!$D11)*2)*10000,(Inputs!$E11+(Inputs!$F11-Inputs!$E11)*2)*10000)/10000</f>
        <v>816.5901</v>
      </c>
      <c r="MX11" s="250">
        <f>RANDBETWEEN((Inputs!$E11-(Inputs!$E11-Inputs!$D11)*2)*10000,(Inputs!$E11+(Inputs!$F11-Inputs!$E11)*2)*10000)/10000</f>
        <v>614.1166</v>
      </c>
      <c r="MY11" s="250">
        <f>RANDBETWEEN((Inputs!$E11-(Inputs!$E11-Inputs!$D11)*2)*10000,(Inputs!$E11+(Inputs!$F11-Inputs!$E11)*2)*10000)/10000</f>
        <v>630.9934</v>
      </c>
      <c r="MZ11" s="250">
        <f>RANDBETWEEN((Inputs!$E11-(Inputs!$E11-Inputs!$D11)*2)*10000,(Inputs!$E11+(Inputs!$F11-Inputs!$E11)*2)*10000)/10000</f>
        <v>779.4973</v>
      </c>
      <c r="NA11" s="250">
        <f>RANDBETWEEN((Inputs!$E11-(Inputs!$E11-Inputs!$D11)*2)*10000,(Inputs!$E11+(Inputs!$F11-Inputs!$E11)*2)*10000)/10000</f>
        <v>488.7411</v>
      </c>
      <c r="NB11" s="250">
        <f>RANDBETWEEN((Inputs!$E11-(Inputs!$E11-Inputs!$D11)*2)*10000,(Inputs!$E11+(Inputs!$F11-Inputs!$E11)*2)*10000)/10000</f>
        <v>632.8659</v>
      </c>
      <c r="NC11" s="250">
        <f>RANDBETWEEN((Inputs!$E11-(Inputs!$E11-Inputs!$D11)*2)*10000,(Inputs!$E11+(Inputs!$F11-Inputs!$E11)*2)*10000)/10000</f>
        <v>562.2845</v>
      </c>
      <c r="ND11" s="250">
        <f>RANDBETWEEN((Inputs!$E11-(Inputs!$E11-Inputs!$D11)*2)*10000,(Inputs!$E11+(Inputs!$F11-Inputs!$E11)*2)*10000)/10000</f>
        <v>509.7055</v>
      </c>
      <c r="NE11" s="250">
        <f>RANDBETWEEN((Inputs!$E11-(Inputs!$E11-Inputs!$D11)*2)*10000,(Inputs!$E11+(Inputs!$F11-Inputs!$E11)*2)*10000)/10000</f>
        <v>788.4135</v>
      </c>
      <c r="NF11" s="250">
        <f>RANDBETWEEN((Inputs!$E11-(Inputs!$E11-Inputs!$D11)*2)*10000,(Inputs!$E11+(Inputs!$F11-Inputs!$E11)*2)*10000)/10000</f>
        <v>738.3597</v>
      </c>
      <c r="NG11" s="250">
        <f>RANDBETWEEN((Inputs!$E11-(Inputs!$E11-Inputs!$D11)*2)*10000,(Inputs!$E11+(Inputs!$F11-Inputs!$E11)*2)*10000)/10000</f>
        <v>703.8737</v>
      </c>
      <c r="NH11" s="250">
        <f>RANDBETWEEN((Inputs!$E11-(Inputs!$E11-Inputs!$D11)*2)*10000,(Inputs!$E11+(Inputs!$F11-Inputs!$E11)*2)*10000)/10000</f>
        <v>625.1905</v>
      </c>
      <c r="NI11" s="250">
        <f>RANDBETWEEN((Inputs!$E11-(Inputs!$E11-Inputs!$D11)*2)*10000,(Inputs!$E11+(Inputs!$F11-Inputs!$E11)*2)*10000)/10000</f>
        <v>597.7647</v>
      </c>
      <c r="NJ11" s="250">
        <f>RANDBETWEEN((Inputs!$E11-(Inputs!$E11-Inputs!$D11)*2)*10000,(Inputs!$E11+(Inputs!$F11-Inputs!$E11)*2)*10000)/10000</f>
        <v>653.4968</v>
      </c>
      <c r="NK11" s="250">
        <f>RANDBETWEEN((Inputs!$E11-(Inputs!$E11-Inputs!$D11)*2)*10000,(Inputs!$E11+(Inputs!$F11-Inputs!$E11)*2)*10000)/10000</f>
        <v>538.3323</v>
      </c>
      <c r="NL11" s="250">
        <f>RANDBETWEEN((Inputs!$E11-(Inputs!$E11-Inputs!$D11)*2)*10000,(Inputs!$E11+(Inputs!$F11-Inputs!$E11)*2)*10000)/10000</f>
        <v>642.5187</v>
      </c>
      <c r="NM11" s="250">
        <f>RANDBETWEEN((Inputs!$E11-(Inputs!$E11-Inputs!$D11)*2)*10000,(Inputs!$E11+(Inputs!$F11-Inputs!$E11)*2)*10000)/10000</f>
        <v>479.5198</v>
      </c>
      <c r="NN11" s="250">
        <f>RANDBETWEEN((Inputs!$E11-(Inputs!$E11-Inputs!$D11)*2)*10000,(Inputs!$E11+(Inputs!$F11-Inputs!$E11)*2)*10000)/10000</f>
        <v>817.9935</v>
      </c>
      <c r="NO11" s="250">
        <f>RANDBETWEEN((Inputs!$E11-(Inputs!$E11-Inputs!$D11)*2)*10000,(Inputs!$E11+(Inputs!$F11-Inputs!$E11)*2)*10000)/10000</f>
        <v>643.2548</v>
      </c>
      <c r="NP11" s="250">
        <f>RANDBETWEEN((Inputs!$E11-(Inputs!$E11-Inputs!$D11)*2)*10000,(Inputs!$E11+(Inputs!$F11-Inputs!$E11)*2)*10000)/10000</f>
        <v>675.0102</v>
      </c>
      <c r="NQ11" s="250">
        <f>RANDBETWEEN((Inputs!$E11-(Inputs!$E11-Inputs!$D11)*2)*10000,(Inputs!$E11+(Inputs!$F11-Inputs!$E11)*2)*10000)/10000</f>
        <v>774.4924</v>
      </c>
      <c r="NR11" s="250">
        <f>RANDBETWEEN((Inputs!$E11-(Inputs!$E11-Inputs!$D11)*2)*10000,(Inputs!$E11+(Inputs!$F11-Inputs!$E11)*2)*10000)/10000</f>
        <v>478.3862</v>
      </c>
      <c r="NS11" s="250">
        <f>RANDBETWEEN((Inputs!$E11-(Inputs!$E11-Inputs!$D11)*2)*10000,(Inputs!$E11+(Inputs!$F11-Inputs!$E11)*2)*10000)/10000</f>
        <v>499.9805</v>
      </c>
      <c r="NT11" s="250">
        <f>RANDBETWEEN((Inputs!$E11-(Inputs!$E11-Inputs!$D11)*2)*10000,(Inputs!$E11+(Inputs!$F11-Inputs!$E11)*2)*10000)/10000</f>
        <v>493.5477</v>
      </c>
      <c r="NU11" s="250">
        <f>RANDBETWEEN((Inputs!$E11-(Inputs!$E11-Inputs!$D11)*2)*10000,(Inputs!$E11+(Inputs!$F11-Inputs!$E11)*2)*10000)/10000</f>
        <v>519.622</v>
      </c>
      <c r="NV11" s="250">
        <f>RANDBETWEEN((Inputs!$E11-(Inputs!$E11-Inputs!$D11)*2)*10000,(Inputs!$E11+(Inputs!$F11-Inputs!$E11)*2)*10000)/10000</f>
        <v>844.3824</v>
      </c>
      <c r="NW11" s="250">
        <f>RANDBETWEEN((Inputs!$E11-(Inputs!$E11-Inputs!$D11)*2)*10000,(Inputs!$E11+(Inputs!$F11-Inputs!$E11)*2)*10000)/10000</f>
        <v>467.679</v>
      </c>
      <c r="NX11" s="250">
        <f>RANDBETWEEN((Inputs!$E11-(Inputs!$E11-Inputs!$D11)*2)*10000,(Inputs!$E11+(Inputs!$F11-Inputs!$E11)*2)*10000)/10000</f>
        <v>738.4198</v>
      </c>
      <c r="NY11" s="250">
        <f>RANDBETWEEN((Inputs!$E11-(Inputs!$E11-Inputs!$D11)*2)*10000,(Inputs!$E11+(Inputs!$F11-Inputs!$E11)*2)*10000)/10000</f>
        <v>830.1623</v>
      </c>
      <c r="NZ11" s="250">
        <f>RANDBETWEEN((Inputs!$E11-(Inputs!$E11-Inputs!$D11)*2)*10000,(Inputs!$E11+(Inputs!$F11-Inputs!$E11)*2)*10000)/10000</f>
        <v>832.5036</v>
      </c>
      <c r="OA11" s="250">
        <f>RANDBETWEEN((Inputs!$E11-(Inputs!$E11-Inputs!$D11)*2)*10000,(Inputs!$E11+(Inputs!$F11-Inputs!$E11)*2)*10000)/10000</f>
        <v>720.5631</v>
      </c>
      <c r="OB11" s="250">
        <f>RANDBETWEEN((Inputs!$E11-(Inputs!$E11-Inputs!$D11)*2)*10000,(Inputs!$E11+(Inputs!$F11-Inputs!$E11)*2)*10000)/10000</f>
        <v>457.9708</v>
      </c>
      <c r="OC11" s="250">
        <f>RANDBETWEEN((Inputs!$E11-(Inputs!$E11-Inputs!$D11)*2)*10000,(Inputs!$E11+(Inputs!$F11-Inputs!$E11)*2)*10000)/10000</f>
        <v>666.4548</v>
      </c>
      <c r="OD11" s="250">
        <f>RANDBETWEEN((Inputs!$E11-(Inputs!$E11-Inputs!$D11)*2)*10000,(Inputs!$E11+(Inputs!$F11-Inputs!$E11)*2)*10000)/10000</f>
        <v>728.7686</v>
      </c>
      <c r="OE11" s="250">
        <f>RANDBETWEEN((Inputs!$E11-(Inputs!$E11-Inputs!$D11)*2)*10000,(Inputs!$E11+(Inputs!$F11-Inputs!$E11)*2)*10000)/10000</f>
        <v>682.4182</v>
      </c>
      <c r="OF11" s="250">
        <f>RANDBETWEEN((Inputs!$E11-(Inputs!$E11-Inputs!$D11)*2)*10000,(Inputs!$E11+(Inputs!$F11-Inputs!$E11)*2)*10000)/10000</f>
        <v>546.7947</v>
      </c>
      <c r="OG11" s="250">
        <f>RANDBETWEEN((Inputs!$E11-(Inputs!$E11-Inputs!$D11)*2)*10000,(Inputs!$E11+(Inputs!$F11-Inputs!$E11)*2)*10000)/10000</f>
        <v>811.2615</v>
      </c>
      <c r="OH11" s="250">
        <f>RANDBETWEEN((Inputs!$E11-(Inputs!$E11-Inputs!$D11)*2)*10000,(Inputs!$E11+(Inputs!$F11-Inputs!$E11)*2)*10000)/10000</f>
        <v>497.5429</v>
      </c>
      <c r="OI11" s="250">
        <f>RANDBETWEEN((Inputs!$E11-(Inputs!$E11-Inputs!$D11)*2)*10000,(Inputs!$E11+(Inputs!$F11-Inputs!$E11)*2)*10000)/10000</f>
        <v>723.5432</v>
      </c>
      <c r="OJ11" s="250">
        <f>RANDBETWEEN((Inputs!$E11-(Inputs!$E11-Inputs!$D11)*2)*10000,(Inputs!$E11+(Inputs!$F11-Inputs!$E11)*2)*10000)/10000</f>
        <v>609.9567</v>
      </c>
      <c r="OK11" s="250">
        <f>RANDBETWEEN((Inputs!$E11-(Inputs!$E11-Inputs!$D11)*2)*10000,(Inputs!$E11+(Inputs!$F11-Inputs!$E11)*2)*10000)/10000</f>
        <v>537.6974</v>
      </c>
      <c r="OL11" s="250">
        <f>RANDBETWEEN((Inputs!$E11-(Inputs!$E11-Inputs!$D11)*2)*10000,(Inputs!$E11+(Inputs!$F11-Inputs!$E11)*2)*10000)/10000</f>
        <v>844.4691</v>
      </c>
      <c r="OM11" s="250">
        <f>RANDBETWEEN((Inputs!$E11-(Inputs!$E11-Inputs!$D11)*2)*10000,(Inputs!$E11+(Inputs!$F11-Inputs!$E11)*2)*10000)/10000</f>
        <v>651.8139</v>
      </c>
      <c r="ON11" s="250">
        <f>RANDBETWEEN((Inputs!$E11-(Inputs!$E11-Inputs!$D11)*2)*10000,(Inputs!$E11+(Inputs!$F11-Inputs!$E11)*2)*10000)/10000</f>
        <v>611.5007</v>
      </c>
      <c r="OO11" s="250">
        <f>RANDBETWEEN((Inputs!$E11-(Inputs!$E11-Inputs!$D11)*2)*10000,(Inputs!$E11+(Inputs!$F11-Inputs!$E11)*2)*10000)/10000</f>
        <v>551.3319</v>
      </c>
      <c r="OP11" s="250">
        <f>RANDBETWEEN((Inputs!$E11-(Inputs!$E11-Inputs!$D11)*2)*10000,(Inputs!$E11+(Inputs!$F11-Inputs!$E11)*2)*10000)/10000</f>
        <v>839.2723</v>
      </c>
      <c r="OQ11" s="250">
        <f>RANDBETWEEN((Inputs!$E11-(Inputs!$E11-Inputs!$D11)*2)*10000,(Inputs!$E11+(Inputs!$F11-Inputs!$E11)*2)*10000)/10000</f>
        <v>693.8608</v>
      </c>
      <c r="OR11" s="250">
        <f>RANDBETWEEN((Inputs!$E11-(Inputs!$E11-Inputs!$D11)*2)*10000,(Inputs!$E11+(Inputs!$F11-Inputs!$E11)*2)*10000)/10000</f>
        <v>751.0816</v>
      </c>
      <c r="OS11" s="250">
        <f>RANDBETWEEN((Inputs!$E11-(Inputs!$E11-Inputs!$D11)*2)*10000,(Inputs!$E11+(Inputs!$F11-Inputs!$E11)*2)*10000)/10000</f>
        <v>727.4132</v>
      </c>
      <c r="OT11" s="250">
        <f>RANDBETWEEN((Inputs!$E11-(Inputs!$E11-Inputs!$D11)*2)*10000,(Inputs!$E11+(Inputs!$F11-Inputs!$E11)*2)*10000)/10000</f>
        <v>463.8319</v>
      </c>
      <c r="OU11" s="250">
        <f>RANDBETWEEN((Inputs!$E11-(Inputs!$E11-Inputs!$D11)*2)*10000,(Inputs!$E11+(Inputs!$F11-Inputs!$E11)*2)*10000)/10000</f>
        <v>715.1602</v>
      </c>
      <c r="OV11" s="250">
        <f>RANDBETWEEN((Inputs!$E11-(Inputs!$E11-Inputs!$D11)*2)*10000,(Inputs!$E11+(Inputs!$F11-Inputs!$E11)*2)*10000)/10000</f>
        <v>634.8317</v>
      </c>
      <c r="OW11" s="250">
        <f>RANDBETWEEN((Inputs!$E11-(Inputs!$E11-Inputs!$D11)*2)*10000,(Inputs!$E11+(Inputs!$F11-Inputs!$E11)*2)*10000)/10000</f>
        <v>512.6609</v>
      </c>
      <c r="OX11" s="250">
        <f>RANDBETWEEN((Inputs!$E11-(Inputs!$E11-Inputs!$D11)*2)*10000,(Inputs!$E11+(Inputs!$F11-Inputs!$E11)*2)*10000)/10000</f>
        <v>804.1093</v>
      </c>
      <c r="OY11" s="250">
        <f>RANDBETWEEN((Inputs!$E11-(Inputs!$E11-Inputs!$D11)*2)*10000,(Inputs!$E11+(Inputs!$F11-Inputs!$E11)*2)*10000)/10000</f>
        <v>704.7713</v>
      </c>
      <c r="OZ11" s="250">
        <f>RANDBETWEEN((Inputs!$E11-(Inputs!$E11-Inputs!$D11)*2)*10000,(Inputs!$E11+(Inputs!$F11-Inputs!$E11)*2)*10000)/10000</f>
        <v>671.1688</v>
      </c>
      <c r="PA11" s="250">
        <f>RANDBETWEEN((Inputs!$E11-(Inputs!$E11-Inputs!$D11)*2)*10000,(Inputs!$E11+(Inputs!$F11-Inputs!$E11)*2)*10000)/10000</f>
        <v>470.0874</v>
      </c>
      <c r="PB11" s="250">
        <f>RANDBETWEEN((Inputs!$E11-(Inputs!$E11-Inputs!$D11)*2)*10000,(Inputs!$E11+(Inputs!$F11-Inputs!$E11)*2)*10000)/10000</f>
        <v>778.2062</v>
      </c>
      <c r="PC11" s="250">
        <f>RANDBETWEEN((Inputs!$E11-(Inputs!$E11-Inputs!$D11)*2)*10000,(Inputs!$E11+(Inputs!$F11-Inputs!$E11)*2)*10000)/10000</f>
        <v>713.0421</v>
      </c>
      <c r="PD11" s="250">
        <f>RANDBETWEEN((Inputs!$E11-(Inputs!$E11-Inputs!$D11)*2)*10000,(Inputs!$E11+(Inputs!$F11-Inputs!$E11)*2)*10000)/10000</f>
        <v>817.3809</v>
      </c>
      <c r="PE11" s="250">
        <f>RANDBETWEEN((Inputs!$E11-(Inputs!$E11-Inputs!$D11)*2)*10000,(Inputs!$E11+(Inputs!$F11-Inputs!$E11)*2)*10000)/10000</f>
        <v>521.0126</v>
      </c>
      <c r="PF11" s="250">
        <f>RANDBETWEEN((Inputs!$E11-(Inputs!$E11-Inputs!$D11)*2)*10000,(Inputs!$E11+(Inputs!$F11-Inputs!$E11)*2)*10000)/10000</f>
        <v>466.2778</v>
      </c>
      <c r="PG11" s="250">
        <f>RANDBETWEEN((Inputs!$E11-(Inputs!$E11-Inputs!$D11)*2)*10000,(Inputs!$E11+(Inputs!$F11-Inputs!$E11)*2)*10000)/10000</f>
        <v>646.6553</v>
      </c>
      <c r="PH11" s="250">
        <f>RANDBETWEEN((Inputs!$E11-(Inputs!$E11-Inputs!$D11)*2)*10000,(Inputs!$E11+(Inputs!$F11-Inputs!$E11)*2)*10000)/10000</f>
        <v>537.508</v>
      </c>
      <c r="PI11" s="250">
        <f>RANDBETWEEN((Inputs!$E11-(Inputs!$E11-Inputs!$D11)*2)*10000,(Inputs!$E11+(Inputs!$F11-Inputs!$E11)*2)*10000)/10000</f>
        <v>630.88</v>
      </c>
      <c r="PJ11" s="250">
        <f>RANDBETWEEN((Inputs!$E11-(Inputs!$E11-Inputs!$D11)*2)*10000,(Inputs!$E11+(Inputs!$F11-Inputs!$E11)*2)*10000)/10000</f>
        <v>510.3546</v>
      </c>
      <c r="PK11" s="250">
        <f>RANDBETWEEN((Inputs!$E11-(Inputs!$E11-Inputs!$D11)*2)*10000,(Inputs!$E11+(Inputs!$F11-Inputs!$E11)*2)*10000)/10000</f>
        <v>597.7599</v>
      </c>
      <c r="PL11" s="250">
        <f>RANDBETWEEN((Inputs!$E11-(Inputs!$E11-Inputs!$D11)*2)*10000,(Inputs!$E11+(Inputs!$F11-Inputs!$E11)*2)*10000)/10000</f>
        <v>550.1873</v>
      </c>
      <c r="PM11" s="250">
        <f>RANDBETWEEN((Inputs!$E11-(Inputs!$E11-Inputs!$D11)*2)*10000,(Inputs!$E11+(Inputs!$F11-Inputs!$E11)*2)*10000)/10000</f>
        <v>526.7614</v>
      </c>
      <c r="PN11" s="250">
        <f>RANDBETWEEN((Inputs!$E11-(Inputs!$E11-Inputs!$D11)*2)*10000,(Inputs!$E11+(Inputs!$F11-Inputs!$E11)*2)*10000)/10000</f>
        <v>792.6956</v>
      </c>
      <c r="PO11" s="250">
        <f>RANDBETWEEN((Inputs!$E11-(Inputs!$E11-Inputs!$D11)*2)*10000,(Inputs!$E11+(Inputs!$F11-Inputs!$E11)*2)*10000)/10000</f>
        <v>712.6324</v>
      </c>
      <c r="PP11" s="250">
        <f>RANDBETWEEN((Inputs!$E11-(Inputs!$E11-Inputs!$D11)*2)*10000,(Inputs!$E11+(Inputs!$F11-Inputs!$E11)*2)*10000)/10000</f>
        <v>643.8471</v>
      </c>
      <c r="PQ11" s="250">
        <f>RANDBETWEEN((Inputs!$E11-(Inputs!$E11-Inputs!$D11)*2)*10000,(Inputs!$E11+(Inputs!$F11-Inputs!$E11)*2)*10000)/10000</f>
        <v>557.1731</v>
      </c>
      <c r="PR11" s="250">
        <f>RANDBETWEEN((Inputs!$E11-(Inputs!$E11-Inputs!$D11)*2)*10000,(Inputs!$E11+(Inputs!$F11-Inputs!$E11)*2)*10000)/10000</f>
        <v>782.6413</v>
      </c>
      <c r="PS11" s="250">
        <f>RANDBETWEEN((Inputs!$E11-(Inputs!$E11-Inputs!$D11)*2)*10000,(Inputs!$E11+(Inputs!$F11-Inputs!$E11)*2)*10000)/10000</f>
        <v>684.4964</v>
      </c>
      <c r="PT11" s="250">
        <f>RANDBETWEEN((Inputs!$E11-(Inputs!$E11-Inputs!$D11)*2)*10000,(Inputs!$E11+(Inputs!$F11-Inputs!$E11)*2)*10000)/10000</f>
        <v>813.1785</v>
      </c>
      <c r="PU11" s="250">
        <f>RANDBETWEEN((Inputs!$E11-(Inputs!$E11-Inputs!$D11)*2)*10000,(Inputs!$E11+(Inputs!$F11-Inputs!$E11)*2)*10000)/10000</f>
        <v>582.3543</v>
      </c>
      <c r="PV11" s="250">
        <f>RANDBETWEEN((Inputs!$E11-(Inputs!$E11-Inputs!$D11)*2)*10000,(Inputs!$E11+(Inputs!$F11-Inputs!$E11)*2)*10000)/10000</f>
        <v>690.6392</v>
      </c>
      <c r="PW11" s="250">
        <f>RANDBETWEEN((Inputs!$E11-(Inputs!$E11-Inputs!$D11)*2)*10000,(Inputs!$E11+(Inputs!$F11-Inputs!$E11)*2)*10000)/10000</f>
        <v>828.8933</v>
      </c>
      <c r="PX11" s="250">
        <f>RANDBETWEEN((Inputs!$E11-(Inputs!$E11-Inputs!$D11)*2)*10000,(Inputs!$E11+(Inputs!$F11-Inputs!$E11)*2)*10000)/10000</f>
        <v>630.7046</v>
      </c>
      <c r="PY11" s="250">
        <f>RANDBETWEEN((Inputs!$E11-(Inputs!$E11-Inputs!$D11)*2)*10000,(Inputs!$E11+(Inputs!$F11-Inputs!$E11)*2)*10000)/10000</f>
        <v>503.8771</v>
      </c>
      <c r="PZ11" s="250">
        <f>RANDBETWEEN((Inputs!$E11-(Inputs!$E11-Inputs!$D11)*2)*10000,(Inputs!$E11+(Inputs!$F11-Inputs!$E11)*2)*10000)/10000</f>
        <v>795.9628</v>
      </c>
      <c r="QA11" s="250">
        <f>RANDBETWEEN((Inputs!$E11-(Inputs!$E11-Inputs!$D11)*2)*10000,(Inputs!$E11+(Inputs!$F11-Inputs!$E11)*2)*10000)/10000</f>
        <v>762.3944</v>
      </c>
      <c r="QB11" s="250">
        <f>RANDBETWEEN((Inputs!$E11-(Inputs!$E11-Inputs!$D11)*2)*10000,(Inputs!$E11+(Inputs!$F11-Inputs!$E11)*2)*10000)/10000</f>
        <v>660.8673</v>
      </c>
      <c r="QC11" s="250">
        <f>RANDBETWEEN((Inputs!$E11-(Inputs!$E11-Inputs!$D11)*2)*10000,(Inputs!$E11+(Inputs!$F11-Inputs!$E11)*2)*10000)/10000</f>
        <v>844.4359</v>
      </c>
      <c r="QD11" s="250">
        <f>RANDBETWEEN((Inputs!$E11-(Inputs!$E11-Inputs!$D11)*2)*10000,(Inputs!$E11+(Inputs!$F11-Inputs!$E11)*2)*10000)/10000</f>
        <v>715.7993</v>
      </c>
      <c r="QE11" s="250">
        <f>RANDBETWEEN((Inputs!$E11-(Inputs!$E11-Inputs!$D11)*2)*10000,(Inputs!$E11+(Inputs!$F11-Inputs!$E11)*2)*10000)/10000</f>
        <v>644.8933</v>
      </c>
      <c r="QF11" s="250">
        <f>RANDBETWEEN((Inputs!$E11-(Inputs!$E11-Inputs!$D11)*2)*10000,(Inputs!$E11+(Inputs!$F11-Inputs!$E11)*2)*10000)/10000</f>
        <v>733.422</v>
      </c>
      <c r="QG11" s="250">
        <f>RANDBETWEEN((Inputs!$E11-(Inputs!$E11-Inputs!$D11)*2)*10000,(Inputs!$E11+(Inputs!$F11-Inputs!$E11)*2)*10000)/10000</f>
        <v>710.2412</v>
      </c>
      <c r="QH11" s="250">
        <f>RANDBETWEEN((Inputs!$E11-(Inputs!$E11-Inputs!$D11)*2)*10000,(Inputs!$E11+(Inputs!$F11-Inputs!$E11)*2)*10000)/10000</f>
        <v>787.163</v>
      </c>
      <c r="QI11" s="250">
        <f>RANDBETWEEN((Inputs!$E11-(Inputs!$E11-Inputs!$D11)*2)*10000,(Inputs!$E11+(Inputs!$F11-Inputs!$E11)*2)*10000)/10000</f>
        <v>511.9464</v>
      </c>
      <c r="QJ11" s="250">
        <f>RANDBETWEEN((Inputs!$E11-(Inputs!$E11-Inputs!$D11)*2)*10000,(Inputs!$E11+(Inputs!$F11-Inputs!$E11)*2)*10000)/10000</f>
        <v>571.2868</v>
      </c>
      <c r="QK11" s="250">
        <f>RANDBETWEEN((Inputs!$E11-(Inputs!$E11-Inputs!$D11)*2)*10000,(Inputs!$E11+(Inputs!$F11-Inputs!$E11)*2)*10000)/10000</f>
        <v>550.8702</v>
      </c>
      <c r="QL11" s="250">
        <f>RANDBETWEEN((Inputs!$E11-(Inputs!$E11-Inputs!$D11)*2)*10000,(Inputs!$E11+(Inputs!$F11-Inputs!$E11)*2)*10000)/10000</f>
        <v>618.9005</v>
      </c>
      <c r="QM11" s="250">
        <f>RANDBETWEEN((Inputs!$E11-(Inputs!$E11-Inputs!$D11)*2)*10000,(Inputs!$E11+(Inputs!$F11-Inputs!$E11)*2)*10000)/10000</f>
        <v>622.8072</v>
      </c>
      <c r="QN11" s="250">
        <f>RANDBETWEEN((Inputs!$E11-(Inputs!$E11-Inputs!$D11)*2)*10000,(Inputs!$E11+(Inputs!$F11-Inputs!$E11)*2)*10000)/10000</f>
        <v>670.9379</v>
      </c>
      <c r="QO11" s="250">
        <f>RANDBETWEEN((Inputs!$E11-(Inputs!$E11-Inputs!$D11)*2)*10000,(Inputs!$E11+(Inputs!$F11-Inputs!$E11)*2)*10000)/10000</f>
        <v>821.4529</v>
      </c>
      <c r="QP11" s="250">
        <f>RANDBETWEEN((Inputs!$E11-(Inputs!$E11-Inputs!$D11)*2)*10000,(Inputs!$E11+(Inputs!$F11-Inputs!$E11)*2)*10000)/10000</f>
        <v>665.5426</v>
      </c>
      <c r="QQ11" s="250">
        <f>RANDBETWEEN((Inputs!$E11-(Inputs!$E11-Inputs!$D11)*2)*10000,(Inputs!$E11+(Inputs!$F11-Inputs!$E11)*2)*10000)/10000</f>
        <v>643.4547</v>
      </c>
      <c r="QR11" s="250">
        <f>RANDBETWEEN((Inputs!$E11-(Inputs!$E11-Inputs!$D11)*2)*10000,(Inputs!$E11+(Inputs!$F11-Inputs!$E11)*2)*10000)/10000</f>
        <v>496.4533</v>
      </c>
      <c r="QS11" s="250">
        <f>RANDBETWEEN((Inputs!$E11-(Inputs!$E11-Inputs!$D11)*2)*10000,(Inputs!$E11+(Inputs!$F11-Inputs!$E11)*2)*10000)/10000</f>
        <v>497.2012</v>
      </c>
      <c r="QT11" s="250">
        <f>RANDBETWEEN((Inputs!$E11-(Inputs!$E11-Inputs!$D11)*2)*10000,(Inputs!$E11+(Inputs!$F11-Inputs!$E11)*2)*10000)/10000</f>
        <v>695.2668</v>
      </c>
      <c r="QU11" s="250">
        <f>RANDBETWEEN((Inputs!$E11-(Inputs!$E11-Inputs!$D11)*2)*10000,(Inputs!$E11+(Inputs!$F11-Inputs!$E11)*2)*10000)/10000</f>
        <v>560.4649</v>
      </c>
      <c r="QV11" s="250">
        <f>RANDBETWEEN((Inputs!$E11-(Inputs!$E11-Inputs!$D11)*2)*10000,(Inputs!$E11+(Inputs!$F11-Inputs!$E11)*2)*10000)/10000</f>
        <v>492.0118</v>
      </c>
      <c r="QW11" s="250">
        <f>RANDBETWEEN((Inputs!$E11-(Inputs!$E11-Inputs!$D11)*2)*10000,(Inputs!$E11+(Inputs!$F11-Inputs!$E11)*2)*10000)/10000</f>
        <v>707.8496</v>
      </c>
      <c r="QX11" s="250">
        <f>RANDBETWEEN((Inputs!$E11-(Inputs!$E11-Inputs!$D11)*2)*10000,(Inputs!$E11+(Inputs!$F11-Inputs!$E11)*2)*10000)/10000</f>
        <v>821.1273</v>
      </c>
      <c r="QY11" s="250">
        <f>RANDBETWEEN((Inputs!$E11-(Inputs!$E11-Inputs!$D11)*2)*10000,(Inputs!$E11+(Inputs!$F11-Inputs!$E11)*2)*10000)/10000</f>
        <v>748.4979</v>
      </c>
      <c r="QZ11" s="250">
        <f>RANDBETWEEN((Inputs!$E11-(Inputs!$E11-Inputs!$D11)*2)*10000,(Inputs!$E11+(Inputs!$F11-Inputs!$E11)*2)*10000)/10000</f>
        <v>500.5963</v>
      </c>
      <c r="RA11" s="250">
        <f>RANDBETWEEN((Inputs!$E11-(Inputs!$E11-Inputs!$D11)*2)*10000,(Inputs!$E11+(Inputs!$F11-Inputs!$E11)*2)*10000)/10000</f>
        <v>725.962</v>
      </c>
      <c r="RB11" s="250">
        <f>RANDBETWEEN((Inputs!$E11-(Inputs!$E11-Inputs!$D11)*2)*10000,(Inputs!$E11+(Inputs!$F11-Inputs!$E11)*2)*10000)/10000</f>
        <v>569.9695</v>
      </c>
      <c r="RC11" s="250">
        <f>RANDBETWEEN((Inputs!$E11-(Inputs!$E11-Inputs!$D11)*2)*10000,(Inputs!$E11+(Inputs!$F11-Inputs!$E11)*2)*10000)/10000</f>
        <v>585.7331</v>
      </c>
      <c r="RD11" s="250">
        <f>RANDBETWEEN((Inputs!$E11-(Inputs!$E11-Inputs!$D11)*2)*10000,(Inputs!$E11+(Inputs!$F11-Inputs!$E11)*2)*10000)/10000</f>
        <v>752.189</v>
      </c>
      <c r="RE11" s="250">
        <f>RANDBETWEEN((Inputs!$E11-(Inputs!$E11-Inputs!$D11)*2)*10000,(Inputs!$E11+(Inputs!$F11-Inputs!$E11)*2)*10000)/10000</f>
        <v>702.924</v>
      </c>
      <c r="RF11" s="250">
        <f>RANDBETWEEN((Inputs!$E11-(Inputs!$E11-Inputs!$D11)*2)*10000,(Inputs!$E11+(Inputs!$F11-Inputs!$E11)*2)*10000)/10000</f>
        <v>742.124</v>
      </c>
      <c r="RG11" s="250">
        <f>RANDBETWEEN((Inputs!$E11-(Inputs!$E11-Inputs!$D11)*2)*10000,(Inputs!$E11+(Inputs!$F11-Inputs!$E11)*2)*10000)/10000</f>
        <v>515.9874</v>
      </c>
      <c r="RH11" s="250">
        <f>RANDBETWEEN((Inputs!$E11-(Inputs!$E11-Inputs!$D11)*2)*10000,(Inputs!$E11+(Inputs!$F11-Inputs!$E11)*2)*10000)/10000</f>
        <v>625.9874</v>
      </c>
      <c r="RI11" s="250">
        <f>RANDBETWEEN((Inputs!$E11-(Inputs!$E11-Inputs!$D11)*2)*10000,(Inputs!$E11+(Inputs!$F11-Inputs!$E11)*2)*10000)/10000</f>
        <v>496.0428</v>
      </c>
      <c r="RJ11" s="250">
        <f>RANDBETWEEN((Inputs!$E11-(Inputs!$E11-Inputs!$D11)*2)*10000,(Inputs!$E11+(Inputs!$F11-Inputs!$E11)*2)*10000)/10000</f>
        <v>493.1948</v>
      </c>
      <c r="RK11" s="250">
        <f>RANDBETWEEN((Inputs!$E11-(Inputs!$E11-Inputs!$D11)*2)*10000,(Inputs!$E11+(Inputs!$F11-Inputs!$E11)*2)*10000)/10000</f>
        <v>760.9732</v>
      </c>
      <c r="RL11" s="250">
        <f>RANDBETWEEN((Inputs!$E11-(Inputs!$E11-Inputs!$D11)*2)*10000,(Inputs!$E11+(Inputs!$F11-Inputs!$E11)*2)*10000)/10000</f>
        <v>666.1276</v>
      </c>
      <c r="RM11" s="250">
        <f>RANDBETWEEN((Inputs!$E11-(Inputs!$E11-Inputs!$D11)*2)*10000,(Inputs!$E11+(Inputs!$F11-Inputs!$E11)*2)*10000)/10000</f>
        <v>552.6382</v>
      </c>
      <c r="RN11" s="250">
        <f>RANDBETWEEN((Inputs!$E11-(Inputs!$E11-Inputs!$D11)*2)*10000,(Inputs!$E11+(Inputs!$F11-Inputs!$E11)*2)*10000)/10000</f>
        <v>565.1024</v>
      </c>
      <c r="RO11" s="250">
        <f>RANDBETWEEN((Inputs!$E11-(Inputs!$E11-Inputs!$D11)*2)*10000,(Inputs!$E11+(Inputs!$F11-Inputs!$E11)*2)*10000)/10000</f>
        <v>500.3387</v>
      </c>
      <c r="RP11" s="250">
        <f>RANDBETWEEN((Inputs!$E11-(Inputs!$E11-Inputs!$D11)*2)*10000,(Inputs!$E11+(Inputs!$F11-Inputs!$E11)*2)*10000)/10000</f>
        <v>635.7833</v>
      </c>
      <c r="RQ11" s="250">
        <f>RANDBETWEEN((Inputs!$E11-(Inputs!$E11-Inputs!$D11)*2)*10000,(Inputs!$E11+(Inputs!$F11-Inputs!$E11)*2)*10000)/10000</f>
        <v>655.8887</v>
      </c>
      <c r="RR11" s="250">
        <f>RANDBETWEEN((Inputs!$E11-(Inputs!$E11-Inputs!$D11)*2)*10000,(Inputs!$E11+(Inputs!$F11-Inputs!$E11)*2)*10000)/10000</f>
        <v>538.7757</v>
      </c>
      <c r="RS11" s="250">
        <f>RANDBETWEEN((Inputs!$E11-(Inputs!$E11-Inputs!$D11)*2)*10000,(Inputs!$E11+(Inputs!$F11-Inputs!$E11)*2)*10000)/10000</f>
        <v>619.3332</v>
      </c>
      <c r="RT11" s="250">
        <f>RANDBETWEEN((Inputs!$E11-(Inputs!$E11-Inputs!$D11)*2)*10000,(Inputs!$E11+(Inputs!$F11-Inputs!$E11)*2)*10000)/10000</f>
        <v>801.3019</v>
      </c>
      <c r="RU11" s="250">
        <f>RANDBETWEEN((Inputs!$E11-(Inputs!$E11-Inputs!$D11)*2)*10000,(Inputs!$E11+(Inputs!$F11-Inputs!$E11)*2)*10000)/10000</f>
        <v>769.3316</v>
      </c>
      <c r="RV11" s="250">
        <f>RANDBETWEEN((Inputs!$E11-(Inputs!$E11-Inputs!$D11)*2)*10000,(Inputs!$E11+(Inputs!$F11-Inputs!$E11)*2)*10000)/10000</f>
        <v>608.5624</v>
      </c>
      <c r="RW11" s="250">
        <f>RANDBETWEEN((Inputs!$E11-(Inputs!$E11-Inputs!$D11)*2)*10000,(Inputs!$E11+(Inputs!$F11-Inputs!$E11)*2)*10000)/10000</f>
        <v>682.9778</v>
      </c>
      <c r="RX11" s="250">
        <f>RANDBETWEEN((Inputs!$E11-(Inputs!$E11-Inputs!$D11)*2)*10000,(Inputs!$E11+(Inputs!$F11-Inputs!$E11)*2)*10000)/10000</f>
        <v>772.2807</v>
      </c>
      <c r="RY11" s="250">
        <f>RANDBETWEEN((Inputs!$E11-(Inputs!$E11-Inputs!$D11)*2)*10000,(Inputs!$E11+(Inputs!$F11-Inputs!$E11)*2)*10000)/10000</f>
        <v>818.503</v>
      </c>
      <c r="RZ11" s="250">
        <f>RANDBETWEEN((Inputs!$E11-(Inputs!$E11-Inputs!$D11)*2)*10000,(Inputs!$E11+(Inputs!$F11-Inputs!$E11)*2)*10000)/10000</f>
        <v>629.038</v>
      </c>
      <c r="SA11" s="250">
        <f>RANDBETWEEN((Inputs!$E11-(Inputs!$E11-Inputs!$D11)*2)*10000,(Inputs!$E11+(Inputs!$F11-Inputs!$E11)*2)*10000)/10000</f>
        <v>834.7884</v>
      </c>
      <c r="SB11" s="250">
        <f>RANDBETWEEN((Inputs!$E11-(Inputs!$E11-Inputs!$D11)*2)*10000,(Inputs!$E11+(Inputs!$F11-Inputs!$E11)*2)*10000)/10000</f>
        <v>547.3412</v>
      </c>
      <c r="SC11" s="250">
        <f>RANDBETWEEN((Inputs!$E11-(Inputs!$E11-Inputs!$D11)*2)*10000,(Inputs!$E11+(Inputs!$F11-Inputs!$E11)*2)*10000)/10000</f>
        <v>792.9939</v>
      </c>
      <c r="SD11" s="250">
        <f>RANDBETWEEN((Inputs!$E11-(Inputs!$E11-Inputs!$D11)*2)*10000,(Inputs!$E11+(Inputs!$F11-Inputs!$E11)*2)*10000)/10000</f>
        <v>688.3972</v>
      </c>
      <c r="SE11" s="250">
        <f>RANDBETWEEN((Inputs!$E11-(Inputs!$E11-Inputs!$D11)*2)*10000,(Inputs!$E11+(Inputs!$F11-Inputs!$E11)*2)*10000)/10000</f>
        <v>642.7132</v>
      </c>
      <c r="SF11" s="250">
        <f>RANDBETWEEN((Inputs!$E11-(Inputs!$E11-Inputs!$D11)*2)*10000,(Inputs!$E11+(Inputs!$F11-Inputs!$E11)*2)*10000)/10000</f>
        <v>463.793</v>
      </c>
      <c r="SG11" s="250">
        <f>RANDBETWEEN((Inputs!$E11-(Inputs!$E11-Inputs!$D11)*2)*10000,(Inputs!$E11+(Inputs!$F11-Inputs!$E11)*2)*10000)/10000</f>
        <v>654.7461</v>
      </c>
      <c r="SH11" s="250">
        <f>RANDBETWEEN((Inputs!$E11-(Inputs!$E11-Inputs!$D11)*2)*10000,(Inputs!$E11+(Inputs!$F11-Inputs!$E11)*2)*10000)/10000</f>
        <v>495.1104</v>
      </c>
      <c r="SI11" s="250">
        <f>RANDBETWEEN((Inputs!$E11-(Inputs!$E11-Inputs!$D11)*2)*10000,(Inputs!$E11+(Inputs!$F11-Inputs!$E11)*2)*10000)/10000</f>
        <v>719.687</v>
      </c>
      <c r="SJ11" s="250">
        <f>RANDBETWEEN((Inputs!$E11-(Inputs!$E11-Inputs!$D11)*2)*10000,(Inputs!$E11+(Inputs!$F11-Inputs!$E11)*2)*10000)/10000</f>
        <v>643.2234</v>
      </c>
      <c r="SK11" s="250">
        <f>RANDBETWEEN((Inputs!$E11-(Inputs!$E11-Inputs!$D11)*2)*10000,(Inputs!$E11+(Inputs!$F11-Inputs!$E11)*2)*10000)/10000</f>
        <v>587.0337</v>
      </c>
      <c r="SL11" s="250">
        <f>RANDBETWEEN((Inputs!$E11-(Inputs!$E11-Inputs!$D11)*2)*10000,(Inputs!$E11+(Inputs!$F11-Inputs!$E11)*2)*10000)/10000</f>
        <v>720.3762</v>
      </c>
    </row>
    <row r="12">
      <c r="A12" s="53" t="s">
        <v>84</v>
      </c>
      <c r="B12" s="77">
        <f t="array" ref="B12">INDEX('New CEA'!$B8:$F8,MATCH($B$2,'New CEA'!B$2:F$2,0))</f>
        <v>2.368992384</v>
      </c>
      <c r="C12" s="241"/>
      <c r="D12" s="251"/>
      <c r="E12" s="252"/>
      <c r="F12" s="61"/>
      <c r="G12" s="61">
        <f t="shared" ref="G12:SL12" si="7">$B12</f>
        <v>2.368992384</v>
      </c>
      <c r="H12" s="61">
        <f t="shared" si="7"/>
        <v>2.368992384</v>
      </c>
      <c r="I12" s="61">
        <f t="shared" si="7"/>
        <v>2.368992384</v>
      </c>
      <c r="J12" s="61">
        <f t="shared" si="7"/>
        <v>2.368992384</v>
      </c>
      <c r="K12" s="61">
        <f t="shared" si="7"/>
        <v>2.368992384</v>
      </c>
      <c r="L12" s="61">
        <f t="shared" si="7"/>
        <v>2.368992384</v>
      </c>
      <c r="M12" s="61">
        <f t="shared" si="7"/>
        <v>2.368992384</v>
      </c>
      <c r="N12" s="61">
        <f t="shared" si="7"/>
        <v>2.368992384</v>
      </c>
      <c r="O12" s="61">
        <f t="shared" si="7"/>
        <v>2.368992384</v>
      </c>
      <c r="P12" s="61">
        <f t="shared" si="7"/>
        <v>2.368992384</v>
      </c>
      <c r="Q12" s="61">
        <f t="shared" si="7"/>
        <v>2.368992384</v>
      </c>
      <c r="R12" s="61">
        <f t="shared" si="7"/>
        <v>2.368992384</v>
      </c>
      <c r="S12" s="61">
        <f t="shared" si="7"/>
        <v>2.368992384</v>
      </c>
      <c r="T12" s="61">
        <f t="shared" si="7"/>
        <v>2.368992384</v>
      </c>
      <c r="U12" s="61">
        <f t="shared" si="7"/>
        <v>2.368992384</v>
      </c>
      <c r="V12" s="61">
        <f t="shared" si="7"/>
        <v>2.368992384</v>
      </c>
      <c r="W12" s="61">
        <f t="shared" si="7"/>
        <v>2.368992384</v>
      </c>
      <c r="X12" s="61">
        <f t="shared" si="7"/>
        <v>2.368992384</v>
      </c>
      <c r="Y12" s="61">
        <f t="shared" si="7"/>
        <v>2.368992384</v>
      </c>
      <c r="Z12" s="61">
        <f t="shared" si="7"/>
        <v>2.368992384</v>
      </c>
      <c r="AA12" s="61">
        <f t="shared" si="7"/>
        <v>2.368992384</v>
      </c>
      <c r="AB12" s="61">
        <f t="shared" si="7"/>
        <v>2.368992384</v>
      </c>
      <c r="AC12" s="61">
        <f t="shared" si="7"/>
        <v>2.368992384</v>
      </c>
      <c r="AD12" s="61">
        <f t="shared" si="7"/>
        <v>2.368992384</v>
      </c>
      <c r="AE12" s="61">
        <f t="shared" si="7"/>
        <v>2.368992384</v>
      </c>
      <c r="AF12" s="61">
        <f t="shared" si="7"/>
        <v>2.368992384</v>
      </c>
      <c r="AG12" s="61">
        <f t="shared" si="7"/>
        <v>2.368992384</v>
      </c>
      <c r="AH12" s="61">
        <f t="shared" si="7"/>
        <v>2.368992384</v>
      </c>
      <c r="AI12" s="61">
        <f t="shared" si="7"/>
        <v>2.368992384</v>
      </c>
      <c r="AJ12" s="61">
        <f t="shared" si="7"/>
        <v>2.368992384</v>
      </c>
      <c r="AK12" s="61">
        <f t="shared" si="7"/>
        <v>2.368992384</v>
      </c>
      <c r="AL12" s="61">
        <f t="shared" si="7"/>
        <v>2.368992384</v>
      </c>
      <c r="AM12" s="61">
        <f t="shared" si="7"/>
        <v>2.368992384</v>
      </c>
      <c r="AN12" s="61">
        <f t="shared" si="7"/>
        <v>2.368992384</v>
      </c>
      <c r="AO12" s="61">
        <f t="shared" si="7"/>
        <v>2.368992384</v>
      </c>
      <c r="AP12" s="61">
        <f t="shared" si="7"/>
        <v>2.368992384</v>
      </c>
      <c r="AQ12" s="61">
        <f t="shared" si="7"/>
        <v>2.368992384</v>
      </c>
      <c r="AR12" s="61">
        <f t="shared" si="7"/>
        <v>2.368992384</v>
      </c>
      <c r="AS12" s="61">
        <f t="shared" si="7"/>
        <v>2.368992384</v>
      </c>
      <c r="AT12" s="61">
        <f t="shared" si="7"/>
        <v>2.368992384</v>
      </c>
      <c r="AU12" s="61">
        <f t="shared" si="7"/>
        <v>2.368992384</v>
      </c>
      <c r="AV12" s="61">
        <f t="shared" si="7"/>
        <v>2.368992384</v>
      </c>
      <c r="AW12" s="61">
        <f t="shared" si="7"/>
        <v>2.368992384</v>
      </c>
      <c r="AX12" s="61">
        <f t="shared" si="7"/>
        <v>2.368992384</v>
      </c>
      <c r="AY12" s="61">
        <f t="shared" si="7"/>
        <v>2.368992384</v>
      </c>
      <c r="AZ12" s="61">
        <f t="shared" si="7"/>
        <v>2.368992384</v>
      </c>
      <c r="BA12" s="61">
        <f t="shared" si="7"/>
        <v>2.368992384</v>
      </c>
      <c r="BB12" s="61">
        <f t="shared" si="7"/>
        <v>2.368992384</v>
      </c>
      <c r="BC12" s="61">
        <f t="shared" si="7"/>
        <v>2.368992384</v>
      </c>
      <c r="BD12" s="61">
        <f t="shared" si="7"/>
        <v>2.368992384</v>
      </c>
      <c r="BE12" s="61">
        <f t="shared" si="7"/>
        <v>2.368992384</v>
      </c>
      <c r="BF12" s="61">
        <f t="shared" si="7"/>
        <v>2.368992384</v>
      </c>
      <c r="BG12" s="61">
        <f t="shared" si="7"/>
        <v>2.368992384</v>
      </c>
      <c r="BH12" s="61">
        <f t="shared" si="7"/>
        <v>2.368992384</v>
      </c>
      <c r="BI12" s="61">
        <f t="shared" si="7"/>
        <v>2.368992384</v>
      </c>
      <c r="BJ12" s="61">
        <f t="shared" si="7"/>
        <v>2.368992384</v>
      </c>
      <c r="BK12" s="61">
        <f t="shared" si="7"/>
        <v>2.368992384</v>
      </c>
      <c r="BL12" s="61">
        <f t="shared" si="7"/>
        <v>2.368992384</v>
      </c>
      <c r="BM12" s="61">
        <f t="shared" si="7"/>
        <v>2.368992384</v>
      </c>
      <c r="BN12" s="61">
        <f t="shared" si="7"/>
        <v>2.368992384</v>
      </c>
      <c r="BO12" s="61">
        <f t="shared" si="7"/>
        <v>2.368992384</v>
      </c>
      <c r="BP12" s="61">
        <f t="shared" si="7"/>
        <v>2.368992384</v>
      </c>
      <c r="BQ12" s="61">
        <f t="shared" si="7"/>
        <v>2.368992384</v>
      </c>
      <c r="BR12" s="61">
        <f t="shared" si="7"/>
        <v>2.368992384</v>
      </c>
      <c r="BS12" s="61">
        <f t="shared" si="7"/>
        <v>2.368992384</v>
      </c>
      <c r="BT12" s="61">
        <f t="shared" si="7"/>
        <v>2.368992384</v>
      </c>
      <c r="BU12" s="61">
        <f t="shared" si="7"/>
        <v>2.368992384</v>
      </c>
      <c r="BV12" s="61">
        <f t="shared" si="7"/>
        <v>2.368992384</v>
      </c>
      <c r="BW12" s="61">
        <f t="shared" si="7"/>
        <v>2.368992384</v>
      </c>
      <c r="BX12" s="61">
        <f t="shared" si="7"/>
        <v>2.368992384</v>
      </c>
      <c r="BY12" s="61">
        <f t="shared" si="7"/>
        <v>2.368992384</v>
      </c>
      <c r="BZ12" s="61">
        <f t="shared" si="7"/>
        <v>2.368992384</v>
      </c>
      <c r="CA12" s="61">
        <f t="shared" si="7"/>
        <v>2.368992384</v>
      </c>
      <c r="CB12" s="61">
        <f t="shared" si="7"/>
        <v>2.368992384</v>
      </c>
      <c r="CC12" s="61">
        <f t="shared" si="7"/>
        <v>2.368992384</v>
      </c>
      <c r="CD12" s="61">
        <f t="shared" si="7"/>
        <v>2.368992384</v>
      </c>
      <c r="CE12" s="61">
        <f t="shared" si="7"/>
        <v>2.368992384</v>
      </c>
      <c r="CF12" s="61">
        <f t="shared" si="7"/>
        <v>2.368992384</v>
      </c>
      <c r="CG12" s="61">
        <f t="shared" si="7"/>
        <v>2.368992384</v>
      </c>
      <c r="CH12" s="61">
        <f t="shared" si="7"/>
        <v>2.368992384</v>
      </c>
      <c r="CI12" s="61">
        <f t="shared" si="7"/>
        <v>2.368992384</v>
      </c>
      <c r="CJ12" s="61">
        <f t="shared" si="7"/>
        <v>2.368992384</v>
      </c>
      <c r="CK12" s="61">
        <f t="shared" si="7"/>
        <v>2.368992384</v>
      </c>
      <c r="CL12" s="61">
        <f t="shared" si="7"/>
        <v>2.368992384</v>
      </c>
      <c r="CM12" s="61">
        <f t="shared" si="7"/>
        <v>2.368992384</v>
      </c>
      <c r="CN12" s="61">
        <f t="shared" si="7"/>
        <v>2.368992384</v>
      </c>
      <c r="CO12" s="61">
        <f t="shared" si="7"/>
        <v>2.368992384</v>
      </c>
      <c r="CP12" s="61">
        <f t="shared" si="7"/>
        <v>2.368992384</v>
      </c>
      <c r="CQ12" s="61">
        <f t="shared" si="7"/>
        <v>2.368992384</v>
      </c>
      <c r="CR12" s="61">
        <f t="shared" si="7"/>
        <v>2.368992384</v>
      </c>
      <c r="CS12" s="61">
        <f t="shared" si="7"/>
        <v>2.368992384</v>
      </c>
      <c r="CT12" s="61">
        <f t="shared" si="7"/>
        <v>2.368992384</v>
      </c>
      <c r="CU12" s="61">
        <f t="shared" si="7"/>
        <v>2.368992384</v>
      </c>
      <c r="CV12" s="61">
        <f t="shared" si="7"/>
        <v>2.368992384</v>
      </c>
      <c r="CW12" s="61">
        <f t="shared" si="7"/>
        <v>2.368992384</v>
      </c>
      <c r="CX12" s="61">
        <f t="shared" si="7"/>
        <v>2.368992384</v>
      </c>
      <c r="CY12" s="61">
        <f t="shared" si="7"/>
        <v>2.368992384</v>
      </c>
      <c r="CZ12" s="61">
        <f t="shared" si="7"/>
        <v>2.368992384</v>
      </c>
      <c r="DA12" s="61">
        <f t="shared" si="7"/>
        <v>2.368992384</v>
      </c>
      <c r="DB12" s="61">
        <f t="shared" si="7"/>
        <v>2.368992384</v>
      </c>
      <c r="DC12" s="61">
        <f t="shared" si="7"/>
        <v>2.368992384</v>
      </c>
      <c r="DD12" s="61">
        <f t="shared" si="7"/>
        <v>2.368992384</v>
      </c>
      <c r="DE12" s="61">
        <f t="shared" si="7"/>
        <v>2.368992384</v>
      </c>
      <c r="DF12" s="61">
        <f t="shared" si="7"/>
        <v>2.368992384</v>
      </c>
      <c r="DG12" s="61">
        <f t="shared" si="7"/>
        <v>2.368992384</v>
      </c>
      <c r="DH12" s="61">
        <f t="shared" si="7"/>
        <v>2.368992384</v>
      </c>
      <c r="DI12" s="61">
        <f t="shared" si="7"/>
        <v>2.368992384</v>
      </c>
      <c r="DJ12" s="61">
        <f t="shared" si="7"/>
        <v>2.368992384</v>
      </c>
      <c r="DK12" s="61">
        <f t="shared" si="7"/>
        <v>2.368992384</v>
      </c>
      <c r="DL12" s="61">
        <f t="shared" si="7"/>
        <v>2.368992384</v>
      </c>
      <c r="DM12" s="61">
        <f t="shared" si="7"/>
        <v>2.368992384</v>
      </c>
      <c r="DN12" s="61">
        <f t="shared" si="7"/>
        <v>2.368992384</v>
      </c>
      <c r="DO12" s="61">
        <f t="shared" si="7"/>
        <v>2.368992384</v>
      </c>
      <c r="DP12" s="61">
        <f t="shared" si="7"/>
        <v>2.368992384</v>
      </c>
      <c r="DQ12" s="61">
        <f t="shared" si="7"/>
        <v>2.368992384</v>
      </c>
      <c r="DR12" s="61">
        <f t="shared" si="7"/>
        <v>2.368992384</v>
      </c>
      <c r="DS12" s="61">
        <f t="shared" si="7"/>
        <v>2.368992384</v>
      </c>
      <c r="DT12" s="61">
        <f t="shared" si="7"/>
        <v>2.368992384</v>
      </c>
      <c r="DU12" s="61">
        <f t="shared" si="7"/>
        <v>2.368992384</v>
      </c>
      <c r="DV12" s="61">
        <f t="shared" si="7"/>
        <v>2.368992384</v>
      </c>
      <c r="DW12" s="61">
        <f t="shared" si="7"/>
        <v>2.368992384</v>
      </c>
      <c r="DX12" s="61">
        <f t="shared" si="7"/>
        <v>2.368992384</v>
      </c>
      <c r="DY12" s="61">
        <f t="shared" si="7"/>
        <v>2.368992384</v>
      </c>
      <c r="DZ12" s="61">
        <f t="shared" si="7"/>
        <v>2.368992384</v>
      </c>
      <c r="EA12" s="61">
        <f t="shared" si="7"/>
        <v>2.368992384</v>
      </c>
      <c r="EB12" s="61">
        <f t="shared" si="7"/>
        <v>2.368992384</v>
      </c>
      <c r="EC12" s="61">
        <f t="shared" si="7"/>
        <v>2.368992384</v>
      </c>
      <c r="ED12" s="61">
        <f t="shared" si="7"/>
        <v>2.368992384</v>
      </c>
      <c r="EE12" s="61">
        <f t="shared" si="7"/>
        <v>2.368992384</v>
      </c>
      <c r="EF12" s="61">
        <f t="shared" si="7"/>
        <v>2.368992384</v>
      </c>
      <c r="EG12" s="61">
        <f t="shared" si="7"/>
        <v>2.368992384</v>
      </c>
      <c r="EH12" s="61">
        <f t="shared" si="7"/>
        <v>2.368992384</v>
      </c>
      <c r="EI12" s="61">
        <f t="shared" si="7"/>
        <v>2.368992384</v>
      </c>
      <c r="EJ12" s="61">
        <f t="shared" si="7"/>
        <v>2.368992384</v>
      </c>
      <c r="EK12" s="61">
        <f t="shared" si="7"/>
        <v>2.368992384</v>
      </c>
      <c r="EL12" s="61">
        <f t="shared" si="7"/>
        <v>2.368992384</v>
      </c>
      <c r="EM12" s="61">
        <f t="shared" si="7"/>
        <v>2.368992384</v>
      </c>
      <c r="EN12" s="61">
        <f t="shared" si="7"/>
        <v>2.368992384</v>
      </c>
      <c r="EO12" s="61">
        <f t="shared" si="7"/>
        <v>2.368992384</v>
      </c>
      <c r="EP12" s="61">
        <f t="shared" si="7"/>
        <v>2.368992384</v>
      </c>
      <c r="EQ12" s="61">
        <f t="shared" si="7"/>
        <v>2.368992384</v>
      </c>
      <c r="ER12" s="61">
        <f t="shared" si="7"/>
        <v>2.368992384</v>
      </c>
      <c r="ES12" s="61">
        <f t="shared" si="7"/>
        <v>2.368992384</v>
      </c>
      <c r="ET12" s="61">
        <f t="shared" si="7"/>
        <v>2.368992384</v>
      </c>
      <c r="EU12" s="61">
        <f t="shared" si="7"/>
        <v>2.368992384</v>
      </c>
      <c r="EV12" s="61">
        <f t="shared" si="7"/>
        <v>2.368992384</v>
      </c>
      <c r="EW12" s="61">
        <f t="shared" si="7"/>
        <v>2.368992384</v>
      </c>
      <c r="EX12" s="61">
        <f t="shared" si="7"/>
        <v>2.368992384</v>
      </c>
      <c r="EY12" s="61">
        <f t="shared" si="7"/>
        <v>2.368992384</v>
      </c>
      <c r="EZ12" s="61">
        <f t="shared" si="7"/>
        <v>2.368992384</v>
      </c>
      <c r="FA12" s="61">
        <f t="shared" si="7"/>
        <v>2.368992384</v>
      </c>
      <c r="FB12" s="61">
        <f t="shared" si="7"/>
        <v>2.368992384</v>
      </c>
      <c r="FC12" s="61">
        <f t="shared" si="7"/>
        <v>2.368992384</v>
      </c>
      <c r="FD12" s="61">
        <f t="shared" si="7"/>
        <v>2.368992384</v>
      </c>
      <c r="FE12" s="61">
        <f t="shared" si="7"/>
        <v>2.368992384</v>
      </c>
      <c r="FF12" s="61">
        <f t="shared" si="7"/>
        <v>2.368992384</v>
      </c>
      <c r="FG12" s="61">
        <f t="shared" si="7"/>
        <v>2.368992384</v>
      </c>
      <c r="FH12" s="61">
        <f t="shared" si="7"/>
        <v>2.368992384</v>
      </c>
      <c r="FI12" s="61">
        <f t="shared" si="7"/>
        <v>2.368992384</v>
      </c>
      <c r="FJ12" s="61">
        <f t="shared" si="7"/>
        <v>2.368992384</v>
      </c>
      <c r="FK12" s="61">
        <f t="shared" si="7"/>
        <v>2.368992384</v>
      </c>
      <c r="FL12" s="61">
        <f t="shared" si="7"/>
        <v>2.368992384</v>
      </c>
      <c r="FM12" s="61">
        <f t="shared" si="7"/>
        <v>2.368992384</v>
      </c>
      <c r="FN12" s="61">
        <f t="shared" si="7"/>
        <v>2.368992384</v>
      </c>
      <c r="FO12" s="61">
        <f t="shared" si="7"/>
        <v>2.368992384</v>
      </c>
      <c r="FP12" s="61">
        <f t="shared" si="7"/>
        <v>2.368992384</v>
      </c>
      <c r="FQ12" s="61">
        <f t="shared" si="7"/>
        <v>2.368992384</v>
      </c>
      <c r="FR12" s="61">
        <f t="shared" si="7"/>
        <v>2.368992384</v>
      </c>
      <c r="FS12" s="61">
        <f t="shared" si="7"/>
        <v>2.368992384</v>
      </c>
      <c r="FT12" s="61">
        <f t="shared" si="7"/>
        <v>2.368992384</v>
      </c>
      <c r="FU12" s="61">
        <f t="shared" si="7"/>
        <v>2.368992384</v>
      </c>
      <c r="FV12" s="61">
        <f t="shared" si="7"/>
        <v>2.368992384</v>
      </c>
      <c r="FW12" s="61">
        <f t="shared" si="7"/>
        <v>2.368992384</v>
      </c>
      <c r="FX12" s="61">
        <f t="shared" si="7"/>
        <v>2.368992384</v>
      </c>
      <c r="FY12" s="61">
        <f t="shared" si="7"/>
        <v>2.368992384</v>
      </c>
      <c r="FZ12" s="61">
        <f t="shared" si="7"/>
        <v>2.368992384</v>
      </c>
      <c r="GA12" s="61">
        <f t="shared" si="7"/>
        <v>2.368992384</v>
      </c>
      <c r="GB12" s="61">
        <f t="shared" si="7"/>
        <v>2.368992384</v>
      </c>
      <c r="GC12" s="61">
        <f t="shared" si="7"/>
        <v>2.368992384</v>
      </c>
      <c r="GD12" s="61">
        <f t="shared" si="7"/>
        <v>2.368992384</v>
      </c>
      <c r="GE12" s="61">
        <f t="shared" si="7"/>
        <v>2.368992384</v>
      </c>
      <c r="GF12" s="61">
        <f t="shared" si="7"/>
        <v>2.368992384</v>
      </c>
      <c r="GG12" s="61">
        <f t="shared" si="7"/>
        <v>2.368992384</v>
      </c>
      <c r="GH12" s="61">
        <f t="shared" si="7"/>
        <v>2.368992384</v>
      </c>
      <c r="GI12" s="61">
        <f t="shared" si="7"/>
        <v>2.368992384</v>
      </c>
      <c r="GJ12" s="61">
        <f t="shared" si="7"/>
        <v>2.368992384</v>
      </c>
      <c r="GK12" s="61">
        <f t="shared" si="7"/>
        <v>2.368992384</v>
      </c>
      <c r="GL12" s="61">
        <f t="shared" si="7"/>
        <v>2.368992384</v>
      </c>
      <c r="GM12" s="61">
        <f t="shared" si="7"/>
        <v>2.368992384</v>
      </c>
      <c r="GN12" s="61">
        <f t="shared" si="7"/>
        <v>2.368992384</v>
      </c>
      <c r="GO12" s="61">
        <f t="shared" si="7"/>
        <v>2.368992384</v>
      </c>
      <c r="GP12" s="61">
        <f t="shared" si="7"/>
        <v>2.368992384</v>
      </c>
      <c r="GQ12" s="61">
        <f t="shared" si="7"/>
        <v>2.368992384</v>
      </c>
      <c r="GR12" s="61">
        <f t="shared" si="7"/>
        <v>2.368992384</v>
      </c>
      <c r="GS12" s="61">
        <f t="shared" si="7"/>
        <v>2.368992384</v>
      </c>
      <c r="GT12" s="61">
        <f t="shared" si="7"/>
        <v>2.368992384</v>
      </c>
      <c r="GU12" s="61">
        <f t="shared" si="7"/>
        <v>2.368992384</v>
      </c>
      <c r="GV12" s="61">
        <f t="shared" si="7"/>
        <v>2.368992384</v>
      </c>
      <c r="GW12" s="61">
        <f t="shared" si="7"/>
        <v>2.368992384</v>
      </c>
      <c r="GX12" s="61">
        <f t="shared" si="7"/>
        <v>2.368992384</v>
      </c>
      <c r="GY12" s="61">
        <f t="shared" si="7"/>
        <v>2.368992384</v>
      </c>
      <c r="GZ12" s="61">
        <f t="shared" si="7"/>
        <v>2.368992384</v>
      </c>
      <c r="HA12" s="61">
        <f t="shared" si="7"/>
        <v>2.368992384</v>
      </c>
      <c r="HB12" s="61">
        <f t="shared" si="7"/>
        <v>2.368992384</v>
      </c>
      <c r="HC12" s="61">
        <f t="shared" si="7"/>
        <v>2.368992384</v>
      </c>
      <c r="HD12" s="61">
        <f t="shared" si="7"/>
        <v>2.368992384</v>
      </c>
      <c r="HE12" s="61">
        <f t="shared" si="7"/>
        <v>2.368992384</v>
      </c>
      <c r="HF12" s="61">
        <f t="shared" si="7"/>
        <v>2.368992384</v>
      </c>
      <c r="HG12" s="61">
        <f t="shared" si="7"/>
        <v>2.368992384</v>
      </c>
      <c r="HH12" s="61">
        <f t="shared" si="7"/>
        <v>2.368992384</v>
      </c>
      <c r="HI12" s="61">
        <f t="shared" si="7"/>
        <v>2.368992384</v>
      </c>
      <c r="HJ12" s="61">
        <f t="shared" si="7"/>
        <v>2.368992384</v>
      </c>
      <c r="HK12" s="61">
        <f t="shared" si="7"/>
        <v>2.368992384</v>
      </c>
      <c r="HL12" s="61">
        <f t="shared" si="7"/>
        <v>2.368992384</v>
      </c>
      <c r="HM12" s="61">
        <f t="shared" si="7"/>
        <v>2.368992384</v>
      </c>
      <c r="HN12" s="61">
        <f t="shared" si="7"/>
        <v>2.368992384</v>
      </c>
      <c r="HO12" s="61">
        <f t="shared" si="7"/>
        <v>2.368992384</v>
      </c>
      <c r="HP12" s="61">
        <f t="shared" si="7"/>
        <v>2.368992384</v>
      </c>
      <c r="HQ12" s="61">
        <f t="shared" si="7"/>
        <v>2.368992384</v>
      </c>
      <c r="HR12" s="61">
        <f t="shared" si="7"/>
        <v>2.368992384</v>
      </c>
      <c r="HS12" s="61">
        <f t="shared" si="7"/>
        <v>2.368992384</v>
      </c>
      <c r="HT12" s="61">
        <f t="shared" si="7"/>
        <v>2.368992384</v>
      </c>
      <c r="HU12" s="61">
        <f t="shared" si="7"/>
        <v>2.368992384</v>
      </c>
      <c r="HV12" s="61">
        <f t="shared" si="7"/>
        <v>2.368992384</v>
      </c>
      <c r="HW12" s="61">
        <f t="shared" si="7"/>
        <v>2.368992384</v>
      </c>
      <c r="HX12" s="61">
        <f t="shared" si="7"/>
        <v>2.368992384</v>
      </c>
      <c r="HY12" s="61">
        <f t="shared" si="7"/>
        <v>2.368992384</v>
      </c>
      <c r="HZ12" s="61">
        <f t="shared" si="7"/>
        <v>2.368992384</v>
      </c>
      <c r="IA12" s="61">
        <f t="shared" si="7"/>
        <v>2.368992384</v>
      </c>
      <c r="IB12" s="61">
        <f t="shared" si="7"/>
        <v>2.368992384</v>
      </c>
      <c r="IC12" s="61">
        <f t="shared" si="7"/>
        <v>2.368992384</v>
      </c>
      <c r="ID12" s="61">
        <f t="shared" si="7"/>
        <v>2.368992384</v>
      </c>
      <c r="IE12" s="61">
        <f t="shared" si="7"/>
        <v>2.368992384</v>
      </c>
      <c r="IF12" s="61">
        <f t="shared" si="7"/>
        <v>2.368992384</v>
      </c>
      <c r="IG12" s="61">
        <f t="shared" si="7"/>
        <v>2.368992384</v>
      </c>
      <c r="IH12" s="61">
        <f t="shared" si="7"/>
        <v>2.368992384</v>
      </c>
      <c r="II12" s="61">
        <f t="shared" si="7"/>
        <v>2.368992384</v>
      </c>
      <c r="IJ12" s="61">
        <f t="shared" si="7"/>
        <v>2.368992384</v>
      </c>
      <c r="IK12" s="61">
        <f t="shared" si="7"/>
        <v>2.368992384</v>
      </c>
      <c r="IL12" s="61">
        <f t="shared" si="7"/>
        <v>2.368992384</v>
      </c>
      <c r="IM12" s="61">
        <f t="shared" si="7"/>
        <v>2.368992384</v>
      </c>
      <c r="IN12" s="61">
        <f t="shared" si="7"/>
        <v>2.368992384</v>
      </c>
      <c r="IO12" s="61">
        <f t="shared" si="7"/>
        <v>2.368992384</v>
      </c>
      <c r="IP12" s="61">
        <f t="shared" si="7"/>
        <v>2.368992384</v>
      </c>
      <c r="IQ12" s="61">
        <f t="shared" si="7"/>
        <v>2.368992384</v>
      </c>
      <c r="IR12" s="61">
        <f t="shared" si="7"/>
        <v>2.368992384</v>
      </c>
      <c r="IS12" s="61">
        <f t="shared" si="7"/>
        <v>2.368992384</v>
      </c>
      <c r="IT12" s="61">
        <f t="shared" si="7"/>
        <v>2.368992384</v>
      </c>
      <c r="IU12" s="61">
        <f t="shared" si="7"/>
        <v>2.368992384</v>
      </c>
      <c r="IV12" s="61">
        <f t="shared" si="7"/>
        <v>2.368992384</v>
      </c>
      <c r="IW12" s="61">
        <f t="shared" si="7"/>
        <v>2.368992384</v>
      </c>
      <c r="IX12" s="61">
        <f t="shared" si="7"/>
        <v>2.368992384</v>
      </c>
      <c r="IY12" s="61">
        <f t="shared" si="7"/>
        <v>2.368992384</v>
      </c>
      <c r="IZ12" s="61">
        <f t="shared" si="7"/>
        <v>2.368992384</v>
      </c>
      <c r="JA12" s="61">
        <f t="shared" si="7"/>
        <v>2.368992384</v>
      </c>
      <c r="JB12" s="61">
        <f t="shared" si="7"/>
        <v>2.368992384</v>
      </c>
      <c r="JC12" s="61">
        <f t="shared" si="7"/>
        <v>2.368992384</v>
      </c>
      <c r="JD12" s="61">
        <f t="shared" si="7"/>
        <v>2.368992384</v>
      </c>
      <c r="JE12" s="61">
        <f t="shared" si="7"/>
        <v>2.368992384</v>
      </c>
      <c r="JF12" s="61">
        <f t="shared" si="7"/>
        <v>2.368992384</v>
      </c>
      <c r="JG12" s="61">
        <f t="shared" si="7"/>
        <v>2.368992384</v>
      </c>
      <c r="JH12" s="61">
        <f t="shared" si="7"/>
        <v>2.368992384</v>
      </c>
      <c r="JI12" s="61">
        <f t="shared" si="7"/>
        <v>2.368992384</v>
      </c>
      <c r="JJ12" s="61">
        <f t="shared" si="7"/>
        <v>2.368992384</v>
      </c>
      <c r="JK12" s="61">
        <f t="shared" si="7"/>
        <v>2.368992384</v>
      </c>
      <c r="JL12" s="61">
        <f t="shared" si="7"/>
        <v>2.368992384</v>
      </c>
      <c r="JM12" s="61">
        <f t="shared" si="7"/>
        <v>2.368992384</v>
      </c>
      <c r="JN12" s="61">
        <f t="shared" si="7"/>
        <v>2.368992384</v>
      </c>
      <c r="JO12" s="61">
        <f t="shared" si="7"/>
        <v>2.368992384</v>
      </c>
      <c r="JP12" s="61">
        <f t="shared" si="7"/>
        <v>2.368992384</v>
      </c>
      <c r="JQ12" s="61">
        <f t="shared" si="7"/>
        <v>2.368992384</v>
      </c>
      <c r="JR12" s="61">
        <f t="shared" si="7"/>
        <v>2.368992384</v>
      </c>
      <c r="JS12" s="61">
        <f t="shared" si="7"/>
        <v>2.368992384</v>
      </c>
      <c r="JT12" s="61">
        <f t="shared" si="7"/>
        <v>2.368992384</v>
      </c>
      <c r="JU12" s="61">
        <f t="shared" si="7"/>
        <v>2.368992384</v>
      </c>
      <c r="JV12" s="61">
        <f t="shared" si="7"/>
        <v>2.368992384</v>
      </c>
      <c r="JW12" s="61">
        <f t="shared" si="7"/>
        <v>2.368992384</v>
      </c>
      <c r="JX12" s="61">
        <f t="shared" si="7"/>
        <v>2.368992384</v>
      </c>
      <c r="JY12" s="61">
        <f t="shared" si="7"/>
        <v>2.368992384</v>
      </c>
      <c r="JZ12" s="61">
        <f t="shared" si="7"/>
        <v>2.368992384</v>
      </c>
      <c r="KA12" s="61">
        <f t="shared" si="7"/>
        <v>2.368992384</v>
      </c>
      <c r="KB12" s="61">
        <f t="shared" si="7"/>
        <v>2.368992384</v>
      </c>
      <c r="KC12" s="61">
        <f t="shared" si="7"/>
        <v>2.368992384</v>
      </c>
      <c r="KD12" s="61">
        <f t="shared" si="7"/>
        <v>2.368992384</v>
      </c>
      <c r="KE12" s="61">
        <f t="shared" si="7"/>
        <v>2.368992384</v>
      </c>
      <c r="KF12" s="61">
        <f t="shared" si="7"/>
        <v>2.368992384</v>
      </c>
      <c r="KG12" s="61">
        <f t="shared" si="7"/>
        <v>2.368992384</v>
      </c>
      <c r="KH12" s="61">
        <f t="shared" si="7"/>
        <v>2.368992384</v>
      </c>
      <c r="KI12" s="61">
        <f t="shared" si="7"/>
        <v>2.368992384</v>
      </c>
      <c r="KJ12" s="61">
        <f t="shared" si="7"/>
        <v>2.368992384</v>
      </c>
      <c r="KK12" s="61">
        <f t="shared" si="7"/>
        <v>2.368992384</v>
      </c>
      <c r="KL12" s="61">
        <f t="shared" si="7"/>
        <v>2.368992384</v>
      </c>
      <c r="KM12" s="61">
        <f t="shared" si="7"/>
        <v>2.368992384</v>
      </c>
      <c r="KN12" s="61">
        <f t="shared" si="7"/>
        <v>2.368992384</v>
      </c>
      <c r="KO12" s="61">
        <f t="shared" si="7"/>
        <v>2.368992384</v>
      </c>
      <c r="KP12" s="61">
        <f t="shared" si="7"/>
        <v>2.368992384</v>
      </c>
      <c r="KQ12" s="61">
        <f t="shared" si="7"/>
        <v>2.368992384</v>
      </c>
      <c r="KR12" s="61">
        <f t="shared" si="7"/>
        <v>2.368992384</v>
      </c>
      <c r="KS12" s="61">
        <f t="shared" si="7"/>
        <v>2.368992384</v>
      </c>
      <c r="KT12" s="61">
        <f t="shared" si="7"/>
        <v>2.368992384</v>
      </c>
      <c r="KU12" s="61">
        <f t="shared" si="7"/>
        <v>2.368992384</v>
      </c>
      <c r="KV12" s="61">
        <f t="shared" si="7"/>
        <v>2.368992384</v>
      </c>
      <c r="KW12" s="61">
        <f t="shared" si="7"/>
        <v>2.368992384</v>
      </c>
      <c r="KX12" s="61">
        <f t="shared" si="7"/>
        <v>2.368992384</v>
      </c>
      <c r="KY12" s="61">
        <f t="shared" si="7"/>
        <v>2.368992384</v>
      </c>
      <c r="KZ12" s="61">
        <f t="shared" si="7"/>
        <v>2.368992384</v>
      </c>
      <c r="LA12" s="61">
        <f t="shared" si="7"/>
        <v>2.368992384</v>
      </c>
      <c r="LB12" s="61">
        <f t="shared" si="7"/>
        <v>2.368992384</v>
      </c>
      <c r="LC12" s="61">
        <f t="shared" si="7"/>
        <v>2.368992384</v>
      </c>
      <c r="LD12" s="61">
        <f t="shared" si="7"/>
        <v>2.368992384</v>
      </c>
      <c r="LE12" s="61">
        <f t="shared" si="7"/>
        <v>2.368992384</v>
      </c>
      <c r="LF12" s="61">
        <f t="shared" si="7"/>
        <v>2.368992384</v>
      </c>
      <c r="LG12" s="61">
        <f t="shared" si="7"/>
        <v>2.368992384</v>
      </c>
      <c r="LH12" s="61">
        <f t="shared" si="7"/>
        <v>2.368992384</v>
      </c>
      <c r="LI12" s="61">
        <f t="shared" si="7"/>
        <v>2.368992384</v>
      </c>
      <c r="LJ12" s="61">
        <f t="shared" si="7"/>
        <v>2.368992384</v>
      </c>
      <c r="LK12" s="61">
        <f t="shared" si="7"/>
        <v>2.368992384</v>
      </c>
      <c r="LL12" s="61">
        <f t="shared" si="7"/>
        <v>2.368992384</v>
      </c>
      <c r="LM12" s="61">
        <f t="shared" si="7"/>
        <v>2.368992384</v>
      </c>
      <c r="LN12" s="61">
        <f t="shared" si="7"/>
        <v>2.368992384</v>
      </c>
      <c r="LO12" s="61">
        <f t="shared" si="7"/>
        <v>2.368992384</v>
      </c>
      <c r="LP12" s="61">
        <f t="shared" si="7"/>
        <v>2.368992384</v>
      </c>
      <c r="LQ12" s="61">
        <f t="shared" si="7"/>
        <v>2.368992384</v>
      </c>
      <c r="LR12" s="61">
        <f t="shared" si="7"/>
        <v>2.368992384</v>
      </c>
      <c r="LS12" s="61">
        <f t="shared" si="7"/>
        <v>2.368992384</v>
      </c>
      <c r="LT12" s="61">
        <f t="shared" si="7"/>
        <v>2.368992384</v>
      </c>
      <c r="LU12" s="61">
        <f t="shared" si="7"/>
        <v>2.368992384</v>
      </c>
      <c r="LV12" s="61">
        <f t="shared" si="7"/>
        <v>2.368992384</v>
      </c>
      <c r="LW12" s="61">
        <f t="shared" si="7"/>
        <v>2.368992384</v>
      </c>
      <c r="LX12" s="61">
        <f t="shared" si="7"/>
        <v>2.368992384</v>
      </c>
      <c r="LY12" s="61">
        <f t="shared" si="7"/>
        <v>2.368992384</v>
      </c>
      <c r="LZ12" s="61">
        <f t="shared" si="7"/>
        <v>2.368992384</v>
      </c>
      <c r="MA12" s="61">
        <f t="shared" si="7"/>
        <v>2.368992384</v>
      </c>
      <c r="MB12" s="61">
        <f t="shared" si="7"/>
        <v>2.368992384</v>
      </c>
      <c r="MC12" s="61">
        <f t="shared" si="7"/>
        <v>2.368992384</v>
      </c>
      <c r="MD12" s="61">
        <f t="shared" si="7"/>
        <v>2.368992384</v>
      </c>
      <c r="ME12" s="61">
        <f t="shared" si="7"/>
        <v>2.368992384</v>
      </c>
      <c r="MF12" s="61">
        <f t="shared" si="7"/>
        <v>2.368992384</v>
      </c>
      <c r="MG12" s="61">
        <f t="shared" si="7"/>
        <v>2.368992384</v>
      </c>
      <c r="MH12" s="61">
        <f t="shared" si="7"/>
        <v>2.368992384</v>
      </c>
      <c r="MI12" s="61">
        <f t="shared" si="7"/>
        <v>2.368992384</v>
      </c>
      <c r="MJ12" s="61">
        <f t="shared" si="7"/>
        <v>2.368992384</v>
      </c>
      <c r="MK12" s="61">
        <f t="shared" si="7"/>
        <v>2.368992384</v>
      </c>
      <c r="ML12" s="61">
        <f t="shared" si="7"/>
        <v>2.368992384</v>
      </c>
      <c r="MM12" s="61">
        <f t="shared" si="7"/>
        <v>2.368992384</v>
      </c>
      <c r="MN12" s="61">
        <f t="shared" si="7"/>
        <v>2.368992384</v>
      </c>
      <c r="MO12" s="61">
        <f t="shared" si="7"/>
        <v>2.368992384</v>
      </c>
      <c r="MP12" s="61">
        <f t="shared" si="7"/>
        <v>2.368992384</v>
      </c>
      <c r="MQ12" s="61">
        <f t="shared" si="7"/>
        <v>2.368992384</v>
      </c>
      <c r="MR12" s="61">
        <f t="shared" si="7"/>
        <v>2.368992384</v>
      </c>
      <c r="MS12" s="61">
        <f t="shared" si="7"/>
        <v>2.368992384</v>
      </c>
      <c r="MT12" s="61">
        <f t="shared" si="7"/>
        <v>2.368992384</v>
      </c>
      <c r="MU12" s="61">
        <f t="shared" si="7"/>
        <v>2.368992384</v>
      </c>
      <c r="MV12" s="61">
        <f t="shared" si="7"/>
        <v>2.368992384</v>
      </c>
      <c r="MW12" s="61">
        <f t="shared" si="7"/>
        <v>2.368992384</v>
      </c>
      <c r="MX12" s="61">
        <f t="shared" si="7"/>
        <v>2.368992384</v>
      </c>
      <c r="MY12" s="61">
        <f t="shared" si="7"/>
        <v>2.368992384</v>
      </c>
      <c r="MZ12" s="61">
        <f t="shared" si="7"/>
        <v>2.368992384</v>
      </c>
      <c r="NA12" s="61">
        <f t="shared" si="7"/>
        <v>2.368992384</v>
      </c>
      <c r="NB12" s="61">
        <f t="shared" si="7"/>
        <v>2.368992384</v>
      </c>
      <c r="NC12" s="61">
        <f t="shared" si="7"/>
        <v>2.368992384</v>
      </c>
      <c r="ND12" s="61">
        <f t="shared" si="7"/>
        <v>2.368992384</v>
      </c>
      <c r="NE12" s="61">
        <f t="shared" si="7"/>
        <v>2.368992384</v>
      </c>
      <c r="NF12" s="61">
        <f t="shared" si="7"/>
        <v>2.368992384</v>
      </c>
      <c r="NG12" s="61">
        <f t="shared" si="7"/>
        <v>2.368992384</v>
      </c>
      <c r="NH12" s="61">
        <f t="shared" si="7"/>
        <v>2.368992384</v>
      </c>
      <c r="NI12" s="61">
        <f t="shared" si="7"/>
        <v>2.368992384</v>
      </c>
      <c r="NJ12" s="61">
        <f t="shared" si="7"/>
        <v>2.368992384</v>
      </c>
      <c r="NK12" s="61">
        <f t="shared" si="7"/>
        <v>2.368992384</v>
      </c>
      <c r="NL12" s="61">
        <f t="shared" si="7"/>
        <v>2.368992384</v>
      </c>
      <c r="NM12" s="61">
        <f t="shared" si="7"/>
        <v>2.368992384</v>
      </c>
      <c r="NN12" s="61">
        <f t="shared" si="7"/>
        <v>2.368992384</v>
      </c>
      <c r="NO12" s="61">
        <f t="shared" si="7"/>
        <v>2.368992384</v>
      </c>
      <c r="NP12" s="61">
        <f t="shared" si="7"/>
        <v>2.368992384</v>
      </c>
      <c r="NQ12" s="61">
        <f t="shared" si="7"/>
        <v>2.368992384</v>
      </c>
      <c r="NR12" s="61">
        <f t="shared" si="7"/>
        <v>2.368992384</v>
      </c>
      <c r="NS12" s="61">
        <f t="shared" si="7"/>
        <v>2.368992384</v>
      </c>
      <c r="NT12" s="61">
        <f t="shared" si="7"/>
        <v>2.368992384</v>
      </c>
      <c r="NU12" s="61">
        <f t="shared" si="7"/>
        <v>2.368992384</v>
      </c>
      <c r="NV12" s="61">
        <f t="shared" si="7"/>
        <v>2.368992384</v>
      </c>
      <c r="NW12" s="61">
        <f t="shared" si="7"/>
        <v>2.368992384</v>
      </c>
      <c r="NX12" s="61">
        <f t="shared" si="7"/>
        <v>2.368992384</v>
      </c>
      <c r="NY12" s="61">
        <f t="shared" si="7"/>
        <v>2.368992384</v>
      </c>
      <c r="NZ12" s="61">
        <f t="shared" si="7"/>
        <v>2.368992384</v>
      </c>
      <c r="OA12" s="61">
        <f t="shared" si="7"/>
        <v>2.368992384</v>
      </c>
      <c r="OB12" s="61">
        <f t="shared" si="7"/>
        <v>2.368992384</v>
      </c>
      <c r="OC12" s="61">
        <f t="shared" si="7"/>
        <v>2.368992384</v>
      </c>
      <c r="OD12" s="61">
        <f t="shared" si="7"/>
        <v>2.368992384</v>
      </c>
      <c r="OE12" s="61">
        <f t="shared" si="7"/>
        <v>2.368992384</v>
      </c>
      <c r="OF12" s="61">
        <f t="shared" si="7"/>
        <v>2.368992384</v>
      </c>
      <c r="OG12" s="61">
        <f t="shared" si="7"/>
        <v>2.368992384</v>
      </c>
      <c r="OH12" s="61">
        <f t="shared" si="7"/>
        <v>2.368992384</v>
      </c>
      <c r="OI12" s="61">
        <f t="shared" si="7"/>
        <v>2.368992384</v>
      </c>
      <c r="OJ12" s="61">
        <f t="shared" si="7"/>
        <v>2.368992384</v>
      </c>
      <c r="OK12" s="61">
        <f t="shared" si="7"/>
        <v>2.368992384</v>
      </c>
      <c r="OL12" s="61">
        <f t="shared" si="7"/>
        <v>2.368992384</v>
      </c>
      <c r="OM12" s="61">
        <f t="shared" si="7"/>
        <v>2.368992384</v>
      </c>
      <c r="ON12" s="61">
        <f t="shared" si="7"/>
        <v>2.368992384</v>
      </c>
      <c r="OO12" s="61">
        <f t="shared" si="7"/>
        <v>2.368992384</v>
      </c>
      <c r="OP12" s="61">
        <f t="shared" si="7"/>
        <v>2.368992384</v>
      </c>
      <c r="OQ12" s="61">
        <f t="shared" si="7"/>
        <v>2.368992384</v>
      </c>
      <c r="OR12" s="61">
        <f t="shared" si="7"/>
        <v>2.368992384</v>
      </c>
      <c r="OS12" s="61">
        <f t="shared" si="7"/>
        <v>2.368992384</v>
      </c>
      <c r="OT12" s="61">
        <f t="shared" si="7"/>
        <v>2.368992384</v>
      </c>
      <c r="OU12" s="61">
        <f t="shared" si="7"/>
        <v>2.368992384</v>
      </c>
      <c r="OV12" s="61">
        <f t="shared" si="7"/>
        <v>2.368992384</v>
      </c>
      <c r="OW12" s="61">
        <f t="shared" si="7"/>
        <v>2.368992384</v>
      </c>
      <c r="OX12" s="61">
        <f t="shared" si="7"/>
        <v>2.368992384</v>
      </c>
      <c r="OY12" s="61">
        <f t="shared" si="7"/>
        <v>2.368992384</v>
      </c>
      <c r="OZ12" s="61">
        <f t="shared" si="7"/>
        <v>2.368992384</v>
      </c>
      <c r="PA12" s="61">
        <f t="shared" si="7"/>
        <v>2.368992384</v>
      </c>
      <c r="PB12" s="61">
        <f t="shared" si="7"/>
        <v>2.368992384</v>
      </c>
      <c r="PC12" s="61">
        <f t="shared" si="7"/>
        <v>2.368992384</v>
      </c>
      <c r="PD12" s="61">
        <f t="shared" si="7"/>
        <v>2.368992384</v>
      </c>
      <c r="PE12" s="61">
        <f t="shared" si="7"/>
        <v>2.368992384</v>
      </c>
      <c r="PF12" s="61">
        <f t="shared" si="7"/>
        <v>2.368992384</v>
      </c>
      <c r="PG12" s="61">
        <f t="shared" si="7"/>
        <v>2.368992384</v>
      </c>
      <c r="PH12" s="61">
        <f t="shared" si="7"/>
        <v>2.368992384</v>
      </c>
      <c r="PI12" s="61">
        <f t="shared" si="7"/>
        <v>2.368992384</v>
      </c>
      <c r="PJ12" s="61">
        <f t="shared" si="7"/>
        <v>2.368992384</v>
      </c>
      <c r="PK12" s="61">
        <f t="shared" si="7"/>
        <v>2.368992384</v>
      </c>
      <c r="PL12" s="61">
        <f t="shared" si="7"/>
        <v>2.368992384</v>
      </c>
      <c r="PM12" s="61">
        <f t="shared" si="7"/>
        <v>2.368992384</v>
      </c>
      <c r="PN12" s="61">
        <f t="shared" si="7"/>
        <v>2.368992384</v>
      </c>
      <c r="PO12" s="61">
        <f t="shared" si="7"/>
        <v>2.368992384</v>
      </c>
      <c r="PP12" s="61">
        <f t="shared" si="7"/>
        <v>2.368992384</v>
      </c>
      <c r="PQ12" s="61">
        <f t="shared" si="7"/>
        <v>2.368992384</v>
      </c>
      <c r="PR12" s="61">
        <f t="shared" si="7"/>
        <v>2.368992384</v>
      </c>
      <c r="PS12" s="61">
        <f t="shared" si="7"/>
        <v>2.368992384</v>
      </c>
      <c r="PT12" s="61">
        <f t="shared" si="7"/>
        <v>2.368992384</v>
      </c>
      <c r="PU12" s="61">
        <f t="shared" si="7"/>
        <v>2.368992384</v>
      </c>
      <c r="PV12" s="61">
        <f t="shared" si="7"/>
        <v>2.368992384</v>
      </c>
      <c r="PW12" s="61">
        <f t="shared" si="7"/>
        <v>2.368992384</v>
      </c>
      <c r="PX12" s="61">
        <f t="shared" si="7"/>
        <v>2.368992384</v>
      </c>
      <c r="PY12" s="61">
        <f t="shared" si="7"/>
        <v>2.368992384</v>
      </c>
      <c r="PZ12" s="61">
        <f t="shared" si="7"/>
        <v>2.368992384</v>
      </c>
      <c r="QA12" s="61">
        <f t="shared" si="7"/>
        <v>2.368992384</v>
      </c>
      <c r="QB12" s="61">
        <f t="shared" si="7"/>
        <v>2.368992384</v>
      </c>
      <c r="QC12" s="61">
        <f t="shared" si="7"/>
        <v>2.368992384</v>
      </c>
      <c r="QD12" s="61">
        <f t="shared" si="7"/>
        <v>2.368992384</v>
      </c>
      <c r="QE12" s="61">
        <f t="shared" si="7"/>
        <v>2.368992384</v>
      </c>
      <c r="QF12" s="61">
        <f t="shared" si="7"/>
        <v>2.368992384</v>
      </c>
      <c r="QG12" s="61">
        <f t="shared" si="7"/>
        <v>2.368992384</v>
      </c>
      <c r="QH12" s="61">
        <f t="shared" si="7"/>
        <v>2.368992384</v>
      </c>
      <c r="QI12" s="61">
        <f t="shared" si="7"/>
        <v>2.368992384</v>
      </c>
      <c r="QJ12" s="61">
        <f t="shared" si="7"/>
        <v>2.368992384</v>
      </c>
      <c r="QK12" s="61">
        <f t="shared" si="7"/>
        <v>2.368992384</v>
      </c>
      <c r="QL12" s="61">
        <f t="shared" si="7"/>
        <v>2.368992384</v>
      </c>
      <c r="QM12" s="61">
        <f t="shared" si="7"/>
        <v>2.368992384</v>
      </c>
      <c r="QN12" s="61">
        <f t="shared" si="7"/>
        <v>2.368992384</v>
      </c>
      <c r="QO12" s="61">
        <f t="shared" si="7"/>
        <v>2.368992384</v>
      </c>
      <c r="QP12" s="61">
        <f t="shared" si="7"/>
        <v>2.368992384</v>
      </c>
      <c r="QQ12" s="61">
        <f t="shared" si="7"/>
        <v>2.368992384</v>
      </c>
      <c r="QR12" s="61">
        <f t="shared" si="7"/>
        <v>2.368992384</v>
      </c>
      <c r="QS12" s="61">
        <f t="shared" si="7"/>
        <v>2.368992384</v>
      </c>
      <c r="QT12" s="61">
        <f t="shared" si="7"/>
        <v>2.368992384</v>
      </c>
      <c r="QU12" s="61">
        <f t="shared" si="7"/>
        <v>2.368992384</v>
      </c>
      <c r="QV12" s="61">
        <f t="shared" si="7"/>
        <v>2.368992384</v>
      </c>
      <c r="QW12" s="61">
        <f t="shared" si="7"/>
        <v>2.368992384</v>
      </c>
      <c r="QX12" s="61">
        <f t="shared" si="7"/>
        <v>2.368992384</v>
      </c>
      <c r="QY12" s="61">
        <f t="shared" si="7"/>
        <v>2.368992384</v>
      </c>
      <c r="QZ12" s="61">
        <f t="shared" si="7"/>
        <v>2.368992384</v>
      </c>
      <c r="RA12" s="61">
        <f t="shared" si="7"/>
        <v>2.368992384</v>
      </c>
      <c r="RB12" s="61">
        <f t="shared" si="7"/>
        <v>2.368992384</v>
      </c>
      <c r="RC12" s="61">
        <f t="shared" si="7"/>
        <v>2.368992384</v>
      </c>
      <c r="RD12" s="61">
        <f t="shared" si="7"/>
        <v>2.368992384</v>
      </c>
      <c r="RE12" s="61">
        <f t="shared" si="7"/>
        <v>2.368992384</v>
      </c>
      <c r="RF12" s="61">
        <f t="shared" si="7"/>
        <v>2.368992384</v>
      </c>
      <c r="RG12" s="61">
        <f t="shared" si="7"/>
        <v>2.368992384</v>
      </c>
      <c r="RH12" s="61">
        <f t="shared" si="7"/>
        <v>2.368992384</v>
      </c>
      <c r="RI12" s="61">
        <f t="shared" si="7"/>
        <v>2.368992384</v>
      </c>
      <c r="RJ12" s="61">
        <f t="shared" si="7"/>
        <v>2.368992384</v>
      </c>
      <c r="RK12" s="61">
        <f t="shared" si="7"/>
        <v>2.368992384</v>
      </c>
      <c r="RL12" s="61">
        <f t="shared" si="7"/>
        <v>2.368992384</v>
      </c>
      <c r="RM12" s="61">
        <f t="shared" si="7"/>
        <v>2.368992384</v>
      </c>
      <c r="RN12" s="61">
        <f t="shared" si="7"/>
        <v>2.368992384</v>
      </c>
      <c r="RO12" s="61">
        <f t="shared" si="7"/>
        <v>2.368992384</v>
      </c>
      <c r="RP12" s="61">
        <f t="shared" si="7"/>
        <v>2.368992384</v>
      </c>
      <c r="RQ12" s="61">
        <f t="shared" si="7"/>
        <v>2.368992384</v>
      </c>
      <c r="RR12" s="61">
        <f t="shared" si="7"/>
        <v>2.368992384</v>
      </c>
      <c r="RS12" s="61">
        <f t="shared" si="7"/>
        <v>2.368992384</v>
      </c>
      <c r="RT12" s="61">
        <f t="shared" si="7"/>
        <v>2.368992384</v>
      </c>
      <c r="RU12" s="61">
        <f t="shared" si="7"/>
        <v>2.368992384</v>
      </c>
      <c r="RV12" s="61">
        <f t="shared" si="7"/>
        <v>2.368992384</v>
      </c>
      <c r="RW12" s="61">
        <f t="shared" si="7"/>
        <v>2.368992384</v>
      </c>
      <c r="RX12" s="61">
        <f t="shared" si="7"/>
        <v>2.368992384</v>
      </c>
      <c r="RY12" s="61">
        <f t="shared" si="7"/>
        <v>2.368992384</v>
      </c>
      <c r="RZ12" s="61">
        <f t="shared" si="7"/>
        <v>2.368992384</v>
      </c>
      <c r="SA12" s="61">
        <f t="shared" si="7"/>
        <v>2.368992384</v>
      </c>
      <c r="SB12" s="61">
        <f t="shared" si="7"/>
        <v>2.368992384</v>
      </c>
      <c r="SC12" s="61">
        <f t="shared" si="7"/>
        <v>2.368992384</v>
      </c>
      <c r="SD12" s="61">
        <f t="shared" si="7"/>
        <v>2.368992384</v>
      </c>
      <c r="SE12" s="61">
        <f t="shared" si="7"/>
        <v>2.368992384</v>
      </c>
      <c r="SF12" s="61">
        <f t="shared" si="7"/>
        <v>2.368992384</v>
      </c>
      <c r="SG12" s="61">
        <f t="shared" si="7"/>
        <v>2.368992384</v>
      </c>
      <c r="SH12" s="61">
        <f t="shared" si="7"/>
        <v>2.368992384</v>
      </c>
      <c r="SI12" s="61">
        <f t="shared" si="7"/>
        <v>2.368992384</v>
      </c>
      <c r="SJ12" s="61">
        <f t="shared" si="7"/>
        <v>2.368992384</v>
      </c>
      <c r="SK12" s="61">
        <f t="shared" si="7"/>
        <v>2.368992384</v>
      </c>
      <c r="SL12" s="61">
        <f t="shared" si="7"/>
        <v>2.368992384</v>
      </c>
    </row>
    <row r="13">
      <c r="A13" s="53" t="s">
        <v>85</v>
      </c>
      <c r="B13" s="62">
        <f>B12*B6</f>
        <v>2049.178413</v>
      </c>
      <c r="C13" s="253"/>
      <c r="D13" s="248"/>
      <c r="E13" s="249"/>
      <c r="F13" s="62"/>
      <c r="G13" s="62">
        <f t="shared" ref="G13:SL13" si="8">G12*G6</f>
        <v>2049.178413</v>
      </c>
      <c r="H13" s="62">
        <f t="shared" si="8"/>
        <v>2049.178413</v>
      </c>
      <c r="I13" s="62">
        <f t="shared" si="8"/>
        <v>2049.178413</v>
      </c>
      <c r="J13" s="62">
        <f t="shared" si="8"/>
        <v>2049.178413</v>
      </c>
      <c r="K13" s="62">
        <f t="shared" si="8"/>
        <v>2049.178413</v>
      </c>
      <c r="L13" s="62">
        <f t="shared" si="8"/>
        <v>2049.178413</v>
      </c>
      <c r="M13" s="62">
        <f t="shared" si="8"/>
        <v>2049.178413</v>
      </c>
      <c r="N13" s="62">
        <f t="shared" si="8"/>
        <v>2049.178413</v>
      </c>
      <c r="O13" s="62">
        <f t="shared" si="8"/>
        <v>2049.178413</v>
      </c>
      <c r="P13" s="62">
        <f t="shared" si="8"/>
        <v>2049.178413</v>
      </c>
      <c r="Q13" s="62">
        <f t="shared" si="8"/>
        <v>2049.178413</v>
      </c>
      <c r="R13" s="62">
        <f t="shared" si="8"/>
        <v>2049.178413</v>
      </c>
      <c r="S13" s="62">
        <f t="shared" si="8"/>
        <v>2049.178413</v>
      </c>
      <c r="T13" s="62">
        <f t="shared" si="8"/>
        <v>2049.178413</v>
      </c>
      <c r="U13" s="62">
        <f t="shared" si="8"/>
        <v>2049.178413</v>
      </c>
      <c r="V13" s="62">
        <f t="shared" si="8"/>
        <v>2049.178413</v>
      </c>
      <c r="W13" s="62">
        <f t="shared" si="8"/>
        <v>2049.178413</v>
      </c>
      <c r="X13" s="62">
        <f t="shared" si="8"/>
        <v>2049.178413</v>
      </c>
      <c r="Y13" s="62">
        <f t="shared" si="8"/>
        <v>2049.178413</v>
      </c>
      <c r="Z13" s="62">
        <f t="shared" si="8"/>
        <v>2049.178413</v>
      </c>
      <c r="AA13" s="62">
        <f t="shared" si="8"/>
        <v>2049.178413</v>
      </c>
      <c r="AB13" s="62">
        <f t="shared" si="8"/>
        <v>2049.178413</v>
      </c>
      <c r="AC13" s="62">
        <f t="shared" si="8"/>
        <v>2049.178413</v>
      </c>
      <c r="AD13" s="62">
        <f t="shared" si="8"/>
        <v>2049.178413</v>
      </c>
      <c r="AE13" s="62">
        <f t="shared" si="8"/>
        <v>2049.178413</v>
      </c>
      <c r="AF13" s="62">
        <f t="shared" si="8"/>
        <v>2049.178413</v>
      </c>
      <c r="AG13" s="62">
        <f t="shared" si="8"/>
        <v>2049.178413</v>
      </c>
      <c r="AH13" s="62">
        <f t="shared" si="8"/>
        <v>2049.178413</v>
      </c>
      <c r="AI13" s="62">
        <f t="shared" si="8"/>
        <v>2049.178413</v>
      </c>
      <c r="AJ13" s="62">
        <f t="shared" si="8"/>
        <v>2049.178413</v>
      </c>
      <c r="AK13" s="62">
        <f t="shared" si="8"/>
        <v>2049.178413</v>
      </c>
      <c r="AL13" s="62">
        <f t="shared" si="8"/>
        <v>2049.178413</v>
      </c>
      <c r="AM13" s="62">
        <f t="shared" si="8"/>
        <v>2049.178413</v>
      </c>
      <c r="AN13" s="62">
        <f t="shared" si="8"/>
        <v>2049.178413</v>
      </c>
      <c r="AO13" s="62">
        <f t="shared" si="8"/>
        <v>2049.178413</v>
      </c>
      <c r="AP13" s="62">
        <f t="shared" si="8"/>
        <v>2049.178413</v>
      </c>
      <c r="AQ13" s="62">
        <f t="shared" si="8"/>
        <v>2049.178413</v>
      </c>
      <c r="AR13" s="62">
        <f t="shared" si="8"/>
        <v>2049.178413</v>
      </c>
      <c r="AS13" s="62">
        <f t="shared" si="8"/>
        <v>2049.178413</v>
      </c>
      <c r="AT13" s="62">
        <f t="shared" si="8"/>
        <v>2049.178413</v>
      </c>
      <c r="AU13" s="62">
        <f t="shared" si="8"/>
        <v>2049.178413</v>
      </c>
      <c r="AV13" s="62">
        <f t="shared" si="8"/>
        <v>2049.178413</v>
      </c>
      <c r="AW13" s="62">
        <f t="shared" si="8"/>
        <v>2049.178413</v>
      </c>
      <c r="AX13" s="62">
        <f t="shared" si="8"/>
        <v>2049.178413</v>
      </c>
      <c r="AY13" s="62">
        <f t="shared" si="8"/>
        <v>2049.178413</v>
      </c>
      <c r="AZ13" s="62">
        <f t="shared" si="8"/>
        <v>2049.178413</v>
      </c>
      <c r="BA13" s="62">
        <f t="shared" si="8"/>
        <v>2049.178413</v>
      </c>
      <c r="BB13" s="62">
        <f t="shared" si="8"/>
        <v>2049.178413</v>
      </c>
      <c r="BC13" s="62">
        <f t="shared" si="8"/>
        <v>2049.178413</v>
      </c>
      <c r="BD13" s="62">
        <f t="shared" si="8"/>
        <v>2049.178413</v>
      </c>
      <c r="BE13" s="62">
        <f t="shared" si="8"/>
        <v>2049.178413</v>
      </c>
      <c r="BF13" s="62">
        <f t="shared" si="8"/>
        <v>2049.178413</v>
      </c>
      <c r="BG13" s="62">
        <f t="shared" si="8"/>
        <v>2049.178413</v>
      </c>
      <c r="BH13" s="62">
        <f t="shared" si="8"/>
        <v>2049.178413</v>
      </c>
      <c r="BI13" s="62">
        <f t="shared" si="8"/>
        <v>2049.178413</v>
      </c>
      <c r="BJ13" s="62">
        <f t="shared" si="8"/>
        <v>2049.178413</v>
      </c>
      <c r="BK13" s="62">
        <f t="shared" si="8"/>
        <v>2049.178413</v>
      </c>
      <c r="BL13" s="62">
        <f t="shared" si="8"/>
        <v>2049.178413</v>
      </c>
      <c r="BM13" s="62">
        <f t="shared" si="8"/>
        <v>2049.178413</v>
      </c>
      <c r="BN13" s="62">
        <f t="shared" si="8"/>
        <v>2049.178413</v>
      </c>
      <c r="BO13" s="62">
        <f t="shared" si="8"/>
        <v>2049.178413</v>
      </c>
      <c r="BP13" s="62">
        <f t="shared" si="8"/>
        <v>2049.178413</v>
      </c>
      <c r="BQ13" s="62">
        <f t="shared" si="8"/>
        <v>2049.178413</v>
      </c>
      <c r="BR13" s="62">
        <f t="shared" si="8"/>
        <v>2049.178413</v>
      </c>
      <c r="BS13" s="62">
        <f t="shared" si="8"/>
        <v>2049.178413</v>
      </c>
      <c r="BT13" s="62">
        <f t="shared" si="8"/>
        <v>2049.178413</v>
      </c>
      <c r="BU13" s="62">
        <f t="shared" si="8"/>
        <v>2049.178413</v>
      </c>
      <c r="BV13" s="62">
        <f t="shared" si="8"/>
        <v>2049.178413</v>
      </c>
      <c r="BW13" s="62">
        <f t="shared" si="8"/>
        <v>2049.178413</v>
      </c>
      <c r="BX13" s="62">
        <f t="shared" si="8"/>
        <v>2049.178413</v>
      </c>
      <c r="BY13" s="62">
        <f t="shared" si="8"/>
        <v>2049.178413</v>
      </c>
      <c r="BZ13" s="62">
        <f t="shared" si="8"/>
        <v>2049.178413</v>
      </c>
      <c r="CA13" s="62">
        <f t="shared" si="8"/>
        <v>2049.178413</v>
      </c>
      <c r="CB13" s="62">
        <f t="shared" si="8"/>
        <v>2049.178413</v>
      </c>
      <c r="CC13" s="62">
        <f t="shared" si="8"/>
        <v>2049.178413</v>
      </c>
      <c r="CD13" s="62">
        <f t="shared" si="8"/>
        <v>2049.178413</v>
      </c>
      <c r="CE13" s="62">
        <f t="shared" si="8"/>
        <v>2049.178413</v>
      </c>
      <c r="CF13" s="62">
        <f t="shared" si="8"/>
        <v>2049.178413</v>
      </c>
      <c r="CG13" s="62">
        <f t="shared" si="8"/>
        <v>2049.178413</v>
      </c>
      <c r="CH13" s="62">
        <f t="shared" si="8"/>
        <v>2049.178413</v>
      </c>
      <c r="CI13" s="62">
        <f t="shared" si="8"/>
        <v>2049.178413</v>
      </c>
      <c r="CJ13" s="62">
        <f t="shared" si="8"/>
        <v>2049.178413</v>
      </c>
      <c r="CK13" s="62">
        <f t="shared" si="8"/>
        <v>2049.178413</v>
      </c>
      <c r="CL13" s="62">
        <f t="shared" si="8"/>
        <v>2049.178413</v>
      </c>
      <c r="CM13" s="62">
        <f t="shared" si="8"/>
        <v>2049.178413</v>
      </c>
      <c r="CN13" s="62">
        <f t="shared" si="8"/>
        <v>2049.178413</v>
      </c>
      <c r="CO13" s="62">
        <f t="shared" si="8"/>
        <v>2049.178413</v>
      </c>
      <c r="CP13" s="62">
        <f t="shared" si="8"/>
        <v>2049.178413</v>
      </c>
      <c r="CQ13" s="62">
        <f t="shared" si="8"/>
        <v>2049.178413</v>
      </c>
      <c r="CR13" s="62">
        <f t="shared" si="8"/>
        <v>2049.178413</v>
      </c>
      <c r="CS13" s="62">
        <f t="shared" si="8"/>
        <v>2049.178413</v>
      </c>
      <c r="CT13" s="62">
        <f t="shared" si="8"/>
        <v>2049.178413</v>
      </c>
      <c r="CU13" s="62">
        <f t="shared" si="8"/>
        <v>2049.178413</v>
      </c>
      <c r="CV13" s="62">
        <f t="shared" si="8"/>
        <v>2049.178413</v>
      </c>
      <c r="CW13" s="62">
        <f t="shared" si="8"/>
        <v>2049.178413</v>
      </c>
      <c r="CX13" s="62">
        <f t="shared" si="8"/>
        <v>2049.178413</v>
      </c>
      <c r="CY13" s="62">
        <f t="shared" si="8"/>
        <v>2049.178413</v>
      </c>
      <c r="CZ13" s="62">
        <f t="shared" si="8"/>
        <v>2049.178413</v>
      </c>
      <c r="DA13" s="62">
        <f t="shared" si="8"/>
        <v>2049.178413</v>
      </c>
      <c r="DB13" s="62">
        <f t="shared" si="8"/>
        <v>2049.178413</v>
      </c>
      <c r="DC13" s="62">
        <f t="shared" si="8"/>
        <v>2049.178413</v>
      </c>
      <c r="DD13" s="62">
        <f t="shared" si="8"/>
        <v>2049.178413</v>
      </c>
      <c r="DE13" s="62">
        <f t="shared" si="8"/>
        <v>2049.178413</v>
      </c>
      <c r="DF13" s="62">
        <f t="shared" si="8"/>
        <v>2049.178413</v>
      </c>
      <c r="DG13" s="62">
        <f t="shared" si="8"/>
        <v>2049.178413</v>
      </c>
      <c r="DH13" s="62">
        <f t="shared" si="8"/>
        <v>2049.178413</v>
      </c>
      <c r="DI13" s="62">
        <f t="shared" si="8"/>
        <v>2049.178413</v>
      </c>
      <c r="DJ13" s="62">
        <f t="shared" si="8"/>
        <v>2049.178413</v>
      </c>
      <c r="DK13" s="62">
        <f t="shared" si="8"/>
        <v>2049.178413</v>
      </c>
      <c r="DL13" s="62">
        <f t="shared" si="8"/>
        <v>2049.178413</v>
      </c>
      <c r="DM13" s="62">
        <f t="shared" si="8"/>
        <v>2049.178413</v>
      </c>
      <c r="DN13" s="62">
        <f t="shared" si="8"/>
        <v>2049.178413</v>
      </c>
      <c r="DO13" s="62">
        <f t="shared" si="8"/>
        <v>2049.178413</v>
      </c>
      <c r="DP13" s="62">
        <f t="shared" si="8"/>
        <v>2049.178413</v>
      </c>
      <c r="DQ13" s="62">
        <f t="shared" si="8"/>
        <v>2049.178413</v>
      </c>
      <c r="DR13" s="62">
        <f t="shared" si="8"/>
        <v>2049.178413</v>
      </c>
      <c r="DS13" s="62">
        <f t="shared" si="8"/>
        <v>2049.178413</v>
      </c>
      <c r="DT13" s="62">
        <f t="shared" si="8"/>
        <v>2049.178413</v>
      </c>
      <c r="DU13" s="62">
        <f t="shared" si="8"/>
        <v>2049.178413</v>
      </c>
      <c r="DV13" s="62">
        <f t="shared" si="8"/>
        <v>2049.178413</v>
      </c>
      <c r="DW13" s="62">
        <f t="shared" si="8"/>
        <v>2049.178413</v>
      </c>
      <c r="DX13" s="62">
        <f t="shared" si="8"/>
        <v>2049.178413</v>
      </c>
      <c r="DY13" s="62">
        <f t="shared" si="8"/>
        <v>2049.178413</v>
      </c>
      <c r="DZ13" s="62">
        <f t="shared" si="8"/>
        <v>2049.178413</v>
      </c>
      <c r="EA13" s="62">
        <f t="shared" si="8"/>
        <v>2049.178413</v>
      </c>
      <c r="EB13" s="62">
        <f t="shared" si="8"/>
        <v>2049.178413</v>
      </c>
      <c r="EC13" s="62">
        <f t="shared" si="8"/>
        <v>2049.178413</v>
      </c>
      <c r="ED13" s="62">
        <f t="shared" si="8"/>
        <v>2049.178413</v>
      </c>
      <c r="EE13" s="62">
        <f t="shared" si="8"/>
        <v>2049.178413</v>
      </c>
      <c r="EF13" s="62">
        <f t="shared" si="8"/>
        <v>2049.178413</v>
      </c>
      <c r="EG13" s="62">
        <f t="shared" si="8"/>
        <v>2049.178413</v>
      </c>
      <c r="EH13" s="62">
        <f t="shared" si="8"/>
        <v>2049.178413</v>
      </c>
      <c r="EI13" s="62">
        <f t="shared" si="8"/>
        <v>2049.178413</v>
      </c>
      <c r="EJ13" s="62">
        <f t="shared" si="8"/>
        <v>2049.178413</v>
      </c>
      <c r="EK13" s="62">
        <f t="shared" si="8"/>
        <v>2049.178413</v>
      </c>
      <c r="EL13" s="62">
        <f t="shared" si="8"/>
        <v>2049.178413</v>
      </c>
      <c r="EM13" s="62">
        <f t="shared" si="8"/>
        <v>2049.178413</v>
      </c>
      <c r="EN13" s="62">
        <f t="shared" si="8"/>
        <v>2049.178413</v>
      </c>
      <c r="EO13" s="62">
        <f t="shared" si="8"/>
        <v>2049.178413</v>
      </c>
      <c r="EP13" s="62">
        <f t="shared" si="8"/>
        <v>2049.178413</v>
      </c>
      <c r="EQ13" s="62">
        <f t="shared" si="8"/>
        <v>2049.178413</v>
      </c>
      <c r="ER13" s="62">
        <f t="shared" si="8"/>
        <v>2049.178413</v>
      </c>
      <c r="ES13" s="62">
        <f t="shared" si="8"/>
        <v>2049.178413</v>
      </c>
      <c r="ET13" s="62">
        <f t="shared" si="8"/>
        <v>2049.178413</v>
      </c>
      <c r="EU13" s="62">
        <f t="shared" si="8"/>
        <v>2049.178413</v>
      </c>
      <c r="EV13" s="62">
        <f t="shared" si="8"/>
        <v>2049.178413</v>
      </c>
      <c r="EW13" s="62">
        <f t="shared" si="8"/>
        <v>2049.178413</v>
      </c>
      <c r="EX13" s="62">
        <f t="shared" si="8"/>
        <v>2049.178413</v>
      </c>
      <c r="EY13" s="62">
        <f t="shared" si="8"/>
        <v>2049.178413</v>
      </c>
      <c r="EZ13" s="62">
        <f t="shared" si="8"/>
        <v>2049.178413</v>
      </c>
      <c r="FA13" s="62">
        <f t="shared" si="8"/>
        <v>2049.178413</v>
      </c>
      <c r="FB13" s="62">
        <f t="shared" si="8"/>
        <v>2049.178413</v>
      </c>
      <c r="FC13" s="62">
        <f t="shared" si="8"/>
        <v>2049.178413</v>
      </c>
      <c r="FD13" s="62">
        <f t="shared" si="8"/>
        <v>2049.178413</v>
      </c>
      <c r="FE13" s="62">
        <f t="shared" si="8"/>
        <v>2049.178413</v>
      </c>
      <c r="FF13" s="62">
        <f t="shared" si="8"/>
        <v>2049.178413</v>
      </c>
      <c r="FG13" s="62">
        <f t="shared" si="8"/>
        <v>2049.178413</v>
      </c>
      <c r="FH13" s="62">
        <f t="shared" si="8"/>
        <v>2049.178413</v>
      </c>
      <c r="FI13" s="62">
        <f t="shared" si="8"/>
        <v>2049.178413</v>
      </c>
      <c r="FJ13" s="62">
        <f t="shared" si="8"/>
        <v>2049.178413</v>
      </c>
      <c r="FK13" s="62">
        <f t="shared" si="8"/>
        <v>2049.178413</v>
      </c>
      <c r="FL13" s="62">
        <f t="shared" si="8"/>
        <v>2049.178413</v>
      </c>
      <c r="FM13" s="62">
        <f t="shared" si="8"/>
        <v>2049.178413</v>
      </c>
      <c r="FN13" s="62">
        <f t="shared" si="8"/>
        <v>2049.178413</v>
      </c>
      <c r="FO13" s="62">
        <f t="shared" si="8"/>
        <v>2049.178413</v>
      </c>
      <c r="FP13" s="62">
        <f t="shared" si="8"/>
        <v>2049.178413</v>
      </c>
      <c r="FQ13" s="62">
        <f t="shared" si="8"/>
        <v>2049.178413</v>
      </c>
      <c r="FR13" s="62">
        <f t="shared" si="8"/>
        <v>2049.178413</v>
      </c>
      <c r="FS13" s="62">
        <f t="shared" si="8"/>
        <v>2049.178413</v>
      </c>
      <c r="FT13" s="62">
        <f t="shared" si="8"/>
        <v>2049.178413</v>
      </c>
      <c r="FU13" s="62">
        <f t="shared" si="8"/>
        <v>2049.178413</v>
      </c>
      <c r="FV13" s="62">
        <f t="shared" si="8"/>
        <v>2049.178413</v>
      </c>
      <c r="FW13" s="62">
        <f t="shared" si="8"/>
        <v>2049.178413</v>
      </c>
      <c r="FX13" s="62">
        <f t="shared" si="8"/>
        <v>2049.178413</v>
      </c>
      <c r="FY13" s="62">
        <f t="shared" si="8"/>
        <v>2049.178413</v>
      </c>
      <c r="FZ13" s="62">
        <f t="shared" si="8"/>
        <v>2049.178413</v>
      </c>
      <c r="GA13" s="62">
        <f t="shared" si="8"/>
        <v>2049.178413</v>
      </c>
      <c r="GB13" s="62">
        <f t="shared" si="8"/>
        <v>2049.178413</v>
      </c>
      <c r="GC13" s="62">
        <f t="shared" si="8"/>
        <v>2049.178413</v>
      </c>
      <c r="GD13" s="62">
        <f t="shared" si="8"/>
        <v>2049.178413</v>
      </c>
      <c r="GE13" s="62">
        <f t="shared" si="8"/>
        <v>2049.178413</v>
      </c>
      <c r="GF13" s="62">
        <f t="shared" si="8"/>
        <v>2049.178413</v>
      </c>
      <c r="GG13" s="62">
        <f t="shared" si="8"/>
        <v>2049.178413</v>
      </c>
      <c r="GH13" s="62">
        <f t="shared" si="8"/>
        <v>2049.178413</v>
      </c>
      <c r="GI13" s="62">
        <f t="shared" si="8"/>
        <v>2049.178413</v>
      </c>
      <c r="GJ13" s="62">
        <f t="shared" si="8"/>
        <v>2049.178413</v>
      </c>
      <c r="GK13" s="62">
        <f t="shared" si="8"/>
        <v>2049.178413</v>
      </c>
      <c r="GL13" s="62">
        <f t="shared" si="8"/>
        <v>2049.178413</v>
      </c>
      <c r="GM13" s="62">
        <f t="shared" si="8"/>
        <v>2049.178413</v>
      </c>
      <c r="GN13" s="62">
        <f t="shared" si="8"/>
        <v>2049.178413</v>
      </c>
      <c r="GO13" s="62">
        <f t="shared" si="8"/>
        <v>2049.178413</v>
      </c>
      <c r="GP13" s="62">
        <f t="shared" si="8"/>
        <v>2049.178413</v>
      </c>
      <c r="GQ13" s="62">
        <f t="shared" si="8"/>
        <v>2049.178413</v>
      </c>
      <c r="GR13" s="62">
        <f t="shared" si="8"/>
        <v>2049.178413</v>
      </c>
      <c r="GS13" s="62">
        <f t="shared" si="8"/>
        <v>2049.178413</v>
      </c>
      <c r="GT13" s="62">
        <f t="shared" si="8"/>
        <v>2049.178413</v>
      </c>
      <c r="GU13" s="62">
        <f t="shared" si="8"/>
        <v>2049.178413</v>
      </c>
      <c r="GV13" s="62">
        <f t="shared" si="8"/>
        <v>2049.178413</v>
      </c>
      <c r="GW13" s="62">
        <f t="shared" si="8"/>
        <v>2049.178413</v>
      </c>
      <c r="GX13" s="62">
        <f t="shared" si="8"/>
        <v>2049.178413</v>
      </c>
      <c r="GY13" s="62">
        <f t="shared" si="8"/>
        <v>2049.178413</v>
      </c>
      <c r="GZ13" s="62">
        <f t="shared" si="8"/>
        <v>2049.178413</v>
      </c>
      <c r="HA13" s="62">
        <f t="shared" si="8"/>
        <v>2049.178413</v>
      </c>
      <c r="HB13" s="62">
        <f t="shared" si="8"/>
        <v>2049.178413</v>
      </c>
      <c r="HC13" s="62">
        <f t="shared" si="8"/>
        <v>2049.178413</v>
      </c>
      <c r="HD13" s="62">
        <f t="shared" si="8"/>
        <v>2049.178413</v>
      </c>
      <c r="HE13" s="62">
        <f t="shared" si="8"/>
        <v>2049.178413</v>
      </c>
      <c r="HF13" s="62">
        <f t="shared" si="8"/>
        <v>2049.178413</v>
      </c>
      <c r="HG13" s="62">
        <f t="shared" si="8"/>
        <v>2049.178413</v>
      </c>
      <c r="HH13" s="62">
        <f t="shared" si="8"/>
        <v>2049.178413</v>
      </c>
      <c r="HI13" s="62">
        <f t="shared" si="8"/>
        <v>2049.178413</v>
      </c>
      <c r="HJ13" s="62">
        <f t="shared" si="8"/>
        <v>2049.178413</v>
      </c>
      <c r="HK13" s="62">
        <f t="shared" si="8"/>
        <v>2049.178413</v>
      </c>
      <c r="HL13" s="62">
        <f t="shared" si="8"/>
        <v>2049.178413</v>
      </c>
      <c r="HM13" s="62">
        <f t="shared" si="8"/>
        <v>2049.178413</v>
      </c>
      <c r="HN13" s="62">
        <f t="shared" si="8"/>
        <v>2049.178413</v>
      </c>
      <c r="HO13" s="62">
        <f t="shared" si="8"/>
        <v>2049.178413</v>
      </c>
      <c r="HP13" s="62">
        <f t="shared" si="8"/>
        <v>2049.178413</v>
      </c>
      <c r="HQ13" s="62">
        <f t="shared" si="8"/>
        <v>2049.178413</v>
      </c>
      <c r="HR13" s="62">
        <f t="shared" si="8"/>
        <v>2049.178413</v>
      </c>
      <c r="HS13" s="62">
        <f t="shared" si="8"/>
        <v>2049.178413</v>
      </c>
      <c r="HT13" s="62">
        <f t="shared" si="8"/>
        <v>2049.178413</v>
      </c>
      <c r="HU13" s="62">
        <f t="shared" si="8"/>
        <v>2049.178413</v>
      </c>
      <c r="HV13" s="62">
        <f t="shared" si="8"/>
        <v>2049.178413</v>
      </c>
      <c r="HW13" s="62">
        <f t="shared" si="8"/>
        <v>2049.178413</v>
      </c>
      <c r="HX13" s="62">
        <f t="shared" si="8"/>
        <v>2049.178413</v>
      </c>
      <c r="HY13" s="62">
        <f t="shared" si="8"/>
        <v>2049.178413</v>
      </c>
      <c r="HZ13" s="62">
        <f t="shared" si="8"/>
        <v>2049.178413</v>
      </c>
      <c r="IA13" s="62">
        <f t="shared" si="8"/>
        <v>2049.178413</v>
      </c>
      <c r="IB13" s="62">
        <f t="shared" si="8"/>
        <v>2049.178413</v>
      </c>
      <c r="IC13" s="62">
        <f t="shared" si="8"/>
        <v>2049.178413</v>
      </c>
      <c r="ID13" s="62">
        <f t="shared" si="8"/>
        <v>2049.178413</v>
      </c>
      <c r="IE13" s="62">
        <f t="shared" si="8"/>
        <v>2049.178413</v>
      </c>
      <c r="IF13" s="62">
        <f t="shared" si="8"/>
        <v>2049.178413</v>
      </c>
      <c r="IG13" s="62">
        <f t="shared" si="8"/>
        <v>2049.178413</v>
      </c>
      <c r="IH13" s="62">
        <f t="shared" si="8"/>
        <v>2049.178413</v>
      </c>
      <c r="II13" s="62">
        <f t="shared" si="8"/>
        <v>2049.178413</v>
      </c>
      <c r="IJ13" s="62">
        <f t="shared" si="8"/>
        <v>2049.178413</v>
      </c>
      <c r="IK13" s="62">
        <f t="shared" si="8"/>
        <v>2049.178413</v>
      </c>
      <c r="IL13" s="62">
        <f t="shared" si="8"/>
        <v>2049.178413</v>
      </c>
      <c r="IM13" s="62">
        <f t="shared" si="8"/>
        <v>2049.178413</v>
      </c>
      <c r="IN13" s="62">
        <f t="shared" si="8"/>
        <v>2049.178413</v>
      </c>
      <c r="IO13" s="62">
        <f t="shared" si="8"/>
        <v>2049.178413</v>
      </c>
      <c r="IP13" s="62">
        <f t="shared" si="8"/>
        <v>2049.178413</v>
      </c>
      <c r="IQ13" s="62">
        <f t="shared" si="8"/>
        <v>2049.178413</v>
      </c>
      <c r="IR13" s="62">
        <f t="shared" si="8"/>
        <v>2049.178413</v>
      </c>
      <c r="IS13" s="62">
        <f t="shared" si="8"/>
        <v>2049.178413</v>
      </c>
      <c r="IT13" s="62">
        <f t="shared" si="8"/>
        <v>2049.178413</v>
      </c>
      <c r="IU13" s="62">
        <f t="shared" si="8"/>
        <v>2049.178413</v>
      </c>
      <c r="IV13" s="62">
        <f t="shared" si="8"/>
        <v>2049.178413</v>
      </c>
      <c r="IW13" s="62">
        <f t="shared" si="8"/>
        <v>2049.178413</v>
      </c>
      <c r="IX13" s="62">
        <f t="shared" si="8"/>
        <v>2049.178413</v>
      </c>
      <c r="IY13" s="62">
        <f t="shared" si="8"/>
        <v>2049.178413</v>
      </c>
      <c r="IZ13" s="62">
        <f t="shared" si="8"/>
        <v>2049.178413</v>
      </c>
      <c r="JA13" s="62">
        <f t="shared" si="8"/>
        <v>2049.178413</v>
      </c>
      <c r="JB13" s="62">
        <f t="shared" si="8"/>
        <v>2049.178413</v>
      </c>
      <c r="JC13" s="62">
        <f t="shared" si="8"/>
        <v>2049.178413</v>
      </c>
      <c r="JD13" s="62">
        <f t="shared" si="8"/>
        <v>2049.178413</v>
      </c>
      <c r="JE13" s="62">
        <f t="shared" si="8"/>
        <v>2049.178413</v>
      </c>
      <c r="JF13" s="62">
        <f t="shared" si="8"/>
        <v>2049.178413</v>
      </c>
      <c r="JG13" s="62">
        <f t="shared" si="8"/>
        <v>2049.178413</v>
      </c>
      <c r="JH13" s="62">
        <f t="shared" si="8"/>
        <v>2049.178413</v>
      </c>
      <c r="JI13" s="62">
        <f t="shared" si="8"/>
        <v>2049.178413</v>
      </c>
      <c r="JJ13" s="62">
        <f t="shared" si="8"/>
        <v>2049.178413</v>
      </c>
      <c r="JK13" s="62">
        <f t="shared" si="8"/>
        <v>2049.178413</v>
      </c>
      <c r="JL13" s="62">
        <f t="shared" si="8"/>
        <v>2049.178413</v>
      </c>
      <c r="JM13" s="62">
        <f t="shared" si="8"/>
        <v>2049.178413</v>
      </c>
      <c r="JN13" s="62">
        <f t="shared" si="8"/>
        <v>2049.178413</v>
      </c>
      <c r="JO13" s="62">
        <f t="shared" si="8"/>
        <v>2049.178413</v>
      </c>
      <c r="JP13" s="62">
        <f t="shared" si="8"/>
        <v>2049.178413</v>
      </c>
      <c r="JQ13" s="62">
        <f t="shared" si="8"/>
        <v>2049.178413</v>
      </c>
      <c r="JR13" s="62">
        <f t="shared" si="8"/>
        <v>2049.178413</v>
      </c>
      <c r="JS13" s="62">
        <f t="shared" si="8"/>
        <v>2049.178413</v>
      </c>
      <c r="JT13" s="62">
        <f t="shared" si="8"/>
        <v>2049.178413</v>
      </c>
      <c r="JU13" s="62">
        <f t="shared" si="8"/>
        <v>2049.178413</v>
      </c>
      <c r="JV13" s="62">
        <f t="shared" si="8"/>
        <v>2049.178413</v>
      </c>
      <c r="JW13" s="62">
        <f t="shared" si="8"/>
        <v>2049.178413</v>
      </c>
      <c r="JX13" s="62">
        <f t="shared" si="8"/>
        <v>2049.178413</v>
      </c>
      <c r="JY13" s="62">
        <f t="shared" si="8"/>
        <v>2049.178413</v>
      </c>
      <c r="JZ13" s="62">
        <f t="shared" si="8"/>
        <v>2049.178413</v>
      </c>
      <c r="KA13" s="62">
        <f t="shared" si="8"/>
        <v>2049.178413</v>
      </c>
      <c r="KB13" s="62">
        <f t="shared" si="8"/>
        <v>2049.178413</v>
      </c>
      <c r="KC13" s="62">
        <f t="shared" si="8"/>
        <v>2049.178413</v>
      </c>
      <c r="KD13" s="62">
        <f t="shared" si="8"/>
        <v>2049.178413</v>
      </c>
      <c r="KE13" s="62">
        <f t="shared" si="8"/>
        <v>2049.178413</v>
      </c>
      <c r="KF13" s="62">
        <f t="shared" si="8"/>
        <v>2049.178413</v>
      </c>
      <c r="KG13" s="62">
        <f t="shared" si="8"/>
        <v>2049.178413</v>
      </c>
      <c r="KH13" s="62">
        <f t="shared" si="8"/>
        <v>2049.178413</v>
      </c>
      <c r="KI13" s="62">
        <f t="shared" si="8"/>
        <v>2049.178413</v>
      </c>
      <c r="KJ13" s="62">
        <f t="shared" si="8"/>
        <v>2049.178413</v>
      </c>
      <c r="KK13" s="62">
        <f t="shared" si="8"/>
        <v>2049.178413</v>
      </c>
      <c r="KL13" s="62">
        <f t="shared" si="8"/>
        <v>2049.178413</v>
      </c>
      <c r="KM13" s="62">
        <f t="shared" si="8"/>
        <v>2049.178413</v>
      </c>
      <c r="KN13" s="62">
        <f t="shared" si="8"/>
        <v>2049.178413</v>
      </c>
      <c r="KO13" s="62">
        <f t="shared" si="8"/>
        <v>2049.178413</v>
      </c>
      <c r="KP13" s="62">
        <f t="shared" si="8"/>
        <v>2049.178413</v>
      </c>
      <c r="KQ13" s="62">
        <f t="shared" si="8"/>
        <v>2049.178413</v>
      </c>
      <c r="KR13" s="62">
        <f t="shared" si="8"/>
        <v>2049.178413</v>
      </c>
      <c r="KS13" s="62">
        <f t="shared" si="8"/>
        <v>2049.178413</v>
      </c>
      <c r="KT13" s="62">
        <f t="shared" si="8"/>
        <v>2049.178413</v>
      </c>
      <c r="KU13" s="62">
        <f t="shared" si="8"/>
        <v>2049.178413</v>
      </c>
      <c r="KV13" s="62">
        <f t="shared" si="8"/>
        <v>2049.178413</v>
      </c>
      <c r="KW13" s="62">
        <f t="shared" si="8"/>
        <v>2049.178413</v>
      </c>
      <c r="KX13" s="62">
        <f t="shared" si="8"/>
        <v>2049.178413</v>
      </c>
      <c r="KY13" s="62">
        <f t="shared" si="8"/>
        <v>2049.178413</v>
      </c>
      <c r="KZ13" s="62">
        <f t="shared" si="8"/>
        <v>2049.178413</v>
      </c>
      <c r="LA13" s="62">
        <f t="shared" si="8"/>
        <v>2049.178413</v>
      </c>
      <c r="LB13" s="62">
        <f t="shared" si="8"/>
        <v>2049.178413</v>
      </c>
      <c r="LC13" s="62">
        <f t="shared" si="8"/>
        <v>2049.178413</v>
      </c>
      <c r="LD13" s="62">
        <f t="shared" si="8"/>
        <v>2049.178413</v>
      </c>
      <c r="LE13" s="62">
        <f t="shared" si="8"/>
        <v>2049.178413</v>
      </c>
      <c r="LF13" s="62">
        <f t="shared" si="8"/>
        <v>2049.178413</v>
      </c>
      <c r="LG13" s="62">
        <f t="shared" si="8"/>
        <v>2049.178413</v>
      </c>
      <c r="LH13" s="62">
        <f t="shared" si="8"/>
        <v>2049.178413</v>
      </c>
      <c r="LI13" s="62">
        <f t="shared" si="8"/>
        <v>2049.178413</v>
      </c>
      <c r="LJ13" s="62">
        <f t="shared" si="8"/>
        <v>2049.178413</v>
      </c>
      <c r="LK13" s="62">
        <f t="shared" si="8"/>
        <v>2049.178413</v>
      </c>
      <c r="LL13" s="62">
        <f t="shared" si="8"/>
        <v>2049.178413</v>
      </c>
      <c r="LM13" s="62">
        <f t="shared" si="8"/>
        <v>2049.178413</v>
      </c>
      <c r="LN13" s="62">
        <f t="shared" si="8"/>
        <v>2049.178413</v>
      </c>
      <c r="LO13" s="62">
        <f t="shared" si="8"/>
        <v>2049.178413</v>
      </c>
      <c r="LP13" s="62">
        <f t="shared" si="8"/>
        <v>2049.178413</v>
      </c>
      <c r="LQ13" s="62">
        <f t="shared" si="8"/>
        <v>2049.178413</v>
      </c>
      <c r="LR13" s="62">
        <f t="shared" si="8"/>
        <v>2049.178413</v>
      </c>
      <c r="LS13" s="62">
        <f t="shared" si="8"/>
        <v>2049.178413</v>
      </c>
      <c r="LT13" s="62">
        <f t="shared" si="8"/>
        <v>2049.178413</v>
      </c>
      <c r="LU13" s="62">
        <f t="shared" si="8"/>
        <v>2049.178413</v>
      </c>
      <c r="LV13" s="62">
        <f t="shared" si="8"/>
        <v>2049.178413</v>
      </c>
      <c r="LW13" s="62">
        <f t="shared" si="8"/>
        <v>2049.178413</v>
      </c>
      <c r="LX13" s="62">
        <f t="shared" si="8"/>
        <v>2049.178413</v>
      </c>
      <c r="LY13" s="62">
        <f t="shared" si="8"/>
        <v>2049.178413</v>
      </c>
      <c r="LZ13" s="62">
        <f t="shared" si="8"/>
        <v>2049.178413</v>
      </c>
      <c r="MA13" s="62">
        <f t="shared" si="8"/>
        <v>2049.178413</v>
      </c>
      <c r="MB13" s="62">
        <f t="shared" si="8"/>
        <v>2049.178413</v>
      </c>
      <c r="MC13" s="62">
        <f t="shared" si="8"/>
        <v>2049.178413</v>
      </c>
      <c r="MD13" s="62">
        <f t="shared" si="8"/>
        <v>2049.178413</v>
      </c>
      <c r="ME13" s="62">
        <f t="shared" si="8"/>
        <v>2049.178413</v>
      </c>
      <c r="MF13" s="62">
        <f t="shared" si="8"/>
        <v>2049.178413</v>
      </c>
      <c r="MG13" s="62">
        <f t="shared" si="8"/>
        <v>2049.178413</v>
      </c>
      <c r="MH13" s="62">
        <f t="shared" si="8"/>
        <v>2049.178413</v>
      </c>
      <c r="MI13" s="62">
        <f t="shared" si="8"/>
        <v>2049.178413</v>
      </c>
      <c r="MJ13" s="62">
        <f t="shared" si="8"/>
        <v>2049.178413</v>
      </c>
      <c r="MK13" s="62">
        <f t="shared" si="8"/>
        <v>2049.178413</v>
      </c>
      <c r="ML13" s="62">
        <f t="shared" si="8"/>
        <v>2049.178413</v>
      </c>
      <c r="MM13" s="62">
        <f t="shared" si="8"/>
        <v>2049.178413</v>
      </c>
      <c r="MN13" s="62">
        <f t="shared" si="8"/>
        <v>2049.178413</v>
      </c>
      <c r="MO13" s="62">
        <f t="shared" si="8"/>
        <v>2049.178413</v>
      </c>
      <c r="MP13" s="62">
        <f t="shared" si="8"/>
        <v>2049.178413</v>
      </c>
      <c r="MQ13" s="62">
        <f t="shared" si="8"/>
        <v>2049.178413</v>
      </c>
      <c r="MR13" s="62">
        <f t="shared" si="8"/>
        <v>2049.178413</v>
      </c>
      <c r="MS13" s="62">
        <f t="shared" si="8"/>
        <v>2049.178413</v>
      </c>
      <c r="MT13" s="62">
        <f t="shared" si="8"/>
        <v>2049.178413</v>
      </c>
      <c r="MU13" s="62">
        <f t="shared" si="8"/>
        <v>2049.178413</v>
      </c>
      <c r="MV13" s="62">
        <f t="shared" si="8"/>
        <v>2049.178413</v>
      </c>
      <c r="MW13" s="62">
        <f t="shared" si="8"/>
        <v>2049.178413</v>
      </c>
      <c r="MX13" s="62">
        <f t="shared" si="8"/>
        <v>2049.178413</v>
      </c>
      <c r="MY13" s="62">
        <f t="shared" si="8"/>
        <v>2049.178413</v>
      </c>
      <c r="MZ13" s="62">
        <f t="shared" si="8"/>
        <v>2049.178413</v>
      </c>
      <c r="NA13" s="62">
        <f t="shared" si="8"/>
        <v>2049.178413</v>
      </c>
      <c r="NB13" s="62">
        <f t="shared" si="8"/>
        <v>2049.178413</v>
      </c>
      <c r="NC13" s="62">
        <f t="shared" si="8"/>
        <v>2049.178413</v>
      </c>
      <c r="ND13" s="62">
        <f t="shared" si="8"/>
        <v>2049.178413</v>
      </c>
      <c r="NE13" s="62">
        <f t="shared" si="8"/>
        <v>2049.178413</v>
      </c>
      <c r="NF13" s="62">
        <f t="shared" si="8"/>
        <v>2049.178413</v>
      </c>
      <c r="NG13" s="62">
        <f t="shared" si="8"/>
        <v>2049.178413</v>
      </c>
      <c r="NH13" s="62">
        <f t="shared" si="8"/>
        <v>2049.178413</v>
      </c>
      <c r="NI13" s="62">
        <f t="shared" si="8"/>
        <v>2049.178413</v>
      </c>
      <c r="NJ13" s="62">
        <f t="shared" si="8"/>
        <v>2049.178413</v>
      </c>
      <c r="NK13" s="62">
        <f t="shared" si="8"/>
        <v>2049.178413</v>
      </c>
      <c r="NL13" s="62">
        <f t="shared" si="8"/>
        <v>2049.178413</v>
      </c>
      <c r="NM13" s="62">
        <f t="shared" si="8"/>
        <v>2049.178413</v>
      </c>
      <c r="NN13" s="62">
        <f t="shared" si="8"/>
        <v>2049.178413</v>
      </c>
      <c r="NO13" s="62">
        <f t="shared" si="8"/>
        <v>2049.178413</v>
      </c>
      <c r="NP13" s="62">
        <f t="shared" si="8"/>
        <v>2049.178413</v>
      </c>
      <c r="NQ13" s="62">
        <f t="shared" si="8"/>
        <v>2049.178413</v>
      </c>
      <c r="NR13" s="62">
        <f t="shared" si="8"/>
        <v>2049.178413</v>
      </c>
      <c r="NS13" s="62">
        <f t="shared" si="8"/>
        <v>2049.178413</v>
      </c>
      <c r="NT13" s="62">
        <f t="shared" si="8"/>
        <v>2049.178413</v>
      </c>
      <c r="NU13" s="62">
        <f t="shared" si="8"/>
        <v>2049.178413</v>
      </c>
      <c r="NV13" s="62">
        <f t="shared" si="8"/>
        <v>2049.178413</v>
      </c>
      <c r="NW13" s="62">
        <f t="shared" si="8"/>
        <v>2049.178413</v>
      </c>
      <c r="NX13" s="62">
        <f t="shared" si="8"/>
        <v>2049.178413</v>
      </c>
      <c r="NY13" s="62">
        <f t="shared" si="8"/>
        <v>2049.178413</v>
      </c>
      <c r="NZ13" s="62">
        <f t="shared" si="8"/>
        <v>2049.178413</v>
      </c>
      <c r="OA13" s="62">
        <f t="shared" si="8"/>
        <v>2049.178413</v>
      </c>
      <c r="OB13" s="62">
        <f t="shared" si="8"/>
        <v>2049.178413</v>
      </c>
      <c r="OC13" s="62">
        <f t="shared" si="8"/>
        <v>2049.178413</v>
      </c>
      <c r="OD13" s="62">
        <f t="shared" si="8"/>
        <v>2049.178413</v>
      </c>
      <c r="OE13" s="62">
        <f t="shared" si="8"/>
        <v>2049.178413</v>
      </c>
      <c r="OF13" s="62">
        <f t="shared" si="8"/>
        <v>2049.178413</v>
      </c>
      <c r="OG13" s="62">
        <f t="shared" si="8"/>
        <v>2049.178413</v>
      </c>
      <c r="OH13" s="62">
        <f t="shared" si="8"/>
        <v>2049.178413</v>
      </c>
      <c r="OI13" s="62">
        <f t="shared" si="8"/>
        <v>2049.178413</v>
      </c>
      <c r="OJ13" s="62">
        <f t="shared" si="8"/>
        <v>2049.178413</v>
      </c>
      <c r="OK13" s="62">
        <f t="shared" si="8"/>
        <v>2049.178413</v>
      </c>
      <c r="OL13" s="62">
        <f t="shared" si="8"/>
        <v>2049.178413</v>
      </c>
      <c r="OM13" s="62">
        <f t="shared" si="8"/>
        <v>2049.178413</v>
      </c>
      <c r="ON13" s="62">
        <f t="shared" si="8"/>
        <v>2049.178413</v>
      </c>
      <c r="OO13" s="62">
        <f t="shared" si="8"/>
        <v>2049.178413</v>
      </c>
      <c r="OP13" s="62">
        <f t="shared" si="8"/>
        <v>2049.178413</v>
      </c>
      <c r="OQ13" s="62">
        <f t="shared" si="8"/>
        <v>2049.178413</v>
      </c>
      <c r="OR13" s="62">
        <f t="shared" si="8"/>
        <v>2049.178413</v>
      </c>
      <c r="OS13" s="62">
        <f t="shared" si="8"/>
        <v>2049.178413</v>
      </c>
      <c r="OT13" s="62">
        <f t="shared" si="8"/>
        <v>2049.178413</v>
      </c>
      <c r="OU13" s="62">
        <f t="shared" si="8"/>
        <v>2049.178413</v>
      </c>
      <c r="OV13" s="62">
        <f t="shared" si="8"/>
        <v>2049.178413</v>
      </c>
      <c r="OW13" s="62">
        <f t="shared" si="8"/>
        <v>2049.178413</v>
      </c>
      <c r="OX13" s="62">
        <f t="shared" si="8"/>
        <v>2049.178413</v>
      </c>
      <c r="OY13" s="62">
        <f t="shared" si="8"/>
        <v>2049.178413</v>
      </c>
      <c r="OZ13" s="62">
        <f t="shared" si="8"/>
        <v>2049.178413</v>
      </c>
      <c r="PA13" s="62">
        <f t="shared" si="8"/>
        <v>2049.178413</v>
      </c>
      <c r="PB13" s="62">
        <f t="shared" si="8"/>
        <v>2049.178413</v>
      </c>
      <c r="PC13" s="62">
        <f t="shared" si="8"/>
        <v>2049.178413</v>
      </c>
      <c r="PD13" s="62">
        <f t="shared" si="8"/>
        <v>2049.178413</v>
      </c>
      <c r="PE13" s="62">
        <f t="shared" si="8"/>
        <v>2049.178413</v>
      </c>
      <c r="PF13" s="62">
        <f t="shared" si="8"/>
        <v>2049.178413</v>
      </c>
      <c r="PG13" s="62">
        <f t="shared" si="8"/>
        <v>2049.178413</v>
      </c>
      <c r="PH13" s="62">
        <f t="shared" si="8"/>
        <v>2049.178413</v>
      </c>
      <c r="PI13" s="62">
        <f t="shared" si="8"/>
        <v>2049.178413</v>
      </c>
      <c r="PJ13" s="62">
        <f t="shared" si="8"/>
        <v>2049.178413</v>
      </c>
      <c r="PK13" s="62">
        <f t="shared" si="8"/>
        <v>2049.178413</v>
      </c>
      <c r="PL13" s="62">
        <f t="shared" si="8"/>
        <v>2049.178413</v>
      </c>
      <c r="PM13" s="62">
        <f t="shared" si="8"/>
        <v>2049.178413</v>
      </c>
      <c r="PN13" s="62">
        <f t="shared" si="8"/>
        <v>2049.178413</v>
      </c>
      <c r="PO13" s="62">
        <f t="shared" si="8"/>
        <v>2049.178413</v>
      </c>
      <c r="PP13" s="62">
        <f t="shared" si="8"/>
        <v>2049.178413</v>
      </c>
      <c r="PQ13" s="62">
        <f t="shared" si="8"/>
        <v>2049.178413</v>
      </c>
      <c r="PR13" s="62">
        <f t="shared" si="8"/>
        <v>2049.178413</v>
      </c>
      <c r="PS13" s="62">
        <f t="shared" si="8"/>
        <v>2049.178413</v>
      </c>
      <c r="PT13" s="62">
        <f t="shared" si="8"/>
        <v>2049.178413</v>
      </c>
      <c r="PU13" s="62">
        <f t="shared" si="8"/>
        <v>2049.178413</v>
      </c>
      <c r="PV13" s="62">
        <f t="shared" si="8"/>
        <v>2049.178413</v>
      </c>
      <c r="PW13" s="62">
        <f t="shared" si="8"/>
        <v>2049.178413</v>
      </c>
      <c r="PX13" s="62">
        <f t="shared" si="8"/>
        <v>2049.178413</v>
      </c>
      <c r="PY13" s="62">
        <f t="shared" si="8"/>
        <v>2049.178413</v>
      </c>
      <c r="PZ13" s="62">
        <f t="shared" si="8"/>
        <v>2049.178413</v>
      </c>
      <c r="QA13" s="62">
        <f t="shared" si="8"/>
        <v>2049.178413</v>
      </c>
      <c r="QB13" s="62">
        <f t="shared" si="8"/>
        <v>2049.178413</v>
      </c>
      <c r="QC13" s="62">
        <f t="shared" si="8"/>
        <v>2049.178413</v>
      </c>
      <c r="QD13" s="62">
        <f t="shared" si="8"/>
        <v>2049.178413</v>
      </c>
      <c r="QE13" s="62">
        <f t="shared" si="8"/>
        <v>2049.178413</v>
      </c>
      <c r="QF13" s="62">
        <f t="shared" si="8"/>
        <v>2049.178413</v>
      </c>
      <c r="QG13" s="62">
        <f t="shared" si="8"/>
        <v>2049.178413</v>
      </c>
      <c r="QH13" s="62">
        <f t="shared" si="8"/>
        <v>2049.178413</v>
      </c>
      <c r="QI13" s="62">
        <f t="shared" si="8"/>
        <v>2049.178413</v>
      </c>
      <c r="QJ13" s="62">
        <f t="shared" si="8"/>
        <v>2049.178413</v>
      </c>
      <c r="QK13" s="62">
        <f t="shared" si="8"/>
        <v>2049.178413</v>
      </c>
      <c r="QL13" s="62">
        <f t="shared" si="8"/>
        <v>2049.178413</v>
      </c>
      <c r="QM13" s="62">
        <f t="shared" si="8"/>
        <v>2049.178413</v>
      </c>
      <c r="QN13" s="62">
        <f t="shared" si="8"/>
        <v>2049.178413</v>
      </c>
      <c r="QO13" s="62">
        <f t="shared" si="8"/>
        <v>2049.178413</v>
      </c>
      <c r="QP13" s="62">
        <f t="shared" si="8"/>
        <v>2049.178413</v>
      </c>
      <c r="QQ13" s="62">
        <f t="shared" si="8"/>
        <v>2049.178413</v>
      </c>
      <c r="QR13" s="62">
        <f t="shared" si="8"/>
        <v>2049.178413</v>
      </c>
      <c r="QS13" s="62">
        <f t="shared" si="8"/>
        <v>2049.178413</v>
      </c>
      <c r="QT13" s="62">
        <f t="shared" si="8"/>
        <v>2049.178413</v>
      </c>
      <c r="QU13" s="62">
        <f t="shared" si="8"/>
        <v>2049.178413</v>
      </c>
      <c r="QV13" s="62">
        <f t="shared" si="8"/>
        <v>2049.178413</v>
      </c>
      <c r="QW13" s="62">
        <f t="shared" si="8"/>
        <v>2049.178413</v>
      </c>
      <c r="QX13" s="62">
        <f t="shared" si="8"/>
        <v>2049.178413</v>
      </c>
      <c r="QY13" s="62">
        <f t="shared" si="8"/>
        <v>2049.178413</v>
      </c>
      <c r="QZ13" s="62">
        <f t="shared" si="8"/>
        <v>2049.178413</v>
      </c>
      <c r="RA13" s="62">
        <f t="shared" si="8"/>
        <v>2049.178413</v>
      </c>
      <c r="RB13" s="62">
        <f t="shared" si="8"/>
        <v>2049.178413</v>
      </c>
      <c r="RC13" s="62">
        <f t="shared" si="8"/>
        <v>2049.178413</v>
      </c>
      <c r="RD13" s="62">
        <f t="shared" si="8"/>
        <v>2049.178413</v>
      </c>
      <c r="RE13" s="62">
        <f t="shared" si="8"/>
        <v>2049.178413</v>
      </c>
      <c r="RF13" s="62">
        <f t="shared" si="8"/>
        <v>2049.178413</v>
      </c>
      <c r="RG13" s="62">
        <f t="shared" si="8"/>
        <v>2049.178413</v>
      </c>
      <c r="RH13" s="62">
        <f t="shared" si="8"/>
        <v>2049.178413</v>
      </c>
      <c r="RI13" s="62">
        <f t="shared" si="8"/>
        <v>2049.178413</v>
      </c>
      <c r="RJ13" s="62">
        <f t="shared" si="8"/>
        <v>2049.178413</v>
      </c>
      <c r="RK13" s="62">
        <f t="shared" si="8"/>
        <v>2049.178413</v>
      </c>
      <c r="RL13" s="62">
        <f t="shared" si="8"/>
        <v>2049.178413</v>
      </c>
      <c r="RM13" s="62">
        <f t="shared" si="8"/>
        <v>2049.178413</v>
      </c>
      <c r="RN13" s="62">
        <f t="shared" si="8"/>
        <v>2049.178413</v>
      </c>
      <c r="RO13" s="62">
        <f t="shared" si="8"/>
        <v>2049.178413</v>
      </c>
      <c r="RP13" s="62">
        <f t="shared" si="8"/>
        <v>2049.178413</v>
      </c>
      <c r="RQ13" s="62">
        <f t="shared" si="8"/>
        <v>2049.178413</v>
      </c>
      <c r="RR13" s="62">
        <f t="shared" si="8"/>
        <v>2049.178413</v>
      </c>
      <c r="RS13" s="62">
        <f t="shared" si="8"/>
        <v>2049.178413</v>
      </c>
      <c r="RT13" s="62">
        <f t="shared" si="8"/>
        <v>2049.178413</v>
      </c>
      <c r="RU13" s="62">
        <f t="shared" si="8"/>
        <v>2049.178413</v>
      </c>
      <c r="RV13" s="62">
        <f t="shared" si="8"/>
        <v>2049.178413</v>
      </c>
      <c r="RW13" s="62">
        <f t="shared" si="8"/>
        <v>2049.178413</v>
      </c>
      <c r="RX13" s="62">
        <f t="shared" si="8"/>
        <v>2049.178413</v>
      </c>
      <c r="RY13" s="62">
        <f t="shared" si="8"/>
        <v>2049.178413</v>
      </c>
      <c r="RZ13" s="62">
        <f t="shared" si="8"/>
        <v>2049.178413</v>
      </c>
      <c r="SA13" s="62">
        <f t="shared" si="8"/>
        <v>2049.178413</v>
      </c>
      <c r="SB13" s="62">
        <f t="shared" si="8"/>
        <v>2049.178413</v>
      </c>
      <c r="SC13" s="62">
        <f t="shared" si="8"/>
        <v>2049.178413</v>
      </c>
      <c r="SD13" s="62">
        <f t="shared" si="8"/>
        <v>2049.178413</v>
      </c>
      <c r="SE13" s="62">
        <f t="shared" si="8"/>
        <v>2049.178413</v>
      </c>
      <c r="SF13" s="62">
        <f t="shared" si="8"/>
        <v>2049.178413</v>
      </c>
      <c r="SG13" s="62">
        <f t="shared" si="8"/>
        <v>2049.178413</v>
      </c>
      <c r="SH13" s="62">
        <f t="shared" si="8"/>
        <v>2049.178413</v>
      </c>
      <c r="SI13" s="62">
        <f t="shared" si="8"/>
        <v>2049.178413</v>
      </c>
      <c r="SJ13" s="62">
        <f t="shared" si="8"/>
        <v>2049.178413</v>
      </c>
      <c r="SK13" s="62">
        <f t="shared" si="8"/>
        <v>2049.178413</v>
      </c>
      <c r="SL13" s="62">
        <f t="shared" si="8"/>
        <v>2049.178413</v>
      </c>
    </row>
    <row r="14">
      <c r="A14" s="53" t="s">
        <v>87</v>
      </c>
      <c r="B14" s="62">
        <f>B13/B8</f>
        <v>487.899622</v>
      </c>
      <c r="C14" s="244"/>
      <c r="D14" s="245"/>
      <c r="E14" s="246"/>
      <c r="F14" s="98"/>
      <c r="G14" s="62">
        <f t="shared" ref="G14:SL14" si="9">G13/G8</f>
        <v>487.899622</v>
      </c>
      <c r="H14" s="62">
        <f t="shared" si="9"/>
        <v>487.899622</v>
      </c>
      <c r="I14" s="62">
        <f t="shared" si="9"/>
        <v>487.899622</v>
      </c>
      <c r="J14" s="62">
        <f t="shared" si="9"/>
        <v>487.899622</v>
      </c>
      <c r="K14" s="62">
        <f t="shared" si="9"/>
        <v>487.899622</v>
      </c>
      <c r="L14" s="62">
        <f t="shared" si="9"/>
        <v>487.899622</v>
      </c>
      <c r="M14" s="62">
        <f t="shared" si="9"/>
        <v>487.899622</v>
      </c>
      <c r="N14" s="62">
        <f t="shared" si="9"/>
        <v>487.899622</v>
      </c>
      <c r="O14" s="62">
        <f t="shared" si="9"/>
        <v>487.899622</v>
      </c>
      <c r="P14" s="62">
        <f t="shared" si="9"/>
        <v>487.899622</v>
      </c>
      <c r="Q14" s="62">
        <f t="shared" si="9"/>
        <v>487.899622</v>
      </c>
      <c r="R14" s="62">
        <f t="shared" si="9"/>
        <v>487.899622</v>
      </c>
      <c r="S14" s="62">
        <f t="shared" si="9"/>
        <v>487.899622</v>
      </c>
      <c r="T14" s="62">
        <f t="shared" si="9"/>
        <v>487.899622</v>
      </c>
      <c r="U14" s="62">
        <f t="shared" si="9"/>
        <v>487.899622</v>
      </c>
      <c r="V14" s="62">
        <f t="shared" si="9"/>
        <v>487.899622</v>
      </c>
      <c r="W14" s="62">
        <f t="shared" si="9"/>
        <v>487.899622</v>
      </c>
      <c r="X14" s="62">
        <f t="shared" si="9"/>
        <v>487.899622</v>
      </c>
      <c r="Y14" s="62">
        <f t="shared" si="9"/>
        <v>487.899622</v>
      </c>
      <c r="Z14" s="62">
        <f t="shared" si="9"/>
        <v>487.899622</v>
      </c>
      <c r="AA14" s="62">
        <f t="shared" si="9"/>
        <v>487.899622</v>
      </c>
      <c r="AB14" s="62">
        <f t="shared" si="9"/>
        <v>487.899622</v>
      </c>
      <c r="AC14" s="62">
        <f t="shared" si="9"/>
        <v>487.899622</v>
      </c>
      <c r="AD14" s="62">
        <f t="shared" si="9"/>
        <v>487.899622</v>
      </c>
      <c r="AE14" s="62">
        <f t="shared" si="9"/>
        <v>487.899622</v>
      </c>
      <c r="AF14" s="62">
        <f t="shared" si="9"/>
        <v>487.899622</v>
      </c>
      <c r="AG14" s="62">
        <f t="shared" si="9"/>
        <v>487.899622</v>
      </c>
      <c r="AH14" s="62">
        <f t="shared" si="9"/>
        <v>487.899622</v>
      </c>
      <c r="AI14" s="62">
        <f t="shared" si="9"/>
        <v>487.899622</v>
      </c>
      <c r="AJ14" s="62">
        <f t="shared" si="9"/>
        <v>487.899622</v>
      </c>
      <c r="AK14" s="62">
        <f t="shared" si="9"/>
        <v>487.899622</v>
      </c>
      <c r="AL14" s="62">
        <f t="shared" si="9"/>
        <v>487.899622</v>
      </c>
      <c r="AM14" s="62">
        <f t="shared" si="9"/>
        <v>487.899622</v>
      </c>
      <c r="AN14" s="62">
        <f t="shared" si="9"/>
        <v>487.899622</v>
      </c>
      <c r="AO14" s="62">
        <f t="shared" si="9"/>
        <v>487.899622</v>
      </c>
      <c r="AP14" s="62">
        <f t="shared" si="9"/>
        <v>487.899622</v>
      </c>
      <c r="AQ14" s="62">
        <f t="shared" si="9"/>
        <v>487.899622</v>
      </c>
      <c r="AR14" s="62">
        <f t="shared" si="9"/>
        <v>487.899622</v>
      </c>
      <c r="AS14" s="62">
        <f t="shared" si="9"/>
        <v>487.899622</v>
      </c>
      <c r="AT14" s="62">
        <f t="shared" si="9"/>
        <v>487.899622</v>
      </c>
      <c r="AU14" s="62">
        <f t="shared" si="9"/>
        <v>487.899622</v>
      </c>
      <c r="AV14" s="62">
        <f t="shared" si="9"/>
        <v>487.899622</v>
      </c>
      <c r="AW14" s="62">
        <f t="shared" si="9"/>
        <v>487.899622</v>
      </c>
      <c r="AX14" s="62">
        <f t="shared" si="9"/>
        <v>487.899622</v>
      </c>
      <c r="AY14" s="62">
        <f t="shared" si="9"/>
        <v>487.899622</v>
      </c>
      <c r="AZ14" s="62">
        <f t="shared" si="9"/>
        <v>487.899622</v>
      </c>
      <c r="BA14" s="62">
        <f t="shared" si="9"/>
        <v>487.899622</v>
      </c>
      <c r="BB14" s="62">
        <f t="shared" si="9"/>
        <v>487.899622</v>
      </c>
      <c r="BC14" s="62">
        <f t="shared" si="9"/>
        <v>487.899622</v>
      </c>
      <c r="BD14" s="62">
        <f t="shared" si="9"/>
        <v>487.899622</v>
      </c>
      <c r="BE14" s="62">
        <f t="shared" si="9"/>
        <v>487.899622</v>
      </c>
      <c r="BF14" s="62">
        <f t="shared" si="9"/>
        <v>487.899622</v>
      </c>
      <c r="BG14" s="62">
        <f t="shared" si="9"/>
        <v>487.899622</v>
      </c>
      <c r="BH14" s="62">
        <f t="shared" si="9"/>
        <v>487.899622</v>
      </c>
      <c r="BI14" s="62">
        <f t="shared" si="9"/>
        <v>487.899622</v>
      </c>
      <c r="BJ14" s="62">
        <f t="shared" si="9"/>
        <v>487.899622</v>
      </c>
      <c r="BK14" s="62">
        <f t="shared" si="9"/>
        <v>487.899622</v>
      </c>
      <c r="BL14" s="62">
        <f t="shared" si="9"/>
        <v>487.899622</v>
      </c>
      <c r="BM14" s="62">
        <f t="shared" si="9"/>
        <v>487.899622</v>
      </c>
      <c r="BN14" s="62">
        <f t="shared" si="9"/>
        <v>487.899622</v>
      </c>
      <c r="BO14" s="62">
        <f t="shared" si="9"/>
        <v>487.899622</v>
      </c>
      <c r="BP14" s="62">
        <f t="shared" si="9"/>
        <v>487.899622</v>
      </c>
      <c r="BQ14" s="62">
        <f t="shared" si="9"/>
        <v>487.899622</v>
      </c>
      <c r="BR14" s="62">
        <f t="shared" si="9"/>
        <v>487.899622</v>
      </c>
      <c r="BS14" s="62">
        <f t="shared" si="9"/>
        <v>487.899622</v>
      </c>
      <c r="BT14" s="62">
        <f t="shared" si="9"/>
        <v>487.899622</v>
      </c>
      <c r="BU14" s="62">
        <f t="shared" si="9"/>
        <v>487.899622</v>
      </c>
      <c r="BV14" s="62">
        <f t="shared" si="9"/>
        <v>487.899622</v>
      </c>
      <c r="BW14" s="62">
        <f t="shared" si="9"/>
        <v>487.899622</v>
      </c>
      <c r="BX14" s="62">
        <f t="shared" si="9"/>
        <v>487.899622</v>
      </c>
      <c r="BY14" s="62">
        <f t="shared" si="9"/>
        <v>487.899622</v>
      </c>
      <c r="BZ14" s="62">
        <f t="shared" si="9"/>
        <v>487.899622</v>
      </c>
      <c r="CA14" s="62">
        <f t="shared" si="9"/>
        <v>487.899622</v>
      </c>
      <c r="CB14" s="62">
        <f t="shared" si="9"/>
        <v>487.899622</v>
      </c>
      <c r="CC14" s="62">
        <f t="shared" si="9"/>
        <v>487.899622</v>
      </c>
      <c r="CD14" s="62">
        <f t="shared" si="9"/>
        <v>487.899622</v>
      </c>
      <c r="CE14" s="62">
        <f t="shared" si="9"/>
        <v>487.899622</v>
      </c>
      <c r="CF14" s="62">
        <f t="shared" si="9"/>
        <v>487.899622</v>
      </c>
      <c r="CG14" s="62">
        <f t="shared" si="9"/>
        <v>487.899622</v>
      </c>
      <c r="CH14" s="62">
        <f t="shared" si="9"/>
        <v>487.899622</v>
      </c>
      <c r="CI14" s="62">
        <f t="shared" si="9"/>
        <v>487.899622</v>
      </c>
      <c r="CJ14" s="62">
        <f t="shared" si="9"/>
        <v>487.899622</v>
      </c>
      <c r="CK14" s="62">
        <f t="shared" si="9"/>
        <v>487.899622</v>
      </c>
      <c r="CL14" s="62">
        <f t="shared" si="9"/>
        <v>487.899622</v>
      </c>
      <c r="CM14" s="62">
        <f t="shared" si="9"/>
        <v>487.899622</v>
      </c>
      <c r="CN14" s="62">
        <f t="shared" si="9"/>
        <v>487.899622</v>
      </c>
      <c r="CO14" s="62">
        <f t="shared" si="9"/>
        <v>487.899622</v>
      </c>
      <c r="CP14" s="62">
        <f t="shared" si="9"/>
        <v>487.899622</v>
      </c>
      <c r="CQ14" s="62">
        <f t="shared" si="9"/>
        <v>487.899622</v>
      </c>
      <c r="CR14" s="62">
        <f t="shared" si="9"/>
        <v>487.899622</v>
      </c>
      <c r="CS14" s="62">
        <f t="shared" si="9"/>
        <v>487.899622</v>
      </c>
      <c r="CT14" s="62">
        <f t="shared" si="9"/>
        <v>487.899622</v>
      </c>
      <c r="CU14" s="62">
        <f t="shared" si="9"/>
        <v>487.899622</v>
      </c>
      <c r="CV14" s="62">
        <f t="shared" si="9"/>
        <v>487.899622</v>
      </c>
      <c r="CW14" s="62">
        <f t="shared" si="9"/>
        <v>487.899622</v>
      </c>
      <c r="CX14" s="62">
        <f t="shared" si="9"/>
        <v>487.899622</v>
      </c>
      <c r="CY14" s="62">
        <f t="shared" si="9"/>
        <v>487.899622</v>
      </c>
      <c r="CZ14" s="62">
        <f t="shared" si="9"/>
        <v>487.899622</v>
      </c>
      <c r="DA14" s="62">
        <f t="shared" si="9"/>
        <v>487.899622</v>
      </c>
      <c r="DB14" s="62">
        <f t="shared" si="9"/>
        <v>487.899622</v>
      </c>
      <c r="DC14" s="62">
        <f t="shared" si="9"/>
        <v>487.899622</v>
      </c>
      <c r="DD14" s="62">
        <f t="shared" si="9"/>
        <v>487.899622</v>
      </c>
      <c r="DE14" s="62">
        <f t="shared" si="9"/>
        <v>487.899622</v>
      </c>
      <c r="DF14" s="62">
        <f t="shared" si="9"/>
        <v>487.899622</v>
      </c>
      <c r="DG14" s="62">
        <f t="shared" si="9"/>
        <v>487.899622</v>
      </c>
      <c r="DH14" s="62">
        <f t="shared" si="9"/>
        <v>487.899622</v>
      </c>
      <c r="DI14" s="62">
        <f t="shared" si="9"/>
        <v>487.899622</v>
      </c>
      <c r="DJ14" s="62">
        <f t="shared" si="9"/>
        <v>487.899622</v>
      </c>
      <c r="DK14" s="62">
        <f t="shared" si="9"/>
        <v>487.899622</v>
      </c>
      <c r="DL14" s="62">
        <f t="shared" si="9"/>
        <v>487.899622</v>
      </c>
      <c r="DM14" s="62">
        <f t="shared" si="9"/>
        <v>487.899622</v>
      </c>
      <c r="DN14" s="62">
        <f t="shared" si="9"/>
        <v>487.899622</v>
      </c>
      <c r="DO14" s="62">
        <f t="shared" si="9"/>
        <v>487.899622</v>
      </c>
      <c r="DP14" s="62">
        <f t="shared" si="9"/>
        <v>487.899622</v>
      </c>
      <c r="DQ14" s="62">
        <f t="shared" si="9"/>
        <v>487.899622</v>
      </c>
      <c r="DR14" s="62">
        <f t="shared" si="9"/>
        <v>487.899622</v>
      </c>
      <c r="DS14" s="62">
        <f t="shared" si="9"/>
        <v>487.899622</v>
      </c>
      <c r="DT14" s="62">
        <f t="shared" si="9"/>
        <v>487.899622</v>
      </c>
      <c r="DU14" s="62">
        <f t="shared" si="9"/>
        <v>487.899622</v>
      </c>
      <c r="DV14" s="62">
        <f t="shared" si="9"/>
        <v>487.899622</v>
      </c>
      <c r="DW14" s="62">
        <f t="shared" si="9"/>
        <v>487.899622</v>
      </c>
      <c r="DX14" s="62">
        <f t="shared" si="9"/>
        <v>487.899622</v>
      </c>
      <c r="DY14" s="62">
        <f t="shared" si="9"/>
        <v>487.899622</v>
      </c>
      <c r="DZ14" s="62">
        <f t="shared" si="9"/>
        <v>487.899622</v>
      </c>
      <c r="EA14" s="62">
        <f t="shared" si="9"/>
        <v>487.899622</v>
      </c>
      <c r="EB14" s="62">
        <f t="shared" si="9"/>
        <v>487.899622</v>
      </c>
      <c r="EC14" s="62">
        <f t="shared" si="9"/>
        <v>487.899622</v>
      </c>
      <c r="ED14" s="62">
        <f t="shared" si="9"/>
        <v>487.899622</v>
      </c>
      <c r="EE14" s="62">
        <f t="shared" si="9"/>
        <v>487.899622</v>
      </c>
      <c r="EF14" s="62">
        <f t="shared" si="9"/>
        <v>487.899622</v>
      </c>
      <c r="EG14" s="62">
        <f t="shared" si="9"/>
        <v>487.899622</v>
      </c>
      <c r="EH14" s="62">
        <f t="shared" si="9"/>
        <v>487.899622</v>
      </c>
      <c r="EI14" s="62">
        <f t="shared" si="9"/>
        <v>487.899622</v>
      </c>
      <c r="EJ14" s="62">
        <f t="shared" si="9"/>
        <v>487.899622</v>
      </c>
      <c r="EK14" s="62">
        <f t="shared" si="9"/>
        <v>487.899622</v>
      </c>
      <c r="EL14" s="62">
        <f t="shared" si="9"/>
        <v>487.899622</v>
      </c>
      <c r="EM14" s="62">
        <f t="shared" si="9"/>
        <v>487.899622</v>
      </c>
      <c r="EN14" s="62">
        <f t="shared" si="9"/>
        <v>487.899622</v>
      </c>
      <c r="EO14" s="62">
        <f t="shared" si="9"/>
        <v>487.899622</v>
      </c>
      <c r="EP14" s="62">
        <f t="shared" si="9"/>
        <v>487.899622</v>
      </c>
      <c r="EQ14" s="62">
        <f t="shared" si="9"/>
        <v>487.899622</v>
      </c>
      <c r="ER14" s="62">
        <f t="shared" si="9"/>
        <v>487.899622</v>
      </c>
      <c r="ES14" s="62">
        <f t="shared" si="9"/>
        <v>487.899622</v>
      </c>
      <c r="ET14" s="62">
        <f t="shared" si="9"/>
        <v>487.899622</v>
      </c>
      <c r="EU14" s="62">
        <f t="shared" si="9"/>
        <v>487.899622</v>
      </c>
      <c r="EV14" s="62">
        <f t="shared" si="9"/>
        <v>487.899622</v>
      </c>
      <c r="EW14" s="62">
        <f t="shared" si="9"/>
        <v>487.899622</v>
      </c>
      <c r="EX14" s="62">
        <f t="shared" si="9"/>
        <v>487.899622</v>
      </c>
      <c r="EY14" s="62">
        <f t="shared" si="9"/>
        <v>487.899622</v>
      </c>
      <c r="EZ14" s="62">
        <f t="shared" si="9"/>
        <v>487.899622</v>
      </c>
      <c r="FA14" s="62">
        <f t="shared" si="9"/>
        <v>487.899622</v>
      </c>
      <c r="FB14" s="62">
        <f t="shared" si="9"/>
        <v>487.899622</v>
      </c>
      <c r="FC14" s="62">
        <f t="shared" si="9"/>
        <v>487.899622</v>
      </c>
      <c r="FD14" s="62">
        <f t="shared" si="9"/>
        <v>487.899622</v>
      </c>
      <c r="FE14" s="62">
        <f t="shared" si="9"/>
        <v>487.899622</v>
      </c>
      <c r="FF14" s="62">
        <f t="shared" si="9"/>
        <v>487.899622</v>
      </c>
      <c r="FG14" s="62">
        <f t="shared" si="9"/>
        <v>487.899622</v>
      </c>
      <c r="FH14" s="62">
        <f t="shared" si="9"/>
        <v>487.899622</v>
      </c>
      <c r="FI14" s="62">
        <f t="shared" si="9"/>
        <v>487.899622</v>
      </c>
      <c r="FJ14" s="62">
        <f t="shared" si="9"/>
        <v>487.899622</v>
      </c>
      <c r="FK14" s="62">
        <f t="shared" si="9"/>
        <v>487.899622</v>
      </c>
      <c r="FL14" s="62">
        <f t="shared" si="9"/>
        <v>487.899622</v>
      </c>
      <c r="FM14" s="62">
        <f t="shared" si="9"/>
        <v>487.899622</v>
      </c>
      <c r="FN14" s="62">
        <f t="shared" si="9"/>
        <v>487.899622</v>
      </c>
      <c r="FO14" s="62">
        <f t="shared" si="9"/>
        <v>487.899622</v>
      </c>
      <c r="FP14" s="62">
        <f t="shared" si="9"/>
        <v>487.899622</v>
      </c>
      <c r="FQ14" s="62">
        <f t="shared" si="9"/>
        <v>487.899622</v>
      </c>
      <c r="FR14" s="62">
        <f t="shared" si="9"/>
        <v>487.899622</v>
      </c>
      <c r="FS14" s="62">
        <f t="shared" si="9"/>
        <v>487.899622</v>
      </c>
      <c r="FT14" s="62">
        <f t="shared" si="9"/>
        <v>487.899622</v>
      </c>
      <c r="FU14" s="62">
        <f t="shared" si="9"/>
        <v>487.899622</v>
      </c>
      <c r="FV14" s="62">
        <f t="shared" si="9"/>
        <v>487.899622</v>
      </c>
      <c r="FW14" s="62">
        <f t="shared" si="9"/>
        <v>487.899622</v>
      </c>
      <c r="FX14" s="62">
        <f t="shared" si="9"/>
        <v>487.899622</v>
      </c>
      <c r="FY14" s="62">
        <f t="shared" si="9"/>
        <v>487.899622</v>
      </c>
      <c r="FZ14" s="62">
        <f t="shared" si="9"/>
        <v>487.899622</v>
      </c>
      <c r="GA14" s="62">
        <f t="shared" si="9"/>
        <v>487.899622</v>
      </c>
      <c r="GB14" s="62">
        <f t="shared" si="9"/>
        <v>487.899622</v>
      </c>
      <c r="GC14" s="62">
        <f t="shared" si="9"/>
        <v>487.899622</v>
      </c>
      <c r="GD14" s="62">
        <f t="shared" si="9"/>
        <v>487.899622</v>
      </c>
      <c r="GE14" s="62">
        <f t="shared" si="9"/>
        <v>487.899622</v>
      </c>
      <c r="GF14" s="62">
        <f t="shared" si="9"/>
        <v>487.899622</v>
      </c>
      <c r="GG14" s="62">
        <f t="shared" si="9"/>
        <v>487.899622</v>
      </c>
      <c r="GH14" s="62">
        <f t="shared" si="9"/>
        <v>487.899622</v>
      </c>
      <c r="GI14" s="62">
        <f t="shared" si="9"/>
        <v>487.899622</v>
      </c>
      <c r="GJ14" s="62">
        <f t="shared" si="9"/>
        <v>487.899622</v>
      </c>
      <c r="GK14" s="62">
        <f t="shared" si="9"/>
        <v>487.899622</v>
      </c>
      <c r="GL14" s="62">
        <f t="shared" si="9"/>
        <v>487.899622</v>
      </c>
      <c r="GM14" s="62">
        <f t="shared" si="9"/>
        <v>487.899622</v>
      </c>
      <c r="GN14" s="62">
        <f t="shared" si="9"/>
        <v>487.899622</v>
      </c>
      <c r="GO14" s="62">
        <f t="shared" si="9"/>
        <v>487.899622</v>
      </c>
      <c r="GP14" s="62">
        <f t="shared" si="9"/>
        <v>487.899622</v>
      </c>
      <c r="GQ14" s="62">
        <f t="shared" si="9"/>
        <v>487.899622</v>
      </c>
      <c r="GR14" s="62">
        <f t="shared" si="9"/>
        <v>487.899622</v>
      </c>
      <c r="GS14" s="62">
        <f t="shared" si="9"/>
        <v>487.899622</v>
      </c>
      <c r="GT14" s="62">
        <f t="shared" si="9"/>
        <v>487.899622</v>
      </c>
      <c r="GU14" s="62">
        <f t="shared" si="9"/>
        <v>487.899622</v>
      </c>
      <c r="GV14" s="62">
        <f t="shared" si="9"/>
        <v>487.899622</v>
      </c>
      <c r="GW14" s="62">
        <f t="shared" si="9"/>
        <v>487.899622</v>
      </c>
      <c r="GX14" s="62">
        <f t="shared" si="9"/>
        <v>487.899622</v>
      </c>
      <c r="GY14" s="62">
        <f t="shared" si="9"/>
        <v>487.899622</v>
      </c>
      <c r="GZ14" s="62">
        <f t="shared" si="9"/>
        <v>487.899622</v>
      </c>
      <c r="HA14" s="62">
        <f t="shared" si="9"/>
        <v>487.899622</v>
      </c>
      <c r="HB14" s="62">
        <f t="shared" si="9"/>
        <v>487.899622</v>
      </c>
      <c r="HC14" s="62">
        <f t="shared" si="9"/>
        <v>487.899622</v>
      </c>
      <c r="HD14" s="62">
        <f t="shared" si="9"/>
        <v>487.899622</v>
      </c>
      <c r="HE14" s="62">
        <f t="shared" si="9"/>
        <v>487.899622</v>
      </c>
      <c r="HF14" s="62">
        <f t="shared" si="9"/>
        <v>487.899622</v>
      </c>
      <c r="HG14" s="62">
        <f t="shared" si="9"/>
        <v>487.899622</v>
      </c>
      <c r="HH14" s="62">
        <f t="shared" si="9"/>
        <v>487.899622</v>
      </c>
      <c r="HI14" s="62">
        <f t="shared" si="9"/>
        <v>487.899622</v>
      </c>
      <c r="HJ14" s="62">
        <f t="shared" si="9"/>
        <v>487.899622</v>
      </c>
      <c r="HK14" s="62">
        <f t="shared" si="9"/>
        <v>487.899622</v>
      </c>
      <c r="HL14" s="62">
        <f t="shared" si="9"/>
        <v>487.899622</v>
      </c>
      <c r="HM14" s="62">
        <f t="shared" si="9"/>
        <v>487.899622</v>
      </c>
      <c r="HN14" s="62">
        <f t="shared" si="9"/>
        <v>487.899622</v>
      </c>
      <c r="HO14" s="62">
        <f t="shared" si="9"/>
        <v>487.899622</v>
      </c>
      <c r="HP14" s="62">
        <f t="shared" si="9"/>
        <v>487.899622</v>
      </c>
      <c r="HQ14" s="62">
        <f t="shared" si="9"/>
        <v>487.899622</v>
      </c>
      <c r="HR14" s="62">
        <f t="shared" si="9"/>
        <v>487.899622</v>
      </c>
      <c r="HS14" s="62">
        <f t="shared" si="9"/>
        <v>487.899622</v>
      </c>
      <c r="HT14" s="62">
        <f t="shared" si="9"/>
        <v>487.899622</v>
      </c>
      <c r="HU14" s="62">
        <f t="shared" si="9"/>
        <v>487.899622</v>
      </c>
      <c r="HV14" s="62">
        <f t="shared" si="9"/>
        <v>487.899622</v>
      </c>
      <c r="HW14" s="62">
        <f t="shared" si="9"/>
        <v>487.899622</v>
      </c>
      <c r="HX14" s="62">
        <f t="shared" si="9"/>
        <v>487.899622</v>
      </c>
      <c r="HY14" s="62">
        <f t="shared" si="9"/>
        <v>487.899622</v>
      </c>
      <c r="HZ14" s="62">
        <f t="shared" si="9"/>
        <v>487.899622</v>
      </c>
      <c r="IA14" s="62">
        <f t="shared" si="9"/>
        <v>487.899622</v>
      </c>
      <c r="IB14" s="62">
        <f t="shared" si="9"/>
        <v>487.899622</v>
      </c>
      <c r="IC14" s="62">
        <f t="shared" si="9"/>
        <v>487.899622</v>
      </c>
      <c r="ID14" s="62">
        <f t="shared" si="9"/>
        <v>487.899622</v>
      </c>
      <c r="IE14" s="62">
        <f t="shared" si="9"/>
        <v>487.899622</v>
      </c>
      <c r="IF14" s="62">
        <f t="shared" si="9"/>
        <v>487.899622</v>
      </c>
      <c r="IG14" s="62">
        <f t="shared" si="9"/>
        <v>487.899622</v>
      </c>
      <c r="IH14" s="62">
        <f t="shared" si="9"/>
        <v>487.899622</v>
      </c>
      <c r="II14" s="62">
        <f t="shared" si="9"/>
        <v>487.899622</v>
      </c>
      <c r="IJ14" s="62">
        <f t="shared" si="9"/>
        <v>487.899622</v>
      </c>
      <c r="IK14" s="62">
        <f t="shared" si="9"/>
        <v>487.899622</v>
      </c>
      <c r="IL14" s="62">
        <f t="shared" si="9"/>
        <v>487.899622</v>
      </c>
      <c r="IM14" s="62">
        <f t="shared" si="9"/>
        <v>487.899622</v>
      </c>
      <c r="IN14" s="62">
        <f t="shared" si="9"/>
        <v>487.899622</v>
      </c>
      <c r="IO14" s="62">
        <f t="shared" si="9"/>
        <v>487.899622</v>
      </c>
      <c r="IP14" s="62">
        <f t="shared" si="9"/>
        <v>487.899622</v>
      </c>
      <c r="IQ14" s="62">
        <f t="shared" si="9"/>
        <v>487.899622</v>
      </c>
      <c r="IR14" s="62">
        <f t="shared" si="9"/>
        <v>487.899622</v>
      </c>
      <c r="IS14" s="62">
        <f t="shared" si="9"/>
        <v>487.899622</v>
      </c>
      <c r="IT14" s="62">
        <f t="shared" si="9"/>
        <v>487.899622</v>
      </c>
      <c r="IU14" s="62">
        <f t="shared" si="9"/>
        <v>487.899622</v>
      </c>
      <c r="IV14" s="62">
        <f t="shared" si="9"/>
        <v>487.899622</v>
      </c>
      <c r="IW14" s="62">
        <f t="shared" si="9"/>
        <v>487.899622</v>
      </c>
      <c r="IX14" s="62">
        <f t="shared" si="9"/>
        <v>487.899622</v>
      </c>
      <c r="IY14" s="62">
        <f t="shared" si="9"/>
        <v>487.899622</v>
      </c>
      <c r="IZ14" s="62">
        <f t="shared" si="9"/>
        <v>487.899622</v>
      </c>
      <c r="JA14" s="62">
        <f t="shared" si="9"/>
        <v>487.899622</v>
      </c>
      <c r="JB14" s="62">
        <f t="shared" si="9"/>
        <v>487.899622</v>
      </c>
      <c r="JC14" s="62">
        <f t="shared" si="9"/>
        <v>487.899622</v>
      </c>
      <c r="JD14" s="62">
        <f t="shared" si="9"/>
        <v>487.899622</v>
      </c>
      <c r="JE14" s="62">
        <f t="shared" si="9"/>
        <v>487.899622</v>
      </c>
      <c r="JF14" s="62">
        <f t="shared" si="9"/>
        <v>487.899622</v>
      </c>
      <c r="JG14" s="62">
        <f t="shared" si="9"/>
        <v>487.899622</v>
      </c>
      <c r="JH14" s="62">
        <f t="shared" si="9"/>
        <v>487.899622</v>
      </c>
      <c r="JI14" s="62">
        <f t="shared" si="9"/>
        <v>487.899622</v>
      </c>
      <c r="JJ14" s="62">
        <f t="shared" si="9"/>
        <v>487.899622</v>
      </c>
      <c r="JK14" s="62">
        <f t="shared" si="9"/>
        <v>487.899622</v>
      </c>
      <c r="JL14" s="62">
        <f t="shared" si="9"/>
        <v>487.899622</v>
      </c>
      <c r="JM14" s="62">
        <f t="shared" si="9"/>
        <v>487.899622</v>
      </c>
      <c r="JN14" s="62">
        <f t="shared" si="9"/>
        <v>487.899622</v>
      </c>
      <c r="JO14" s="62">
        <f t="shared" si="9"/>
        <v>487.899622</v>
      </c>
      <c r="JP14" s="62">
        <f t="shared" si="9"/>
        <v>487.899622</v>
      </c>
      <c r="JQ14" s="62">
        <f t="shared" si="9"/>
        <v>487.899622</v>
      </c>
      <c r="JR14" s="62">
        <f t="shared" si="9"/>
        <v>487.899622</v>
      </c>
      <c r="JS14" s="62">
        <f t="shared" si="9"/>
        <v>487.899622</v>
      </c>
      <c r="JT14" s="62">
        <f t="shared" si="9"/>
        <v>487.899622</v>
      </c>
      <c r="JU14" s="62">
        <f t="shared" si="9"/>
        <v>487.899622</v>
      </c>
      <c r="JV14" s="62">
        <f t="shared" si="9"/>
        <v>487.899622</v>
      </c>
      <c r="JW14" s="62">
        <f t="shared" si="9"/>
        <v>487.899622</v>
      </c>
      <c r="JX14" s="62">
        <f t="shared" si="9"/>
        <v>487.899622</v>
      </c>
      <c r="JY14" s="62">
        <f t="shared" si="9"/>
        <v>487.899622</v>
      </c>
      <c r="JZ14" s="62">
        <f t="shared" si="9"/>
        <v>487.899622</v>
      </c>
      <c r="KA14" s="62">
        <f t="shared" si="9"/>
        <v>487.899622</v>
      </c>
      <c r="KB14" s="62">
        <f t="shared" si="9"/>
        <v>487.899622</v>
      </c>
      <c r="KC14" s="62">
        <f t="shared" si="9"/>
        <v>487.899622</v>
      </c>
      <c r="KD14" s="62">
        <f t="shared" si="9"/>
        <v>487.899622</v>
      </c>
      <c r="KE14" s="62">
        <f t="shared" si="9"/>
        <v>487.899622</v>
      </c>
      <c r="KF14" s="62">
        <f t="shared" si="9"/>
        <v>487.899622</v>
      </c>
      <c r="KG14" s="62">
        <f t="shared" si="9"/>
        <v>487.899622</v>
      </c>
      <c r="KH14" s="62">
        <f t="shared" si="9"/>
        <v>487.899622</v>
      </c>
      <c r="KI14" s="62">
        <f t="shared" si="9"/>
        <v>487.899622</v>
      </c>
      <c r="KJ14" s="62">
        <f t="shared" si="9"/>
        <v>487.899622</v>
      </c>
      <c r="KK14" s="62">
        <f t="shared" si="9"/>
        <v>487.899622</v>
      </c>
      <c r="KL14" s="62">
        <f t="shared" si="9"/>
        <v>487.899622</v>
      </c>
      <c r="KM14" s="62">
        <f t="shared" si="9"/>
        <v>487.899622</v>
      </c>
      <c r="KN14" s="62">
        <f t="shared" si="9"/>
        <v>487.899622</v>
      </c>
      <c r="KO14" s="62">
        <f t="shared" si="9"/>
        <v>487.899622</v>
      </c>
      <c r="KP14" s="62">
        <f t="shared" si="9"/>
        <v>487.899622</v>
      </c>
      <c r="KQ14" s="62">
        <f t="shared" si="9"/>
        <v>487.899622</v>
      </c>
      <c r="KR14" s="62">
        <f t="shared" si="9"/>
        <v>487.899622</v>
      </c>
      <c r="KS14" s="62">
        <f t="shared" si="9"/>
        <v>487.899622</v>
      </c>
      <c r="KT14" s="62">
        <f t="shared" si="9"/>
        <v>487.899622</v>
      </c>
      <c r="KU14" s="62">
        <f t="shared" si="9"/>
        <v>487.899622</v>
      </c>
      <c r="KV14" s="62">
        <f t="shared" si="9"/>
        <v>487.899622</v>
      </c>
      <c r="KW14" s="62">
        <f t="shared" si="9"/>
        <v>487.899622</v>
      </c>
      <c r="KX14" s="62">
        <f t="shared" si="9"/>
        <v>487.899622</v>
      </c>
      <c r="KY14" s="62">
        <f t="shared" si="9"/>
        <v>487.899622</v>
      </c>
      <c r="KZ14" s="62">
        <f t="shared" si="9"/>
        <v>487.899622</v>
      </c>
      <c r="LA14" s="62">
        <f t="shared" si="9"/>
        <v>487.899622</v>
      </c>
      <c r="LB14" s="62">
        <f t="shared" si="9"/>
        <v>487.899622</v>
      </c>
      <c r="LC14" s="62">
        <f t="shared" si="9"/>
        <v>487.899622</v>
      </c>
      <c r="LD14" s="62">
        <f t="shared" si="9"/>
        <v>487.899622</v>
      </c>
      <c r="LE14" s="62">
        <f t="shared" si="9"/>
        <v>487.899622</v>
      </c>
      <c r="LF14" s="62">
        <f t="shared" si="9"/>
        <v>487.899622</v>
      </c>
      <c r="LG14" s="62">
        <f t="shared" si="9"/>
        <v>487.899622</v>
      </c>
      <c r="LH14" s="62">
        <f t="shared" si="9"/>
        <v>487.899622</v>
      </c>
      <c r="LI14" s="62">
        <f t="shared" si="9"/>
        <v>487.899622</v>
      </c>
      <c r="LJ14" s="62">
        <f t="shared" si="9"/>
        <v>487.899622</v>
      </c>
      <c r="LK14" s="62">
        <f t="shared" si="9"/>
        <v>487.899622</v>
      </c>
      <c r="LL14" s="62">
        <f t="shared" si="9"/>
        <v>487.899622</v>
      </c>
      <c r="LM14" s="62">
        <f t="shared" si="9"/>
        <v>487.899622</v>
      </c>
      <c r="LN14" s="62">
        <f t="shared" si="9"/>
        <v>487.899622</v>
      </c>
      <c r="LO14" s="62">
        <f t="shared" si="9"/>
        <v>487.899622</v>
      </c>
      <c r="LP14" s="62">
        <f t="shared" si="9"/>
        <v>487.899622</v>
      </c>
      <c r="LQ14" s="62">
        <f t="shared" si="9"/>
        <v>487.899622</v>
      </c>
      <c r="LR14" s="62">
        <f t="shared" si="9"/>
        <v>487.899622</v>
      </c>
      <c r="LS14" s="62">
        <f t="shared" si="9"/>
        <v>487.899622</v>
      </c>
      <c r="LT14" s="62">
        <f t="shared" si="9"/>
        <v>487.899622</v>
      </c>
      <c r="LU14" s="62">
        <f t="shared" si="9"/>
        <v>487.899622</v>
      </c>
      <c r="LV14" s="62">
        <f t="shared" si="9"/>
        <v>487.899622</v>
      </c>
      <c r="LW14" s="62">
        <f t="shared" si="9"/>
        <v>487.899622</v>
      </c>
      <c r="LX14" s="62">
        <f t="shared" si="9"/>
        <v>487.899622</v>
      </c>
      <c r="LY14" s="62">
        <f t="shared" si="9"/>
        <v>487.899622</v>
      </c>
      <c r="LZ14" s="62">
        <f t="shared" si="9"/>
        <v>487.899622</v>
      </c>
      <c r="MA14" s="62">
        <f t="shared" si="9"/>
        <v>487.899622</v>
      </c>
      <c r="MB14" s="62">
        <f t="shared" si="9"/>
        <v>487.899622</v>
      </c>
      <c r="MC14" s="62">
        <f t="shared" si="9"/>
        <v>487.899622</v>
      </c>
      <c r="MD14" s="62">
        <f t="shared" si="9"/>
        <v>487.899622</v>
      </c>
      <c r="ME14" s="62">
        <f t="shared" si="9"/>
        <v>487.899622</v>
      </c>
      <c r="MF14" s="62">
        <f t="shared" si="9"/>
        <v>487.899622</v>
      </c>
      <c r="MG14" s="62">
        <f t="shared" si="9"/>
        <v>487.899622</v>
      </c>
      <c r="MH14" s="62">
        <f t="shared" si="9"/>
        <v>487.899622</v>
      </c>
      <c r="MI14" s="62">
        <f t="shared" si="9"/>
        <v>487.899622</v>
      </c>
      <c r="MJ14" s="62">
        <f t="shared" si="9"/>
        <v>487.899622</v>
      </c>
      <c r="MK14" s="62">
        <f t="shared" si="9"/>
        <v>487.899622</v>
      </c>
      <c r="ML14" s="62">
        <f t="shared" si="9"/>
        <v>487.899622</v>
      </c>
      <c r="MM14" s="62">
        <f t="shared" si="9"/>
        <v>487.899622</v>
      </c>
      <c r="MN14" s="62">
        <f t="shared" si="9"/>
        <v>487.899622</v>
      </c>
      <c r="MO14" s="62">
        <f t="shared" si="9"/>
        <v>487.899622</v>
      </c>
      <c r="MP14" s="62">
        <f t="shared" si="9"/>
        <v>487.899622</v>
      </c>
      <c r="MQ14" s="62">
        <f t="shared" si="9"/>
        <v>487.899622</v>
      </c>
      <c r="MR14" s="62">
        <f t="shared" si="9"/>
        <v>487.899622</v>
      </c>
      <c r="MS14" s="62">
        <f t="shared" si="9"/>
        <v>487.899622</v>
      </c>
      <c r="MT14" s="62">
        <f t="shared" si="9"/>
        <v>487.899622</v>
      </c>
      <c r="MU14" s="62">
        <f t="shared" si="9"/>
        <v>487.899622</v>
      </c>
      <c r="MV14" s="62">
        <f t="shared" si="9"/>
        <v>487.899622</v>
      </c>
      <c r="MW14" s="62">
        <f t="shared" si="9"/>
        <v>487.899622</v>
      </c>
      <c r="MX14" s="62">
        <f t="shared" si="9"/>
        <v>487.899622</v>
      </c>
      <c r="MY14" s="62">
        <f t="shared" si="9"/>
        <v>487.899622</v>
      </c>
      <c r="MZ14" s="62">
        <f t="shared" si="9"/>
        <v>487.899622</v>
      </c>
      <c r="NA14" s="62">
        <f t="shared" si="9"/>
        <v>487.899622</v>
      </c>
      <c r="NB14" s="62">
        <f t="shared" si="9"/>
        <v>487.899622</v>
      </c>
      <c r="NC14" s="62">
        <f t="shared" si="9"/>
        <v>487.899622</v>
      </c>
      <c r="ND14" s="62">
        <f t="shared" si="9"/>
        <v>487.899622</v>
      </c>
      <c r="NE14" s="62">
        <f t="shared" si="9"/>
        <v>487.899622</v>
      </c>
      <c r="NF14" s="62">
        <f t="shared" si="9"/>
        <v>487.899622</v>
      </c>
      <c r="NG14" s="62">
        <f t="shared" si="9"/>
        <v>487.899622</v>
      </c>
      <c r="NH14" s="62">
        <f t="shared" si="9"/>
        <v>487.899622</v>
      </c>
      <c r="NI14" s="62">
        <f t="shared" si="9"/>
        <v>487.899622</v>
      </c>
      <c r="NJ14" s="62">
        <f t="shared" si="9"/>
        <v>487.899622</v>
      </c>
      <c r="NK14" s="62">
        <f t="shared" si="9"/>
        <v>487.899622</v>
      </c>
      <c r="NL14" s="62">
        <f t="shared" si="9"/>
        <v>487.899622</v>
      </c>
      <c r="NM14" s="62">
        <f t="shared" si="9"/>
        <v>487.899622</v>
      </c>
      <c r="NN14" s="62">
        <f t="shared" si="9"/>
        <v>487.899622</v>
      </c>
      <c r="NO14" s="62">
        <f t="shared" si="9"/>
        <v>487.899622</v>
      </c>
      <c r="NP14" s="62">
        <f t="shared" si="9"/>
        <v>487.899622</v>
      </c>
      <c r="NQ14" s="62">
        <f t="shared" si="9"/>
        <v>487.899622</v>
      </c>
      <c r="NR14" s="62">
        <f t="shared" si="9"/>
        <v>487.899622</v>
      </c>
      <c r="NS14" s="62">
        <f t="shared" si="9"/>
        <v>487.899622</v>
      </c>
      <c r="NT14" s="62">
        <f t="shared" si="9"/>
        <v>487.899622</v>
      </c>
      <c r="NU14" s="62">
        <f t="shared" si="9"/>
        <v>487.899622</v>
      </c>
      <c r="NV14" s="62">
        <f t="shared" si="9"/>
        <v>487.899622</v>
      </c>
      <c r="NW14" s="62">
        <f t="shared" si="9"/>
        <v>487.899622</v>
      </c>
      <c r="NX14" s="62">
        <f t="shared" si="9"/>
        <v>487.899622</v>
      </c>
      <c r="NY14" s="62">
        <f t="shared" si="9"/>
        <v>487.899622</v>
      </c>
      <c r="NZ14" s="62">
        <f t="shared" si="9"/>
        <v>487.899622</v>
      </c>
      <c r="OA14" s="62">
        <f t="shared" si="9"/>
        <v>487.899622</v>
      </c>
      <c r="OB14" s="62">
        <f t="shared" si="9"/>
        <v>487.899622</v>
      </c>
      <c r="OC14" s="62">
        <f t="shared" si="9"/>
        <v>487.899622</v>
      </c>
      <c r="OD14" s="62">
        <f t="shared" si="9"/>
        <v>487.899622</v>
      </c>
      <c r="OE14" s="62">
        <f t="shared" si="9"/>
        <v>487.899622</v>
      </c>
      <c r="OF14" s="62">
        <f t="shared" si="9"/>
        <v>487.899622</v>
      </c>
      <c r="OG14" s="62">
        <f t="shared" si="9"/>
        <v>487.899622</v>
      </c>
      <c r="OH14" s="62">
        <f t="shared" si="9"/>
        <v>487.899622</v>
      </c>
      <c r="OI14" s="62">
        <f t="shared" si="9"/>
        <v>487.899622</v>
      </c>
      <c r="OJ14" s="62">
        <f t="shared" si="9"/>
        <v>487.899622</v>
      </c>
      <c r="OK14" s="62">
        <f t="shared" si="9"/>
        <v>487.899622</v>
      </c>
      <c r="OL14" s="62">
        <f t="shared" si="9"/>
        <v>487.899622</v>
      </c>
      <c r="OM14" s="62">
        <f t="shared" si="9"/>
        <v>487.899622</v>
      </c>
      <c r="ON14" s="62">
        <f t="shared" si="9"/>
        <v>487.899622</v>
      </c>
      <c r="OO14" s="62">
        <f t="shared" si="9"/>
        <v>487.899622</v>
      </c>
      <c r="OP14" s="62">
        <f t="shared" si="9"/>
        <v>487.899622</v>
      </c>
      <c r="OQ14" s="62">
        <f t="shared" si="9"/>
        <v>487.899622</v>
      </c>
      <c r="OR14" s="62">
        <f t="shared" si="9"/>
        <v>487.899622</v>
      </c>
      <c r="OS14" s="62">
        <f t="shared" si="9"/>
        <v>487.899622</v>
      </c>
      <c r="OT14" s="62">
        <f t="shared" si="9"/>
        <v>487.899622</v>
      </c>
      <c r="OU14" s="62">
        <f t="shared" si="9"/>
        <v>487.899622</v>
      </c>
      <c r="OV14" s="62">
        <f t="shared" si="9"/>
        <v>487.899622</v>
      </c>
      <c r="OW14" s="62">
        <f t="shared" si="9"/>
        <v>487.899622</v>
      </c>
      <c r="OX14" s="62">
        <f t="shared" si="9"/>
        <v>487.899622</v>
      </c>
      <c r="OY14" s="62">
        <f t="shared" si="9"/>
        <v>487.899622</v>
      </c>
      <c r="OZ14" s="62">
        <f t="shared" si="9"/>
        <v>487.899622</v>
      </c>
      <c r="PA14" s="62">
        <f t="shared" si="9"/>
        <v>487.899622</v>
      </c>
      <c r="PB14" s="62">
        <f t="shared" si="9"/>
        <v>487.899622</v>
      </c>
      <c r="PC14" s="62">
        <f t="shared" si="9"/>
        <v>487.899622</v>
      </c>
      <c r="PD14" s="62">
        <f t="shared" si="9"/>
        <v>487.899622</v>
      </c>
      <c r="PE14" s="62">
        <f t="shared" si="9"/>
        <v>487.899622</v>
      </c>
      <c r="PF14" s="62">
        <f t="shared" si="9"/>
        <v>487.899622</v>
      </c>
      <c r="PG14" s="62">
        <f t="shared" si="9"/>
        <v>487.899622</v>
      </c>
      <c r="PH14" s="62">
        <f t="shared" si="9"/>
        <v>487.899622</v>
      </c>
      <c r="PI14" s="62">
        <f t="shared" si="9"/>
        <v>487.899622</v>
      </c>
      <c r="PJ14" s="62">
        <f t="shared" si="9"/>
        <v>487.899622</v>
      </c>
      <c r="PK14" s="62">
        <f t="shared" si="9"/>
        <v>487.899622</v>
      </c>
      <c r="PL14" s="62">
        <f t="shared" si="9"/>
        <v>487.899622</v>
      </c>
      <c r="PM14" s="62">
        <f t="shared" si="9"/>
        <v>487.899622</v>
      </c>
      <c r="PN14" s="62">
        <f t="shared" si="9"/>
        <v>487.899622</v>
      </c>
      <c r="PO14" s="62">
        <f t="shared" si="9"/>
        <v>487.899622</v>
      </c>
      <c r="PP14" s="62">
        <f t="shared" si="9"/>
        <v>487.899622</v>
      </c>
      <c r="PQ14" s="62">
        <f t="shared" si="9"/>
        <v>487.899622</v>
      </c>
      <c r="PR14" s="62">
        <f t="shared" si="9"/>
        <v>487.899622</v>
      </c>
      <c r="PS14" s="62">
        <f t="shared" si="9"/>
        <v>487.899622</v>
      </c>
      <c r="PT14" s="62">
        <f t="shared" si="9"/>
        <v>487.899622</v>
      </c>
      <c r="PU14" s="62">
        <f t="shared" si="9"/>
        <v>487.899622</v>
      </c>
      <c r="PV14" s="62">
        <f t="shared" si="9"/>
        <v>487.899622</v>
      </c>
      <c r="PW14" s="62">
        <f t="shared" si="9"/>
        <v>487.899622</v>
      </c>
      <c r="PX14" s="62">
        <f t="shared" si="9"/>
        <v>487.899622</v>
      </c>
      <c r="PY14" s="62">
        <f t="shared" si="9"/>
        <v>487.899622</v>
      </c>
      <c r="PZ14" s="62">
        <f t="shared" si="9"/>
        <v>487.899622</v>
      </c>
      <c r="QA14" s="62">
        <f t="shared" si="9"/>
        <v>487.899622</v>
      </c>
      <c r="QB14" s="62">
        <f t="shared" si="9"/>
        <v>487.899622</v>
      </c>
      <c r="QC14" s="62">
        <f t="shared" si="9"/>
        <v>487.899622</v>
      </c>
      <c r="QD14" s="62">
        <f t="shared" si="9"/>
        <v>487.899622</v>
      </c>
      <c r="QE14" s="62">
        <f t="shared" si="9"/>
        <v>487.899622</v>
      </c>
      <c r="QF14" s="62">
        <f t="shared" si="9"/>
        <v>487.899622</v>
      </c>
      <c r="QG14" s="62">
        <f t="shared" si="9"/>
        <v>487.899622</v>
      </c>
      <c r="QH14" s="62">
        <f t="shared" si="9"/>
        <v>487.899622</v>
      </c>
      <c r="QI14" s="62">
        <f t="shared" si="9"/>
        <v>487.899622</v>
      </c>
      <c r="QJ14" s="62">
        <f t="shared" si="9"/>
        <v>487.899622</v>
      </c>
      <c r="QK14" s="62">
        <f t="shared" si="9"/>
        <v>487.899622</v>
      </c>
      <c r="QL14" s="62">
        <f t="shared" si="9"/>
        <v>487.899622</v>
      </c>
      <c r="QM14" s="62">
        <f t="shared" si="9"/>
        <v>487.899622</v>
      </c>
      <c r="QN14" s="62">
        <f t="shared" si="9"/>
        <v>487.899622</v>
      </c>
      <c r="QO14" s="62">
        <f t="shared" si="9"/>
        <v>487.899622</v>
      </c>
      <c r="QP14" s="62">
        <f t="shared" si="9"/>
        <v>487.899622</v>
      </c>
      <c r="QQ14" s="62">
        <f t="shared" si="9"/>
        <v>487.899622</v>
      </c>
      <c r="QR14" s="62">
        <f t="shared" si="9"/>
        <v>487.899622</v>
      </c>
      <c r="QS14" s="62">
        <f t="shared" si="9"/>
        <v>487.899622</v>
      </c>
      <c r="QT14" s="62">
        <f t="shared" si="9"/>
        <v>487.899622</v>
      </c>
      <c r="QU14" s="62">
        <f t="shared" si="9"/>
        <v>487.899622</v>
      </c>
      <c r="QV14" s="62">
        <f t="shared" si="9"/>
        <v>487.899622</v>
      </c>
      <c r="QW14" s="62">
        <f t="shared" si="9"/>
        <v>487.899622</v>
      </c>
      <c r="QX14" s="62">
        <f t="shared" si="9"/>
        <v>487.899622</v>
      </c>
      <c r="QY14" s="62">
        <f t="shared" si="9"/>
        <v>487.899622</v>
      </c>
      <c r="QZ14" s="62">
        <f t="shared" si="9"/>
        <v>487.899622</v>
      </c>
      <c r="RA14" s="62">
        <f t="shared" si="9"/>
        <v>487.899622</v>
      </c>
      <c r="RB14" s="62">
        <f t="shared" si="9"/>
        <v>487.899622</v>
      </c>
      <c r="RC14" s="62">
        <f t="shared" si="9"/>
        <v>487.899622</v>
      </c>
      <c r="RD14" s="62">
        <f t="shared" si="9"/>
        <v>487.899622</v>
      </c>
      <c r="RE14" s="62">
        <f t="shared" si="9"/>
        <v>487.899622</v>
      </c>
      <c r="RF14" s="62">
        <f t="shared" si="9"/>
        <v>487.899622</v>
      </c>
      <c r="RG14" s="62">
        <f t="shared" si="9"/>
        <v>487.899622</v>
      </c>
      <c r="RH14" s="62">
        <f t="shared" si="9"/>
        <v>487.899622</v>
      </c>
      <c r="RI14" s="62">
        <f t="shared" si="9"/>
        <v>487.899622</v>
      </c>
      <c r="RJ14" s="62">
        <f t="shared" si="9"/>
        <v>487.899622</v>
      </c>
      <c r="RK14" s="62">
        <f t="shared" si="9"/>
        <v>487.899622</v>
      </c>
      <c r="RL14" s="62">
        <f t="shared" si="9"/>
        <v>487.899622</v>
      </c>
      <c r="RM14" s="62">
        <f t="shared" si="9"/>
        <v>487.899622</v>
      </c>
      <c r="RN14" s="62">
        <f t="shared" si="9"/>
        <v>487.899622</v>
      </c>
      <c r="RO14" s="62">
        <f t="shared" si="9"/>
        <v>487.899622</v>
      </c>
      <c r="RP14" s="62">
        <f t="shared" si="9"/>
        <v>487.899622</v>
      </c>
      <c r="RQ14" s="62">
        <f t="shared" si="9"/>
        <v>487.899622</v>
      </c>
      <c r="RR14" s="62">
        <f t="shared" si="9"/>
        <v>487.899622</v>
      </c>
      <c r="RS14" s="62">
        <f t="shared" si="9"/>
        <v>487.899622</v>
      </c>
      <c r="RT14" s="62">
        <f t="shared" si="9"/>
        <v>487.899622</v>
      </c>
      <c r="RU14" s="62">
        <f t="shared" si="9"/>
        <v>487.899622</v>
      </c>
      <c r="RV14" s="62">
        <f t="shared" si="9"/>
        <v>487.899622</v>
      </c>
      <c r="RW14" s="62">
        <f t="shared" si="9"/>
        <v>487.899622</v>
      </c>
      <c r="RX14" s="62">
        <f t="shared" si="9"/>
        <v>487.899622</v>
      </c>
      <c r="RY14" s="62">
        <f t="shared" si="9"/>
        <v>487.899622</v>
      </c>
      <c r="RZ14" s="62">
        <f t="shared" si="9"/>
        <v>487.899622</v>
      </c>
      <c r="SA14" s="62">
        <f t="shared" si="9"/>
        <v>487.899622</v>
      </c>
      <c r="SB14" s="62">
        <f t="shared" si="9"/>
        <v>487.899622</v>
      </c>
      <c r="SC14" s="62">
        <f t="shared" si="9"/>
        <v>487.899622</v>
      </c>
      <c r="SD14" s="62">
        <f t="shared" si="9"/>
        <v>487.899622</v>
      </c>
      <c r="SE14" s="62">
        <f t="shared" si="9"/>
        <v>487.899622</v>
      </c>
      <c r="SF14" s="62">
        <f t="shared" si="9"/>
        <v>487.899622</v>
      </c>
      <c r="SG14" s="62">
        <f t="shared" si="9"/>
        <v>487.899622</v>
      </c>
      <c r="SH14" s="62">
        <f t="shared" si="9"/>
        <v>487.899622</v>
      </c>
      <c r="SI14" s="62">
        <f t="shared" si="9"/>
        <v>487.899622</v>
      </c>
      <c r="SJ14" s="62">
        <f t="shared" si="9"/>
        <v>487.899622</v>
      </c>
      <c r="SK14" s="62">
        <f t="shared" si="9"/>
        <v>487.899622</v>
      </c>
      <c r="SL14" s="62">
        <f t="shared" si="9"/>
        <v>487.899622</v>
      </c>
    </row>
    <row r="15">
      <c r="A15" s="58" t="s">
        <v>91</v>
      </c>
      <c r="B15" s="75">
        <f t="array" ref="B15">INDEX('New CEA'!$B15:$F15,MATCH($B$2,'New CEA'!B$2:F$2,0))</f>
        <v>0.43</v>
      </c>
      <c r="C15" s="254"/>
      <c r="D15" s="234"/>
      <c r="E15" s="235"/>
      <c r="F15" s="67"/>
      <c r="G15" s="67">
        <f t="shared" ref="G15:SL15" si="10">$B15</f>
        <v>0.43</v>
      </c>
      <c r="H15" s="67">
        <f t="shared" si="10"/>
        <v>0.43</v>
      </c>
      <c r="I15" s="67">
        <f t="shared" si="10"/>
        <v>0.43</v>
      </c>
      <c r="J15" s="67">
        <f t="shared" si="10"/>
        <v>0.43</v>
      </c>
      <c r="K15" s="67">
        <f t="shared" si="10"/>
        <v>0.43</v>
      </c>
      <c r="L15" s="67">
        <f t="shared" si="10"/>
        <v>0.43</v>
      </c>
      <c r="M15" s="67">
        <f t="shared" si="10"/>
        <v>0.43</v>
      </c>
      <c r="N15" s="67">
        <f t="shared" si="10"/>
        <v>0.43</v>
      </c>
      <c r="O15" s="67">
        <f t="shared" si="10"/>
        <v>0.43</v>
      </c>
      <c r="P15" s="67">
        <f t="shared" si="10"/>
        <v>0.43</v>
      </c>
      <c r="Q15" s="67">
        <f t="shared" si="10"/>
        <v>0.43</v>
      </c>
      <c r="R15" s="67">
        <f t="shared" si="10"/>
        <v>0.43</v>
      </c>
      <c r="S15" s="67">
        <f t="shared" si="10"/>
        <v>0.43</v>
      </c>
      <c r="T15" s="67">
        <f t="shared" si="10"/>
        <v>0.43</v>
      </c>
      <c r="U15" s="67">
        <f t="shared" si="10"/>
        <v>0.43</v>
      </c>
      <c r="V15" s="67">
        <f t="shared" si="10"/>
        <v>0.43</v>
      </c>
      <c r="W15" s="67">
        <f t="shared" si="10"/>
        <v>0.43</v>
      </c>
      <c r="X15" s="67">
        <f t="shared" si="10"/>
        <v>0.43</v>
      </c>
      <c r="Y15" s="67">
        <f t="shared" si="10"/>
        <v>0.43</v>
      </c>
      <c r="Z15" s="67">
        <f t="shared" si="10"/>
        <v>0.43</v>
      </c>
      <c r="AA15" s="67">
        <f t="shared" si="10"/>
        <v>0.43</v>
      </c>
      <c r="AB15" s="67">
        <f t="shared" si="10"/>
        <v>0.43</v>
      </c>
      <c r="AC15" s="67">
        <f t="shared" si="10"/>
        <v>0.43</v>
      </c>
      <c r="AD15" s="67">
        <f t="shared" si="10"/>
        <v>0.43</v>
      </c>
      <c r="AE15" s="67">
        <f t="shared" si="10"/>
        <v>0.43</v>
      </c>
      <c r="AF15" s="67">
        <f t="shared" si="10"/>
        <v>0.43</v>
      </c>
      <c r="AG15" s="67">
        <f t="shared" si="10"/>
        <v>0.43</v>
      </c>
      <c r="AH15" s="67">
        <f t="shared" si="10"/>
        <v>0.43</v>
      </c>
      <c r="AI15" s="67">
        <f t="shared" si="10"/>
        <v>0.43</v>
      </c>
      <c r="AJ15" s="67">
        <f t="shared" si="10"/>
        <v>0.43</v>
      </c>
      <c r="AK15" s="67">
        <f t="shared" si="10"/>
        <v>0.43</v>
      </c>
      <c r="AL15" s="67">
        <f t="shared" si="10"/>
        <v>0.43</v>
      </c>
      <c r="AM15" s="67">
        <f t="shared" si="10"/>
        <v>0.43</v>
      </c>
      <c r="AN15" s="67">
        <f t="shared" si="10"/>
        <v>0.43</v>
      </c>
      <c r="AO15" s="67">
        <f t="shared" si="10"/>
        <v>0.43</v>
      </c>
      <c r="AP15" s="67">
        <f t="shared" si="10"/>
        <v>0.43</v>
      </c>
      <c r="AQ15" s="67">
        <f t="shared" si="10"/>
        <v>0.43</v>
      </c>
      <c r="AR15" s="67">
        <f t="shared" si="10"/>
        <v>0.43</v>
      </c>
      <c r="AS15" s="67">
        <f t="shared" si="10"/>
        <v>0.43</v>
      </c>
      <c r="AT15" s="67">
        <f t="shared" si="10"/>
        <v>0.43</v>
      </c>
      <c r="AU15" s="67">
        <f t="shared" si="10"/>
        <v>0.43</v>
      </c>
      <c r="AV15" s="67">
        <f t="shared" si="10"/>
        <v>0.43</v>
      </c>
      <c r="AW15" s="67">
        <f t="shared" si="10"/>
        <v>0.43</v>
      </c>
      <c r="AX15" s="67">
        <f t="shared" si="10"/>
        <v>0.43</v>
      </c>
      <c r="AY15" s="67">
        <f t="shared" si="10"/>
        <v>0.43</v>
      </c>
      <c r="AZ15" s="67">
        <f t="shared" si="10"/>
        <v>0.43</v>
      </c>
      <c r="BA15" s="67">
        <f t="shared" si="10"/>
        <v>0.43</v>
      </c>
      <c r="BB15" s="67">
        <f t="shared" si="10"/>
        <v>0.43</v>
      </c>
      <c r="BC15" s="67">
        <f t="shared" si="10"/>
        <v>0.43</v>
      </c>
      <c r="BD15" s="67">
        <f t="shared" si="10"/>
        <v>0.43</v>
      </c>
      <c r="BE15" s="67">
        <f t="shared" si="10"/>
        <v>0.43</v>
      </c>
      <c r="BF15" s="67">
        <f t="shared" si="10"/>
        <v>0.43</v>
      </c>
      <c r="BG15" s="67">
        <f t="shared" si="10"/>
        <v>0.43</v>
      </c>
      <c r="BH15" s="67">
        <f t="shared" si="10"/>
        <v>0.43</v>
      </c>
      <c r="BI15" s="67">
        <f t="shared" si="10"/>
        <v>0.43</v>
      </c>
      <c r="BJ15" s="67">
        <f t="shared" si="10"/>
        <v>0.43</v>
      </c>
      <c r="BK15" s="67">
        <f t="shared" si="10"/>
        <v>0.43</v>
      </c>
      <c r="BL15" s="67">
        <f t="shared" si="10"/>
        <v>0.43</v>
      </c>
      <c r="BM15" s="67">
        <f t="shared" si="10"/>
        <v>0.43</v>
      </c>
      <c r="BN15" s="67">
        <f t="shared" si="10"/>
        <v>0.43</v>
      </c>
      <c r="BO15" s="67">
        <f t="shared" si="10"/>
        <v>0.43</v>
      </c>
      <c r="BP15" s="67">
        <f t="shared" si="10"/>
        <v>0.43</v>
      </c>
      <c r="BQ15" s="67">
        <f t="shared" si="10"/>
        <v>0.43</v>
      </c>
      <c r="BR15" s="67">
        <f t="shared" si="10"/>
        <v>0.43</v>
      </c>
      <c r="BS15" s="67">
        <f t="shared" si="10"/>
        <v>0.43</v>
      </c>
      <c r="BT15" s="67">
        <f t="shared" si="10"/>
        <v>0.43</v>
      </c>
      <c r="BU15" s="67">
        <f t="shared" si="10"/>
        <v>0.43</v>
      </c>
      <c r="BV15" s="67">
        <f t="shared" si="10"/>
        <v>0.43</v>
      </c>
      <c r="BW15" s="67">
        <f t="shared" si="10"/>
        <v>0.43</v>
      </c>
      <c r="BX15" s="67">
        <f t="shared" si="10"/>
        <v>0.43</v>
      </c>
      <c r="BY15" s="67">
        <f t="shared" si="10"/>
        <v>0.43</v>
      </c>
      <c r="BZ15" s="67">
        <f t="shared" si="10"/>
        <v>0.43</v>
      </c>
      <c r="CA15" s="67">
        <f t="shared" si="10"/>
        <v>0.43</v>
      </c>
      <c r="CB15" s="67">
        <f t="shared" si="10"/>
        <v>0.43</v>
      </c>
      <c r="CC15" s="67">
        <f t="shared" si="10"/>
        <v>0.43</v>
      </c>
      <c r="CD15" s="67">
        <f t="shared" si="10"/>
        <v>0.43</v>
      </c>
      <c r="CE15" s="67">
        <f t="shared" si="10"/>
        <v>0.43</v>
      </c>
      <c r="CF15" s="67">
        <f t="shared" si="10"/>
        <v>0.43</v>
      </c>
      <c r="CG15" s="67">
        <f t="shared" si="10"/>
        <v>0.43</v>
      </c>
      <c r="CH15" s="67">
        <f t="shared" si="10"/>
        <v>0.43</v>
      </c>
      <c r="CI15" s="67">
        <f t="shared" si="10"/>
        <v>0.43</v>
      </c>
      <c r="CJ15" s="67">
        <f t="shared" si="10"/>
        <v>0.43</v>
      </c>
      <c r="CK15" s="67">
        <f t="shared" si="10"/>
        <v>0.43</v>
      </c>
      <c r="CL15" s="67">
        <f t="shared" si="10"/>
        <v>0.43</v>
      </c>
      <c r="CM15" s="67">
        <f t="shared" si="10"/>
        <v>0.43</v>
      </c>
      <c r="CN15" s="67">
        <f t="shared" si="10"/>
        <v>0.43</v>
      </c>
      <c r="CO15" s="67">
        <f t="shared" si="10"/>
        <v>0.43</v>
      </c>
      <c r="CP15" s="67">
        <f t="shared" si="10"/>
        <v>0.43</v>
      </c>
      <c r="CQ15" s="67">
        <f t="shared" si="10"/>
        <v>0.43</v>
      </c>
      <c r="CR15" s="67">
        <f t="shared" si="10"/>
        <v>0.43</v>
      </c>
      <c r="CS15" s="67">
        <f t="shared" si="10"/>
        <v>0.43</v>
      </c>
      <c r="CT15" s="67">
        <f t="shared" si="10"/>
        <v>0.43</v>
      </c>
      <c r="CU15" s="67">
        <f t="shared" si="10"/>
        <v>0.43</v>
      </c>
      <c r="CV15" s="67">
        <f t="shared" si="10"/>
        <v>0.43</v>
      </c>
      <c r="CW15" s="67">
        <f t="shared" si="10"/>
        <v>0.43</v>
      </c>
      <c r="CX15" s="67">
        <f t="shared" si="10"/>
        <v>0.43</v>
      </c>
      <c r="CY15" s="67">
        <f t="shared" si="10"/>
        <v>0.43</v>
      </c>
      <c r="CZ15" s="67">
        <f t="shared" si="10"/>
        <v>0.43</v>
      </c>
      <c r="DA15" s="67">
        <f t="shared" si="10"/>
        <v>0.43</v>
      </c>
      <c r="DB15" s="67">
        <f t="shared" si="10"/>
        <v>0.43</v>
      </c>
      <c r="DC15" s="67">
        <f t="shared" si="10"/>
        <v>0.43</v>
      </c>
      <c r="DD15" s="67">
        <f t="shared" si="10"/>
        <v>0.43</v>
      </c>
      <c r="DE15" s="67">
        <f t="shared" si="10"/>
        <v>0.43</v>
      </c>
      <c r="DF15" s="67">
        <f t="shared" si="10"/>
        <v>0.43</v>
      </c>
      <c r="DG15" s="67">
        <f t="shared" si="10"/>
        <v>0.43</v>
      </c>
      <c r="DH15" s="67">
        <f t="shared" si="10"/>
        <v>0.43</v>
      </c>
      <c r="DI15" s="67">
        <f t="shared" si="10"/>
        <v>0.43</v>
      </c>
      <c r="DJ15" s="67">
        <f t="shared" si="10"/>
        <v>0.43</v>
      </c>
      <c r="DK15" s="67">
        <f t="shared" si="10"/>
        <v>0.43</v>
      </c>
      <c r="DL15" s="67">
        <f t="shared" si="10"/>
        <v>0.43</v>
      </c>
      <c r="DM15" s="67">
        <f t="shared" si="10"/>
        <v>0.43</v>
      </c>
      <c r="DN15" s="67">
        <f t="shared" si="10"/>
        <v>0.43</v>
      </c>
      <c r="DO15" s="67">
        <f t="shared" si="10"/>
        <v>0.43</v>
      </c>
      <c r="DP15" s="67">
        <f t="shared" si="10"/>
        <v>0.43</v>
      </c>
      <c r="DQ15" s="67">
        <f t="shared" si="10"/>
        <v>0.43</v>
      </c>
      <c r="DR15" s="67">
        <f t="shared" si="10"/>
        <v>0.43</v>
      </c>
      <c r="DS15" s="67">
        <f t="shared" si="10"/>
        <v>0.43</v>
      </c>
      <c r="DT15" s="67">
        <f t="shared" si="10"/>
        <v>0.43</v>
      </c>
      <c r="DU15" s="67">
        <f t="shared" si="10"/>
        <v>0.43</v>
      </c>
      <c r="DV15" s="67">
        <f t="shared" si="10"/>
        <v>0.43</v>
      </c>
      <c r="DW15" s="67">
        <f t="shared" si="10"/>
        <v>0.43</v>
      </c>
      <c r="DX15" s="67">
        <f t="shared" si="10"/>
        <v>0.43</v>
      </c>
      <c r="DY15" s="67">
        <f t="shared" si="10"/>
        <v>0.43</v>
      </c>
      <c r="DZ15" s="67">
        <f t="shared" si="10"/>
        <v>0.43</v>
      </c>
      <c r="EA15" s="67">
        <f t="shared" si="10"/>
        <v>0.43</v>
      </c>
      <c r="EB15" s="67">
        <f t="shared" si="10"/>
        <v>0.43</v>
      </c>
      <c r="EC15" s="67">
        <f t="shared" si="10"/>
        <v>0.43</v>
      </c>
      <c r="ED15" s="67">
        <f t="shared" si="10"/>
        <v>0.43</v>
      </c>
      <c r="EE15" s="67">
        <f t="shared" si="10"/>
        <v>0.43</v>
      </c>
      <c r="EF15" s="67">
        <f t="shared" si="10"/>
        <v>0.43</v>
      </c>
      <c r="EG15" s="67">
        <f t="shared" si="10"/>
        <v>0.43</v>
      </c>
      <c r="EH15" s="67">
        <f t="shared" si="10"/>
        <v>0.43</v>
      </c>
      <c r="EI15" s="67">
        <f t="shared" si="10"/>
        <v>0.43</v>
      </c>
      <c r="EJ15" s="67">
        <f t="shared" si="10"/>
        <v>0.43</v>
      </c>
      <c r="EK15" s="67">
        <f t="shared" si="10"/>
        <v>0.43</v>
      </c>
      <c r="EL15" s="67">
        <f t="shared" si="10"/>
        <v>0.43</v>
      </c>
      <c r="EM15" s="67">
        <f t="shared" si="10"/>
        <v>0.43</v>
      </c>
      <c r="EN15" s="67">
        <f t="shared" si="10"/>
        <v>0.43</v>
      </c>
      <c r="EO15" s="67">
        <f t="shared" si="10"/>
        <v>0.43</v>
      </c>
      <c r="EP15" s="67">
        <f t="shared" si="10"/>
        <v>0.43</v>
      </c>
      <c r="EQ15" s="67">
        <f t="shared" si="10"/>
        <v>0.43</v>
      </c>
      <c r="ER15" s="67">
        <f t="shared" si="10"/>
        <v>0.43</v>
      </c>
      <c r="ES15" s="67">
        <f t="shared" si="10"/>
        <v>0.43</v>
      </c>
      <c r="ET15" s="67">
        <f t="shared" si="10"/>
        <v>0.43</v>
      </c>
      <c r="EU15" s="67">
        <f t="shared" si="10"/>
        <v>0.43</v>
      </c>
      <c r="EV15" s="67">
        <f t="shared" si="10"/>
        <v>0.43</v>
      </c>
      <c r="EW15" s="67">
        <f t="shared" si="10"/>
        <v>0.43</v>
      </c>
      <c r="EX15" s="67">
        <f t="shared" si="10"/>
        <v>0.43</v>
      </c>
      <c r="EY15" s="67">
        <f t="shared" si="10"/>
        <v>0.43</v>
      </c>
      <c r="EZ15" s="67">
        <f t="shared" si="10"/>
        <v>0.43</v>
      </c>
      <c r="FA15" s="67">
        <f t="shared" si="10"/>
        <v>0.43</v>
      </c>
      <c r="FB15" s="67">
        <f t="shared" si="10"/>
        <v>0.43</v>
      </c>
      <c r="FC15" s="67">
        <f t="shared" si="10"/>
        <v>0.43</v>
      </c>
      <c r="FD15" s="67">
        <f t="shared" si="10"/>
        <v>0.43</v>
      </c>
      <c r="FE15" s="67">
        <f t="shared" si="10"/>
        <v>0.43</v>
      </c>
      <c r="FF15" s="67">
        <f t="shared" si="10"/>
        <v>0.43</v>
      </c>
      <c r="FG15" s="67">
        <f t="shared" si="10"/>
        <v>0.43</v>
      </c>
      <c r="FH15" s="67">
        <f t="shared" si="10"/>
        <v>0.43</v>
      </c>
      <c r="FI15" s="67">
        <f t="shared" si="10"/>
        <v>0.43</v>
      </c>
      <c r="FJ15" s="67">
        <f t="shared" si="10"/>
        <v>0.43</v>
      </c>
      <c r="FK15" s="67">
        <f t="shared" si="10"/>
        <v>0.43</v>
      </c>
      <c r="FL15" s="67">
        <f t="shared" si="10"/>
        <v>0.43</v>
      </c>
      <c r="FM15" s="67">
        <f t="shared" si="10"/>
        <v>0.43</v>
      </c>
      <c r="FN15" s="67">
        <f t="shared" si="10"/>
        <v>0.43</v>
      </c>
      <c r="FO15" s="67">
        <f t="shared" si="10"/>
        <v>0.43</v>
      </c>
      <c r="FP15" s="67">
        <f t="shared" si="10"/>
        <v>0.43</v>
      </c>
      <c r="FQ15" s="67">
        <f t="shared" si="10"/>
        <v>0.43</v>
      </c>
      <c r="FR15" s="67">
        <f t="shared" si="10"/>
        <v>0.43</v>
      </c>
      <c r="FS15" s="67">
        <f t="shared" si="10"/>
        <v>0.43</v>
      </c>
      <c r="FT15" s="67">
        <f t="shared" si="10"/>
        <v>0.43</v>
      </c>
      <c r="FU15" s="67">
        <f t="shared" si="10"/>
        <v>0.43</v>
      </c>
      <c r="FV15" s="67">
        <f t="shared" si="10"/>
        <v>0.43</v>
      </c>
      <c r="FW15" s="67">
        <f t="shared" si="10"/>
        <v>0.43</v>
      </c>
      <c r="FX15" s="67">
        <f t="shared" si="10"/>
        <v>0.43</v>
      </c>
      <c r="FY15" s="67">
        <f t="shared" si="10"/>
        <v>0.43</v>
      </c>
      <c r="FZ15" s="67">
        <f t="shared" si="10"/>
        <v>0.43</v>
      </c>
      <c r="GA15" s="67">
        <f t="shared" si="10"/>
        <v>0.43</v>
      </c>
      <c r="GB15" s="67">
        <f t="shared" si="10"/>
        <v>0.43</v>
      </c>
      <c r="GC15" s="67">
        <f t="shared" si="10"/>
        <v>0.43</v>
      </c>
      <c r="GD15" s="67">
        <f t="shared" si="10"/>
        <v>0.43</v>
      </c>
      <c r="GE15" s="67">
        <f t="shared" si="10"/>
        <v>0.43</v>
      </c>
      <c r="GF15" s="67">
        <f t="shared" si="10"/>
        <v>0.43</v>
      </c>
      <c r="GG15" s="67">
        <f t="shared" si="10"/>
        <v>0.43</v>
      </c>
      <c r="GH15" s="67">
        <f t="shared" si="10"/>
        <v>0.43</v>
      </c>
      <c r="GI15" s="67">
        <f t="shared" si="10"/>
        <v>0.43</v>
      </c>
      <c r="GJ15" s="67">
        <f t="shared" si="10"/>
        <v>0.43</v>
      </c>
      <c r="GK15" s="67">
        <f t="shared" si="10"/>
        <v>0.43</v>
      </c>
      <c r="GL15" s="67">
        <f t="shared" si="10"/>
        <v>0.43</v>
      </c>
      <c r="GM15" s="67">
        <f t="shared" si="10"/>
        <v>0.43</v>
      </c>
      <c r="GN15" s="67">
        <f t="shared" si="10"/>
        <v>0.43</v>
      </c>
      <c r="GO15" s="67">
        <f t="shared" si="10"/>
        <v>0.43</v>
      </c>
      <c r="GP15" s="67">
        <f t="shared" si="10"/>
        <v>0.43</v>
      </c>
      <c r="GQ15" s="67">
        <f t="shared" si="10"/>
        <v>0.43</v>
      </c>
      <c r="GR15" s="67">
        <f t="shared" si="10"/>
        <v>0.43</v>
      </c>
      <c r="GS15" s="67">
        <f t="shared" si="10"/>
        <v>0.43</v>
      </c>
      <c r="GT15" s="67">
        <f t="shared" si="10"/>
        <v>0.43</v>
      </c>
      <c r="GU15" s="67">
        <f t="shared" si="10"/>
        <v>0.43</v>
      </c>
      <c r="GV15" s="67">
        <f t="shared" si="10"/>
        <v>0.43</v>
      </c>
      <c r="GW15" s="67">
        <f t="shared" si="10"/>
        <v>0.43</v>
      </c>
      <c r="GX15" s="67">
        <f t="shared" si="10"/>
        <v>0.43</v>
      </c>
      <c r="GY15" s="67">
        <f t="shared" si="10"/>
        <v>0.43</v>
      </c>
      <c r="GZ15" s="67">
        <f t="shared" si="10"/>
        <v>0.43</v>
      </c>
      <c r="HA15" s="67">
        <f t="shared" si="10"/>
        <v>0.43</v>
      </c>
      <c r="HB15" s="67">
        <f t="shared" si="10"/>
        <v>0.43</v>
      </c>
      <c r="HC15" s="67">
        <f t="shared" si="10"/>
        <v>0.43</v>
      </c>
      <c r="HD15" s="67">
        <f t="shared" si="10"/>
        <v>0.43</v>
      </c>
      <c r="HE15" s="67">
        <f t="shared" si="10"/>
        <v>0.43</v>
      </c>
      <c r="HF15" s="67">
        <f t="shared" si="10"/>
        <v>0.43</v>
      </c>
      <c r="HG15" s="67">
        <f t="shared" si="10"/>
        <v>0.43</v>
      </c>
      <c r="HH15" s="67">
        <f t="shared" si="10"/>
        <v>0.43</v>
      </c>
      <c r="HI15" s="67">
        <f t="shared" si="10"/>
        <v>0.43</v>
      </c>
      <c r="HJ15" s="67">
        <f t="shared" si="10"/>
        <v>0.43</v>
      </c>
      <c r="HK15" s="67">
        <f t="shared" si="10"/>
        <v>0.43</v>
      </c>
      <c r="HL15" s="67">
        <f t="shared" si="10"/>
        <v>0.43</v>
      </c>
      <c r="HM15" s="67">
        <f t="shared" si="10"/>
        <v>0.43</v>
      </c>
      <c r="HN15" s="67">
        <f t="shared" si="10"/>
        <v>0.43</v>
      </c>
      <c r="HO15" s="67">
        <f t="shared" si="10"/>
        <v>0.43</v>
      </c>
      <c r="HP15" s="67">
        <f t="shared" si="10"/>
        <v>0.43</v>
      </c>
      <c r="HQ15" s="67">
        <f t="shared" si="10"/>
        <v>0.43</v>
      </c>
      <c r="HR15" s="67">
        <f t="shared" si="10"/>
        <v>0.43</v>
      </c>
      <c r="HS15" s="67">
        <f t="shared" si="10"/>
        <v>0.43</v>
      </c>
      <c r="HT15" s="67">
        <f t="shared" si="10"/>
        <v>0.43</v>
      </c>
      <c r="HU15" s="67">
        <f t="shared" si="10"/>
        <v>0.43</v>
      </c>
      <c r="HV15" s="67">
        <f t="shared" si="10"/>
        <v>0.43</v>
      </c>
      <c r="HW15" s="67">
        <f t="shared" si="10"/>
        <v>0.43</v>
      </c>
      <c r="HX15" s="67">
        <f t="shared" si="10"/>
        <v>0.43</v>
      </c>
      <c r="HY15" s="67">
        <f t="shared" si="10"/>
        <v>0.43</v>
      </c>
      <c r="HZ15" s="67">
        <f t="shared" si="10"/>
        <v>0.43</v>
      </c>
      <c r="IA15" s="67">
        <f t="shared" si="10"/>
        <v>0.43</v>
      </c>
      <c r="IB15" s="67">
        <f t="shared" si="10"/>
        <v>0.43</v>
      </c>
      <c r="IC15" s="67">
        <f t="shared" si="10"/>
        <v>0.43</v>
      </c>
      <c r="ID15" s="67">
        <f t="shared" si="10"/>
        <v>0.43</v>
      </c>
      <c r="IE15" s="67">
        <f t="shared" si="10"/>
        <v>0.43</v>
      </c>
      <c r="IF15" s="67">
        <f t="shared" si="10"/>
        <v>0.43</v>
      </c>
      <c r="IG15" s="67">
        <f t="shared" si="10"/>
        <v>0.43</v>
      </c>
      <c r="IH15" s="67">
        <f t="shared" si="10"/>
        <v>0.43</v>
      </c>
      <c r="II15" s="67">
        <f t="shared" si="10"/>
        <v>0.43</v>
      </c>
      <c r="IJ15" s="67">
        <f t="shared" si="10"/>
        <v>0.43</v>
      </c>
      <c r="IK15" s="67">
        <f t="shared" si="10"/>
        <v>0.43</v>
      </c>
      <c r="IL15" s="67">
        <f t="shared" si="10"/>
        <v>0.43</v>
      </c>
      <c r="IM15" s="67">
        <f t="shared" si="10"/>
        <v>0.43</v>
      </c>
      <c r="IN15" s="67">
        <f t="shared" si="10"/>
        <v>0.43</v>
      </c>
      <c r="IO15" s="67">
        <f t="shared" si="10"/>
        <v>0.43</v>
      </c>
      <c r="IP15" s="67">
        <f t="shared" si="10"/>
        <v>0.43</v>
      </c>
      <c r="IQ15" s="67">
        <f t="shared" si="10"/>
        <v>0.43</v>
      </c>
      <c r="IR15" s="67">
        <f t="shared" si="10"/>
        <v>0.43</v>
      </c>
      <c r="IS15" s="67">
        <f t="shared" si="10"/>
        <v>0.43</v>
      </c>
      <c r="IT15" s="67">
        <f t="shared" si="10"/>
        <v>0.43</v>
      </c>
      <c r="IU15" s="67">
        <f t="shared" si="10"/>
        <v>0.43</v>
      </c>
      <c r="IV15" s="67">
        <f t="shared" si="10"/>
        <v>0.43</v>
      </c>
      <c r="IW15" s="67">
        <f t="shared" si="10"/>
        <v>0.43</v>
      </c>
      <c r="IX15" s="67">
        <f t="shared" si="10"/>
        <v>0.43</v>
      </c>
      <c r="IY15" s="67">
        <f t="shared" si="10"/>
        <v>0.43</v>
      </c>
      <c r="IZ15" s="67">
        <f t="shared" si="10"/>
        <v>0.43</v>
      </c>
      <c r="JA15" s="67">
        <f t="shared" si="10"/>
        <v>0.43</v>
      </c>
      <c r="JB15" s="67">
        <f t="shared" si="10"/>
        <v>0.43</v>
      </c>
      <c r="JC15" s="67">
        <f t="shared" si="10"/>
        <v>0.43</v>
      </c>
      <c r="JD15" s="67">
        <f t="shared" si="10"/>
        <v>0.43</v>
      </c>
      <c r="JE15" s="67">
        <f t="shared" si="10"/>
        <v>0.43</v>
      </c>
      <c r="JF15" s="67">
        <f t="shared" si="10"/>
        <v>0.43</v>
      </c>
      <c r="JG15" s="67">
        <f t="shared" si="10"/>
        <v>0.43</v>
      </c>
      <c r="JH15" s="67">
        <f t="shared" si="10"/>
        <v>0.43</v>
      </c>
      <c r="JI15" s="67">
        <f t="shared" si="10"/>
        <v>0.43</v>
      </c>
      <c r="JJ15" s="67">
        <f t="shared" si="10"/>
        <v>0.43</v>
      </c>
      <c r="JK15" s="67">
        <f t="shared" si="10"/>
        <v>0.43</v>
      </c>
      <c r="JL15" s="67">
        <f t="shared" si="10"/>
        <v>0.43</v>
      </c>
      <c r="JM15" s="67">
        <f t="shared" si="10"/>
        <v>0.43</v>
      </c>
      <c r="JN15" s="67">
        <f t="shared" si="10"/>
        <v>0.43</v>
      </c>
      <c r="JO15" s="67">
        <f t="shared" si="10"/>
        <v>0.43</v>
      </c>
      <c r="JP15" s="67">
        <f t="shared" si="10"/>
        <v>0.43</v>
      </c>
      <c r="JQ15" s="67">
        <f t="shared" si="10"/>
        <v>0.43</v>
      </c>
      <c r="JR15" s="67">
        <f t="shared" si="10"/>
        <v>0.43</v>
      </c>
      <c r="JS15" s="67">
        <f t="shared" si="10"/>
        <v>0.43</v>
      </c>
      <c r="JT15" s="67">
        <f t="shared" si="10"/>
        <v>0.43</v>
      </c>
      <c r="JU15" s="67">
        <f t="shared" si="10"/>
        <v>0.43</v>
      </c>
      <c r="JV15" s="67">
        <f t="shared" si="10"/>
        <v>0.43</v>
      </c>
      <c r="JW15" s="67">
        <f t="shared" si="10"/>
        <v>0.43</v>
      </c>
      <c r="JX15" s="67">
        <f t="shared" si="10"/>
        <v>0.43</v>
      </c>
      <c r="JY15" s="67">
        <f t="shared" si="10"/>
        <v>0.43</v>
      </c>
      <c r="JZ15" s="67">
        <f t="shared" si="10"/>
        <v>0.43</v>
      </c>
      <c r="KA15" s="67">
        <f t="shared" si="10"/>
        <v>0.43</v>
      </c>
      <c r="KB15" s="67">
        <f t="shared" si="10"/>
        <v>0.43</v>
      </c>
      <c r="KC15" s="67">
        <f t="shared" si="10"/>
        <v>0.43</v>
      </c>
      <c r="KD15" s="67">
        <f t="shared" si="10"/>
        <v>0.43</v>
      </c>
      <c r="KE15" s="67">
        <f t="shared" si="10"/>
        <v>0.43</v>
      </c>
      <c r="KF15" s="67">
        <f t="shared" si="10"/>
        <v>0.43</v>
      </c>
      <c r="KG15" s="67">
        <f t="shared" si="10"/>
        <v>0.43</v>
      </c>
      <c r="KH15" s="67">
        <f t="shared" si="10"/>
        <v>0.43</v>
      </c>
      <c r="KI15" s="67">
        <f t="shared" si="10"/>
        <v>0.43</v>
      </c>
      <c r="KJ15" s="67">
        <f t="shared" si="10"/>
        <v>0.43</v>
      </c>
      <c r="KK15" s="67">
        <f t="shared" si="10"/>
        <v>0.43</v>
      </c>
      <c r="KL15" s="67">
        <f t="shared" si="10"/>
        <v>0.43</v>
      </c>
      <c r="KM15" s="67">
        <f t="shared" si="10"/>
        <v>0.43</v>
      </c>
      <c r="KN15" s="67">
        <f t="shared" si="10"/>
        <v>0.43</v>
      </c>
      <c r="KO15" s="67">
        <f t="shared" si="10"/>
        <v>0.43</v>
      </c>
      <c r="KP15" s="67">
        <f t="shared" si="10"/>
        <v>0.43</v>
      </c>
      <c r="KQ15" s="67">
        <f t="shared" si="10"/>
        <v>0.43</v>
      </c>
      <c r="KR15" s="67">
        <f t="shared" si="10"/>
        <v>0.43</v>
      </c>
      <c r="KS15" s="67">
        <f t="shared" si="10"/>
        <v>0.43</v>
      </c>
      <c r="KT15" s="67">
        <f t="shared" si="10"/>
        <v>0.43</v>
      </c>
      <c r="KU15" s="67">
        <f t="shared" si="10"/>
        <v>0.43</v>
      </c>
      <c r="KV15" s="67">
        <f t="shared" si="10"/>
        <v>0.43</v>
      </c>
      <c r="KW15" s="67">
        <f t="shared" si="10"/>
        <v>0.43</v>
      </c>
      <c r="KX15" s="67">
        <f t="shared" si="10"/>
        <v>0.43</v>
      </c>
      <c r="KY15" s="67">
        <f t="shared" si="10"/>
        <v>0.43</v>
      </c>
      <c r="KZ15" s="67">
        <f t="shared" si="10"/>
        <v>0.43</v>
      </c>
      <c r="LA15" s="67">
        <f t="shared" si="10"/>
        <v>0.43</v>
      </c>
      <c r="LB15" s="67">
        <f t="shared" si="10"/>
        <v>0.43</v>
      </c>
      <c r="LC15" s="67">
        <f t="shared" si="10"/>
        <v>0.43</v>
      </c>
      <c r="LD15" s="67">
        <f t="shared" si="10"/>
        <v>0.43</v>
      </c>
      <c r="LE15" s="67">
        <f t="shared" si="10"/>
        <v>0.43</v>
      </c>
      <c r="LF15" s="67">
        <f t="shared" si="10"/>
        <v>0.43</v>
      </c>
      <c r="LG15" s="67">
        <f t="shared" si="10"/>
        <v>0.43</v>
      </c>
      <c r="LH15" s="67">
        <f t="shared" si="10"/>
        <v>0.43</v>
      </c>
      <c r="LI15" s="67">
        <f t="shared" si="10"/>
        <v>0.43</v>
      </c>
      <c r="LJ15" s="67">
        <f t="shared" si="10"/>
        <v>0.43</v>
      </c>
      <c r="LK15" s="67">
        <f t="shared" si="10"/>
        <v>0.43</v>
      </c>
      <c r="LL15" s="67">
        <f t="shared" si="10"/>
        <v>0.43</v>
      </c>
      <c r="LM15" s="67">
        <f t="shared" si="10"/>
        <v>0.43</v>
      </c>
      <c r="LN15" s="67">
        <f t="shared" si="10"/>
        <v>0.43</v>
      </c>
      <c r="LO15" s="67">
        <f t="shared" si="10"/>
        <v>0.43</v>
      </c>
      <c r="LP15" s="67">
        <f t="shared" si="10"/>
        <v>0.43</v>
      </c>
      <c r="LQ15" s="67">
        <f t="shared" si="10"/>
        <v>0.43</v>
      </c>
      <c r="LR15" s="67">
        <f t="shared" si="10"/>
        <v>0.43</v>
      </c>
      <c r="LS15" s="67">
        <f t="shared" si="10"/>
        <v>0.43</v>
      </c>
      <c r="LT15" s="67">
        <f t="shared" si="10"/>
        <v>0.43</v>
      </c>
      <c r="LU15" s="67">
        <f t="shared" si="10"/>
        <v>0.43</v>
      </c>
      <c r="LV15" s="67">
        <f t="shared" si="10"/>
        <v>0.43</v>
      </c>
      <c r="LW15" s="67">
        <f t="shared" si="10"/>
        <v>0.43</v>
      </c>
      <c r="LX15" s="67">
        <f t="shared" si="10"/>
        <v>0.43</v>
      </c>
      <c r="LY15" s="67">
        <f t="shared" si="10"/>
        <v>0.43</v>
      </c>
      <c r="LZ15" s="67">
        <f t="shared" si="10"/>
        <v>0.43</v>
      </c>
      <c r="MA15" s="67">
        <f t="shared" si="10"/>
        <v>0.43</v>
      </c>
      <c r="MB15" s="67">
        <f t="shared" si="10"/>
        <v>0.43</v>
      </c>
      <c r="MC15" s="67">
        <f t="shared" si="10"/>
        <v>0.43</v>
      </c>
      <c r="MD15" s="67">
        <f t="shared" si="10"/>
        <v>0.43</v>
      </c>
      <c r="ME15" s="67">
        <f t="shared" si="10"/>
        <v>0.43</v>
      </c>
      <c r="MF15" s="67">
        <f t="shared" si="10"/>
        <v>0.43</v>
      </c>
      <c r="MG15" s="67">
        <f t="shared" si="10"/>
        <v>0.43</v>
      </c>
      <c r="MH15" s="67">
        <f t="shared" si="10"/>
        <v>0.43</v>
      </c>
      <c r="MI15" s="67">
        <f t="shared" si="10"/>
        <v>0.43</v>
      </c>
      <c r="MJ15" s="67">
        <f t="shared" si="10"/>
        <v>0.43</v>
      </c>
      <c r="MK15" s="67">
        <f t="shared" si="10"/>
        <v>0.43</v>
      </c>
      <c r="ML15" s="67">
        <f t="shared" si="10"/>
        <v>0.43</v>
      </c>
      <c r="MM15" s="67">
        <f t="shared" si="10"/>
        <v>0.43</v>
      </c>
      <c r="MN15" s="67">
        <f t="shared" si="10"/>
        <v>0.43</v>
      </c>
      <c r="MO15" s="67">
        <f t="shared" si="10"/>
        <v>0.43</v>
      </c>
      <c r="MP15" s="67">
        <f t="shared" si="10"/>
        <v>0.43</v>
      </c>
      <c r="MQ15" s="67">
        <f t="shared" si="10"/>
        <v>0.43</v>
      </c>
      <c r="MR15" s="67">
        <f t="shared" si="10"/>
        <v>0.43</v>
      </c>
      <c r="MS15" s="67">
        <f t="shared" si="10"/>
        <v>0.43</v>
      </c>
      <c r="MT15" s="67">
        <f t="shared" si="10"/>
        <v>0.43</v>
      </c>
      <c r="MU15" s="67">
        <f t="shared" si="10"/>
        <v>0.43</v>
      </c>
      <c r="MV15" s="67">
        <f t="shared" si="10"/>
        <v>0.43</v>
      </c>
      <c r="MW15" s="67">
        <f t="shared" si="10"/>
        <v>0.43</v>
      </c>
      <c r="MX15" s="67">
        <f t="shared" si="10"/>
        <v>0.43</v>
      </c>
      <c r="MY15" s="67">
        <f t="shared" si="10"/>
        <v>0.43</v>
      </c>
      <c r="MZ15" s="67">
        <f t="shared" si="10"/>
        <v>0.43</v>
      </c>
      <c r="NA15" s="67">
        <f t="shared" si="10"/>
        <v>0.43</v>
      </c>
      <c r="NB15" s="67">
        <f t="shared" si="10"/>
        <v>0.43</v>
      </c>
      <c r="NC15" s="67">
        <f t="shared" si="10"/>
        <v>0.43</v>
      </c>
      <c r="ND15" s="67">
        <f t="shared" si="10"/>
        <v>0.43</v>
      </c>
      <c r="NE15" s="67">
        <f t="shared" si="10"/>
        <v>0.43</v>
      </c>
      <c r="NF15" s="67">
        <f t="shared" si="10"/>
        <v>0.43</v>
      </c>
      <c r="NG15" s="67">
        <f t="shared" si="10"/>
        <v>0.43</v>
      </c>
      <c r="NH15" s="67">
        <f t="shared" si="10"/>
        <v>0.43</v>
      </c>
      <c r="NI15" s="67">
        <f t="shared" si="10"/>
        <v>0.43</v>
      </c>
      <c r="NJ15" s="67">
        <f t="shared" si="10"/>
        <v>0.43</v>
      </c>
      <c r="NK15" s="67">
        <f t="shared" si="10"/>
        <v>0.43</v>
      </c>
      <c r="NL15" s="67">
        <f t="shared" si="10"/>
        <v>0.43</v>
      </c>
      <c r="NM15" s="67">
        <f t="shared" si="10"/>
        <v>0.43</v>
      </c>
      <c r="NN15" s="67">
        <f t="shared" si="10"/>
        <v>0.43</v>
      </c>
      <c r="NO15" s="67">
        <f t="shared" si="10"/>
        <v>0.43</v>
      </c>
      <c r="NP15" s="67">
        <f t="shared" si="10"/>
        <v>0.43</v>
      </c>
      <c r="NQ15" s="67">
        <f t="shared" si="10"/>
        <v>0.43</v>
      </c>
      <c r="NR15" s="67">
        <f t="shared" si="10"/>
        <v>0.43</v>
      </c>
      <c r="NS15" s="67">
        <f t="shared" si="10"/>
        <v>0.43</v>
      </c>
      <c r="NT15" s="67">
        <f t="shared" si="10"/>
        <v>0.43</v>
      </c>
      <c r="NU15" s="67">
        <f t="shared" si="10"/>
        <v>0.43</v>
      </c>
      <c r="NV15" s="67">
        <f t="shared" si="10"/>
        <v>0.43</v>
      </c>
      <c r="NW15" s="67">
        <f t="shared" si="10"/>
        <v>0.43</v>
      </c>
      <c r="NX15" s="67">
        <f t="shared" si="10"/>
        <v>0.43</v>
      </c>
      <c r="NY15" s="67">
        <f t="shared" si="10"/>
        <v>0.43</v>
      </c>
      <c r="NZ15" s="67">
        <f t="shared" si="10"/>
        <v>0.43</v>
      </c>
      <c r="OA15" s="67">
        <f t="shared" si="10"/>
        <v>0.43</v>
      </c>
      <c r="OB15" s="67">
        <f t="shared" si="10"/>
        <v>0.43</v>
      </c>
      <c r="OC15" s="67">
        <f t="shared" si="10"/>
        <v>0.43</v>
      </c>
      <c r="OD15" s="67">
        <f t="shared" si="10"/>
        <v>0.43</v>
      </c>
      <c r="OE15" s="67">
        <f t="shared" si="10"/>
        <v>0.43</v>
      </c>
      <c r="OF15" s="67">
        <f t="shared" si="10"/>
        <v>0.43</v>
      </c>
      <c r="OG15" s="67">
        <f t="shared" si="10"/>
        <v>0.43</v>
      </c>
      <c r="OH15" s="67">
        <f t="shared" si="10"/>
        <v>0.43</v>
      </c>
      <c r="OI15" s="67">
        <f t="shared" si="10"/>
        <v>0.43</v>
      </c>
      <c r="OJ15" s="67">
        <f t="shared" si="10"/>
        <v>0.43</v>
      </c>
      <c r="OK15" s="67">
        <f t="shared" si="10"/>
        <v>0.43</v>
      </c>
      <c r="OL15" s="67">
        <f t="shared" si="10"/>
        <v>0.43</v>
      </c>
      <c r="OM15" s="67">
        <f t="shared" si="10"/>
        <v>0.43</v>
      </c>
      <c r="ON15" s="67">
        <f t="shared" si="10"/>
        <v>0.43</v>
      </c>
      <c r="OO15" s="67">
        <f t="shared" si="10"/>
        <v>0.43</v>
      </c>
      <c r="OP15" s="67">
        <f t="shared" si="10"/>
        <v>0.43</v>
      </c>
      <c r="OQ15" s="67">
        <f t="shared" si="10"/>
        <v>0.43</v>
      </c>
      <c r="OR15" s="67">
        <f t="shared" si="10"/>
        <v>0.43</v>
      </c>
      <c r="OS15" s="67">
        <f t="shared" si="10"/>
        <v>0.43</v>
      </c>
      <c r="OT15" s="67">
        <f t="shared" si="10"/>
        <v>0.43</v>
      </c>
      <c r="OU15" s="67">
        <f t="shared" si="10"/>
        <v>0.43</v>
      </c>
      <c r="OV15" s="67">
        <f t="shared" si="10"/>
        <v>0.43</v>
      </c>
      <c r="OW15" s="67">
        <f t="shared" si="10"/>
        <v>0.43</v>
      </c>
      <c r="OX15" s="67">
        <f t="shared" si="10"/>
        <v>0.43</v>
      </c>
      <c r="OY15" s="67">
        <f t="shared" si="10"/>
        <v>0.43</v>
      </c>
      <c r="OZ15" s="67">
        <f t="shared" si="10"/>
        <v>0.43</v>
      </c>
      <c r="PA15" s="67">
        <f t="shared" si="10"/>
        <v>0.43</v>
      </c>
      <c r="PB15" s="67">
        <f t="shared" si="10"/>
        <v>0.43</v>
      </c>
      <c r="PC15" s="67">
        <f t="shared" si="10"/>
        <v>0.43</v>
      </c>
      <c r="PD15" s="67">
        <f t="shared" si="10"/>
        <v>0.43</v>
      </c>
      <c r="PE15" s="67">
        <f t="shared" si="10"/>
        <v>0.43</v>
      </c>
      <c r="PF15" s="67">
        <f t="shared" si="10"/>
        <v>0.43</v>
      </c>
      <c r="PG15" s="67">
        <f t="shared" si="10"/>
        <v>0.43</v>
      </c>
      <c r="PH15" s="67">
        <f t="shared" si="10"/>
        <v>0.43</v>
      </c>
      <c r="PI15" s="67">
        <f t="shared" si="10"/>
        <v>0.43</v>
      </c>
      <c r="PJ15" s="67">
        <f t="shared" si="10"/>
        <v>0.43</v>
      </c>
      <c r="PK15" s="67">
        <f t="shared" si="10"/>
        <v>0.43</v>
      </c>
      <c r="PL15" s="67">
        <f t="shared" si="10"/>
        <v>0.43</v>
      </c>
      <c r="PM15" s="67">
        <f t="shared" si="10"/>
        <v>0.43</v>
      </c>
      <c r="PN15" s="67">
        <f t="shared" si="10"/>
        <v>0.43</v>
      </c>
      <c r="PO15" s="67">
        <f t="shared" si="10"/>
        <v>0.43</v>
      </c>
      <c r="PP15" s="67">
        <f t="shared" si="10"/>
        <v>0.43</v>
      </c>
      <c r="PQ15" s="67">
        <f t="shared" si="10"/>
        <v>0.43</v>
      </c>
      <c r="PR15" s="67">
        <f t="shared" si="10"/>
        <v>0.43</v>
      </c>
      <c r="PS15" s="67">
        <f t="shared" si="10"/>
        <v>0.43</v>
      </c>
      <c r="PT15" s="67">
        <f t="shared" si="10"/>
        <v>0.43</v>
      </c>
      <c r="PU15" s="67">
        <f t="shared" si="10"/>
        <v>0.43</v>
      </c>
      <c r="PV15" s="67">
        <f t="shared" si="10"/>
        <v>0.43</v>
      </c>
      <c r="PW15" s="67">
        <f t="shared" si="10"/>
        <v>0.43</v>
      </c>
      <c r="PX15" s="67">
        <f t="shared" si="10"/>
        <v>0.43</v>
      </c>
      <c r="PY15" s="67">
        <f t="shared" si="10"/>
        <v>0.43</v>
      </c>
      <c r="PZ15" s="67">
        <f t="shared" si="10"/>
        <v>0.43</v>
      </c>
      <c r="QA15" s="67">
        <f t="shared" si="10"/>
        <v>0.43</v>
      </c>
      <c r="QB15" s="67">
        <f t="shared" si="10"/>
        <v>0.43</v>
      </c>
      <c r="QC15" s="67">
        <f t="shared" si="10"/>
        <v>0.43</v>
      </c>
      <c r="QD15" s="67">
        <f t="shared" si="10"/>
        <v>0.43</v>
      </c>
      <c r="QE15" s="67">
        <f t="shared" si="10"/>
        <v>0.43</v>
      </c>
      <c r="QF15" s="67">
        <f t="shared" si="10"/>
        <v>0.43</v>
      </c>
      <c r="QG15" s="67">
        <f t="shared" si="10"/>
        <v>0.43</v>
      </c>
      <c r="QH15" s="67">
        <f t="shared" si="10"/>
        <v>0.43</v>
      </c>
      <c r="QI15" s="67">
        <f t="shared" si="10"/>
        <v>0.43</v>
      </c>
      <c r="QJ15" s="67">
        <f t="shared" si="10"/>
        <v>0.43</v>
      </c>
      <c r="QK15" s="67">
        <f t="shared" si="10"/>
        <v>0.43</v>
      </c>
      <c r="QL15" s="67">
        <f t="shared" si="10"/>
        <v>0.43</v>
      </c>
      <c r="QM15" s="67">
        <f t="shared" si="10"/>
        <v>0.43</v>
      </c>
      <c r="QN15" s="67">
        <f t="shared" si="10"/>
        <v>0.43</v>
      </c>
      <c r="QO15" s="67">
        <f t="shared" si="10"/>
        <v>0.43</v>
      </c>
      <c r="QP15" s="67">
        <f t="shared" si="10"/>
        <v>0.43</v>
      </c>
      <c r="QQ15" s="67">
        <f t="shared" si="10"/>
        <v>0.43</v>
      </c>
      <c r="QR15" s="67">
        <f t="shared" si="10"/>
        <v>0.43</v>
      </c>
      <c r="QS15" s="67">
        <f t="shared" si="10"/>
        <v>0.43</v>
      </c>
      <c r="QT15" s="67">
        <f t="shared" si="10"/>
        <v>0.43</v>
      </c>
      <c r="QU15" s="67">
        <f t="shared" si="10"/>
        <v>0.43</v>
      </c>
      <c r="QV15" s="67">
        <f t="shared" si="10"/>
        <v>0.43</v>
      </c>
      <c r="QW15" s="67">
        <f t="shared" si="10"/>
        <v>0.43</v>
      </c>
      <c r="QX15" s="67">
        <f t="shared" si="10"/>
        <v>0.43</v>
      </c>
      <c r="QY15" s="67">
        <f t="shared" si="10"/>
        <v>0.43</v>
      </c>
      <c r="QZ15" s="67">
        <f t="shared" si="10"/>
        <v>0.43</v>
      </c>
      <c r="RA15" s="67">
        <f t="shared" si="10"/>
        <v>0.43</v>
      </c>
      <c r="RB15" s="67">
        <f t="shared" si="10"/>
        <v>0.43</v>
      </c>
      <c r="RC15" s="67">
        <f t="shared" si="10"/>
        <v>0.43</v>
      </c>
      <c r="RD15" s="67">
        <f t="shared" si="10"/>
        <v>0.43</v>
      </c>
      <c r="RE15" s="67">
        <f t="shared" si="10"/>
        <v>0.43</v>
      </c>
      <c r="RF15" s="67">
        <f t="shared" si="10"/>
        <v>0.43</v>
      </c>
      <c r="RG15" s="67">
        <f t="shared" si="10"/>
        <v>0.43</v>
      </c>
      <c r="RH15" s="67">
        <f t="shared" si="10"/>
        <v>0.43</v>
      </c>
      <c r="RI15" s="67">
        <f t="shared" si="10"/>
        <v>0.43</v>
      </c>
      <c r="RJ15" s="67">
        <f t="shared" si="10"/>
        <v>0.43</v>
      </c>
      <c r="RK15" s="67">
        <f t="shared" si="10"/>
        <v>0.43</v>
      </c>
      <c r="RL15" s="67">
        <f t="shared" si="10"/>
        <v>0.43</v>
      </c>
      <c r="RM15" s="67">
        <f t="shared" si="10"/>
        <v>0.43</v>
      </c>
      <c r="RN15" s="67">
        <f t="shared" si="10"/>
        <v>0.43</v>
      </c>
      <c r="RO15" s="67">
        <f t="shared" si="10"/>
        <v>0.43</v>
      </c>
      <c r="RP15" s="67">
        <f t="shared" si="10"/>
        <v>0.43</v>
      </c>
      <c r="RQ15" s="67">
        <f t="shared" si="10"/>
        <v>0.43</v>
      </c>
      <c r="RR15" s="67">
        <f t="shared" si="10"/>
        <v>0.43</v>
      </c>
      <c r="RS15" s="67">
        <f t="shared" si="10"/>
        <v>0.43</v>
      </c>
      <c r="RT15" s="67">
        <f t="shared" si="10"/>
        <v>0.43</v>
      </c>
      <c r="RU15" s="67">
        <f t="shared" si="10"/>
        <v>0.43</v>
      </c>
      <c r="RV15" s="67">
        <f t="shared" si="10"/>
        <v>0.43</v>
      </c>
      <c r="RW15" s="67">
        <f t="shared" si="10"/>
        <v>0.43</v>
      </c>
      <c r="RX15" s="67">
        <f t="shared" si="10"/>
        <v>0.43</v>
      </c>
      <c r="RY15" s="67">
        <f t="shared" si="10"/>
        <v>0.43</v>
      </c>
      <c r="RZ15" s="67">
        <f t="shared" si="10"/>
        <v>0.43</v>
      </c>
      <c r="SA15" s="67">
        <f t="shared" si="10"/>
        <v>0.43</v>
      </c>
      <c r="SB15" s="67">
        <f t="shared" si="10"/>
        <v>0.43</v>
      </c>
      <c r="SC15" s="67">
        <f t="shared" si="10"/>
        <v>0.43</v>
      </c>
      <c r="SD15" s="67">
        <f t="shared" si="10"/>
        <v>0.43</v>
      </c>
      <c r="SE15" s="67">
        <f t="shared" si="10"/>
        <v>0.43</v>
      </c>
      <c r="SF15" s="67">
        <f t="shared" si="10"/>
        <v>0.43</v>
      </c>
      <c r="SG15" s="67">
        <f t="shared" si="10"/>
        <v>0.43</v>
      </c>
      <c r="SH15" s="67">
        <f t="shared" si="10"/>
        <v>0.43</v>
      </c>
      <c r="SI15" s="67">
        <f t="shared" si="10"/>
        <v>0.43</v>
      </c>
      <c r="SJ15" s="67">
        <f t="shared" si="10"/>
        <v>0.43</v>
      </c>
      <c r="SK15" s="67">
        <f t="shared" si="10"/>
        <v>0.43</v>
      </c>
      <c r="SL15" s="67">
        <f t="shared" si="10"/>
        <v>0.43</v>
      </c>
    </row>
    <row r="16">
      <c r="A16" s="53" t="s">
        <v>92</v>
      </c>
      <c r="B16" s="67">
        <f>1-B15</f>
        <v>0.57</v>
      </c>
      <c r="C16" s="254"/>
      <c r="D16" s="234"/>
      <c r="E16" s="235"/>
      <c r="F16" s="67"/>
      <c r="G16" s="67">
        <f t="shared" ref="G16:SL16" si="11">1-G15</f>
        <v>0.57</v>
      </c>
      <c r="H16" s="67">
        <f t="shared" si="11"/>
        <v>0.57</v>
      </c>
      <c r="I16" s="67">
        <f t="shared" si="11"/>
        <v>0.57</v>
      </c>
      <c r="J16" s="67">
        <f t="shared" si="11"/>
        <v>0.57</v>
      </c>
      <c r="K16" s="67">
        <f t="shared" si="11"/>
        <v>0.57</v>
      </c>
      <c r="L16" s="67">
        <f t="shared" si="11"/>
        <v>0.57</v>
      </c>
      <c r="M16" s="67">
        <f t="shared" si="11"/>
        <v>0.57</v>
      </c>
      <c r="N16" s="67">
        <f t="shared" si="11"/>
        <v>0.57</v>
      </c>
      <c r="O16" s="67">
        <f t="shared" si="11"/>
        <v>0.57</v>
      </c>
      <c r="P16" s="67">
        <f t="shared" si="11"/>
        <v>0.57</v>
      </c>
      <c r="Q16" s="67">
        <f t="shared" si="11"/>
        <v>0.57</v>
      </c>
      <c r="R16" s="67">
        <f t="shared" si="11"/>
        <v>0.57</v>
      </c>
      <c r="S16" s="67">
        <f t="shared" si="11"/>
        <v>0.57</v>
      </c>
      <c r="T16" s="67">
        <f t="shared" si="11"/>
        <v>0.57</v>
      </c>
      <c r="U16" s="67">
        <f t="shared" si="11"/>
        <v>0.57</v>
      </c>
      <c r="V16" s="67">
        <f t="shared" si="11"/>
        <v>0.57</v>
      </c>
      <c r="W16" s="67">
        <f t="shared" si="11"/>
        <v>0.57</v>
      </c>
      <c r="X16" s="67">
        <f t="shared" si="11"/>
        <v>0.57</v>
      </c>
      <c r="Y16" s="67">
        <f t="shared" si="11"/>
        <v>0.57</v>
      </c>
      <c r="Z16" s="67">
        <f t="shared" si="11"/>
        <v>0.57</v>
      </c>
      <c r="AA16" s="67">
        <f t="shared" si="11"/>
        <v>0.57</v>
      </c>
      <c r="AB16" s="67">
        <f t="shared" si="11"/>
        <v>0.57</v>
      </c>
      <c r="AC16" s="67">
        <f t="shared" si="11"/>
        <v>0.57</v>
      </c>
      <c r="AD16" s="67">
        <f t="shared" si="11"/>
        <v>0.57</v>
      </c>
      <c r="AE16" s="67">
        <f t="shared" si="11"/>
        <v>0.57</v>
      </c>
      <c r="AF16" s="67">
        <f t="shared" si="11"/>
        <v>0.57</v>
      </c>
      <c r="AG16" s="67">
        <f t="shared" si="11"/>
        <v>0.57</v>
      </c>
      <c r="AH16" s="67">
        <f t="shared" si="11"/>
        <v>0.57</v>
      </c>
      <c r="AI16" s="67">
        <f t="shared" si="11"/>
        <v>0.57</v>
      </c>
      <c r="AJ16" s="67">
        <f t="shared" si="11"/>
        <v>0.57</v>
      </c>
      <c r="AK16" s="67">
        <f t="shared" si="11"/>
        <v>0.57</v>
      </c>
      <c r="AL16" s="67">
        <f t="shared" si="11"/>
        <v>0.57</v>
      </c>
      <c r="AM16" s="67">
        <f t="shared" si="11"/>
        <v>0.57</v>
      </c>
      <c r="AN16" s="67">
        <f t="shared" si="11"/>
        <v>0.57</v>
      </c>
      <c r="AO16" s="67">
        <f t="shared" si="11"/>
        <v>0.57</v>
      </c>
      <c r="AP16" s="67">
        <f t="shared" si="11"/>
        <v>0.57</v>
      </c>
      <c r="AQ16" s="67">
        <f t="shared" si="11"/>
        <v>0.57</v>
      </c>
      <c r="AR16" s="67">
        <f t="shared" si="11"/>
        <v>0.57</v>
      </c>
      <c r="AS16" s="67">
        <f t="shared" si="11"/>
        <v>0.57</v>
      </c>
      <c r="AT16" s="67">
        <f t="shared" si="11"/>
        <v>0.57</v>
      </c>
      <c r="AU16" s="67">
        <f t="shared" si="11"/>
        <v>0.57</v>
      </c>
      <c r="AV16" s="67">
        <f t="shared" si="11"/>
        <v>0.57</v>
      </c>
      <c r="AW16" s="67">
        <f t="shared" si="11"/>
        <v>0.57</v>
      </c>
      <c r="AX16" s="67">
        <f t="shared" si="11"/>
        <v>0.57</v>
      </c>
      <c r="AY16" s="67">
        <f t="shared" si="11"/>
        <v>0.57</v>
      </c>
      <c r="AZ16" s="67">
        <f t="shared" si="11"/>
        <v>0.57</v>
      </c>
      <c r="BA16" s="67">
        <f t="shared" si="11"/>
        <v>0.57</v>
      </c>
      <c r="BB16" s="67">
        <f t="shared" si="11"/>
        <v>0.57</v>
      </c>
      <c r="BC16" s="67">
        <f t="shared" si="11"/>
        <v>0.57</v>
      </c>
      <c r="BD16" s="67">
        <f t="shared" si="11"/>
        <v>0.57</v>
      </c>
      <c r="BE16" s="67">
        <f t="shared" si="11"/>
        <v>0.57</v>
      </c>
      <c r="BF16" s="67">
        <f t="shared" si="11"/>
        <v>0.57</v>
      </c>
      <c r="BG16" s="67">
        <f t="shared" si="11"/>
        <v>0.57</v>
      </c>
      <c r="BH16" s="67">
        <f t="shared" si="11"/>
        <v>0.57</v>
      </c>
      <c r="BI16" s="67">
        <f t="shared" si="11"/>
        <v>0.57</v>
      </c>
      <c r="BJ16" s="67">
        <f t="shared" si="11"/>
        <v>0.57</v>
      </c>
      <c r="BK16" s="67">
        <f t="shared" si="11"/>
        <v>0.57</v>
      </c>
      <c r="BL16" s="67">
        <f t="shared" si="11"/>
        <v>0.57</v>
      </c>
      <c r="BM16" s="67">
        <f t="shared" si="11"/>
        <v>0.57</v>
      </c>
      <c r="BN16" s="67">
        <f t="shared" si="11"/>
        <v>0.57</v>
      </c>
      <c r="BO16" s="67">
        <f t="shared" si="11"/>
        <v>0.57</v>
      </c>
      <c r="BP16" s="67">
        <f t="shared" si="11"/>
        <v>0.57</v>
      </c>
      <c r="BQ16" s="67">
        <f t="shared" si="11"/>
        <v>0.57</v>
      </c>
      <c r="BR16" s="67">
        <f t="shared" si="11"/>
        <v>0.57</v>
      </c>
      <c r="BS16" s="67">
        <f t="shared" si="11"/>
        <v>0.57</v>
      </c>
      <c r="BT16" s="67">
        <f t="shared" si="11"/>
        <v>0.57</v>
      </c>
      <c r="BU16" s="67">
        <f t="shared" si="11"/>
        <v>0.57</v>
      </c>
      <c r="BV16" s="67">
        <f t="shared" si="11"/>
        <v>0.57</v>
      </c>
      <c r="BW16" s="67">
        <f t="shared" si="11"/>
        <v>0.57</v>
      </c>
      <c r="BX16" s="67">
        <f t="shared" si="11"/>
        <v>0.57</v>
      </c>
      <c r="BY16" s="67">
        <f t="shared" si="11"/>
        <v>0.57</v>
      </c>
      <c r="BZ16" s="67">
        <f t="shared" si="11"/>
        <v>0.57</v>
      </c>
      <c r="CA16" s="67">
        <f t="shared" si="11"/>
        <v>0.57</v>
      </c>
      <c r="CB16" s="67">
        <f t="shared" si="11"/>
        <v>0.57</v>
      </c>
      <c r="CC16" s="67">
        <f t="shared" si="11"/>
        <v>0.57</v>
      </c>
      <c r="CD16" s="67">
        <f t="shared" si="11"/>
        <v>0.57</v>
      </c>
      <c r="CE16" s="67">
        <f t="shared" si="11"/>
        <v>0.57</v>
      </c>
      <c r="CF16" s="67">
        <f t="shared" si="11"/>
        <v>0.57</v>
      </c>
      <c r="CG16" s="67">
        <f t="shared" si="11"/>
        <v>0.57</v>
      </c>
      <c r="CH16" s="67">
        <f t="shared" si="11"/>
        <v>0.57</v>
      </c>
      <c r="CI16" s="67">
        <f t="shared" si="11"/>
        <v>0.57</v>
      </c>
      <c r="CJ16" s="67">
        <f t="shared" si="11"/>
        <v>0.57</v>
      </c>
      <c r="CK16" s="67">
        <f t="shared" si="11"/>
        <v>0.57</v>
      </c>
      <c r="CL16" s="67">
        <f t="shared" si="11"/>
        <v>0.57</v>
      </c>
      <c r="CM16" s="67">
        <f t="shared" si="11"/>
        <v>0.57</v>
      </c>
      <c r="CN16" s="67">
        <f t="shared" si="11"/>
        <v>0.57</v>
      </c>
      <c r="CO16" s="67">
        <f t="shared" si="11"/>
        <v>0.57</v>
      </c>
      <c r="CP16" s="67">
        <f t="shared" si="11"/>
        <v>0.57</v>
      </c>
      <c r="CQ16" s="67">
        <f t="shared" si="11"/>
        <v>0.57</v>
      </c>
      <c r="CR16" s="67">
        <f t="shared" si="11"/>
        <v>0.57</v>
      </c>
      <c r="CS16" s="67">
        <f t="shared" si="11"/>
        <v>0.57</v>
      </c>
      <c r="CT16" s="67">
        <f t="shared" si="11"/>
        <v>0.57</v>
      </c>
      <c r="CU16" s="67">
        <f t="shared" si="11"/>
        <v>0.57</v>
      </c>
      <c r="CV16" s="67">
        <f t="shared" si="11"/>
        <v>0.57</v>
      </c>
      <c r="CW16" s="67">
        <f t="shared" si="11"/>
        <v>0.57</v>
      </c>
      <c r="CX16" s="67">
        <f t="shared" si="11"/>
        <v>0.57</v>
      </c>
      <c r="CY16" s="67">
        <f t="shared" si="11"/>
        <v>0.57</v>
      </c>
      <c r="CZ16" s="67">
        <f t="shared" si="11"/>
        <v>0.57</v>
      </c>
      <c r="DA16" s="67">
        <f t="shared" si="11"/>
        <v>0.57</v>
      </c>
      <c r="DB16" s="67">
        <f t="shared" si="11"/>
        <v>0.57</v>
      </c>
      <c r="DC16" s="67">
        <f t="shared" si="11"/>
        <v>0.57</v>
      </c>
      <c r="DD16" s="67">
        <f t="shared" si="11"/>
        <v>0.57</v>
      </c>
      <c r="DE16" s="67">
        <f t="shared" si="11"/>
        <v>0.57</v>
      </c>
      <c r="DF16" s="67">
        <f t="shared" si="11"/>
        <v>0.57</v>
      </c>
      <c r="DG16" s="67">
        <f t="shared" si="11"/>
        <v>0.57</v>
      </c>
      <c r="DH16" s="67">
        <f t="shared" si="11"/>
        <v>0.57</v>
      </c>
      <c r="DI16" s="67">
        <f t="shared" si="11"/>
        <v>0.57</v>
      </c>
      <c r="DJ16" s="67">
        <f t="shared" si="11"/>
        <v>0.57</v>
      </c>
      <c r="DK16" s="67">
        <f t="shared" si="11"/>
        <v>0.57</v>
      </c>
      <c r="DL16" s="67">
        <f t="shared" si="11"/>
        <v>0.57</v>
      </c>
      <c r="DM16" s="67">
        <f t="shared" si="11"/>
        <v>0.57</v>
      </c>
      <c r="DN16" s="67">
        <f t="shared" si="11"/>
        <v>0.57</v>
      </c>
      <c r="DO16" s="67">
        <f t="shared" si="11"/>
        <v>0.57</v>
      </c>
      <c r="DP16" s="67">
        <f t="shared" si="11"/>
        <v>0.57</v>
      </c>
      <c r="DQ16" s="67">
        <f t="shared" si="11"/>
        <v>0.57</v>
      </c>
      <c r="DR16" s="67">
        <f t="shared" si="11"/>
        <v>0.57</v>
      </c>
      <c r="DS16" s="67">
        <f t="shared" si="11"/>
        <v>0.57</v>
      </c>
      <c r="DT16" s="67">
        <f t="shared" si="11"/>
        <v>0.57</v>
      </c>
      <c r="DU16" s="67">
        <f t="shared" si="11"/>
        <v>0.57</v>
      </c>
      <c r="DV16" s="67">
        <f t="shared" si="11"/>
        <v>0.57</v>
      </c>
      <c r="DW16" s="67">
        <f t="shared" si="11"/>
        <v>0.57</v>
      </c>
      <c r="DX16" s="67">
        <f t="shared" si="11"/>
        <v>0.57</v>
      </c>
      <c r="DY16" s="67">
        <f t="shared" si="11"/>
        <v>0.57</v>
      </c>
      <c r="DZ16" s="67">
        <f t="shared" si="11"/>
        <v>0.57</v>
      </c>
      <c r="EA16" s="67">
        <f t="shared" si="11"/>
        <v>0.57</v>
      </c>
      <c r="EB16" s="67">
        <f t="shared" si="11"/>
        <v>0.57</v>
      </c>
      <c r="EC16" s="67">
        <f t="shared" si="11"/>
        <v>0.57</v>
      </c>
      <c r="ED16" s="67">
        <f t="shared" si="11"/>
        <v>0.57</v>
      </c>
      <c r="EE16" s="67">
        <f t="shared" si="11"/>
        <v>0.57</v>
      </c>
      <c r="EF16" s="67">
        <f t="shared" si="11"/>
        <v>0.57</v>
      </c>
      <c r="EG16" s="67">
        <f t="shared" si="11"/>
        <v>0.57</v>
      </c>
      <c r="EH16" s="67">
        <f t="shared" si="11"/>
        <v>0.57</v>
      </c>
      <c r="EI16" s="67">
        <f t="shared" si="11"/>
        <v>0.57</v>
      </c>
      <c r="EJ16" s="67">
        <f t="shared" si="11"/>
        <v>0.57</v>
      </c>
      <c r="EK16" s="67">
        <f t="shared" si="11"/>
        <v>0.57</v>
      </c>
      <c r="EL16" s="67">
        <f t="shared" si="11"/>
        <v>0.57</v>
      </c>
      <c r="EM16" s="67">
        <f t="shared" si="11"/>
        <v>0.57</v>
      </c>
      <c r="EN16" s="67">
        <f t="shared" si="11"/>
        <v>0.57</v>
      </c>
      <c r="EO16" s="67">
        <f t="shared" si="11"/>
        <v>0.57</v>
      </c>
      <c r="EP16" s="67">
        <f t="shared" si="11"/>
        <v>0.57</v>
      </c>
      <c r="EQ16" s="67">
        <f t="shared" si="11"/>
        <v>0.57</v>
      </c>
      <c r="ER16" s="67">
        <f t="shared" si="11"/>
        <v>0.57</v>
      </c>
      <c r="ES16" s="67">
        <f t="shared" si="11"/>
        <v>0.57</v>
      </c>
      <c r="ET16" s="67">
        <f t="shared" si="11"/>
        <v>0.57</v>
      </c>
      <c r="EU16" s="67">
        <f t="shared" si="11"/>
        <v>0.57</v>
      </c>
      <c r="EV16" s="67">
        <f t="shared" si="11"/>
        <v>0.57</v>
      </c>
      <c r="EW16" s="67">
        <f t="shared" si="11"/>
        <v>0.57</v>
      </c>
      <c r="EX16" s="67">
        <f t="shared" si="11"/>
        <v>0.57</v>
      </c>
      <c r="EY16" s="67">
        <f t="shared" si="11"/>
        <v>0.57</v>
      </c>
      <c r="EZ16" s="67">
        <f t="shared" si="11"/>
        <v>0.57</v>
      </c>
      <c r="FA16" s="67">
        <f t="shared" si="11"/>
        <v>0.57</v>
      </c>
      <c r="FB16" s="67">
        <f t="shared" si="11"/>
        <v>0.57</v>
      </c>
      <c r="FC16" s="67">
        <f t="shared" si="11"/>
        <v>0.57</v>
      </c>
      <c r="FD16" s="67">
        <f t="shared" si="11"/>
        <v>0.57</v>
      </c>
      <c r="FE16" s="67">
        <f t="shared" si="11"/>
        <v>0.57</v>
      </c>
      <c r="FF16" s="67">
        <f t="shared" si="11"/>
        <v>0.57</v>
      </c>
      <c r="FG16" s="67">
        <f t="shared" si="11"/>
        <v>0.57</v>
      </c>
      <c r="FH16" s="67">
        <f t="shared" si="11"/>
        <v>0.57</v>
      </c>
      <c r="FI16" s="67">
        <f t="shared" si="11"/>
        <v>0.57</v>
      </c>
      <c r="FJ16" s="67">
        <f t="shared" si="11"/>
        <v>0.57</v>
      </c>
      <c r="FK16" s="67">
        <f t="shared" si="11"/>
        <v>0.57</v>
      </c>
      <c r="FL16" s="67">
        <f t="shared" si="11"/>
        <v>0.57</v>
      </c>
      <c r="FM16" s="67">
        <f t="shared" si="11"/>
        <v>0.57</v>
      </c>
      <c r="FN16" s="67">
        <f t="shared" si="11"/>
        <v>0.57</v>
      </c>
      <c r="FO16" s="67">
        <f t="shared" si="11"/>
        <v>0.57</v>
      </c>
      <c r="FP16" s="67">
        <f t="shared" si="11"/>
        <v>0.57</v>
      </c>
      <c r="FQ16" s="67">
        <f t="shared" si="11"/>
        <v>0.57</v>
      </c>
      <c r="FR16" s="67">
        <f t="shared" si="11"/>
        <v>0.57</v>
      </c>
      <c r="FS16" s="67">
        <f t="shared" si="11"/>
        <v>0.57</v>
      </c>
      <c r="FT16" s="67">
        <f t="shared" si="11"/>
        <v>0.57</v>
      </c>
      <c r="FU16" s="67">
        <f t="shared" si="11"/>
        <v>0.57</v>
      </c>
      <c r="FV16" s="67">
        <f t="shared" si="11"/>
        <v>0.57</v>
      </c>
      <c r="FW16" s="67">
        <f t="shared" si="11"/>
        <v>0.57</v>
      </c>
      <c r="FX16" s="67">
        <f t="shared" si="11"/>
        <v>0.57</v>
      </c>
      <c r="FY16" s="67">
        <f t="shared" si="11"/>
        <v>0.57</v>
      </c>
      <c r="FZ16" s="67">
        <f t="shared" si="11"/>
        <v>0.57</v>
      </c>
      <c r="GA16" s="67">
        <f t="shared" si="11"/>
        <v>0.57</v>
      </c>
      <c r="GB16" s="67">
        <f t="shared" si="11"/>
        <v>0.57</v>
      </c>
      <c r="GC16" s="67">
        <f t="shared" si="11"/>
        <v>0.57</v>
      </c>
      <c r="GD16" s="67">
        <f t="shared" si="11"/>
        <v>0.57</v>
      </c>
      <c r="GE16" s="67">
        <f t="shared" si="11"/>
        <v>0.57</v>
      </c>
      <c r="GF16" s="67">
        <f t="shared" si="11"/>
        <v>0.57</v>
      </c>
      <c r="GG16" s="67">
        <f t="shared" si="11"/>
        <v>0.57</v>
      </c>
      <c r="GH16" s="67">
        <f t="shared" si="11"/>
        <v>0.57</v>
      </c>
      <c r="GI16" s="67">
        <f t="shared" si="11"/>
        <v>0.57</v>
      </c>
      <c r="GJ16" s="67">
        <f t="shared" si="11"/>
        <v>0.57</v>
      </c>
      <c r="GK16" s="67">
        <f t="shared" si="11"/>
        <v>0.57</v>
      </c>
      <c r="GL16" s="67">
        <f t="shared" si="11"/>
        <v>0.57</v>
      </c>
      <c r="GM16" s="67">
        <f t="shared" si="11"/>
        <v>0.57</v>
      </c>
      <c r="GN16" s="67">
        <f t="shared" si="11"/>
        <v>0.57</v>
      </c>
      <c r="GO16" s="67">
        <f t="shared" si="11"/>
        <v>0.57</v>
      </c>
      <c r="GP16" s="67">
        <f t="shared" si="11"/>
        <v>0.57</v>
      </c>
      <c r="GQ16" s="67">
        <f t="shared" si="11"/>
        <v>0.57</v>
      </c>
      <c r="GR16" s="67">
        <f t="shared" si="11"/>
        <v>0.57</v>
      </c>
      <c r="GS16" s="67">
        <f t="shared" si="11"/>
        <v>0.57</v>
      </c>
      <c r="GT16" s="67">
        <f t="shared" si="11"/>
        <v>0.57</v>
      </c>
      <c r="GU16" s="67">
        <f t="shared" si="11"/>
        <v>0.57</v>
      </c>
      <c r="GV16" s="67">
        <f t="shared" si="11"/>
        <v>0.57</v>
      </c>
      <c r="GW16" s="67">
        <f t="shared" si="11"/>
        <v>0.57</v>
      </c>
      <c r="GX16" s="67">
        <f t="shared" si="11"/>
        <v>0.57</v>
      </c>
      <c r="GY16" s="67">
        <f t="shared" si="11"/>
        <v>0.57</v>
      </c>
      <c r="GZ16" s="67">
        <f t="shared" si="11"/>
        <v>0.57</v>
      </c>
      <c r="HA16" s="67">
        <f t="shared" si="11"/>
        <v>0.57</v>
      </c>
      <c r="HB16" s="67">
        <f t="shared" si="11"/>
        <v>0.57</v>
      </c>
      <c r="HC16" s="67">
        <f t="shared" si="11"/>
        <v>0.57</v>
      </c>
      <c r="HD16" s="67">
        <f t="shared" si="11"/>
        <v>0.57</v>
      </c>
      <c r="HE16" s="67">
        <f t="shared" si="11"/>
        <v>0.57</v>
      </c>
      <c r="HF16" s="67">
        <f t="shared" si="11"/>
        <v>0.57</v>
      </c>
      <c r="HG16" s="67">
        <f t="shared" si="11"/>
        <v>0.57</v>
      </c>
      <c r="HH16" s="67">
        <f t="shared" si="11"/>
        <v>0.57</v>
      </c>
      <c r="HI16" s="67">
        <f t="shared" si="11"/>
        <v>0.57</v>
      </c>
      <c r="HJ16" s="67">
        <f t="shared" si="11"/>
        <v>0.57</v>
      </c>
      <c r="HK16" s="67">
        <f t="shared" si="11"/>
        <v>0.57</v>
      </c>
      <c r="HL16" s="67">
        <f t="shared" si="11"/>
        <v>0.57</v>
      </c>
      <c r="HM16" s="67">
        <f t="shared" si="11"/>
        <v>0.57</v>
      </c>
      <c r="HN16" s="67">
        <f t="shared" si="11"/>
        <v>0.57</v>
      </c>
      <c r="HO16" s="67">
        <f t="shared" si="11"/>
        <v>0.57</v>
      </c>
      <c r="HP16" s="67">
        <f t="shared" si="11"/>
        <v>0.57</v>
      </c>
      <c r="HQ16" s="67">
        <f t="shared" si="11"/>
        <v>0.57</v>
      </c>
      <c r="HR16" s="67">
        <f t="shared" si="11"/>
        <v>0.57</v>
      </c>
      <c r="HS16" s="67">
        <f t="shared" si="11"/>
        <v>0.57</v>
      </c>
      <c r="HT16" s="67">
        <f t="shared" si="11"/>
        <v>0.57</v>
      </c>
      <c r="HU16" s="67">
        <f t="shared" si="11"/>
        <v>0.57</v>
      </c>
      <c r="HV16" s="67">
        <f t="shared" si="11"/>
        <v>0.57</v>
      </c>
      <c r="HW16" s="67">
        <f t="shared" si="11"/>
        <v>0.57</v>
      </c>
      <c r="HX16" s="67">
        <f t="shared" si="11"/>
        <v>0.57</v>
      </c>
      <c r="HY16" s="67">
        <f t="shared" si="11"/>
        <v>0.57</v>
      </c>
      <c r="HZ16" s="67">
        <f t="shared" si="11"/>
        <v>0.57</v>
      </c>
      <c r="IA16" s="67">
        <f t="shared" si="11"/>
        <v>0.57</v>
      </c>
      <c r="IB16" s="67">
        <f t="shared" si="11"/>
        <v>0.57</v>
      </c>
      <c r="IC16" s="67">
        <f t="shared" si="11"/>
        <v>0.57</v>
      </c>
      <c r="ID16" s="67">
        <f t="shared" si="11"/>
        <v>0.57</v>
      </c>
      <c r="IE16" s="67">
        <f t="shared" si="11"/>
        <v>0.57</v>
      </c>
      <c r="IF16" s="67">
        <f t="shared" si="11"/>
        <v>0.57</v>
      </c>
      <c r="IG16" s="67">
        <f t="shared" si="11"/>
        <v>0.57</v>
      </c>
      <c r="IH16" s="67">
        <f t="shared" si="11"/>
        <v>0.57</v>
      </c>
      <c r="II16" s="67">
        <f t="shared" si="11"/>
        <v>0.57</v>
      </c>
      <c r="IJ16" s="67">
        <f t="shared" si="11"/>
        <v>0.57</v>
      </c>
      <c r="IK16" s="67">
        <f t="shared" si="11"/>
        <v>0.57</v>
      </c>
      <c r="IL16" s="67">
        <f t="shared" si="11"/>
        <v>0.57</v>
      </c>
      <c r="IM16" s="67">
        <f t="shared" si="11"/>
        <v>0.57</v>
      </c>
      <c r="IN16" s="67">
        <f t="shared" si="11"/>
        <v>0.57</v>
      </c>
      <c r="IO16" s="67">
        <f t="shared" si="11"/>
        <v>0.57</v>
      </c>
      <c r="IP16" s="67">
        <f t="shared" si="11"/>
        <v>0.57</v>
      </c>
      <c r="IQ16" s="67">
        <f t="shared" si="11"/>
        <v>0.57</v>
      </c>
      <c r="IR16" s="67">
        <f t="shared" si="11"/>
        <v>0.57</v>
      </c>
      <c r="IS16" s="67">
        <f t="shared" si="11"/>
        <v>0.57</v>
      </c>
      <c r="IT16" s="67">
        <f t="shared" si="11"/>
        <v>0.57</v>
      </c>
      <c r="IU16" s="67">
        <f t="shared" si="11"/>
        <v>0.57</v>
      </c>
      <c r="IV16" s="67">
        <f t="shared" si="11"/>
        <v>0.57</v>
      </c>
      <c r="IW16" s="67">
        <f t="shared" si="11"/>
        <v>0.57</v>
      </c>
      <c r="IX16" s="67">
        <f t="shared" si="11"/>
        <v>0.57</v>
      </c>
      <c r="IY16" s="67">
        <f t="shared" si="11"/>
        <v>0.57</v>
      </c>
      <c r="IZ16" s="67">
        <f t="shared" si="11"/>
        <v>0.57</v>
      </c>
      <c r="JA16" s="67">
        <f t="shared" si="11"/>
        <v>0.57</v>
      </c>
      <c r="JB16" s="67">
        <f t="shared" si="11"/>
        <v>0.57</v>
      </c>
      <c r="JC16" s="67">
        <f t="shared" si="11"/>
        <v>0.57</v>
      </c>
      <c r="JD16" s="67">
        <f t="shared" si="11"/>
        <v>0.57</v>
      </c>
      <c r="JE16" s="67">
        <f t="shared" si="11"/>
        <v>0.57</v>
      </c>
      <c r="JF16" s="67">
        <f t="shared" si="11"/>
        <v>0.57</v>
      </c>
      <c r="JG16" s="67">
        <f t="shared" si="11"/>
        <v>0.57</v>
      </c>
      <c r="JH16" s="67">
        <f t="shared" si="11"/>
        <v>0.57</v>
      </c>
      <c r="JI16" s="67">
        <f t="shared" si="11"/>
        <v>0.57</v>
      </c>
      <c r="JJ16" s="67">
        <f t="shared" si="11"/>
        <v>0.57</v>
      </c>
      <c r="JK16" s="67">
        <f t="shared" si="11"/>
        <v>0.57</v>
      </c>
      <c r="JL16" s="67">
        <f t="shared" si="11"/>
        <v>0.57</v>
      </c>
      <c r="JM16" s="67">
        <f t="shared" si="11"/>
        <v>0.57</v>
      </c>
      <c r="JN16" s="67">
        <f t="shared" si="11"/>
        <v>0.57</v>
      </c>
      <c r="JO16" s="67">
        <f t="shared" si="11"/>
        <v>0.57</v>
      </c>
      <c r="JP16" s="67">
        <f t="shared" si="11"/>
        <v>0.57</v>
      </c>
      <c r="JQ16" s="67">
        <f t="shared" si="11"/>
        <v>0.57</v>
      </c>
      <c r="JR16" s="67">
        <f t="shared" si="11"/>
        <v>0.57</v>
      </c>
      <c r="JS16" s="67">
        <f t="shared" si="11"/>
        <v>0.57</v>
      </c>
      <c r="JT16" s="67">
        <f t="shared" si="11"/>
        <v>0.57</v>
      </c>
      <c r="JU16" s="67">
        <f t="shared" si="11"/>
        <v>0.57</v>
      </c>
      <c r="JV16" s="67">
        <f t="shared" si="11"/>
        <v>0.57</v>
      </c>
      <c r="JW16" s="67">
        <f t="shared" si="11"/>
        <v>0.57</v>
      </c>
      <c r="JX16" s="67">
        <f t="shared" si="11"/>
        <v>0.57</v>
      </c>
      <c r="JY16" s="67">
        <f t="shared" si="11"/>
        <v>0.57</v>
      </c>
      <c r="JZ16" s="67">
        <f t="shared" si="11"/>
        <v>0.57</v>
      </c>
      <c r="KA16" s="67">
        <f t="shared" si="11"/>
        <v>0.57</v>
      </c>
      <c r="KB16" s="67">
        <f t="shared" si="11"/>
        <v>0.57</v>
      </c>
      <c r="KC16" s="67">
        <f t="shared" si="11"/>
        <v>0.57</v>
      </c>
      <c r="KD16" s="67">
        <f t="shared" si="11"/>
        <v>0.57</v>
      </c>
      <c r="KE16" s="67">
        <f t="shared" si="11"/>
        <v>0.57</v>
      </c>
      <c r="KF16" s="67">
        <f t="shared" si="11"/>
        <v>0.57</v>
      </c>
      <c r="KG16" s="67">
        <f t="shared" si="11"/>
        <v>0.57</v>
      </c>
      <c r="KH16" s="67">
        <f t="shared" si="11"/>
        <v>0.57</v>
      </c>
      <c r="KI16" s="67">
        <f t="shared" si="11"/>
        <v>0.57</v>
      </c>
      <c r="KJ16" s="67">
        <f t="shared" si="11"/>
        <v>0.57</v>
      </c>
      <c r="KK16" s="67">
        <f t="shared" si="11"/>
        <v>0.57</v>
      </c>
      <c r="KL16" s="67">
        <f t="shared" si="11"/>
        <v>0.57</v>
      </c>
      <c r="KM16" s="67">
        <f t="shared" si="11"/>
        <v>0.57</v>
      </c>
      <c r="KN16" s="67">
        <f t="shared" si="11"/>
        <v>0.57</v>
      </c>
      <c r="KO16" s="67">
        <f t="shared" si="11"/>
        <v>0.57</v>
      </c>
      <c r="KP16" s="67">
        <f t="shared" si="11"/>
        <v>0.57</v>
      </c>
      <c r="KQ16" s="67">
        <f t="shared" si="11"/>
        <v>0.57</v>
      </c>
      <c r="KR16" s="67">
        <f t="shared" si="11"/>
        <v>0.57</v>
      </c>
      <c r="KS16" s="67">
        <f t="shared" si="11"/>
        <v>0.57</v>
      </c>
      <c r="KT16" s="67">
        <f t="shared" si="11"/>
        <v>0.57</v>
      </c>
      <c r="KU16" s="67">
        <f t="shared" si="11"/>
        <v>0.57</v>
      </c>
      <c r="KV16" s="67">
        <f t="shared" si="11"/>
        <v>0.57</v>
      </c>
      <c r="KW16" s="67">
        <f t="shared" si="11"/>
        <v>0.57</v>
      </c>
      <c r="KX16" s="67">
        <f t="shared" si="11"/>
        <v>0.57</v>
      </c>
      <c r="KY16" s="67">
        <f t="shared" si="11"/>
        <v>0.57</v>
      </c>
      <c r="KZ16" s="67">
        <f t="shared" si="11"/>
        <v>0.57</v>
      </c>
      <c r="LA16" s="67">
        <f t="shared" si="11"/>
        <v>0.57</v>
      </c>
      <c r="LB16" s="67">
        <f t="shared" si="11"/>
        <v>0.57</v>
      </c>
      <c r="LC16" s="67">
        <f t="shared" si="11"/>
        <v>0.57</v>
      </c>
      <c r="LD16" s="67">
        <f t="shared" si="11"/>
        <v>0.57</v>
      </c>
      <c r="LE16" s="67">
        <f t="shared" si="11"/>
        <v>0.57</v>
      </c>
      <c r="LF16" s="67">
        <f t="shared" si="11"/>
        <v>0.57</v>
      </c>
      <c r="LG16" s="67">
        <f t="shared" si="11"/>
        <v>0.57</v>
      </c>
      <c r="LH16" s="67">
        <f t="shared" si="11"/>
        <v>0.57</v>
      </c>
      <c r="LI16" s="67">
        <f t="shared" si="11"/>
        <v>0.57</v>
      </c>
      <c r="LJ16" s="67">
        <f t="shared" si="11"/>
        <v>0.57</v>
      </c>
      <c r="LK16" s="67">
        <f t="shared" si="11"/>
        <v>0.57</v>
      </c>
      <c r="LL16" s="67">
        <f t="shared" si="11"/>
        <v>0.57</v>
      </c>
      <c r="LM16" s="67">
        <f t="shared" si="11"/>
        <v>0.57</v>
      </c>
      <c r="LN16" s="67">
        <f t="shared" si="11"/>
        <v>0.57</v>
      </c>
      <c r="LO16" s="67">
        <f t="shared" si="11"/>
        <v>0.57</v>
      </c>
      <c r="LP16" s="67">
        <f t="shared" si="11"/>
        <v>0.57</v>
      </c>
      <c r="LQ16" s="67">
        <f t="shared" si="11"/>
        <v>0.57</v>
      </c>
      <c r="LR16" s="67">
        <f t="shared" si="11"/>
        <v>0.57</v>
      </c>
      <c r="LS16" s="67">
        <f t="shared" si="11"/>
        <v>0.57</v>
      </c>
      <c r="LT16" s="67">
        <f t="shared" si="11"/>
        <v>0.57</v>
      </c>
      <c r="LU16" s="67">
        <f t="shared" si="11"/>
        <v>0.57</v>
      </c>
      <c r="LV16" s="67">
        <f t="shared" si="11"/>
        <v>0.57</v>
      </c>
      <c r="LW16" s="67">
        <f t="shared" si="11"/>
        <v>0.57</v>
      </c>
      <c r="LX16" s="67">
        <f t="shared" si="11"/>
        <v>0.57</v>
      </c>
      <c r="LY16" s="67">
        <f t="shared" si="11"/>
        <v>0.57</v>
      </c>
      <c r="LZ16" s="67">
        <f t="shared" si="11"/>
        <v>0.57</v>
      </c>
      <c r="MA16" s="67">
        <f t="shared" si="11"/>
        <v>0.57</v>
      </c>
      <c r="MB16" s="67">
        <f t="shared" si="11"/>
        <v>0.57</v>
      </c>
      <c r="MC16" s="67">
        <f t="shared" si="11"/>
        <v>0.57</v>
      </c>
      <c r="MD16" s="67">
        <f t="shared" si="11"/>
        <v>0.57</v>
      </c>
      <c r="ME16" s="67">
        <f t="shared" si="11"/>
        <v>0.57</v>
      </c>
      <c r="MF16" s="67">
        <f t="shared" si="11"/>
        <v>0.57</v>
      </c>
      <c r="MG16" s="67">
        <f t="shared" si="11"/>
        <v>0.57</v>
      </c>
      <c r="MH16" s="67">
        <f t="shared" si="11"/>
        <v>0.57</v>
      </c>
      <c r="MI16" s="67">
        <f t="shared" si="11"/>
        <v>0.57</v>
      </c>
      <c r="MJ16" s="67">
        <f t="shared" si="11"/>
        <v>0.57</v>
      </c>
      <c r="MK16" s="67">
        <f t="shared" si="11"/>
        <v>0.57</v>
      </c>
      <c r="ML16" s="67">
        <f t="shared" si="11"/>
        <v>0.57</v>
      </c>
      <c r="MM16" s="67">
        <f t="shared" si="11"/>
        <v>0.57</v>
      </c>
      <c r="MN16" s="67">
        <f t="shared" si="11"/>
        <v>0.57</v>
      </c>
      <c r="MO16" s="67">
        <f t="shared" si="11"/>
        <v>0.57</v>
      </c>
      <c r="MP16" s="67">
        <f t="shared" si="11"/>
        <v>0.57</v>
      </c>
      <c r="MQ16" s="67">
        <f t="shared" si="11"/>
        <v>0.57</v>
      </c>
      <c r="MR16" s="67">
        <f t="shared" si="11"/>
        <v>0.57</v>
      </c>
      <c r="MS16" s="67">
        <f t="shared" si="11"/>
        <v>0.57</v>
      </c>
      <c r="MT16" s="67">
        <f t="shared" si="11"/>
        <v>0.57</v>
      </c>
      <c r="MU16" s="67">
        <f t="shared" si="11"/>
        <v>0.57</v>
      </c>
      <c r="MV16" s="67">
        <f t="shared" si="11"/>
        <v>0.57</v>
      </c>
      <c r="MW16" s="67">
        <f t="shared" si="11"/>
        <v>0.57</v>
      </c>
      <c r="MX16" s="67">
        <f t="shared" si="11"/>
        <v>0.57</v>
      </c>
      <c r="MY16" s="67">
        <f t="shared" si="11"/>
        <v>0.57</v>
      </c>
      <c r="MZ16" s="67">
        <f t="shared" si="11"/>
        <v>0.57</v>
      </c>
      <c r="NA16" s="67">
        <f t="shared" si="11"/>
        <v>0.57</v>
      </c>
      <c r="NB16" s="67">
        <f t="shared" si="11"/>
        <v>0.57</v>
      </c>
      <c r="NC16" s="67">
        <f t="shared" si="11"/>
        <v>0.57</v>
      </c>
      <c r="ND16" s="67">
        <f t="shared" si="11"/>
        <v>0.57</v>
      </c>
      <c r="NE16" s="67">
        <f t="shared" si="11"/>
        <v>0.57</v>
      </c>
      <c r="NF16" s="67">
        <f t="shared" si="11"/>
        <v>0.57</v>
      </c>
      <c r="NG16" s="67">
        <f t="shared" si="11"/>
        <v>0.57</v>
      </c>
      <c r="NH16" s="67">
        <f t="shared" si="11"/>
        <v>0.57</v>
      </c>
      <c r="NI16" s="67">
        <f t="shared" si="11"/>
        <v>0.57</v>
      </c>
      <c r="NJ16" s="67">
        <f t="shared" si="11"/>
        <v>0.57</v>
      </c>
      <c r="NK16" s="67">
        <f t="shared" si="11"/>
        <v>0.57</v>
      </c>
      <c r="NL16" s="67">
        <f t="shared" si="11"/>
        <v>0.57</v>
      </c>
      <c r="NM16" s="67">
        <f t="shared" si="11"/>
        <v>0.57</v>
      </c>
      <c r="NN16" s="67">
        <f t="shared" si="11"/>
        <v>0.57</v>
      </c>
      <c r="NO16" s="67">
        <f t="shared" si="11"/>
        <v>0.57</v>
      </c>
      <c r="NP16" s="67">
        <f t="shared" si="11"/>
        <v>0.57</v>
      </c>
      <c r="NQ16" s="67">
        <f t="shared" si="11"/>
        <v>0.57</v>
      </c>
      <c r="NR16" s="67">
        <f t="shared" si="11"/>
        <v>0.57</v>
      </c>
      <c r="NS16" s="67">
        <f t="shared" si="11"/>
        <v>0.57</v>
      </c>
      <c r="NT16" s="67">
        <f t="shared" si="11"/>
        <v>0.57</v>
      </c>
      <c r="NU16" s="67">
        <f t="shared" si="11"/>
        <v>0.57</v>
      </c>
      <c r="NV16" s="67">
        <f t="shared" si="11"/>
        <v>0.57</v>
      </c>
      <c r="NW16" s="67">
        <f t="shared" si="11"/>
        <v>0.57</v>
      </c>
      <c r="NX16" s="67">
        <f t="shared" si="11"/>
        <v>0.57</v>
      </c>
      <c r="NY16" s="67">
        <f t="shared" si="11"/>
        <v>0.57</v>
      </c>
      <c r="NZ16" s="67">
        <f t="shared" si="11"/>
        <v>0.57</v>
      </c>
      <c r="OA16" s="67">
        <f t="shared" si="11"/>
        <v>0.57</v>
      </c>
      <c r="OB16" s="67">
        <f t="shared" si="11"/>
        <v>0.57</v>
      </c>
      <c r="OC16" s="67">
        <f t="shared" si="11"/>
        <v>0.57</v>
      </c>
      <c r="OD16" s="67">
        <f t="shared" si="11"/>
        <v>0.57</v>
      </c>
      <c r="OE16" s="67">
        <f t="shared" si="11"/>
        <v>0.57</v>
      </c>
      <c r="OF16" s="67">
        <f t="shared" si="11"/>
        <v>0.57</v>
      </c>
      <c r="OG16" s="67">
        <f t="shared" si="11"/>
        <v>0.57</v>
      </c>
      <c r="OH16" s="67">
        <f t="shared" si="11"/>
        <v>0.57</v>
      </c>
      <c r="OI16" s="67">
        <f t="shared" si="11"/>
        <v>0.57</v>
      </c>
      <c r="OJ16" s="67">
        <f t="shared" si="11"/>
        <v>0.57</v>
      </c>
      <c r="OK16" s="67">
        <f t="shared" si="11"/>
        <v>0.57</v>
      </c>
      <c r="OL16" s="67">
        <f t="shared" si="11"/>
        <v>0.57</v>
      </c>
      <c r="OM16" s="67">
        <f t="shared" si="11"/>
        <v>0.57</v>
      </c>
      <c r="ON16" s="67">
        <f t="shared" si="11"/>
        <v>0.57</v>
      </c>
      <c r="OO16" s="67">
        <f t="shared" si="11"/>
        <v>0.57</v>
      </c>
      <c r="OP16" s="67">
        <f t="shared" si="11"/>
        <v>0.57</v>
      </c>
      <c r="OQ16" s="67">
        <f t="shared" si="11"/>
        <v>0.57</v>
      </c>
      <c r="OR16" s="67">
        <f t="shared" si="11"/>
        <v>0.57</v>
      </c>
      <c r="OS16" s="67">
        <f t="shared" si="11"/>
        <v>0.57</v>
      </c>
      <c r="OT16" s="67">
        <f t="shared" si="11"/>
        <v>0.57</v>
      </c>
      <c r="OU16" s="67">
        <f t="shared" si="11"/>
        <v>0.57</v>
      </c>
      <c r="OV16" s="67">
        <f t="shared" si="11"/>
        <v>0.57</v>
      </c>
      <c r="OW16" s="67">
        <f t="shared" si="11"/>
        <v>0.57</v>
      </c>
      <c r="OX16" s="67">
        <f t="shared" si="11"/>
        <v>0.57</v>
      </c>
      <c r="OY16" s="67">
        <f t="shared" si="11"/>
        <v>0.57</v>
      </c>
      <c r="OZ16" s="67">
        <f t="shared" si="11"/>
        <v>0.57</v>
      </c>
      <c r="PA16" s="67">
        <f t="shared" si="11"/>
        <v>0.57</v>
      </c>
      <c r="PB16" s="67">
        <f t="shared" si="11"/>
        <v>0.57</v>
      </c>
      <c r="PC16" s="67">
        <f t="shared" si="11"/>
        <v>0.57</v>
      </c>
      <c r="PD16" s="67">
        <f t="shared" si="11"/>
        <v>0.57</v>
      </c>
      <c r="PE16" s="67">
        <f t="shared" si="11"/>
        <v>0.57</v>
      </c>
      <c r="PF16" s="67">
        <f t="shared" si="11"/>
        <v>0.57</v>
      </c>
      <c r="PG16" s="67">
        <f t="shared" si="11"/>
        <v>0.57</v>
      </c>
      <c r="PH16" s="67">
        <f t="shared" si="11"/>
        <v>0.57</v>
      </c>
      <c r="PI16" s="67">
        <f t="shared" si="11"/>
        <v>0.57</v>
      </c>
      <c r="PJ16" s="67">
        <f t="shared" si="11"/>
        <v>0.57</v>
      </c>
      <c r="PK16" s="67">
        <f t="shared" si="11"/>
        <v>0.57</v>
      </c>
      <c r="PL16" s="67">
        <f t="shared" si="11"/>
        <v>0.57</v>
      </c>
      <c r="PM16" s="67">
        <f t="shared" si="11"/>
        <v>0.57</v>
      </c>
      <c r="PN16" s="67">
        <f t="shared" si="11"/>
        <v>0.57</v>
      </c>
      <c r="PO16" s="67">
        <f t="shared" si="11"/>
        <v>0.57</v>
      </c>
      <c r="PP16" s="67">
        <f t="shared" si="11"/>
        <v>0.57</v>
      </c>
      <c r="PQ16" s="67">
        <f t="shared" si="11"/>
        <v>0.57</v>
      </c>
      <c r="PR16" s="67">
        <f t="shared" si="11"/>
        <v>0.57</v>
      </c>
      <c r="PS16" s="67">
        <f t="shared" si="11"/>
        <v>0.57</v>
      </c>
      <c r="PT16" s="67">
        <f t="shared" si="11"/>
        <v>0.57</v>
      </c>
      <c r="PU16" s="67">
        <f t="shared" si="11"/>
        <v>0.57</v>
      </c>
      <c r="PV16" s="67">
        <f t="shared" si="11"/>
        <v>0.57</v>
      </c>
      <c r="PW16" s="67">
        <f t="shared" si="11"/>
        <v>0.57</v>
      </c>
      <c r="PX16" s="67">
        <f t="shared" si="11"/>
        <v>0.57</v>
      </c>
      <c r="PY16" s="67">
        <f t="shared" si="11"/>
        <v>0.57</v>
      </c>
      <c r="PZ16" s="67">
        <f t="shared" si="11"/>
        <v>0.57</v>
      </c>
      <c r="QA16" s="67">
        <f t="shared" si="11"/>
        <v>0.57</v>
      </c>
      <c r="QB16" s="67">
        <f t="shared" si="11"/>
        <v>0.57</v>
      </c>
      <c r="QC16" s="67">
        <f t="shared" si="11"/>
        <v>0.57</v>
      </c>
      <c r="QD16" s="67">
        <f t="shared" si="11"/>
        <v>0.57</v>
      </c>
      <c r="QE16" s="67">
        <f t="shared" si="11"/>
        <v>0.57</v>
      </c>
      <c r="QF16" s="67">
        <f t="shared" si="11"/>
        <v>0.57</v>
      </c>
      <c r="QG16" s="67">
        <f t="shared" si="11"/>
        <v>0.57</v>
      </c>
      <c r="QH16" s="67">
        <f t="shared" si="11"/>
        <v>0.57</v>
      </c>
      <c r="QI16" s="67">
        <f t="shared" si="11"/>
        <v>0.57</v>
      </c>
      <c r="QJ16" s="67">
        <f t="shared" si="11"/>
        <v>0.57</v>
      </c>
      <c r="QK16" s="67">
        <f t="shared" si="11"/>
        <v>0.57</v>
      </c>
      <c r="QL16" s="67">
        <f t="shared" si="11"/>
        <v>0.57</v>
      </c>
      <c r="QM16" s="67">
        <f t="shared" si="11"/>
        <v>0.57</v>
      </c>
      <c r="QN16" s="67">
        <f t="shared" si="11"/>
        <v>0.57</v>
      </c>
      <c r="QO16" s="67">
        <f t="shared" si="11"/>
        <v>0.57</v>
      </c>
      <c r="QP16" s="67">
        <f t="shared" si="11"/>
        <v>0.57</v>
      </c>
      <c r="QQ16" s="67">
        <f t="shared" si="11"/>
        <v>0.57</v>
      </c>
      <c r="QR16" s="67">
        <f t="shared" si="11"/>
        <v>0.57</v>
      </c>
      <c r="QS16" s="67">
        <f t="shared" si="11"/>
        <v>0.57</v>
      </c>
      <c r="QT16" s="67">
        <f t="shared" si="11"/>
        <v>0.57</v>
      </c>
      <c r="QU16" s="67">
        <f t="shared" si="11"/>
        <v>0.57</v>
      </c>
      <c r="QV16" s="67">
        <f t="shared" si="11"/>
        <v>0.57</v>
      </c>
      <c r="QW16" s="67">
        <f t="shared" si="11"/>
        <v>0.57</v>
      </c>
      <c r="QX16" s="67">
        <f t="shared" si="11"/>
        <v>0.57</v>
      </c>
      <c r="QY16" s="67">
        <f t="shared" si="11"/>
        <v>0.57</v>
      </c>
      <c r="QZ16" s="67">
        <f t="shared" si="11"/>
        <v>0.57</v>
      </c>
      <c r="RA16" s="67">
        <f t="shared" si="11"/>
        <v>0.57</v>
      </c>
      <c r="RB16" s="67">
        <f t="shared" si="11"/>
        <v>0.57</v>
      </c>
      <c r="RC16" s="67">
        <f t="shared" si="11"/>
        <v>0.57</v>
      </c>
      <c r="RD16" s="67">
        <f t="shared" si="11"/>
        <v>0.57</v>
      </c>
      <c r="RE16" s="67">
        <f t="shared" si="11"/>
        <v>0.57</v>
      </c>
      <c r="RF16" s="67">
        <f t="shared" si="11"/>
        <v>0.57</v>
      </c>
      <c r="RG16" s="67">
        <f t="shared" si="11"/>
        <v>0.57</v>
      </c>
      <c r="RH16" s="67">
        <f t="shared" si="11"/>
        <v>0.57</v>
      </c>
      <c r="RI16" s="67">
        <f t="shared" si="11"/>
        <v>0.57</v>
      </c>
      <c r="RJ16" s="67">
        <f t="shared" si="11"/>
        <v>0.57</v>
      </c>
      <c r="RK16" s="67">
        <f t="shared" si="11"/>
        <v>0.57</v>
      </c>
      <c r="RL16" s="67">
        <f t="shared" si="11"/>
        <v>0.57</v>
      </c>
      <c r="RM16" s="67">
        <f t="shared" si="11"/>
        <v>0.57</v>
      </c>
      <c r="RN16" s="67">
        <f t="shared" si="11"/>
        <v>0.57</v>
      </c>
      <c r="RO16" s="67">
        <f t="shared" si="11"/>
        <v>0.57</v>
      </c>
      <c r="RP16" s="67">
        <f t="shared" si="11"/>
        <v>0.57</v>
      </c>
      <c r="RQ16" s="67">
        <f t="shared" si="11"/>
        <v>0.57</v>
      </c>
      <c r="RR16" s="67">
        <f t="shared" si="11"/>
        <v>0.57</v>
      </c>
      <c r="RS16" s="67">
        <f t="shared" si="11"/>
        <v>0.57</v>
      </c>
      <c r="RT16" s="67">
        <f t="shared" si="11"/>
        <v>0.57</v>
      </c>
      <c r="RU16" s="67">
        <f t="shared" si="11"/>
        <v>0.57</v>
      </c>
      <c r="RV16" s="67">
        <f t="shared" si="11"/>
        <v>0.57</v>
      </c>
      <c r="RW16" s="67">
        <f t="shared" si="11"/>
        <v>0.57</v>
      </c>
      <c r="RX16" s="67">
        <f t="shared" si="11"/>
        <v>0.57</v>
      </c>
      <c r="RY16" s="67">
        <f t="shared" si="11"/>
        <v>0.57</v>
      </c>
      <c r="RZ16" s="67">
        <f t="shared" si="11"/>
        <v>0.57</v>
      </c>
      <c r="SA16" s="67">
        <f t="shared" si="11"/>
        <v>0.57</v>
      </c>
      <c r="SB16" s="67">
        <f t="shared" si="11"/>
        <v>0.57</v>
      </c>
      <c r="SC16" s="67">
        <f t="shared" si="11"/>
        <v>0.57</v>
      </c>
      <c r="SD16" s="67">
        <f t="shared" si="11"/>
        <v>0.57</v>
      </c>
      <c r="SE16" s="67">
        <f t="shared" si="11"/>
        <v>0.57</v>
      </c>
      <c r="SF16" s="67">
        <f t="shared" si="11"/>
        <v>0.57</v>
      </c>
      <c r="SG16" s="67">
        <f t="shared" si="11"/>
        <v>0.57</v>
      </c>
      <c r="SH16" s="67">
        <f t="shared" si="11"/>
        <v>0.57</v>
      </c>
      <c r="SI16" s="67">
        <f t="shared" si="11"/>
        <v>0.57</v>
      </c>
      <c r="SJ16" s="67">
        <f t="shared" si="11"/>
        <v>0.57</v>
      </c>
      <c r="SK16" s="67">
        <f t="shared" si="11"/>
        <v>0.57</v>
      </c>
      <c r="SL16" s="67">
        <f t="shared" si="11"/>
        <v>0.57</v>
      </c>
    </row>
    <row r="17">
      <c r="A17" s="53" t="s">
        <v>93</v>
      </c>
      <c r="B17" s="68">
        <f>B16*B14</f>
        <v>278.1027846</v>
      </c>
      <c r="C17" s="255"/>
      <c r="D17" s="256"/>
      <c r="E17" s="257"/>
      <c r="F17" s="68"/>
      <c r="G17" s="68">
        <f t="shared" ref="G17:SL17" si="12">G16*G14</f>
        <v>278.1027846</v>
      </c>
      <c r="H17" s="68">
        <f t="shared" si="12"/>
        <v>278.1027846</v>
      </c>
      <c r="I17" s="68">
        <f t="shared" si="12"/>
        <v>278.1027846</v>
      </c>
      <c r="J17" s="68">
        <f t="shared" si="12"/>
        <v>278.1027846</v>
      </c>
      <c r="K17" s="68">
        <f t="shared" si="12"/>
        <v>278.1027846</v>
      </c>
      <c r="L17" s="68">
        <f t="shared" si="12"/>
        <v>278.1027846</v>
      </c>
      <c r="M17" s="68">
        <f t="shared" si="12"/>
        <v>278.1027846</v>
      </c>
      <c r="N17" s="68">
        <f t="shared" si="12"/>
        <v>278.1027846</v>
      </c>
      <c r="O17" s="68">
        <f t="shared" si="12"/>
        <v>278.1027846</v>
      </c>
      <c r="P17" s="68">
        <f t="shared" si="12"/>
        <v>278.1027846</v>
      </c>
      <c r="Q17" s="68">
        <f t="shared" si="12"/>
        <v>278.1027846</v>
      </c>
      <c r="R17" s="68">
        <f t="shared" si="12"/>
        <v>278.1027846</v>
      </c>
      <c r="S17" s="68">
        <f t="shared" si="12"/>
        <v>278.1027846</v>
      </c>
      <c r="T17" s="68">
        <f t="shared" si="12"/>
        <v>278.1027846</v>
      </c>
      <c r="U17" s="68">
        <f t="shared" si="12"/>
        <v>278.1027846</v>
      </c>
      <c r="V17" s="68">
        <f t="shared" si="12"/>
        <v>278.1027846</v>
      </c>
      <c r="W17" s="68">
        <f t="shared" si="12"/>
        <v>278.1027846</v>
      </c>
      <c r="X17" s="68">
        <f t="shared" si="12"/>
        <v>278.1027846</v>
      </c>
      <c r="Y17" s="68">
        <f t="shared" si="12"/>
        <v>278.1027846</v>
      </c>
      <c r="Z17" s="68">
        <f t="shared" si="12"/>
        <v>278.1027846</v>
      </c>
      <c r="AA17" s="68">
        <f t="shared" si="12"/>
        <v>278.1027846</v>
      </c>
      <c r="AB17" s="68">
        <f t="shared" si="12"/>
        <v>278.1027846</v>
      </c>
      <c r="AC17" s="68">
        <f t="shared" si="12"/>
        <v>278.1027846</v>
      </c>
      <c r="AD17" s="68">
        <f t="shared" si="12"/>
        <v>278.1027846</v>
      </c>
      <c r="AE17" s="68">
        <f t="shared" si="12"/>
        <v>278.1027846</v>
      </c>
      <c r="AF17" s="68">
        <f t="shared" si="12"/>
        <v>278.1027846</v>
      </c>
      <c r="AG17" s="68">
        <f t="shared" si="12"/>
        <v>278.1027846</v>
      </c>
      <c r="AH17" s="68">
        <f t="shared" si="12"/>
        <v>278.1027846</v>
      </c>
      <c r="AI17" s="68">
        <f t="shared" si="12"/>
        <v>278.1027846</v>
      </c>
      <c r="AJ17" s="68">
        <f t="shared" si="12"/>
        <v>278.1027846</v>
      </c>
      <c r="AK17" s="68">
        <f t="shared" si="12"/>
        <v>278.1027846</v>
      </c>
      <c r="AL17" s="68">
        <f t="shared" si="12"/>
        <v>278.1027846</v>
      </c>
      <c r="AM17" s="68">
        <f t="shared" si="12"/>
        <v>278.1027846</v>
      </c>
      <c r="AN17" s="68">
        <f t="shared" si="12"/>
        <v>278.1027846</v>
      </c>
      <c r="AO17" s="68">
        <f t="shared" si="12"/>
        <v>278.1027846</v>
      </c>
      <c r="AP17" s="68">
        <f t="shared" si="12"/>
        <v>278.1027846</v>
      </c>
      <c r="AQ17" s="68">
        <f t="shared" si="12"/>
        <v>278.1027846</v>
      </c>
      <c r="AR17" s="68">
        <f t="shared" si="12"/>
        <v>278.1027846</v>
      </c>
      <c r="AS17" s="68">
        <f t="shared" si="12"/>
        <v>278.1027846</v>
      </c>
      <c r="AT17" s="68">
        <f t="shared" si="12"/>
        <v>278.1027846</v>
      </c>
      <c r="AU17" s="68">
        <f t="shared" si="12"/>
        <v>278.1027846</v>
      </c>
      <c r="AV17" s="68">
        <f t="shared" si="12"/>
        <v>278.1027846</v>
      </c>
      <c r="AW17" s="68">
        <f t="shared" si="12"/>
        <v>278.1027846</v>
      </c>
      <c r="AX17" s="68">
        <f t="shared" si="12"/>
        <v>278.1027846</v>
      </c>
      <c r="AY17" s="68">
        <f t="shared" si="12"/>
        <v>278.1027846</v>
      </c>
      <c r="AZ17" s="68">
        <f t="shared" si="12"/>
        <v>278.1027846</v>
      </c>
      <c r="BA17" s="68">
        <f t="shared" si="12"/>
        <v>278.1027846</v>
      </c>
      <c r="BB17" s="68">
        <f t="shared" si="12"/>
        <v>278.1027846</v>
      </c>
      <c r="BC17" s="68">
        <f t="shared" si="12"/>
        <v>278.1027846</v>
      </c>
      <c r="BD17" s="68">
        <f t="shared" si="12"/>
        <v>278.1027846</v>
      </c>
      <c r="BE17" s="68">
        <f t="shared" si="12"/>
        <v>278.1027846</v>
      </c>
      <c r="BF17" s="68">
        <f t="shared" si="12"/>
        <v>278.1027846</v>
      </c>
      <c r="BG17" s="68">
        <f t="shared" si="12"/>
        <v>278.1027846</v>
      </c>
      <c r="BH17" s="68">
        <f t="shared" si="12"/>
        <v>278.1027846</v>
      </c>
      <c r="BI17" s="68">
        <f t="shared" si="12"/>
        <v>278.1027846</v>
      </c>
      <c r="BJ17" s="68">
        <f t="shared" si="12"/>
        <v>278.1027846</v>
      </c>
      <c r="BK17" s="68">
        <f t="shared" si="12"/>
        <v>278.1027846</v>
      </c>
      <c r="BL17" s="68">
        <f t="shared" si="12"/>
        <v>278.1027846</v>
      </c>
      <c r="BM17" s="68">
        <f t="shared" si="12"/>
        <v>278.1027846</v>
      </c>
      <c r="BN17" s="68">
        <f t="shared" si="12"/>
        <v>278.1027846</v>
      </c>
      <c r="BO17" s="68">
        <f t="shared" si="12"/>
        <v>278.1027846</v>
      </c>
      <c r="BP17" s="68">
        <f t="shared" si="12"/>
        <v>278.1027846</v>
      </c>
      <c r="BQ17" s="68">
        <f t="shared" si="12"/>
        <v>278.1027846</v>
      </c>
      <c r="BR17" s="68">
        <f t="shared" si="12"/>
        <v>278.1027846</v>
      </c>
      <c r="BS17" s="68">
        <f t="shared" si="12"/>
        <v>278.1027846</v>
      </c>
      <c r="BT17" s="68">
        <f t="shared" si="12"/>
        <v>278.1027846</v>
      </c>
      <c r="BU17" s="68">
        <f t="shared" si="12"/>
        <v>278.1027846</v>
      </c>
      <c r="BV17" s="68">
        <f t="shared" si="12"/>
        <v>278.1027846</v>
      </c>
      <c r="BW17" s="68">
        <f t="shared" si="12"/>
        <v>278.1027846</v>
      </c>
      <c r="BX17" s="68">
        <f t="shared" si="12"/>
        <v>278.1027846</v>
      </c>
      <c r="BY17" s="68">
        <f t="shared" si="12"/>
        <v>278.1027846</v>
      </c>
      <c r="BZ17" s="68">
        <f t="shared" si="12"/>
        <v>278.1027846</v>
      </c>
      <c r="CA17" s="68">
        <f t="shared" si="12"/>
        <v>278.1027846</v>
      </c>
      <c r="CB17" s="68">
        <f t="shared" si="12"/>
        <v>278.1027846</v>
      </c>
      <c r="CC17" s="68">
        <f t="shared" si="12"/>
        <v>278.1027846</v>
      </c>
      <c r="CD17" s="68">
        <f t="shared" si="12"/>
        <v>278.1027846</v>
      </c>
      <c r="CE17" s="68">
        <f t="shared" si="12"/>
        <v>278.1027846</v>
      </c>
      <c r="CF17" s="68">
        <f t="shared" si="12"/>
        <v>278.1027846</v>
      </c>
      <c r="CG17" s="68">
        <f t="shared" si="12"/>
        <v>278.1027846</v>
      </c>
      <c r="CH17" s="68">
        <f t="shared" si="12"/>
        <v>278.1027846</v>
      </c>
      <c r="CI17" s="68">
        <f t="shared" si="12"/>
        <v>278.1027846</v>
      </c>
      <c r="CJ17" s="68">
        <f t="shared" si="12"/>
        <v>278.1027846</v>
      </c>
      <c r="CK17" s="68">
        <f t="shared" si="12"/>
        <v>278.1027846</v>
      </c>
      <c r="CL17" s="68">
        <f t="shared" si="12"/>
        <v>278.1027846</v>
      </c>
      <c r="CM17" s="68">
        <f t="shared" si="12"/>
        <v>278.1027846</v>
      </c>
      <c r="CN17" s="68">
        <f t="shared" si="12"/>
        <v>278.1027846</v>
      </c>
      <c r="CO17" s="68">
        <f t="shared" si="12"/>
        <v>278.1027846</v>
      </c>
      <c r="CP17" s="68">
        <f t="shared" si="12"/>
        <v>278.1027846</v>
      </c>
      <c r="CQ17" s="68">
        <f t="shared" si="12"/>
        <v>278.1027846</v>
      </c>
      <c r="CR17" s="68">
        <f t="shared" si="12"/>
        <v>278.1027846</v>
      </c>
      <c r="CS17" s="68">
        <f t="shared" si="12"/>
        <v>278.1027846</v>
      </c>
      <c r="CT17" s="68">
        <f t="shared" si="12"/>
        <v>278.1027846</v>
      </c>
      <c r="CU17" s="68">
        <f t="shared" si="12"/>
        <v>278.1027846</v>
      </c>
      <c r="CV17" s="68">
        <f t="shared" si="12"/>
        <v>278.1027846</v>
      </c>
      <c r="CW17" s="68">
        <f t="shared" si="12"/>
        <v>278.1027846</v>
      </c>
      <c r="CX17" s="68">
        <f t="shared" si="12"/>
        <v>278.1027846</v>
      </c>
      <c r="CY17" s="68">
        <f t="shared" si="12"/>
        <v>278.1027846</v>
      </c>
      <c r="CZ17" s="68">
        <f t="shared" si="12"/>
        <v>278.1027846</v>
      </c>
      <c r="DA17" s="68">
        <f t="shared" si="12"/>
        <v>278.1027846</v>
      </c>
      <c r="DB17" s="68">
        <f t="shared" si="12"/>
        <v>278.1027846</v>
      </c>
      <c r="DC17" s="68">
        <f t="shared" si="12"/>
        <v>278.1027846</v>
      </c>
      <c r="DD17" s="68">
        <f t="shared" si="12"/>
        <v>278.1027846</v>
      </c>
      <c r="DE17" s="68">
        <f t="shared" si="12"/>
        <v>278.1027846</v>
      </c>
      <c r="DF17" s="68">
        <f t="shared" si="12"/>
        <v>278.1027846</v>
      </c>
      <c r="DG17" s="68">
        <f t="shared" si="12"/>
        <v>278.1027846</v>
      </c>
      <c r="DH17" s="68">
        <f t="shared" si="12"/>
        <v>278.1027846</v>
      </c>
      <c r="DI17" s="68">
        <f t="shared" si="12"/>
        <v>278.1027846</v>
      </c>
      <c r="DJ17" s="68">
        <f t="shared" si="12"/>
        <v>278.1027846</v>
      </c>
      <c r="DK17" s="68">
        <f t="shared" si="12"/>
        <v>278.1027846</v>
      </c>
      <c r="DL17" s="68">
        <f t="shared" si="12"/>
        <v>278.1027846</v>
      </c>
      <c r="DM17" s="68">
        <f t="shared" si="12"/>
        <v>278.1027846</v>
      </c>
      <c r="DN17" s="68">
        <f t="shared" si="12"/>
        <v>278.1027846</v>
      </c>
      <c r="DO17" s="68">
        <f t="shared" si="12"/>
        <v>278.1027846</v>
      </c>
      <c r="DP17" s="68">
        <f t="shared" si="12"/>
        <v>278.1027846</v>
      </c>
      <c r="DQ17" s="68">
        <f t="shared" si="12"/>
        <v>278.1027846</v>
      </c>
      <c r="DR17" s="68">
        <f t="shared" si="12"/>
        <v>278.1027846</v>
      </c>
      <c r="DS17" s="68">
        <f t="shared" si="12"/>
        <v>278.1027846</v>
      </c>
      <c r="DT17" s="68">
        <f t="shared" si="12"/>
        <v>278.1027846</v>
      </c>
      <c r="DU17" s="68">
        <f t="shared" si="12"/>
        <v>278.1027846</v>
      </c>
      <c r="DV17" s="68">
        <f t="shared" si="12"/>
        <v>278.1027846</v>
      </c>
      <c r="DW17" s="68">
        <f t="shared" si="12"/>
        <v>278.1027846</v>
      </c>
      <c r="DX17" s="68">
        <f t="shared" si="12"/>
        <v>278.1027846</v>
      </c>
      <c r="DY17" s="68">
        <f t="shared" si="12"/>
        <v>278.1027846</v>
      </c>
      <c r="DZ17" s="68">
        <f t="shared" si="12"/>
        <v>278.1027846</v>
      </c>
      <c r="EA17" s="68">
        <f t="shared" si="12"/>
        <v>278.1027846</v>
      </c>
      <c r="EB17" s="68">
        <f t="shared" si="12"/>
        <v>278.1027846</v>
      </c>
      <c r="EC17" s="68">
        <f t="shared" si="12"/>
        <v>278.1027846</v>
      </c>
      <c r="ED17" s="68">
        <f t="shared" si="12"/>
        <v>278.1027846</v>
      </c>
      <c r="EE17" s="68">
        <f t="shared" si="12"/>
        <v>278.1027846</v>
      </c>
      <c r="EF17" s="68">
        <f t="shared" si="12"/>
        <v>278.1027846</v>
      </c>
      <c r="EG17" s="68">
        <f t="shared" si="12"/>
        <v>278.1027846</v>
      </c>
      <c r="EH17" s="68">
        <f t="shared" si="12"/>
        <v>278.1027846</v>
      </c>
      <c r="EI17" s="68">
        <f t="shared" si="12"/>
        <v>278.1027846</v>
      </c>
      <c r="EJ17" s="68">
        <f t="shared" si="12"/>
        <v>278.1027846</v>
      </c>
      <c r="EK17" s="68">
        <f t="shared" si="12"/>
        <v>278.1027846</v>
      </c>
      <c r="EL17" s="68">
        <f t="shared" si="12"/>
        <v>278.1027846</v>
      </c>
      <c r="EM17" s="68">
        <f t="shared" si="12"/>
        <v>278.1027846</v>
      </c>
      <c r="EN17" s="68">
        <f t="shared" si="12"/>
        <v>278.1027846</v>
      </c>
      <c r="EO17" s="68">
        <f t="shared" si="12"/>
        <v>278.1027846</v>
      </c>
      <c r="EP17" s="68">
        <f t="shared" si="12"/>
        <v>278.1027846</v>
      </c>
      <c r="EQ17" s="68">
        <f t="shared" si="12"/>
        <v>278.1027846</v>
      </c>
      <c r="ER17" s="68">
        <f t="shared" si="12"/>
        <v>278.1027846</v>
      </c>
      <c r="ES17" s="68">
        <f t="shared" si="12"/>
        <v>278.1027846</v>
      </c>
      <c r="ET17" s="68">
        <f t="shared" si="12"/>
        <v>278.1027846</v>
      </c>
      <c r="EU17" s="68">
        <f t="shared" si="12"/>
        <v>278.1027846</v>
      </c>
      <c r="EV17" s="68">
        <f t="shared" si="12"/>
        <v>278.1027846</v>
      </c>
      <c r="EW17" s="68">
        <f t="shared" si="12"/>
        <v>278.1027846</v>
      </c>
      <c r="EX17" s="68">
        <f t="shared" si="12"/>
        <v>278.1027846</v>
      </c>
      <c r="EY17" s="68">
        <f t="shared" si="12"/>
        <v>278.1027846</v>
      </c>
      <c r="EZ17" s="68">
        <f t="shared" si="12"/>
        <v>278.1027846</v>
      </c>
      <c r="FA17" s="68">
        <f t="shared" si="12"/>
        <v>278.1027846</v>
      </c>
      <c r="FB17" s="68">
        <f t="shared" si="12"/>
        <v>278.1027846</v>
      </c>
      <c r="FC17" s="68">
        <f t="shared" si="12"/>
        <v>278.1027846</v>
      </c>
      <c r="FD17" s="68">
        <f t="shared" si="12"/>
        <v>278.1027846</v>
      </c>
      <c r="FE17" s="68">
        <f t="shared" si="12"/>
        <v>278.1027846</v>
      </c>
      <c r="FF17" s="68">
        <f t="shared" si="12"/>
        <v>278.1027846</v>
      </c>
      <c r="FG17" s="68">
        <f t="shared" si="12"/>
        <v>278.1027846</v>
      </c>
      <c r="FH17" s="68">
        <f t="shared" si="12"/>
        <v>278.1027846</v>
      </c>
      <c r="FI17" s="68">
        <f t="shared" si="12"/>
        <v>278.1027846</v>
      </c>
      <c r="FJ17" s="68">
        <f t="shared" si="12"/>
        <v>278.1027846</v>
      </c>
      <c r="FK17" s="68">
        <f t="shared" si="12"/>
        <v>278.1027846</v>
      </c>
      <c r="FL17" s="68">
        <f t="shared" si="12"/>
        <v>278.1027846</v>
      </c>
      <c r="FM17" s="68">
        <f t="shared" si="12"/>
        <v>278.1027846</v>
      </c>
      <c r="FN17" s="68">
        <f t="shared" si="12"/>
        <v>278.1027846</v>
      </c>
      <c r="FO17" s="68">
        <f t="shared" si="12"/>
        <v>278.1027846</v>
      </c>
      <c r="FP17" s="68">
        <f t="shared" si="12"/>
        <v>278.1027846</v>
      </c>
      <c r="FQ17" s="68">
        <f t="shared" si="12"/>
        <v>278.1027846</v>
      </c>
      <c r="FR17" s="68">
        <f t="shared" si="12"/>
        <v>278.1027846</v>
      </c>
      <c r="FS17" s="68">
        <f t="shared" si="12"/>
        <v>278.1027846</v>
      </c>
      <c r="FT17" s="68">
        <f t="shared" si="12"/>
        <v>278.1027846</v>
      </c>
      <c r="FU17" s="68">
        <f t="shared" si="12"/>
        <v>278.1027846</v>
      </c>
      <c r="FV17" s="68">
        <f t="shared" si="12"/>
        <v>278.1027846</v>
      </c>
      <c r="FW17" s="68">
        <f t="shared" si="12"/>
        <v>278.1027846</v>
      </c>
      <c r="FX17" s="68">
        <f t="shared" si="12"/>
        <v>278.1027846</v>
      </c>
      <c r="FY17" s="68">
        <f t="shared" si="12"/>
        <v>278.1027846</v>
      </c>
      <c r="FZ17" s="68">
        <f t="shared" si="12"/>
        <v>278.1027846</v>
      </c>
      <c r="GA17" s="68">
        <f t="shared" si="12"/>
        <v>278.1027846</v>
      </c>
      <c r="GB17" s="68">
        <f t="shared" si="12"/>
        <v>278.1027846</v>
      </c>
      <c r="GC17" s="68">
        <f t="shared" si="12"/>
        <v>278.1027846</v>
      </c>
      <c r="GD17" s="68">
        <f t="shared" si="12"/>
        <v>278.1027846</v>
      </c>
      <c r="GE17" s="68">
        <f t="shared" si="12"/>
        <v>278.1027846</v>
      </c>
      <c r="GF17" s="68">
        <f t="shared" si="12"/>
        <v>278.1027846</v>
      </c>
      <c r="GG17" s="68">
        <f t="shared" si="12"/>
        <v>278.1027846</v>
      </c>
      <c r="GH17" s="68">
        <f t="shared" si="12"/>
        <v>278.1027846</v>
      </c>
      <c r="GI17" s="68">
        <f t="shared" si="12"/>
        <v>278.1027846</v>
      </c>
      <c r="GJ17" s="68">
        <f t="shared" si="12"/>
        <v>278.1027846</v>
      </c>
      <c r="GK17" s="68">
        <f t="shared" si="12"/>
        <v>278.1027846</v>
      </c>
      <c r="GL17" s="68">
        <f t="shared" si="12"/>
        <v>278.1027846</v>
      </c>
      <c r="GM17" s="68">
        <f t="shared" si="12"/>
        <v>278.1027846</v>
      </c>
      <c r="GN17" s="68">
        <f t="shared" si="12"/>
        <v>278.1027846</v>
      </c>
      <c r="GO17" s="68">
        <f t="shared" si="12"/>
        <v>278.1027846</v>
      </c>
      <c r="GP17" s="68">
        <f t="shared" si="12"/>
        <v>278.1027846</v>
      </c>
      <c r="GQ17" s="68">
        <f t="shared" si="12"/>
        <v>278.1027846</v>
      </c>
      <c r="GR17" s="68">
        <f t="shared" si="12"/>
        <v>278.1027846</v>
      </c>
      <c r="GS17" s="68">
        <f t="shared" si="12"/>
        <v>278.1027846</v>
      </c>
      <c r="GT17" s="68">
        <f t="shared" si="12"/>
        <v>278.1027846</v>
      </c>
      <c r="GU17" s="68">
        <f t="shared" si="12"/>
        <v>278.1027846</v>
      </c>
      <c r="GV17" s="68">
        <f t="shared" si="12"/>
        <v>278.1027846</v>
      </c>
      <c r="GW17" s="68">
        <f t="shared" si="12"/>
        <v>278.1027846</v>
      </c>
      <c r="GX17" s="68">
        <f t="shared" si="12"/>
        <v>278.1027846</v>
      </c>
      <c r="GY17" s="68">
        <f t="shared" si="12"/>
        <v>278.1027846</v>
      </c>
      <c r="GZ17" s="68">
        <f t="shared" si="12"/>
        <v>278.1027846</v>
      </c>
      <c r="HA17" s="68">
        <f t="shared" si="12"/>
        <v>278.1027846</v>
      </c>
      <c r="HB17" s="68">
        <f t="shared" si="12"/>
        <v>278.1027846</v>
      </c>
      <c r="HC17" s="68">
        <f t="shared" si="12"/>
        <v>278.1027846</v>
      </c>
      <c r="HD17" s="68">
        <f t="shared" si="12"/>
        <v>278.1027846</v>
      </c>
      <c r="HE17" s="68">
        <f t="shared" si="12"/>
        <v>278.1027846</v>
      </c>
      <c r="HF17" s="68">
        <f t="shared" si="12"/>
        <v>278.1027846</v>
      </c>
      <c r="HG17" s="68">
        <f t="shared" si="12"/>
        <v>278.1027846</v>
      </c>
      <c r="HH17" s="68">
        <f t="shared" si="12"/>
        <v>278.1027846</v>
      </c>
      <c r="HI17" s="68">
        <f t="shared" si="12"/>
        <v>278.1027846</v>
      </c>
      <c r="HJ17" s="68">
        <f t="shared" si="12"/>
        <v>278.1027846</v>
      </c>
      <c r="HK17" s="68">
        <f t="shared" si="12"/>
        <v>278.1027846</v>
      </c>
      <c r="HL17" s="68">
        <f t="shared" si="12"/>
        <v>278.1027846</v>
      </c>
      <c r="HM17" s="68">
        <f t="shared" si="12"/>
        <v>278.1027846</v>
      </c>
      <c r="HN17" s="68">
        <f t="shared" si="12"/>
        <v>278.1027846</v>
      </c>
      <c r="HO17" s="68">
        <f t="shared" si="12"/>
        <v>278.1027846</v>
      </c>
      <c r="HP17" s="68">
        <f t="shared" si="12"/>
        <v>278.1027846</v>
      </c>
      <c r="HQ17" s="68">
        <f t="shared" si="12"/>
        <v>278.1027846</v>
      </c>
      <c r="HR17" s="68">
        <f t="shared" si="12"/>
        <v>278.1027846</v>
      </c>
      <c r="HS17" s="68">
        <f t="shared" si="12"/>
        <v>278.1027846</v>
      </c>
      <c r="HT17" s="68">
        <f t="shared" si="12"/>
        <v>278.1027846</v>
      </c>
      <c r="HU17" s="68">
        <f t="shared" si="12"/>
        <v>278.1027846</v>
      </c>
      <c r="HV17" s="68">
        <f t="shared" si="12"/>
        <v>278.1027846</v>
      </c>
      <c r="HW17" s="68">
        <f t="shared" si="12"/>
        <v>278.1027846</v>
      </c>
      <c r="HX17" s="68">
        <f t="shared" si="12"/>
        <v>278.1027846</v>
      </c>
      <c r="HY17" s="68">
        <f t="shared" si="12"/>
        <v>278.1027846</v>
      </c>
      <c r="HZ17" s="68">
        <f t="shared" si="12"/>
        <v>278.1027846</v>
      </c>
      <c r="IA17" s="68">
        <f t="shared" si="12"/>
        <v>278.1027846</v>
      </c>
      <c r="IB17" s="68">
        <f t="shared" si="12"/>
        <v>278.1027846</v>
      </c>
      <c r="IC17" s="68">
        <f t="shared" si="12"/>
        <v>278.1027846</v>
      </c>
      <c r="ID17" s="68">
        <f t="shared" si="12"/>
        <v>278.1027846</v>
      </c>
      <c r="IE17" s="68">
        <f t="shared" si="12"/>
        <v>278.1027846</v>
      </c>
      <c r="IF17" s="68">
        <f t="shared" si="12"/>
        <v>278.1027846</v>
      </c>
      <c r="IG17" s="68">
        <f t="shared" si="12"/>
        <v>278.1027846</v>
      </c>
      <c r="IH17" s="68">
        <f t="shared" si="12"/>
        <v>278.1027846</v>
      </c>
      <c r="II17" s="68">
        <f t="shared" si="12"/>
        <v>278.1027846</v>
      </c>
      <c r="IJ17" s="68">
        <f t="shared" si="12"/>
        <v>278.1027846</v>
      </c>
      <c r="IK17" s="68">
        <f t="shared" si="12"/>
        <v>278.1027846</v>
      </c>
      <c r="IL17" s="68">
        <f t="shared" si="12"/>
        <v>278.1027846</v>
      </c>
      <c r="IM17" s="68">
        <f t="shared" si="12"/>
        <v>278.1027846</v>
      </c>
      <c r="IN17" s="68">
        <f t="shared" si="12"/>
        <v>278.1027846</v>
      </c>
      <c r="IO17" s="68">
        <f t="shared" si="12"/>
        <v>278.1027846</v>
      </c>
      <c r="IP17" s="68">
        <f t="shared" si="12"/>
        <v>278.1027846</v>
      </c>
      <c r="IQ17" s="68">
        <f t="shared" si="12"/>
        <v>278.1027846</v>
      </c>
      <c r="IR17" s="68">
        <f t="shared" si="12"/>
        <v>278.1027846</v>
      </c>
      <c r="IS17" s="68">
        <f t="shared" si="12"/>
        <v>278.1027846</v>
      </c>
      <c r="IT17" s="68">
        <f t="shared" si="12"/>
        <v>278.1027846</v>
      </c>
      <c r="IU17" s="68">
        <f t="shared" si="12"/>
        <v>278.1027846</v>
      </c>
      <c r="IV17" s="68">
        <f t="shared" si="12"/>
        <v>278.1027846</v>
      </c>
      <c r="IW17" s="68">
        <f t="shared" si="12"/>
        <v>278.1027846</v>
      </c>
      <c r="IX17" s="68">
        <f t="shared" si="12"/>
        <v>278.1027846</v>
      </c>
      <c r="IY17" s="68">
        <f t="shared" si="12"/>
        <v>278.1027846</v>
      </c>
      <c r="IZ17" s="68">
        <f t="shared" si="12"/>
        <v>278.1027846</v>
      </c>
      <c r="JA17" s="68">
        <f t="shared" si="12"/>
        <v>278.1027846</v>
      </c>
      <c r="JB17" s="68">
        <f t="shared" si="12"/>
        <v>278.1027846</v>
      </c>
      <c r="JC17" s="68">
        <f t="shared" si="12"/>
        <v>278.1027846</v>
      </c>
      <c r="JD17" s="68">
        <f t="shared" si="12"/>
        <v>278.1027846</v>
      </c>
      <c r="JE17" s="68">
        <f t="shared" si="12"/>
        <v>278.1027846</v>
      </c>
      <c r="JF17" s="68">
        <f t="shared" si="12"/>
        <v>278.1027846</v>
      </c>
      <c r="JG17" s="68">
        <f t="shared" si="12"/>
        <v>278.1027846</v>
      </c>
      <c r="JH17" s="68">
        <f t="shared" si="12"/>
        <v>278.1027846</v>
      </c>
      <c r="JI17" s="68">
        <f t="shared" si="12"/>
        <v>278.1027846</v>
      </c>
      <c r="JJ17" s="68">
        <f t="shared" si="12"/>
        <v>278.1027846</v>
      </c>
      <c r="JK17" s="68">
        <f t="shared" si="12"/>
        <v>278.1027846</v>
      </c>
      <c r="JL17" s="68">
        <f t="shared" si="12"/>
        <v>278.1027846</v>
      </c>
      <c r="JM17" s="68">
        <f t="shared" si="12"/>
        <v>278.1027846</v>
      </c>
      <c r="JN17" s="68">
        <f t="shared" si="12"/>
        <v>278.1027846</v>
      </c>
      <c r="JO17" s="68">
        <f t="shared" si="12"/>
        <v>278.1027846</v>
      </c>
      <c r="JP17" s="68">
        <f t="shared" si="12"/>
        <v>278.1027846</v>
      </c>
      <c r="JQ17" s="68">
        <f t="shared" si="12"/>
        <v>278.1027846</v>
      </c>
      <c r="JR17" s="68">
        <f t="shared" si="12"/>
        <v>278.1027846</v>
      </c>
      <c r="JS17" s="68">
        <f t="shared" si="12"/>
        <v>278.1027846</v>
      </c>
      <c r="JT17" s="68">
        <f t="shared" si="12"/>
        <v>278.1027846</v>
      </c>
      <c r="JU17" s="68">
        <f t="shared" si="12"/>
        <v>278.1027846</v>
      </c>
      <c r="JV17" s="68">
        <f t="shared" si="12"/>
        <v>278.1027846</v>
      </c>
      <c r="JW17" s="68">
        <f t="shared" si="12"/>
        <v>278.1027846</v>
      </c>
      <c r="JX17" s="68">
        <f t="shared" si="12"/>
        <v>278.1027846</v>
      </c>
      <c r="JY17" s="68">
        <f t="shared" si="12"/>
        <v>278.1027846</v>
      </c>
      <c r="JZ17" s="68">
        <f t="shared" si="12"/>
        <v>278.1027846</v>
      </c>
      <c r="KA17" s="68">
        <f t="shared" si="12"/>
        <v>278.1027846</v>
      </c>
      <c r="KB17" s="68">
        <f t="shared" si="12"/>
        <v>278.1027846</v>
      </c>
      <c r="KC17" s="68">
        <f t="shared" si="12"/>
        <v>278.1027846</v>
      </c>
      <c r="KD17" s="68">
        <f t="shared" si="12"/>
        <v>278.1027846</v>
      </c>
      <c r="KE17" s="68">
        <f t="shared" si="12"/>
        <v>278.1027846</v>
      </c>
      <c r="KF17" s="68">
        <f t="shared" si="12"/>
        <v>278.1027846</v>
      </c>
      <c r="KG17" s="68">
        <f t="shared" si="12"/>
        <v>278.1027846</v>
      </c>
      <c r="KH17" s="68">
        <f t="shared" si="12"/>
        <v>278.1027846</v>
      </c>
      <c r="KI17" s="68">
        <f t="shared" si="12"/>
        <v>278.1027846</v>
      </c>
      <c r="KJ17" s="68">
        <f t="shared" si="12"/>
        <v>278.1027846</v>
      </c>
      <c r="KK17" s="68">
        <f t="shared" si="12"/>
        <v>278.1027846</v>
      </c>
      <c r="KL17" s="68">
        <f t="shared" si="12"/>
        <v>278.1027846</v>
      </c>
      <c r="KM17" s="68">
        <f t="shared" si="12"/>
        <v>278.1027846</v>
      </c>
      <c r="KN17" s="68">
        <f t="shared" si="12"/>
        <v>278.1027846</v>
      </c>
      <c r="KO17" s="68">
        <f t="shared" si="12"/>
        <v>278.1027846</v>
      </c>
      <c r="KP17" s="68">
        <f t="shared" si="12"/>
        <v>278.1027846</v>
      </c>
      <c r="KQ17" s="68">
        <f t="shared" si="12"/>
        <v>278.1027846</v>
      </c>
      <c r="KR17" s="68">
        <f t="shared" si="12"/>
        <v>278.1027846</v>
      </c>
      <c r="KS17" s="68">
        <f t="shared" si="12"/>
        <v>278.1027846</v>
      </c>
      <c r="KT17" s="68">
        <f t="shared" si="12"/>
        <v>278.1027846</v>
      </c>
      <c r="KU17" s="68">
        <f t="shared" si="12"/>
        <v>278.1027846</v>
      </c>
      <c r="KV17" s="68">
        <f t="shared" si="12"/>
        <v>278.1027846</v>
      </c>
      <c r="KW17" s="68">
        <f t="shared" si="12"/>
        <v>278.1027846</v>
      </c>
      <c r="KX17" s="68">
        <f t="shared" si="12"/>
        <v>278.1027846</v>
      </c>
      <c r="KY17" s="68">
        <f t="shared" si="12"/>
        <v>278.1027846</v>
      </c>
      <c r="KZ17" s="68">
        <f t="shared" si="12"/>
        <v>278.1027846</v>
      </c>
      <c r="LA17" s="68">
        <f t="shared" si="12"/>
        <v>278.1027846</v>
      </c>
      <c r="LB17" s="68">
        <f t="shared" si="12"/>
        <v>278.1027846</v>
      </c>
      <c r="LC17" s="68">
        <f t="shared" si="12"/>
        <v>278.1027846</v>
      </c>
      <c r="LD17" s="68">
        <f t="shared" si="12"/>
        <v>278.1027846</v>
      </c>
      <c r="LE17" s="68">
        <f t="shared" si="12"/>
        <v>278.1027846</v>
      </c>
      <c r="LF17" s="68">
        <f t="shared" si="12"/>
        <v>278.1027846</v>
      </c>
      <c r="LG17" s="68">
        <f t="shared" si="12"/>
        <v>278.1027846</v>
      </c>
      <c r="LH17" s="68">
        <f t="shared" si="12"/>
        <v>278.1027846</v>
      </c>
      <c r="LI17" s="68">
        <f t="shared" si="12"/>
        <v>278.1027846</v>
      </c>
      <c r="LJ17" s="68">
        <f t="shared" si="12"/>
        <v>278.1027846</v>
      </c>
      <c r="LK17" s="68">
        <f t="shared" si="12"/>
        <v>278.1027846</v>
      </c>
      <c r="LL17" s="68">
        <f t="shared" si="12"/>
        <v>278.1027846</v>
      </c>
      <c r="LM17" s="68">
        <f t="shared" si="12"/>
        <v>278.1027846</v>
      </c>
      <c r="LN17" s="68">
        <f t="shared" si="12"/>
        <v>278.1027846</v>
      </c>
      <c r="LO17" s="68">
        <f t="shared" si="12"/>
        <v>278.1027846</v>
      </c>
      <c r="LP17" s="68">
        <f t="shared" si="12"/>
        <v>278.1027846</v>
      </c>
      <c r="LQ17" s="68">
        <f t="shared" si="12"/>
        <v>278.1027846</v>
      </c>
      <c r="LR17" s="68">
        <f t="shared" si="12"/>
        <v>278.1027846</v>
      </c>
      <c r="LS17" s="68">
        <f t="shared" si="12"/>
        <v>278.1027846</v>
      </c>
      <c r="LT17" s="68">
        <f t="shared" si="12"/>
        <v>278.1027846</v>
      </c>
      <c r="LU17" s="68">
        <f t="shared" si="12"/>
        <v>278.1027846</v>
      </c>
      <c r="LV17" s="68">
        <f t="shared" si="12"/>
        <v>278.1027846</v>
      </c>
      <c r="LW17" s="68">
        <f t="shared" si="12"/>
        <v>278.1027846</v>
      </c>
      <c r="LX17" s="68">
        <f t="shared" si="12"/>
        <v>278.1027846</v>
      </c>
      <c r="LY17" s="68">
        <f t="shared" si="12"/>
        <v>278.1027846</v>
      </c>
      <c r="LZ17" s="68">
        <f t="shared" si="12"/>
        <v>278.1027846</v>
      </c>
      <c r="MA17" s="68">
        <f t="shared" si="12"/>
        <v>278.1027846</v>
      </c>
      <c r="MB17" s="68">
        <f t="shared" si="12"/>
        <v>278.1027846</v>
      </c>
      <c r="MC17" s="68">
        <f t="shared" si="12"/>
        <v>278.1027846</v>
      </c>
      <c r="MD17" s="68">
        <f t="shared" si="12"/>
        <v>278.1027846</v>
      </c>
      <c r="ME17" s="68">
        <f t="shared" si="12"/>
        <v>278.1027846</v>
      </c>
      <c r="MF17" s="68">
        <f t="shared" si="12"/>
        <v>278.1027846</v>
      </c>
      <c r="MG17" s="68">
        <f t="shared" si="12"/>
        <v>278.1027846</v>
      </c>
      <c r="MH17" s="68">
        <f t="shared" si="12"/>
        <v>278.1027846</v>
      </c>
      <c r="MI17" s="68">
        <f t="shared" si="12"/>
        <v>278.1027846</v>
      </c>
      <c r="MJ17" s="68">
        <f t="shared" si="12"/>
        <v>278.1027846</v>
      </c>
      <c r="MK17" s="68">
        <f t="shared" si="12"/>
        <v>278.1027846</v>
      </c>
      <c r="ML17" s="68">
        <f t="shared" si="12"/>
        <v>278.1027846</v>
      </c>
      <c r="MM17" s="68">
        <f t="shared" si="12"/>
        <v>278.1027846</v>
      </c>
      <c r="MN17" s="68">
        <f t="shared" si="12"/>
        <v>278.1027846</v>
      </c>
      <c r="MO17" s="68">
        <f t="shared" si="12"/>
        <v>278.1027846</v>
      </c>
      <c r="MP17" s="68">
        <f t="shared" si="12"/>
        <v>278.1027846</v>
      </c>
      <c r="MQ17" s="68">
        <f t="shared" si="12"/>
        <v>278.1027846</v>
      </c>
      <c r="MR17" s="68">
        <f t="shared" si="12"/>
        <v>278.1027846</v>
      </c>
      <c r="MS17" s="68">
        <f t="shared" si="12"/>
        <v>278.1027846</v>
      </c>
      <c r="MT17" s="68">
        <f t="shared" si="12"/>
        <v>278.1027846</v>
      </c>
      <c r="MU17" s="68">
        <f t="shared" si="12"/>
        <v>278.1027846</v>
      </c>
      <c r="MV17" s="68">
        <f t="shared" si="12"/>
        <v>278.1027846</v>
      </c>
      <c r="MW17" s="68">
        <f t="shared" si="12"/>
        <v>278.1027846</v>
      </c>
      <c r="MX17" s="68">
        <f t="shared" si="12"/>
        <v>278.1027846</v>
      </c>
      <c r="MY17" s="68">
        <f t="shared" si="12"/>
        <v>278.1027846</v>
      </c>
      <c r="MZ17" s="68">
        <f t="shared" si="12"/>
        <v>278.1027846</v>
      </c>
      <c r="NA17" s="68">
        <f t="shared" si="12"/>
        <v>278.1027846</v>
      </c>
      <c r="NB17" s="68">
        <f t="shared" si="12"/>
        <v>278.1027846</v>
      </c>
      <c r="NC17" s="68">
        <f t="shared" si="12"/>
        <v>278.1027846</v>
      </c>
      <c r="ND17" s="68">
        <f t="shared" si="12"/>
        <v>278.1027846</v>
      </c>
      <c r="NE17" s="68">
        <f t="shared" si="12"/>
        <v>278.1027846</v>
      </c>
      <c r="NF17" s="68">
        <f t="shared" si="12"/>
        <v>278.1027846</v>
      </c>
      <c r="NG17" s="68">
        <f t="shared" si="12"/>
        <v>278.1027846</v>
      </c>
      <c r="NH17" s="68">
        <f t="shared" si="12"/>
        <v>278.1027846</v>
      </c>
      <c r="NI17" s="68">
        <f t="shared" si="12"/>
        <v>278.1027846</v>
      </c>
      <c r="NJ17" s="68">
        <f t="shared" si="12"/>
        <v>278.1027846</v>
      </c>
      <c r="NK17" s="68">
        <f t="shared" si="12"/>
        <v>278.1027846</v>
      </c>
      <c r="NL17" s="68">
        <f t="shared" si="12"/>
        <v>278.1027846</v>
      </c>
      <c r="NM17" s="68">
        <f t="shared" si="12"/>
        <v>278.1027846</v>
      </c>
      <c r="NN17" s="68">
        <f t="shared" si="12"/>
        <v>278.1027846</v>
      </c>
      <c r="NO17" s="68">
        <f t="shared" si="12"/>
        <v>278.1027846</v>
      </c>
      <c r="NP17" s="68">
        <f t="shared" si="12"/>
        <v>278.1027846</v>
      </c>
      <c r="NQ17" s="68">
        <f t="shared" si="12"/>
        <v>278.1027846</v>
      </c>
      <c r="NR17" s="68">
        <f t="shared" si="12"/>
        <v>278.1027846</v>
      </c>
      <c r="NS17" s="68">
        <f t="shared" si="12"/>
        <v>278.1027846</v>
      </c>
      <c r="NT17" s="68">
        <f t="shared" si="12"/>
        <v>278.1027846</v>
      </c>
      <c r="NU17" s="68">
        <f t="shared" si="12"/>
        <v>278.1027846</v>
      </c>
      <c r="NV17" s="68">
        <f t="shared" si="12"/>
        <v>278.1027846</v>
      </c>
      <c r="NW17" s="68">
        <f t="shared" si="12"/>
        <v>278.1027846</v>
      </c>
      <c r="NX17" s="68">
        <f t="shared" si="12"/>
        <v>278.1027846</v>
      </c>
      <c r="NY17" s="68">
        <f t="shared" si="12"/>
        <v>278.1027846</v>
      </c>
      <c r="NZ17" s="68">
        <f t="shared" si="12"/>
        <v>278.1027846</v>
      </c>
      <c r="OA17" s="68">
        <f t="shared" si="12"/>
        <v>278.1027846</v>
      </c>
      <c r="OB17" s="68">
        <f t="shared" si="12"/>
        <v>278.1027846</v>
      </c>
      <c r="OC17" s="68">
        <f t="shared" si="12"/>
        <v>278.1027846</v>
      </c>
      <c r="OD17" s="68">
        <f t="shared" si="12"/>
        <v>278.1027846</v>
      </c>
      <c r="OE17" s="68">
        <f t="shared" si="12"/>
        <v>278.1027846</v>
      </c>
      <c r="OF17" s="68">
        <f t="shared" si="12"/>
        <v>278.1027846</v>
      </c>
      <c r="OG17" s="68">
        <f t="shared" si="12"/>
        <v>278.1027846</v>
      </c>
      <c r="OH17" s="68">
        <f t="shared" si="12"/>
        <v>278.1027846</v>
      </c>
      <c r="OI17" s="68">
        <f t="shared" si="12"/>
        <v>278.1027846</v>
      </c>
      <c r="OJ17" s="68">
        <f t="shared" si="12"/>
        <v>278.1027846</v>
      </c>
      <c r="OK17" s="68">
        <f t="shared" si="12"/>
        <v>278.1027846</v>
      </c>
      <c r="OL17" s="68">
        <f t="shared" si="12"/>
        <v>278.1027846</v>
      </c>
      <c r="OM17" s="68">
        <f t="shared" si="12"/>
        <v>278.1027846</v>
      </c>
      <c r="ON17" s="68">
        <f t="shared" si="12"/>
        <v>278.1027846</v>
      </c>
      <c r="OO17" s="68">
        <f t="shared" si="12"/>
        <v>278.1027846</v>
      </c>
      <c r="OP17" s="68">
        <f t="shared" si="12"/>
        <v>278.1027846</v>
      </c>
      <c r="OQ17" s="68">
        <f t="shared" si="12"/>
        <v>278.1027846</v>
      </c>
      <c r="OR17" s="68">
        <f t="shared" si="12"/>
        <v>278.1027846</v>
      </c>
      <c r="OS17" s="68">
        <f t="shared" si="12"/>
        <v>278.1027846</v>
      </c>
      <c r="OT17" s="68">
        <f t="shared" si="12"/>
        <v>278.1027846</v>
      </c>
      <c r="OU17" s="68">
        <f t="shared" si="12"/>
        <v>278.1027846</v>
      </c>
      <c r="OV17" s="68">
        <f t="shared" si="12"/>
        <v>278.1027846</v>
      </c>
      <c r="OW17" s="68">
        <f t="shared" si="12"/>
        <v>278.1027846</v>
      </c>
      <c r="OX17" s="68">
        <f t="shared" si="12"/>
        <v>278.1027846</v>
      </c>
      <c r="OY17" s="68">
        <f t="shared" si="12"/>
        <v>278.1027846</v>
      </c>
      <c r="OZ17" s="68">
        <f t="shared" si="12"/>
        <v>278.1027846</v>
      </c>
      <c r="PA17" s="68">
        <f t="shared" si="12"/>
        <v>278.1027846</v>
      </c>
      <c r="PB17" s="68">
        <f t="shared" si="12"/>
        <v>278.1027846</v>
      </c>
      <c r="PC17" s="68">
        <f t="shared" si="12"/>
        <v>278.1027846</v>
      </c>
      <c r="PD17" s="68">
        <f t="shared" si="12"/>
        <v>278.1027846</v>
      </c>
      <c r="PE17" s="68">
        <f t="shared" si="12"/>
        <v>278.1027846</v>
      </c>
      <c r="PF17" s="68">
        <f t="shared" si="12"/>
        <v>278.1027846</v>
      </c>
      <c r="PG17" s="68">
        <f t="shared" si="12"/>
        <v>278.1027846</v>
      </c>
      <c r="PH17" s="68">
        <f t="shared" si="12"/>
        <v>278.1027846</v>
      </c>
      <c r="PI17" s="68">
        <f t="shared" si="12"/>
        <v>278.1027846</v>
      </c>
      <c r="PJ17" s="68">
        <f t="shared" si="12"/>
        <v>278.1027846</v>
      </c>
      <c r="PK17" s="68">
        <f t="shared" si="12"/>
        <v>278.1027846</v>
      </c>
      <c r="PL17" s="68">
        <f t="shared" si="12"/>
        <v>278.1027846</v>
      </c>
      <c r="PM17" s="68">
        <f t="shared" si="12"/>
        <v>278.1027846</v>
      </c>
      <c r="PN17" s="68">
        <f t="shared" si="12"/>
        <v>278.1027846</v>
      </c>
      <c r="PO17" s="68">
        <f t="shared" si="12"/>
        <v>278.1027846</v>
      </c>
      <c r="PP17" s="68">
        <f t="shared" si="12"/>
        <v>278.1027846</v>
      </c>
      <c r="PQ17" s="68">
        <f t="shared" si="12"/>
        <v>278.1027846</v>
      </c>
      <c r="PR17" s="68">
        <f t="shared" si="12"/>
        <v>278.1027846</v>
      </c>
      <c r="PS17" s="68">
        <f t="shared" si="12"/>
        <v>278.1027846</v>
      </c>
      <c r="PT17" s="68">
        <f t="shared" si="12"/>
        <v>278.1027846</v>
      </c>
      <c r="PU17" s="68">
        <f t="shared" si="12"/>
        <v>278.1027846</v>
      </c>
      <c r="PV17" s="68">
        <f t="shared" si="12"/>
        <v>278.1027846</v>
      </c>
      <c r="PW17" s="68">
        <f t="shared" si="12"/>
        <v>278.1027846</v>
      </c>
      <c r="PX17" s="68">
        <f t="shared" si="12"/>
        <v>278.1027846</v>
      </c>
      <c r="PY17" s="68">
        <f t="shared" si="12"/>
        <v>278.1027846</v>
      </c>
      <c r="PZ17" s="68">
        <f t="shared" si="12"/>
        <v>278.1027846</v>
      </c>
      <c r="QA17" s="68">
        <f t="shared" si="12"/>
        <v>278.1027846</v>
      </c>
      <c r="QB17" s="68">
        <f t="shared" si="12"/>
        <v>278.1027846</v>
      </c>
      <c r="QC17" s="68">
        <f t="shared" si="12"/>
        <v>278.1027846</v>
      </c>
      <c r="QD17" s="68">
        <f t="shared" si="12"/>
        <v>278.1027846</v>
      </c>
      <c r="QE17" s="68">
        <f t="shared" si="12"/>
        <v>278.1027846</v>
      </c>
      <c r="QF17" s="68">
        <f t="shared" si="12"/>
        <v>278.1027846</v>
      </c>
      <c r="QG17" s="68">
        <f t="shared" si="12"/>
        <v>278.1027846</v>
      </c>
      <c r="QH17" s="68">
        <f t="shared" si="12"/>
        <v>278.1027846</v>
      </c>
      <c r="QI17" s="68">
        <f t="shared" si="12"/>
        <v>278.1027846</v>
      </c>
      <c r="QJ17" s="68">
        <f t="shared" si="12"/>
        <v>278.1027846</v>
      </c>
      <c r="QK17" s="68">
        <f t="shared" si="12"/>
        <v>278.1027846</v>
      </c>
      <c r="QL17" s="68">
        <f t="shared" si="12"/>
        <v>278.1027846</v>
      </c>
      <c r="QM17" s="68">
        <f t="shared" si="12"/>
        <v>278.1027846</v>
      </c>
      <c r="QN17" s="68">
        <f t="shared" si="12"/>
        <v>278.1027846</v>
      </c>
      <c r="QO17" s="68">
        <f t="shared" si="12"/>
        <v>278.1027846</v>
      </c>
      <c r="QP17" s="68">
        <f t="shared" si="12"/>
        <v>278.1027846</v>
      </c>
      <c r="QQ17" s="68">
        <f t="shared" si="12"/>
        <v>278.1027846</v>
      </c>
      <c r="QR17" s="68">
        <f t="shared" si="12"/>
        <v>278.1027846</v>
      </c>
      <c r="QS17" s="68">
        <f t="shared" si="12"/>
        <v>278.1027846</v>
      </c>
      <c r="QT17" s="68">
        <f t="shared" si="12"/>
        <v>278.1027846</v>
      </c>
      <c r="QU17" s="68">
        <f t="shared" si="12"/>
        <v>278.1027846</v>
      </c>
      <c r="QV17" s="68">
        <f t="shared" si="12"/>
        <v>278.1027846</v>
      </c>
      <c r="QW17" s="68">
        <f t="shared" si="12"/>
        <v>278.1027846</v>
      </c>
      <c r="QX17" s="68">
        <f t="shared" si="12"/>
        <v>278.1027846</v>
      </c>
      <c r="QY17" s="68">
        <f t="shared" si="12"/>
        <v>278.1027846</v>
      </c>
      <c r="QZ17" s="68">
        <f t="shared" si="12"/>
        <v>278.1027846</v>
      </c>
      <c r="RA17" s="68">
        <f t="shared" si="12"/>
        <v>278.1027846</v>
      </c>
      <c r="RB17" s="68">
        <f t="shared" si="12"/>
        <v>278.1027846</v>
      </c>
      <c r="RC17" s="68">
        <f t="shared" si="12"/>
        <v>278.1027846</v>
      </c>
      <c r="RD17" s="68">
        <f t="shared" si="12"/>
        <v>278.1027846</v>
      </c>
      <c r="RE17" s="68">
        <f t="shared" si="12"/>
        <v>278.1027846</v>
      </c>
      <c r="RF17" s="68">
        <f t="shared" si="12"/>
        <v>278.1027846</v>
      </c>
      <c r="RG17" s="68">
        <f t="shared" si="12"/>
        <v>278.1027846</v>
      </c>
      <c r="RH17" s="68">
        <f t="shared" si="12"/>
        <v>278.1027846</v>
      </c>
      <c r="RI17" s="68">
        <f t="shared" si="12"/>
        <v>278.1027846</v>
      </c>
      <c r="RJ17" s="68">
        <f t="shared" si="12"/>
        <v>278.1027846</v>
      </c>
      <c r="RK17" s="68">
        <f t="shared" si="12"/>
        <v>278.1027846</v>
      </c>
      <c r="RL17" s="68">
        <f t="shared" si="12"/>
        <v>278.1027846</v>
      </c>
      <c r="RM17" s="68">
        <f t="shared" si="12"/>
        <v>278.1027846</v>
      </c>
      <c r="RN17" s="68">
        <f t="shared" si="12"/>
        <v>278.1027846</v>
      </c>
      <c r="RO17" s="68">
        <f t="shared" si="12"/>
        <v>278.1027846</v>
      </c>
      <c r="RP17" s="68">
        <f t="shared" si="12"/>
        <v>278.1027846</v>
      </c>
      <c r="RQ17" s="68">
        <f t="shared" si="12"/>
        <v>278.1027846</v>
      </c>
      <c r="RR17" s="68">
        <f t="shared" si="12"/>
        <v>278.1027846</v>
      </c>
      <c r="RS17" s="68">
        <f t="shared" si="12"/>
        <v>278.1027846</v>
      </c>
      <c r="RT17" s="68">
        <f t="shared" si="12"/>
        <v>278.1027846</v>
      </c>
      <c r="RU17" s="68">
        <f t="shared" si="12"/>
        <v>278.1027846</v>
      </c>
      <c r="RV17" s="68">
        <f t="shared" si="12"/>
        <v>278.1027846</v>
      </c>
      <c r="RW17" s="68">
        <f t="shared" si="12"/>
        <v>278.1027846</v>
      </c>
      <c r="RX17" s="68">
        <f t="shared" si="12"/>
        <v>278.1027846</v>
      </c>
      <c r="RY17" s="68">
        <f t="shared" si="12"/>
        <v>278.1027846</v>
      </c>
      <c r="RZ17" s="68">
        <f t="shared" si="12"/>
        <v>278.1027846</v>
      </c>
      <c r="SA17" s="68">
        <f t="shared" si="12"/>
        <v>278.1027846</v>
      </c>
      <c r="SB17" s="68">
        <f t="shared" si="12"/>
        <v>278.1027846</v>
      </c>
      <c r="SC17" s="68">
        <f t="shared" si="12"/>
        <v>278.1027846</v>
      </c>
      <c r="SD17" s="68">
        <f t="shared" si="12"/>
        <v>278.1027846</v>
      </c>
      <c r="SE17" s="68">
        <f t="shared" si="12"/>
        <v>278.1027846</v>
      </c>
      <c r="SF17" s="68">
        <f t="shared" si="12"/>
        <v>278.1027846</v>
      </c>
      <c r="SG17" s="68">
        <f t="shared" si="12"/>
        <v>278.1027846</v>
      </c>
      <c r="SH17" s="68">
        <f t="shared" si="12"/>
        <v>278.1027846</v>
      </c>
      <c r="SI17" s="68">
        <f t="shared" si="12"/>
        <v>278.1027846</v>
      </c>
      <c r="SJ17" s="68">
        <f t="shared" si="12"/>
        <v>278.1027846</v>
      </c>
      <c r="SK17" s="68">
        <f t="shared" si="12"/>
        <v>278.1027846</v>
      </c>
      <c r="SL17" s="68">
        <f t="shared" si="12"/>
        <v>278.1027846</v>
      </c>
    </row>
    <row r="18">
      <c r="A18" s="53" t="s">
        <v>94</v>
      </c>
      <c r="B18" s="67">
        <f>((B17+B11)/B11)-1</f>
        <v>0.4265602336</v>
      </c>
      <c r="C18" s="254"/>
      <c r="D18" s="234"/>
      <c r="E18" s="235"/>
      <c r="F18" s="67"/>
      <c r="G18" s="67">
        <f t="shared" ref="G18:SL18" si="13">((G17+G11)/G11)-1</f>
        <v>0.3400184014</v>
      </c>
      <c r="H18" s="67">
        <f t="shared" si="13"/>
        <v>0.3506754117</v>
      </c>
      <c r="I18" s="67">
        <f t="shared" si="13"/>
        <v>0.3985155831</v>
      </c>
      <c r="J18" s="67">
        <f t="shared" si="13"/>
        <v>0.569791215</v>
      </c>
      <c r="K18" s="67">
        <f t="shared" si="13"/>
        <v>0.3392607831</v>
      </c>
      <c r="L18" s="67">
        <f t="shared" si="13"/>
        <v>0.4565575097</v>
      </c>
      <c r="M18" s="67">
        <f t="shared" si="13"/>
        <v>0.5736850646</v>
      </c>
      <c r="N18" s="67">
        <f t="shared" si="13"/>
        <v>0.4597041898</v>
      </c>
      <c r="O18" s="67">
        <f t="shared" si="13"/>
        <v>0.5858216663</v>
      </c>
      <c r="P18" s="67">
        <f t="shared" si="13"/>
        <v>0.3550583881</v>
      </c>
      <c r="Q18" s="67">
        <f t="shared" si="13"/>
        <v>0.5337438147</v>
      </c>
      <c r="R18" s="67">
        <f t="shared" si="13"/>
        <v>0.4703365935</v>
      </c>
      <c r="S18" s="67">
        <f t="shared" si="13"/>
        <v>0.5231681295</v>
      </c>
      <c r="T18" s="67">
        <f t="shared" si="13"/>
        <v>0.4038291281</v>
      </c>
      <c r="U18" s="67">
        <f t="shared" si="13"/>
        <v>0.5780279749</v>
      </c>
      <c r="V18" s="67">
        <f t="shared" si="13"/>
        <v>0.3638223975</v>
      </c>
      <c r="W18" s="67">
        <f t="shared" si="13"/>
        <v>0.5871982448</v>
      </c>
      <c r="X18" s="67">
        <f t="shared" si="13"/>
        <v>0.5356063627</v>
      </c>
      <c r="Y18" s="67">
        <f t="shared" si="13"/>
        <v>0.4088458967</v>
      </c>
      <c r="Z18" s="67">
        <f t="shared" si="13"/>
        <v>0.3447601623</v>
      </c>
      <c r="AA18" s="67">
        <f t="shared" si="13"/>
        <v>0.5016712911</v>
      </c>
      <c r="AB18" s="67">
        <f t="shared" si="13"/>
        <v>0.5483920788</v>
      </c>
      <c r="AC18" s="67">
        <f t="shared" si="13"/>
        <v>0.3748090219</v>
      </c>
      <c r="AD18" s="67">
        <f t="shared" si="13"/>
        <v>0.3431635794</v>
      </c>
      <c r="AE18" s="67">
        <f t="shared" si="13"/>
        <v>0.34510443</v>
      </c>
      <c r="AF18" s="67">
        <f t="shared" si="13"/>
        <v>0.4675991731</v>
      </c>
      <c r="AG18" s="67">
        <f t="shared" si="13"/>
        <v>0.412988445</v>
      </c>
      <c r="AH18" s="67">
        <f t="shared" si="13"/>
        <v>0.3771685067</v>
      </c>
      <c r="AI18" s="67">
        <f t="shared" si="13"/>
        <v>0.5055327829</v>
      </c>
      <c r="AJ18" s="67">
        <f t="shared" si="13"/>
        <v>0.3781204442</v>
      </c>
      <c r="AK18" s="67">
        <f t="shared" si="13"/>
        <v>0.3736754334</v>
      </c>
      <c r="AL18" s="67">
        <f t="shared" si="13"/>
        <v>0.4010445578</v>
      </c>
      <c r="AM18" s="67">
        <f t="shared" si="13"/>
        <v>0.4348807195</v>
      </c>
      <c r="AN18" s="67">
        <f t="shared" si="13"/>
        <v>0.4950017685</v>
      </c>
      <c r="AO18" s="67">
        <f t="shared" si="13"/>
        <v>0.5532122483</v>
      </c>
      <c r="AP18" s="67">
        <f t="shared" si="13"/>
        <v>0.4321320688</v>
      </c>
      <c r="AQ18" s="67">
        <f t="shared" si="13"/>
        <v>0.3691197883</v>
      </c>
      <c r="AR18" s="67">
        <f t="shared" si="13"/>
        <v>0.527272143</v>
      </c>
      <c r="AS18" s="67">
        <f t="shared" si="13"/>
        <v>0.4506587631</v>
      </c>
      <c r="AT18" s="67">
        <f t="shared" si="13"/>
        <v>0.4745454955</v>
      </c>
      <c r="AU18" s="67">
        <f t="shared" si="13"/>
        <v>0.3505548689</v>
      </c>
      <c r="AV18" s="67">
        <f t="shared" si="13"/>
        <v>0.3862464644</v>
      </c>
      <c r="AW18" s="67">
        <f t="shared" si="13"/>
        <v>0.3871081398</v>
      </c>
      <c r="AX18" s="67">
        <f t="shared" si="13"/>
        <v>0.4581950009</v>
      </c>
      <c r="AY18" s="67">
        <f t="shared" si="13"/>
        <v>0.6072530852</v>
      </c>
      <c r="AZ18" s="67">
        <f t="shared" si="13"/>
        <v>0.4277723858</v>
      </c>
      <c r="BA18" s="67">
        <f t="shared" si="13"/>
        <v>0.3684487358</v>
      </c>
      <c r="BB18" s="67">
        <f t="shared" si="13"/>
        <v>0.5533523736</v>
      </c>
      <c r="BC18" s="67">
        <f t="shared" si="13"/>
        <v>0.356884366</v>
      </c>
      <c r="BD18" s="67">
        <f t="shared" si="13"/>
        <v>0.3654229812</v>
      </c>
      <c r="BE18" s="67">
        <f t="shared" si="13"/>
        <v>0.5238326091</v>
      </c>
      <c r="BF18" s="67">
        <f t="shared" si="13"/>
        <v>0.3482198015</v>
      </c>
      <c r="BG18" s="67">
        <f t="shared" si="13"/>
        <v>0.3628899064</v>
      </c>
      <c r="BH18" s="67">
        <f t="shared" si="13"/>
        <v>0.3373411362</v>
      </c>
      <c r="BI18" s="67">
        <f t="shared" si="13"/>
        <v>0.464977768</v>
      </c>
      <c r="BJ18" s="67">
        <f t="shared" si="13"/>
        <v>0.3334630536</v>
      </c>
      <c r="BK18" s="67">
        <f t="shared" si="13"/>
        <v>0.4385184446</v>
      </c>
      <c r="BL18" s="67">
        <f t="shared" si="13"/>
        <v>0.4936141147</v>
      </c>
      <c r="BM18" s="67">
        <f t="shared" si="13"/>
        <v>0.3886027009</v>
      </c>
      <c r="BN18" s="67">
        <f t="shared" si="13"/>
        <v>0.5130827117</v>
      </c>
      <c r="BO18" s="67">
        <f t="shared" si="13"/>
        <v>0.3712093703</v>
      </c>
      <c r="BP18" s="67">
        <f t="shared" si="13"/>
        <v>0.5247472843</v>
      </c>
      <c r="BQ18" s="67">
        <f t="shared" si="13"/>
        <v>0.4481801659</v>
      </c>
      <c r="BR18" s="67">
        <f t="shared" si="13"/>
        <v>0.3683430827</v>
      </c>
      <c r="BS18" s="67">
        <f t="shared" si="13"/>
        <v>0.4289234062</v>
      </c>
      <c r="BT18" s="67">
        <f t="shared" si="13"/>
        <v>0.394016708</v>
      </c>
      <c r="BU18" s="67">
        <f t="shared" si="13"/>
        <v>0.5240005972</v>
      </c>
      <c r="BV18" s="67">
        <f t="shared" si="13"/>
        <v>0.4564033097</v>
      </c>
      <c r="BW18" s="67">
        <f t="shared" si="13"/>
        <v>0.5445023621</v>
      </c>
      <c r="BX18" s="67">
        <f t="shared" si="13"/>
        <v>0.5540058336</v>
      </c>
      <c r="BY18" s="67">
        <f t="shared" si="13"/>
        <v>0.3977267371</v>
      </c>
      <c r="BZ18" s="67">
        <f t="shared" si="13"/>
        <v>0.4995387882</v>
      </c>
      <c r="CA18" s="67">
        <f t="shared" si="13"/>
        <v>0.3472114797</v>
      </c>
      <c r="CB18" s="67">
        <f t="shared" si="13"/>
        <v>0.3671635069</v>
      </c>
      <c r="CC18" s="67">
        <f t="shared" si="13"/>
        <v>0.4260443375</v>
      </c>
      <c r="CD18" s="67">
        <f t="shared" si="13"/>
        <v>0.3607112524</v>
      </c>
      <c r="CE18" s="67">
        <f t="shared" si="13"/>
        <v>0.5526084199</v>
      </c>
      <c r="CF18" s="67">
        <f t="shared" si="13"/>
        <v>0.4097509805</v>
      </c>
      <c r="CG18" s="67">
        <f t="shared" si="13"/>
        <v>0.417043431</v>
      </c>
      <c r="CH18" s="67">
        <f t="shared" si="13"/>
        <v>0.3686268483</v>
      </c>
      <c r="CI18" s="67">
        <f t="shared" si="13"/>
        <v>0.4360612019</v>
      </c>
      <c r="CJ18" s="67">
        <f t="shared" si="13"/>
        <v>0.5134588847</v>
      </c>
      <c r="CK18" s="67">
        <f t="shared" si="13"/>
        <v>0.3639616225</v>
      </c>
      <c r="CL18" s="67">
        <f t="shared" si="13"/>
        <v>0.3694146153</v>
      </c>
      <c r="CM18" s="67">
        <f t="shared" si="13"/>
        <v>0.4547025097</v>
      </c>
      <c r="CN18" s="67">
        <f t="shared" si="13"/>
        <v>0.4424216281</v>
      </c>
      <c r="CO18" s="67">
        <f t="shared" si="13"/>
        <v>0.3848003909</v>
      </c>
      <c r="CP18" s="67">
        <f t="shared" si="13"/>
        <v>0.3980349843</v>
      </c>
      <c r="CQ18" s="67">
        <f t="shared" si="13"/>
        <v>0.3411544356</v>
      </c>
      <c r="CR18" s="67">
        <f t="shared" si="13"/>
        <v>0.4145277703</v>
      </c>
      <c r="CS18" s="67">
        <f t="shared" si="13"/>
        <v>0.5888941406</v>
      </c>
      <c r="CT18" s="67">
        <f t="shared" si="13"/>
        <v>0.3821320951</v>
      </c>
      <c r="CU18" s="67">
        <f t="shared" si="13"/>
        <v>0.4132714298</v>
      </c>
      <c r="CV18" s="67">
        <f t="shared" si="13"/>
        <v>0.366483604</v>
      </c>
      <c r="CW18" s="67">
        <f t="shared" si="13"/>
        <v>0.425095557</v>
      </c>
      <c r="CX18" s="67">
        <f t="shared" si="13"/>
        <v>0.4041157264</v>
      </c>
      <c r="CY18" s="67">
        <f t="shared" si="13"/>
        <v>0.4706861346</v>
      </c>
      <c r="CZ18" s="67">
        <f t="shared" si="13"/>
        <v>0.3949233117</v>
      </c>
      <c r="DA18" s="67">
        <f t="shared" si="13"/>
        <v>0.4600638997</v>
      </c>
      <c r="DB18" s="67">
        <f t="shared" si="13"/>
        <v>0.3998977108</v>
      </c>
      <c r="DC18" s="67">
        <f t="shared" si="13"/>
        <v>0.4139263379</v>
      </c>
      <c r="DD18" s="67">
        <f t="shared" si="13"/>
        <v>0.3708394617</v>
      </c>
      <c r="DE18" s="67">
        <f t="shared" si="13"/>
        <v>0.3360437911</v>
      </c>
      <c r="DF18" s="67">
        <f t="shared" si="13"/>
        <v>0.3819195054</v>
      </c>
      <c r="DG18" s="67">
        <f t="shared" si="13"/>
        <v>0.5517346426</v>
      </c>
      <c r="DH18" s="67">
        <f t="shared" si="13"/>
        <v>0.3441382308</v>
      </c>
      <c r="DI18" s="67">
        <f t="shared" si="13"/>
        <v>0.3289375112</v>
      </c>
      <c r="DJ18" s="67">
        <f t="shared" si="13"/>
        <v>0.5072610649</v>
      </c>
      <c r="DK18" s="67">
        <f t="shared" si="13"/>
        <v>0.5393381984</v>
      </c>
      <c r="DL18" s="67">
        <f t="shared" si="13"/>
        <v>0.3683099109</v>
      </c>
      <c r="DM18" s="67">
        <f t="shared" si="13"/>
        <v>0.4846767766</v>
      </c>
      <c r="DN18" s="67">
        <f t="shared" si="13"/>
        <v>0.5345185481</v>
      </c>
      <c r="DO18" s="67">
        <f t="shared" si="13"/>
        <v>0.3431695924</v>
      </c>
      <c r="DP18" s="67">
        <f t="shared" si="13"/>
        <v>0.3590785532</v>
      </c>
      <c r="DQ18" s="67">
        <f t="shared" si="13"/>
        <v>0.3779503507</v>
      </c>
      <c r="DR18" s="67">
        <f t="shared" si="13"/>
        <v>0.3638015991</v>
      </c>
      <c r="DS18" s="67">
        <f t="shared" si="13"/>
        <v>0.4933613048</v>
      </c>
      <c r="DT18" s="67">
        <f t="shared" si="13"/>
        <v>0.3346253576</v>
      </c>
      <c r="DU18" s="67">
        <f t="shared" si="13"/>
        <v>0.4309864276</v>
      </c>
      <c r="DV18" s="67">
        <f t="shared" si="13"/>
        <v>0.4133887018</v>
      </c>
      <c r="DW18" s="67">
        <f t="shared" si="13"/>
        <v>0.3449112697</v>
      </c>
      <c r="DX18" s="67">
        <f t="shared" si="13"/>
        <v>0.5392406276</v>
      </c>
      <c r="DY18" s="67">
        <f t="shared" si="13"/>
        <v>0.4742935545</v>
      </c>
      <c r="DZ18" s="67">
        <f t="shared" si="13"/>
        <v>0.4367438872</v>
      </c>
      <c r="EA18" s="67">
        <f t="shared" si="13"/>
        <v>0.4186360648</v>
      </c>
      <c r="EB18" s="67">
        <f t="shared" si="13"/>
        <v>0.3414067691</v>
      </c>
      <c r="EC18" s="67">
        <f t="shared" si="13"/>
        <v>0.580560185</v>
      </c>
      <c r="ED18" s="67">
        <f t="shared" si="13"/>
        <v>0.5306088901</v>
      </c>
      <c r="EE18" s="67">
        <f t="shared" si="13"/>
        <v>0.3676493791</v>
      </c>
      <c r="EF18" s="67">
        <f t="shared" si="13"/>
        <v>0.3564656199</v>
      </c>
      <c r="EG18" s="67">
        <f t="shared" si="13"/>
        <v>0.5304929979</v>
      </c>
      <c r="EH18" s="67">
        <f t="shared" si="13"/>
        <v>0.3379528484</v>
      </c>
      <c r="EI18" s="67">
        <f t="shared" si="13"/>
        <v>0.4389759108</v>
      </c>
      <c r="EJ18" s="67">
        <f t="shared" si="13"/>
        <v>0.4569739501</v>
      </c>
      <c r="EK18" s="67">
        <f t="shared" si="13"/>
        <v>0.4223960057</v>
      </c>
      <c r="EL18" s="67">
        <f t="shared" si="13"/>
        <v>0.4720479216</v>
      </c>
      <c r="EM18" s="67">
        <f t="shared" si="13"/>
        <v>0.3466501041</v>
      </c>
      <c r="EN18" s="67">
        <f t="shared" si="13"/>
        <v>0.4789761287</v>
      </c>
      <c r="EO18" s="67">
        <f t="shared" si="13"/>
        <v>0.4088468584</v>
      </c>
      <c r="EP18" s="67">
        <f t="shared" si="13"/>
        <v>0.4139204851</v>
      </c>
      <c r="EQ18" s="67">
        <f t="shared" si="13"/>
        <v>0.5396054702</v>
      </c>
      <c r="ER18" s="67">
        <f t="shared" si="13"/>
        <v>0.5048788758</v>
      </c>
      <c r="ES18" s="67">
        <f t="shared" si="13"/>
        <v>0.38511985</v>
      </c>
      <c r="ET18" s="67">
        <f t="shared" si="13"/>
        <v>0.5340544845</v>
      </c>
      <c r="EU18" s="67">
        <f t="shared" si="13"/>
        <v>0.3882884992</v>
      </c>
      <c r="EV18" s="67">
        <f t="shared" si="13"/>
        <v>0.3326560876</v>
      </c>
      <c r="EW18" s="67">
        <f t="shared" si="13"/>
        <v>0.5170585493</v>
      </c>
      <c r="EX18" s="67">
        <f t="shared" si="13"/>
        <v>0.3355729795</v>
      </c>
      <c r="EY18" s="67">
        <f t="shared" si="13"/>
        <v>0.4449707205</v>
      </c>
      <c r="EZ18" s="67">
        <f t="shared" si="13"/>
        <v>0.6049929245</v>
      </c>
      <c r="FA18" s="67">
        <f t="shared" si="13"/>
        <v>0.4952960429</v>
      </c>
      <c r="FB18" s="67">
        <f t="shared" si="13"/>
        <v>0.350868975</v>
      </c>
      <c r="FC18" s="67">
        <f t="shared" si="13"/>
        <v>0.5038086622</v>
      </c>
      <c r="FD18" s="67">
        <f t="shared" si="13"/>
        <v>0.3737536255</v>
      </c>
      <c r="FE18" s="67">
        <f t="shared" si="13"/>
        <v>0.4283732509</v>
      </c>
      <c r="FF18" s="67">
        <f t="shared" si="13"/>
        <v>0.4682382172</v>
      </c>
      <c r="FG18" s="67">
        <f t="shared" si="13"/>
        <v>0.4021950352</v>
      </c>
      <c r="FH18" s="67">
        <f t="shared" si="13"/>
        <v>0.3732685794</v>
      </c>
      <c r="FI18" s="67">
        <f t="shared" si="13"/>
        <v>0.3330027502</v>
      </c>
      <c r="FJ18" s="67">
        <f t="shared" si="13"/>
        <v>0.3674356991</v>
      </c>
      <c r="FK18" s="67">
        <f t="shared" si="13"/>
        <v>0.3592196455</v>
      </c>
      <c r="FL18" s="67">
        <f t="shared" si="13"/>
        <v>0.5646707746</v>
      </c>
      <c r="FM18" s="67">
        <f t="shared" si="13"/>
        <v>0.4409984329</v>
      </c>
      <c r="FN18" s="67">
        <f t="shared" si="13"/>
        <v>0.3783396844</v>
      </c>
      <c r="FO18" s="67">
        <f t="shared" si="13"/>
        <v>0.4312965637</v>
      </c>
      <c r="FP18" s="67">
        <f t="shared" si="13"/>
        <v>0.5991400661</v>
      </c>
      <c r="FQ18" s="67">
        <f t="shared" si="13"/>
        <v>0.4168026663</v>
      </c>
      <c r="FR18" s="67">
        <f t="shared" si="13"/>
        <v>0.4006445754</v>
      </c>
      <c r="FS18" s="67">
        <f t="shared" si="13"/>
        <v>0.5066391371</v>
      </c>
      <c r="FT18" s="67">
        <f t="shared" si="13"/>
        <v>0.5125760209</v>
      </c>
      <c r="FU18" s="67">
        <f t="shared" si="13"/>
        <v>0.37056339</v>
      </c>
      <c r="FV18" s="67">
        <f t="shared" si="13"/>
        <v>0.4340310398</v>
      </c>
      <c r="FW18" s="67">
        <f t="shared" si="13"/>
        <v>0.460804633</v>
      </c>
      <c r="FX18" s="67">
        <f t="shared" si="13"/>
        <v>0.4639494138</v>
      </c>
      <c r="FY18" s="67">
        <f t="shared" si="13"/>
        <v>0.3602729349</v>
      </c>
      <c r="FZ18" s="67">
        <f t="shared" si="13"/>
        <v>0.3937526125</v>
      </c>
      <c r="GA18" s="67">
        <f t="shared" si="13"/>
        <v>0.3485232706</v>
      </c>
      <c r="GB18" s="67">
        <f t="shared" si="13"/>
        <v>0.3828264014</v>
      </c>
      <c r="GC18" s="67">
        <f t="shared" si="13"/>
        <v>0.3362625948</v>
      </c>
      <c r="GD18" s="67">
        <f t="shared" si="13"/>
        <v>0.3917116622</v>
      </c>
      <c r="GE18" s="67">
        <f t="shared" si="13"/>
        <v>0.3284561271</v>
      </c>
      <c r="GF18" s="67">
        <f t="shared" si="13"/>
        <v>0.4696399388</v>
      </c>
      <c r="GG18" s="67">
        <f t="shared" si="13"/>
        <v>0.4054493015</v>
      </c>
      <c r="GH18" s="67">
        <f t="shared" si="13"/>
        <v>0.37367222</v>
      </c>
      <c r="GI18" s="67">
        <f t="shared" si="13"/>
        <v>0.3849351438</v>
      </c>
      <c r="GJ18" s="67">
        <f t="shared" si="13"/>
        <v>0.5139808119</v>
      </c>
      <c r="GK18" s="67">
        <f t="shared" si="13"/>
        <v>0.3415977853</v>
      </c>
      <c r="GL18" s="67">
        <f t="shared" si="13"/>
        <v>0.4436861423</v>
      </c>
      <c r="GM18" s="67">
        <f t="shared" si="13"/>
        <v>0.3992642249</v>
      </c>
      <c r="GN18" s="67">
        <f t="shared" si="13"/>
        <v>0.5375680837</v>
      </c>
      <c r="GO18" s="67">
        <f t="shared" si="13"/>
        <v>0.3499608385</v>
      </c>
      <c r="GP18" s="67">
        <f t="shared" si="13"/>
        <v>0.4064327452</v>
      </c>
      <c r="GQ18" s="67">
        <f t="shared" si="13"/>
        <v>0.601129153</v>
      </c>
      <c r="GR18" s="67">
        <f t="shared" si="13"/>
        <v>0.5017216123</v>
      </c>
      <c r="GS18" s="67">
        <f t="shared" si="13"/>
        <v>0.5460629951</v>
      </c>
      <c r="GT18" s="67">
        <f t="shared" si="13"/>
        <v>0.3985873789</v>
      </c>
      <c r="GU18" s="67">
        <f t="shared" si="13"/>
        <v>0.3428257068</v>
      </c>
      <c r="GV18" s="67">
        <f t="shared" si="13"/>
        <v>0.428494432</v>
      </c>
      <c r="GW18" s="67">
        <f t="shared" si="13"/>
        <v>0.3621237041</v>
      </c>
      <c r="GX18" s="67">
        <f t="shared" si="13"/>
        <v>0.4361488747</v>
      </c>
      <c r="GY18" s="67">
        <f t="shared" si="13"/>
        <v>0.3705610694</v>
      </c>
      <c r="GZ18" s="67">
        <f t="shared" si="13"/>
        <v>0.438412054</v>
      </c>
      <c r="HA18" s="67">
        <f t="shared" si="13"/>
        <v>0.4554458306</v>
      </c>
      <c r="HB18" s="67">
        <f t="shared" si="13"/>
        <v>0.4502559351</v>
      </c>
      <c r="HC18" s="67">
        <f t="shared" si="13"/>
        <v>0.4818622265</v>
      </c>
      <c r="HD18" s="67">
        <f t="shared" si="13"/>
        <v>0.3364575435</v>
      </c>
      <c r="HE18" s="67">
        <f t="shared" si="13"/>
        <v>0.469883942</v>
      </c>
      <c r="HF18" s="67">
        <f t="shared" si="13"/>
        <v>0.4611435093</v>
      </c>
      <c r="HG18" s="67">
        <f t="shared" si="13"/>
        <v>0.4074966688</v>
      </c>
      <c r="HH18" s="67">
        <f t="shared" si="13"/>
        <v>0.4709210988</v>
      </c>
      <c r="HI18" s="67">
        <f t="shared" si="13"/>
        <v>0.3492115878</v>
      </c>
      <c r="HJ18" s="67">
        <f t="shared" si="13"/>
        <v>0.4027806862</v>
      </c>
      <c r="HK18" s="67">
        <f t="shared" si="13"/>
        <v>0.3598052343</v>
      </c>
      <c r="HL18" s="67">
        <f t="shared" si="13"/>
        <v>0.4930086622</v>
      </c>
      <c r="HM18" s="67">
        <f t="shared" si="13"/>
        <v>0.3960599262</v>
      </c>
      <c r="HN18" s="67">
        <f t="shared" si="13"/>
        <v>0.4454095085</v>
      </c>
      <c r="HO18" s="67">
        <f t="shared" si="13"/>
        <v>0.3955357173</v>
      </c>
      <c r="HP18" s="67">
        <f t="shared" si="13"/>
        <v>0.3993040098</v>
      </c>
      <c r="HQ18" s="67">
        <f t="shared" si="13"/>
        <v>0.3611622693</v>
      </c>
      <c r="HR18" s="67">
        <f t="shared" si="13"/>
        <v>0.6089324183</v>
      </c>
      <c r="HS18" s="67">
        <f t="shared" si="13"/>
        <v>0.4271569321</v>
      </c>
      <c r="HT18" s="67">
        <f t="shared" si="13"/>
        <v>0.5029363604</v>
      </c>
      <c r="HU18" s="67">
        <f t="shared" si="13"/>
        <v>0.4953395349</v>
      </c>
      <c r="HV18" s="67">
        <f t="shared" si="13"/>
        <v>0.3667139235</v>
      </c>
      <c r="HW18" s="67">
        <f t="shared" si="13"/>
        <v>0.3576537845</v>
      </c>
      <c r="HX18" s="67">
        <f t="shared" si="13"/>
        <v>0.3319790703</v>
      </c>
      <c r="HY18" s="67">
        <f t="shared" si="13"/>
        <v>0.5232235451</v>
      </c>
      <c r="HZ18" s="67">
        <f t="shared" si="13"/>
        <v>0.3796627118</v>
      </c>
      <c r="IA18" s="67">
        <f t="shared" si="13"/>
        <v>0.4731832897</v>
      </c>
      <c r="IB18" s="67">
        <f t="shared" si="13"/>
        <v>0.336027915</v>
      </c>
      <c r="IC18" s="67">
        <f t="shared" si="13"/>
        <v>0.4678634124</v>
      </c>
      <c r="ID18" s="67">
        <f t="shared" si="13"/>
        <v>0.4300618821</v>
      </c>
      <c r="IE18" s="67">
        <f t="shared" si="13"/>
        <v>0.4284822844</v>
      </c>
      <c r="IF18" s="67">
        <f t="shared" si="13"/>
        <v>0.4308620976</v>
      </c>
      <c r="IG18" s="67">
        <f t="shared" si="13"/>
        <v>0.5183629969</v>
      </c>
      <c r="IH18" s="67">
        <f t="shared" si="13"/>
        <v>0.4047482779</v>
      </c>
      <c r="II18" s="67">
        <f t="shared" si="13"/>
        <v>0.340776112</v>
      </c>
      <c r="IJ18" s="67">
        <f t="shared" si="13"/>
        <v>0.3742456248</v>
      </c>
      <c r="IK18" s="67">
        <f t="shared" si="13"/>
        <v>0.3655780427</v>
      </c>
      <c r="IL18" s="67">
        <f t="shared" si="13"/>
        <v>0.5162124245</v>
      </c>
      <c r="IM18" s="67">
        <f t="shared" si="13"/>
        <v>0.488946826</v>
      </c>
      <c r="IN18" s="67">
        <f t="shared" si="13"/>
        <v>0.3824890595</v>
      </c>
      <c r="IO18" s="67">
        <f t="shared" si="13"/>
        <v>0.5084777152</v>
      </c>
      <c r="IP18" s="67">
        <f t="shared" si="13"/>
        <v>0.6023838318</v>
      </c>
      <c r="IQ18" s="67">
        <f t="shared" si="13"/>
        <v>0.508019512</v>
      </c>
      <c r="IR18" s="67">
        <f t="shared" si="13"/>
        <v>0.5215315444</v>
      </c>
      <c r="IS18" s="67">
        <f t="shared" si="13"/>
        <v>0.5738704493</v>
      </c>
      <c r="IT18" s="67">
        <f t="shared" si="13"/>
        <v>0.4441364428</v>
      </c>
      <c r="IU18" s="67">
        <f t="shared" si="13"/>
        <v>0.4685049158</v>
      </c>
      <c r="IV18" s="67">
        <f t="shared" si="13"/>
        <v>0.5461690573</v>
      </c>
      <c r="IW18" s="67">
        <f t="shared" si="13"/>
        <v>0.3618037716</v>
      </c>
      <c r="IX18" s="67">
        <f t="shared" si="13"/>
        <v>0.3652718891</v>
      </c>
      <c r="IY18" s="67">
        <f t="shared" si="13"/>
        <v>0.3921897685</v>
      </c>
      <c r="IZ18" s="67">
        <f t="shared" si="13"/>
        <v>0.3493157193</v>
      </c>
      <c r="JA18" s="67">
        <f t="shared" si="13"/>
        <v>0.6089068197</v>
      </c>
      <c r="JB18" s="67">
        <f t="shared" si="13"/>
        <v>0.3804674334</v>
      </c>
      <c r="JC18" s="67">
        <f t="shared" si="13"/>
        <v>0.5013961508</v>
      </c>
      <c r="JD18" s="67">
        <f t="shared" si="13"/>
        <v>0.3376600388</v>
      </c>
      <c r="JE18" s="67">
        <f t="shared" si="13"/>
        <v>0.3686255291</v>
      </c>
      <c r="JF18" s="67">
        <f t="shared" si="13"/>
        <v>0.3808213973</v>
      </c>
      <c r="JG18" s="67">
        <f t="shared" si="13"/>
        <v>0.3879764289</v>
      </c>
      <c r="JH18" s="67">
        <f t="shared" si="13"/>
        <v>0.4251983124</v>
      </c>
      <c r="JI18" s="67">
        <f t="shared" si="13"/>
        <v>0.4201736709</v>
      </c>
      <c r="JJ18" s="67">
        <f t="shared" si="13"/>
        <v>0.5218137632</v>
      </c>
      <c r="JK18" s="67">
        <f t="shared" si="13"/>
        <v>0.5033081813</v>
      </c>
      <c r="JL18" s="67">
        <f t="shared" si="13"/>
        <v>0.4038927619</v>
      </c>
      <c r="JM18" s="67">
        <f t="shared" si="13"/>
        <v>0.4306128524</v>
      </c>
      <c r="JN18" s="67">
        <f t="shared" si="13"/>
        <v>0.4619726626</v>
      </c>
      <c r="JO18" s="67">
        <f t="shared" si="13"/>
        <v>0.5256280012</v>
      </c>
      <c r="JP18" s="67">
        <f t="shared" si="13"/>
        <v>0.536732278</v>
      </c>
      <c r="JQ18" s="67">
        <f t="shared" si="13"/>
        <v>0.3392431119</v>
      </c>
      <c r="JR18" s="67">
        <f t="shared" si="13"/>
        <v>0.4492557462</v>
      </c>
      <c r="JS18" s="67">
        <f t="shared" si="13"/>
        <v>0.3670381461</v>
      </c>
      <c r="JT18" s="67">
        <f t="shared" si="13"/>
        <v>0.5321000532</v>
      </c>
      <c r="JU18" s="67">
        <f t="shared" si="13"/>
        <v>0.3394316311</v>
      </c>
      <c r="JV18" s="67">
        <f t="shared" si="13"/>
        <v>0.60445222</v>
      </c>
      <c r="JW18" s="67">
        <f t="shared" si="13"/>
        <v>0.5025950607</v>
      </c>
      <c r="JX18" s="67">
        <f t="shared" si="13"/>
        <v>0.447680479</v>
      </c>
      <c r="JY18" s="67">
        <f t="shared" si="13"/>
        <v>0.5282098151</v>
      </c>
      <c r="JZ18" s="67">
        <f t="shared" si="13"/>
        <v>0.3380869897</v>
      </c>
      <c r="KA18" s="67">
        <f t="shared" si="13"/>
        <v>0.4909067272</v>
      </c>
      <c r="KB18" s="67">
        <f t="shared" si="13"/>
        <v>0.4230385371</v>
      </c>
      <c r="KC18" s="67">
        <f t="shared" si="13"/>
        <v>0.3503686261</v>
      </c>
      <c r="KD18" s="67">
        <f t="shared" si="13"/>
        <v>0.4461195122</v>
      </c>
      <c r="KE18" s="67">
        <f t="shared" si="13"/>
        <v>0.4114203351</v>
      </c>
      <c r="KF18" s="67">
        <f t="shared" si="13"/>
        <v>0.419956864</v>
      </c>
      <c r="KG18" s="67">
        <f t="shared" si="13"/>
        <v>0.3541919678</v>
      </c>
      <c r="KH18" s="67">
        <f t="shared" si="13"/>
        <v>0.4381156906</v>
      </c>
      <c r="KI18" s="67">
        <f t="shared" si="13"/>
        <v>0.3555517742</v>
      </c>
      <c r="KJ18" s="67">
        <f t="shared" si="13"/>
        <v>0.5148257303</v>
      </c>
      <c r="KK18" s="67">
        <f t="shared" si="13"/>
        <v>0.3965408532</v>
      </c>
      <c r="KL18" s="67">
        <f t="shared" si="13"/>
        <v>0.4198289279</v>
      </c>
      <c r="KM18" s="67">
        <f t="shared" si="13"/>
        <v>0.4879896005</v>
      </c>
      <c r="KN18" s="67">
        <f t="shared" si="13"/>
        <v>0.5274258398</v>
      </c>
      <c r="KO18" s="67">
        <f t="shared" si="13"/>
        <v>0.5591662425</v>
      </c>
      <c r="KP18" s="67">
        <f t="shared" si="13"/>
        <v>0.3979681142</v>
      </c>
      <c r="KQ18" s="67">
        <f t="shared" si="13"/>
        <v>0.6044938693</v>
      </c>
      <c r="KR18" s="67">
        <f t="shared" si="13"/>
        <v>0.4652248875</v>
      </c>
      <c r="KS18" s="67">
        <f t="shared" si="13"/>
        <v>0.5482228955</v>
      </c>
      <c r="KT18" s="67">
        <f t="shared" si="13"/>
        <v>0.3468884808</v>
      </c>
      <c r="KU18" s="67">
        <f t="shared" si="13"/>
        <v>0.3511730902</v>
      </c>
      <c r="KV18" s="67">
        <f t="shared" si="13"/>
        <v>0.4752705983</v>
      </c>
      <c r="KW18" s="67">
        <f t="shared" si="13"/>
        <v>0.3696976759</v>
      </c>
      <c r="KX18" s="67">
        <f t="shared" si="13"/>
        <v>0.4757601429</v>
      </c>
      <c r="KY18" s="67">
        <f t="shared" si="13"/>
        <v>0.5595384037</v>
      </c>
      <c r="KZ18" s="67">
        <f t="shared" si="13"/>
        <v>0.4538907062</v>
      </c>
      <c r="LA18" s="67">
        <f t="shared" si="13"/>
        <v>0.5844654067</v>
      </c>
      <c r="LB18" s="67">
        <f t="shared" si="13"/>
        <v>0.4942728806</v>
      </c>
      <c r="LC18" s="67">
        <f t="shared" si="13"/>
        <v>0.3661371724</v>
      </c>
      <c r="LD18" s="67">
        <f t="shared" si="13"/>
        <v>0.5112054799</v>
      </c>
      <c r="LE18" s="67">
        <f t="shared" si="13"/>
        <v>0.5450805834</v>
      </c>
      <c r="LF18" s="67">
        <f t="shared" si="13"/>
        <v>0.4236757327</v>
      </c>
      <c r="LG18" s="67">
        <f t="shared" si="13"/>
        <v>0.3890281787</v>
      </c>
      <c r="LH18" s="67">
        <f t="shared" si="13"/>
        <v>0.403161217</v>
      </c>
      <c r="LI18" s="67">
        <f t="shared" si="13"/>
        <v>0.4557275739</v>
      </c>
      <c r="LJ18" s="67">
        <f t="shared" si="13"/>
        <v>0.5027460662</v>
      </c>
      <c r="LK18" s="67">
        <f t="shared" si="13"/>
        <v>0.3717731484</v>
      </c>
      <c r="LL18" s="67">
        <f t="shared" si="13"/>
        <v>0.4287575568</v>
      </c>
      <c r="LM18" s="67">
        <f t="shared" si="13"/>
        <v>0.4449776266</v>
      </c>
      <c r="LN18" s="67">
        <f t="shared" si="13"/>
        <v>0.4034886029</v>
      </c>
      <c r="LO18" s="67">
        <f t="shared" si="13"/>
        <v>0.3674314757</v>
      </c>
      <c r="LP18" s="67">
        <f t="shared" si="13"/>
        <v>0.3404207104</v>
      </c>
      <c r="LQ18" s="67">
        <f t="shared" si="13"/>
        <v>0.3456770903</v>
      </c>
      <c r="LR18" s="67">
        <f t="shared" si="13"/>
        <v>0.5576475341</v>
      </c>
      <c r="LS18" s="67">
        <f t="shared" si="13"/>
        <v>0.4137219601</v>
      </c>
      <c r="LT18" s="67">
        <f t="shared" si="13"/>
        <v>0.5696009895</v>
      </c>
      <c r="LU18" s="67">
        <f t="shared" si="13"/>
        <v>0.3569559631</v>
      </c>
      <c r="LV18" s="67">
        <f t="shared" si="13"/>
        <v>0.5535303569</v>
      </c>
      <c r="LW18" s="67">
        <f t="shared" si="13"/>
        <v>0.3755566069</v>
      </c>
      <c r="LX18" s="67">
        <f t="shared" si="13"/>
        <v>0.4647194175</v>
      </c>
      <c r="LY18" s="67">
        <f t="shared" si="13"/>
        <v>0.3461490828</v>
      </c>
      <c r="LZ18" s="67">
        <f t="shared" si="13"/>
        <v>0.352158382</v>
      </c>
      <c r="MA18" s="67">
        <f t="shared" si="13"/>
        <v>0.4330952209</v>
      </c>
      <c r="MB18" s="67">
        <f t="shared" si="13"/>
        <v>0.4934850941</v>
      </c>
      <c r="MC18" s="67">
        <f t="shared" si="13"/>
        <v>0.4598552298</v>
      </c>
      <c r="MD18" s="67">
        <f t="shared" si="13"/>
        <v>0.5078398189</v>
      </c>
      <c r="ME18" s="67">
        <f t="shared" si="13"/>
        <v>0.3325234373</v>
      </c>
      <c r="MF18" s="67">
        <f t="shared" si="13"/>
        <v>0.3320831298</v>
      </c>
      <c r="MG18" s="67">
        <f t="shared" si="13"/>
        <v>0.3807350077</v>
      </c>
      <c r="MH18" s="67">
        <f t="shared" si="13"/>
        <v>0.3327157451</v>
      </c>
      <c r="MI18" s="67">
        <f t="shared" si="13"/>
        <v>0.5000656041</v>
      </c>
      <c r="MJ18" s="67">
        <f t="shared" si="13"/>
        <v>0.5410183193</v>
      </c>
      <c r="MK18" s="67">
        <f t="shared" si="13"/>
        <v>0.3898617127</v>
      </c>
      <c r="ML18" s="67">
        <f t="shared" si="13"/>
        <v>0.5746250605</v>
      </c>
      <c r="MM18" s="67">
        <f t="shared" si="13"/>
        <v>0.4586549761</v>
      </c>
      <c r="MN18" s="67">
        <f t="shared" si="13"/>
        <v>0.5280821327</v>
      </c>
      <c r="MO18" s="67">
        <f t="shared" si="13"/>
        <v>0.4008553001</v>
      </c>
      <c r="MP18" s="67">
        <f t="shared" si="13"/>
        <v>0.5305365148</v>
      </c>
      <c r="MQ18" s="67">
        <f t="shared" si="13"/>
        <v>0.3538370381</v>
      </c>
      <c r="MR18" s="67">
        <f t="shared" si="13"/>
        <v>0.5317732473</v>
      </c>
      <c r="MS18" s="67">
        <f t="shared" si="13"/>
        <v>0.4430945255</v>
      </c>
      <c r="MT18" s="67">
        <f t="shared" si="13"/>
        <v>0.5332351838</v>
      </c>
      <c r="MU18" s="67">
        <f t="shared" si="13"/>
        <v>0.4662186551</v>
      </c>
      <c r="MV18" s="67">
        <f t="shared" si="13"/>
        <v>0.5483949985</v>
      </c>
      <c r="MW18" s="67">
        <f t="shared" si="13"/>
        <v>0.3405659517</v>
      </c>
      <c r="MX18" s="67">
        <f t="shared" si="13"/>
        <v>0.4528501339</v>
      </c>
      <c r="MY18" s="67">
        <f t="shared" si="13"/>
        <v>0.4407380245</v>
      </c>
      <c r="MZ18" s="67">
        <f t="shared" si="13"/>
        <v>0.3567719664</v>
      </c>
      <c r="NA18" s="67">
        <f t="shared" si="13"/>
        <v>0.5690186165</v>
      </c>
      <c r="NB18" s="67">
        <f t="shared" si="13"/>
        <v>0.4394339852</v>
      </c>
      <c r="NC18" s="67">
        <f t="shared" si="13"/>
        <v>0.494594435</v>
      </c>
      <c r="ND18" s="67">
        <f t="shared" si="13"/>
        <v>0.5456146433</v>
      </c>
      <c r="NE18" s="67">
        <f t="shared" si="13"/>
        <v>0.3527372179</v>
      </c>
      <c r="NF18" s="67">
        <f t="shared" si="13"/>
        <v>0.3766494631</v>
      </c>
      <c r="NG18" s="67">
        <f t="shared" si="13"/>
        <v>0.3951032473</v>
      </c>
      <c r="NH18" s="67">
        <f t="shared" si="13"/>
        <v>0.4448288715</v>
      </c>
      <c r="NI18" s="67">
        <f t="shared" si="13"/>
        <v>0.4652378847</v>
      </c>
      <c r="NJ18" s="67">
        <f t="shared" si="13"/>
        <v>0.4255610503</v>
      </c>
      <c r="NK18" s="67">
        <f t="shared" si="13"/>
        <v>0.5166005914</v>
      </c>
      <c r="NL18" s="67">
        <f t="shared" si="13"/>
        <v>0.4328322033</v>
      </c>
      <c r="NM18" s="67">
        <f t="shared" si="13"/>
        <v>0.5799610038</v>
      </c>
      <c r="NN18" s="67">
        <f t="shared" si="13"/>
        <v>0.3399816558</v>
      </c>
      <c r="NO18" s="67">
        <f t="shared" si="13"/>
        <v>0.4323368975</v>
      </c>
      <c r="NP18" s="67">
        <f t="shared" si="13"/>
        <v>0.4119978995</v>
      </c>
      <c r="NQ18" s="67">
        <f t="shared" si="13"/>
        <v>0.3590774868</v>
      </c>
      <c r="NR18" s="67">
        <f t="shared" si="13"/>
        <v>0.5813352989</v>
      </c>
      <c r="NS18" s="67">
        <f t="shared" si="13"/>
        <v>0.556227262</v>
      </c>
      <c r="NT18" s="67">
        <f t="shared" si="13"/>
        <v>0.5634770146</v>
      </c>
      <c r="NU18" s="67">
        <f t="shared" si="13"/>
        <v>0.535202098</v>
      </c>
      <c r="NV18" s="67">
        <f t="shared" si="13"/>
        <v>0.3293564439</v>
      </c>
      <c r="NW18" s="67">
        <f t="shared" si="13"/>
        <v>0.5946445843</v>
      </c>
      <c r="NX18" s="67">
        <f t="shared" si="13"/>
        <v>0.3766188076</v>
      </c>
      <c r="NY18" s="67">
        <f t="shared" si="13"/>
        <v>0.3349980896</v>
      </c>
      <c r="NZ18" s="67">
        <f t="shared" si="13"/>
        <v>0.3340559543</v>
      </c>
      <c r="OA18" s="67">
        <f t="shared" si="13"/>
        <v>0.3859520208</v>
      </c>
      <c r="OB18" s="67">
        <f t="shared" si="13"/>
        <v>0.6072500355</v>
      </c>
      <c r="OC18" s="67">
        <f t="shared" si="13"/>
        <v>0.4172867906</v>
      </c>
      <c r="OD18" s="67">
        <f t="shared" si="13"/>
        <v>0.3816064311</v>
      </c>
      <c r="OE18" s="67">
        <f t="shared" si="13"/>
        <v>0.4075254508</v>
      </c>
      <c r="OF18" s="67">
        <f t="shared" si="13"/>
        <v>0.5086054868</v>
      </c>
      <c r="OG18" s="67">
        <f t="shared" si="13"/>
        <v>0.3428028873</v>
      </c>
      <c r="OH18" s="67">
        <f t="shared" si="13"/>
        <v>0.5589523729</v>
      </c>
      <c r="OI18" s="67">
        <f t="shared" si="13"/>
        <v>0.3843623775</v>
      </c>
      <c r="OJ18" s="67">
        <f t="shared" si="13"/>
        <v>0.4559385684</v>
      </c>
      <c r="OK18" s="67">
        <f t="shared" si="13"/>
        <v>0.5172105808</v>
      </c>
      <c r="OL18" s="67">
        <f t="shared" si="13"/>
        <v>0.3293226295</v>
      </c>
      <c r="OM18" s="67">
        <f t="shared" si="13"/>
        <v>0.4266597944</v>
      </c>
      <c r="ON18" s="67">
        <f t="shared" si="13"/>
        <v>0.4547873528</v>
      </c>
      <c r="OO18" s="67">
        <f t="shared" si="13"/>
        <v>0.5044199049</v>
      </c>
      <c r="OP18" s="67">
        <f t="shared" si="13"/>
        <v>0.3313618054</v>
      </c>
      <c r="OQ18" s="67">
        <f t="shared" si="13"/>
        <v>0.4008048654</v>
      </c>
      <c r="OR18" s="67">
        <f t="shared" si="13"/>
        <v>0.3702697344</v>
      </c>
      <c r="OS18" s="67">
        <f t="shared" si="13"/>
        <v>0.3823174841</v>
      </c>
      <c r="OT18" s="67">
        <f t="shared" si="13"/>
        <v>0.5995766668</v>
      </c>
      <c r="OU18" s="67">
        <f t="shared" si="13"/>
        <v>0.3888678153</v>
      </c>
      <c r="OV18" s="67">
        <f t="shared" si="13"/>
        <v>0.4380732477</v>
      </c>
      <c r="OW18" s="67">
        <f t="shared" si="13"/>
        <v>0.5424692707</v>
      </c>
      <c r="OX18" s="67">
        <f t="shared" si="13"/>
        <v>0.3458519688</v>
      </c>
      <c r="OY18" s="67">
        <f t="shared" si="13"/>
        <v>0.394600042</v>
      </c>
      <c r="OZ18" s="67">
        <f t="shared" si="13"/>
        <v>0.4143559483</v>
      </c>
      <c r="PA18" s="67">
        <f t="shared" si="13"/>
        <v>0.5915980402</v>
      </c>
      <c r="PB18" s="67">
        <f t="shared" si="13"/>
        <v>0.3573638768</v>
      </c>
      <c r="PC18" s="67">
        <f t="shared" si="13"/>
        <v>0.3900229517</v>
      </c>
      <c r="PD18" s="67">
        <f t="shared" si="13"/>
        <v>0.3402364608</v>
      </c>
      <c r="PE18" s="67">
        <f t="shared" si="13"/>
        <v>0.5337736257</v>
      </c>
      <c r="PF18" s="67">
        <f t="shared" si="13"/>
        <v>0.5964315362</v>
      </c>
      <c r="PG18" s="67">
        <f t="shared" si="13"/>
        <v>0.4300634118</v>
      </c>
      <c r="PH18" s="67">
        <f t="shared" si="13"/>
        <v>0.5173928287</v>
      </c>
      <c r="PI18" s="67">
        <f t="shared" si="13"/>
        <v>0.4408172466</v>
      </c>
      <c r="PJ18" s="67">
        <f t="shared" si="13"/>
        <v>0.5449206974</v>
      </c>
      <c r="PK18" s="67">
        <f t="shared" si="13"/>
        <v>0.4652416205</v>
      </c>
      <c r="PL18" s="67">
        <f t="shared" si="13"/>
        <v>0.5054692912</v>
      </c>
      <c r="PM18" s="67">
        <f t="shared" si="13"/>
        <v>0.527948298</v>
      </c>
      <c r="PN18" s="67">
        <f t="shared" si="13"/>
        <v>0.35083175</v>
      </c>
      <c r="PO18" s="67">
        <f t="shared" si="13"/>
        <v>0.3902471801</v>
      </c>
      <c r="PP18" s="67">
        <f t="shared" si="13"/>
        <v>0.431939174</v>
      </c>
      <c r="PQ18" s="67">
        <f t="shared" si="13"/>
        <v>0.4991317502</v>
      </c>
      <c r="PR18" s="67">
        <f t="shared" si="13"/>
        <v>0.3553387542</v>
      </c>
      <c r="PS18" s="67">
        <f t="shared" si="13"/>
        <v>0.4062881625</v>
      </c>
      <c r="PT18" s="67">
        <f t="shared" si="13"/>
        <v>0.3419947583</v>
      </c>
      <c r="PU18" s="67">
        <f t="shared" si="13"/>
        <v>0.4775491218</v>
      </c>
      <c r="PV18" s="67">
        <f t="shared" si="13"/>
        <v>0.4026744855</v>
      </c>
      <c r="PW18" s="67">
        <f t="shared" si="13"/>
        <v>0.3355109573</v>
      </c>
      <c r="PX18" s="67">
        <f t="shared" si="13"/>
        <v>0.4409398387</v>
      </c>
      <c r="PY18" s="67">
        <f t="shared" si="13"/>
        <v>0.5519258259</v>
      </c>
      <c r="PZ18" s="67">
        <f t="shared" si="13"/>
        <v>0.3493916858</v>
      </c>
      <c r="QA18" s="67">
        <f t="shared" si="13"/>
        <v>0.3647754818</v>
      </c>
      <c r="QB18" s="67">
        <f t="shared" si="13"/>
        <v>0.4208148664</v>
      </c>
      <c r="QC18" s="67">
        <f t="shared" si="13"/>
        <v>0.3293355772</v>
      </c>
      <c r="QD18" s="67">
        <f t="shared" si="13"/>
        <v>0.3885206154</v>
      </c>
      <c r="QE18" s="67">
        <f t="shared" si="13"/>
        <v>0.4312384461</v>
      </c>
      <c r="QF18" s="67">
        <f t="shared" si="13"/>
        <v>0.3791852229</v>
      </c>
      <c r="QG18" s="67">
        <f t="shared" si="13"/>
        <v>0.3915610423</v>
      </c>
      <c r="QH18" s="67">
        <f t="shared" si="13"/>
        <v>0.353297582</v>
      </c>
      <c r="QI18" s="67">
        <f t="shared" si="13"/>
        <v>0.5432263701</v>
      </c>
      <c r="QJ18" s="67">
        <f t="shared" si="13"/>
        <v>0.4868006482</v>
      </c>
      <c r="QK18" s="67">
        <f t="shared" si="13"/>
        <v>0.5048426736</v>
      </c>
      <c r="QL18" s="67">
        <f t="shared" si="13"/>
        <v>0.4493497494</v>
      </c>
      <c r="QM18" s="67">
        <f t="shared" si="13"/>
        <v>0.4465311007</v>
      </c>
      <c r="QN18" s="67">
        <f t="shared" si="13"/>
        <v>0.4144985468</v>
      </c>
      <c r="QO18" s="67">
        <f t="shared" si="13"/>
        <v>0.3385498847</v>
      </c>
      <c r="QP18" s="67">
        <f t="shared" si="13"/>
        <v>0.4178587284</v>
      </c>
      <c r="QQ18" s="67">
        <f t="shared" si="13"/>
        <v>0.4322025848</v>
      </c>
      <c r="QR18" s="67">
        <f t="shared" si="13"/>
        <v>0.5601791439</v>
      </c>
      <c r="QS18" s="67">
        <f t="shared" si="13"/>
        <v>0.5593365112</v>
      </c>
      <c r="QT18" s="67">
        <f t="shared" si="13"/>
        <v>0.3999943397</v>
      </c>
      <c r="QU18" s="67">
        <f t="shared" si="13"/>
        <v>0.4962001805</v>
      </c>
      <c r="QV18" s="67">
        <f t="shared" si="13"/>
        <v>0.5652360056</v>
      </c>
      <c r="QW18" s="67">
        <f t="shared" si="13"/>
        <v>0.3928840033</v>
      </c>
      <c r="QX18" s="67">
        <f t="shared" si="13"/>
        <v>0.3386841292</v>
      </c>
      <c r="QY18" s="67">
        <f t="shared" si="13"/>
        <v>0.3715478488</v>
      </c>
      <c r="QZ18" s="67">
        <f t="shared" si="13"/>
        <v>0.5555430285</v>
      </c>
      <c r="RA18" s="67">
        <f t="shared" si="13"/>
        <v>0.3830817378</v>
      </c>
      <c r="RB18" s="67">
        <f t="shared" si="13"/>
        <v>0.4879257303</v>
      </c>
      <c r="RC18" s="67">
        <f t="shared" si="13"/>
        <v>0.4747943809</v>
      </c>
      <c r="RD18" s="67">
        <f t="shared" si="13"/>
        <v>0.3697246099</v>
      </c>
      <c r="RE18" s="67">
        <f t="shared" si="13"/>
        <v>0.3956370597</v>
      </c>
      <c r="RF18" s="67">
        <f t="shared" si="13"/>
        <v>0.3747389716</v>
      </c>
      <c r="RG18" s="67">
        <f t="shared" si="13"/>
        <v>0.5389720458</v>
      </c>
      <c r="RH18" s="67">
        <f t="shared" si="13"/>
        <v>0.4442625915</v>
      </c>
      <c r="RI18" s="67">
        <f t="shared" si="13"/>
        <v>0.5606427199</v>
      </c>
      <c r="RJ18" s="67">
        <f t="shared" si="13"/>
        <v>0.5638802043</v>
      </c>
      <c r="RK18" s="67">
        <f t="shared" si="13"/>
        <v>0.3654567396</v>
      </c>
      <c r="RL18" s="67">
        <f t="shared" si="13"/>
        <v>0.4174917607</v>
      </c>
      <c r="RM18" s="67">
        <f t="shared" si="13"/>
        <v>0.503227581</v>
      </c>
      <c r="RN18" s="67">
        <f t="shared" si="13"/>
        <v>0.492128125</v>
      </c>
      <c r="RO18" s="67">
        <f t="shared" si="13"/>
        <v>0.5558290505</v>
      </c>
      <c r="RP18" s="67">
        <f t="shared" si="13"/>
        <v>0.4374175675</v>
      </c>
      <c r="RQ18" s="67">
        <f t="shared" si="13"/>
        <v>0.4240091109</v>
      </c>
      <c r="RR18" s="67">
        <f t="shared" si="13"/>
        <v>0.516175441</v>
      </c>
      <c r="RS18" s="67">
        <f t="shared" si="13"/>
        <v>0.4490358091</v>
      </c>
      <c r="RT18" s="67">
        <f t="shared" si="13"/>
        <v>0.3470636779</v>
      </c>
      <c r="RU18" s="67">
        <f t="shared" si="13"/>
        <v>0.3614862363</v>
      </c>
      <c r="RV18" s="67">
        <f t="shared" si="13"/>
        <v>0.4569831862</v>
      </c>
      <c r="RW18" s="67">
        <f t="shared" si="13"/>
        <v>0.4071915435</v>
      </c>
      <c r="RX18" s="67">
        <f t="shared" si="13"/>
        <v>0.3601058327</v>
      </c>
      <c r="RY18" s="67">
        <f t="shared" si="13"/>
        <v>0.3397700247</v>
      </c>
      <c r="RZ18" s="67">
        <f t="shared" si="13"/>
        <v>0.4421080834</v>
      </c>
      <c r="SA18" s="67">
        <f t="shared" si="13"/>
        <v>0.3331416495</v>
      </c>
      <c r="SB18" s="67">
        <f t="shared" si="13"/>
        <v>0.508097663</v>
      </c>
      <c r="SC18" s="67">
        <f t="shared" si="13"/>
        <v>0.3506997778</v>
      </c>
      <c r="SD18" s="67">
        <f t="shared" si="13"/>
        <v>0.4039859322</v>
      </c>
      <c r="SE18" s="67">
        <f t="shared" si="13"/>
        <v>0.4327012181</v>
      </c>
      <c r="SF18" s="67">
        <f t="shared" si="13"/>
        <v>0.5996269555</v>
      </c>
      <c r="SG18" s="67">
        <f t="shared" si="13"/>
        <v>0.4247490509</v>
      </c>
      <c r="SH18" s="67">
        <f t="shared" si="13"/>
        <v>0.5616985314</v>
      </c>
      <c r="SI18" s="67">
        <f t="shared" si="13"/>
        <v>0.3864218536</v>
      </c>
      <c r="SJ18" s="67">
        <f t="shared" si="13"/>
        <v>0.4323580028</v>
      </c>
      <c r="SK18" s="67">
        <f t="shared" si="13"/>
        <v>0.4737424522</v>
      </c>
      <c r="SL18" s="67">
        <f t="shared" si="13"/>
        <v>0.3860521552</v>
      </c>
    </row>
    <row r="19">
      <c r="A19" s="69" t="s">
        <v>95</v>
      </c>
      <c r="B19" s="70">
        <f>ln(1+B18)-ln(1)</f>
        <v>0.3552661155</v>
      </c>
      <c r="C19" s="258"/>
      <c r="D19" s="259"/>
      <c r="E19" s="260"/>
      <c r="F19" s="70"/>
      <c r="G19" s="70">
        <f t="shared" ref="G19:SL19" si="14">ln(1+G18)-ln(1)</f>
        <v>0.2926833462</v>
      </c>
      <c r="H19" s="70">
        <f t="shared" si="14"/>
        <v>0.3006047723</v>
      </c>
      <c r="I19" s="70">
        <f t="shared" si="14"/>
        <v>0.3354113763</v>
      </c>
      <c r="J19" s="70">
        <f t="shared" si="14"/>
        <v>0.4509426265</v>
      </c>
      <c r="K19" s="70">
        <f t="shared" si="14"/>
        <v>0.2921178074</v>
      </c>
      <c r="L19" s="70">
        <f t="shared" si="14"/>
        <v>0.3760757815</v>
      </c>
      <c r="M19" s="70">
        <f t="shared" si="14"/>
        <v>0.453420044</v>
      </c>
      <c r="N19" s="70">
        <f t="shared" si="14"/>
        <v>0.3782338055</v>
      </c>
      <c r="O19" s="70">
        <f t="shared" si="14"/>
        <v>0.4611026745</v>
      </c>
      <c r="P19" s="70">
        <f t="shared" si="14"/>
        <v>0.3038445443</v>
      </c>
      <c r="Q19" s="70">
        <f t="shared" si="14"/>
        <v>0.4277116842</v>
      </c>
      <c r="R19" s="70">
        <f t="shared" si="14"/>
        <v>0.3854913498</v>
      </c>
      <c r="S19" s="70">
        <f t="shared" si="14"/>
        <v>0.4207924615</v>
      </c>
      <c r="T19" s="70">
        <f t="shared" si="14"/>
        <v>0.3392035945</v>
      </c>
      <c r="U19" s="70">
        <f t="shared" si="14"/>
        <v>0.4561759503</v>
      </c>
      <c r="V19" s="70">
        <f t="shared" si="14"/>
        <v>0.3102913439</v>
      </c>
      <c r="W19" s="70">
        <f t="shared" si="14"/>
        <v>0.4619703517</v>
      </c>
      <c r="X19" s="70">
        <f t="shared" si="14"/>
        <v>0.4289253276</v>
      </c>
      <c r="Y19" s="70">
        <f t="shared" si="14"/>
        <v>0.3427708563</v>
      </c>
      <c r="Z19" s="70">
        <f t="shared" si="14"/>
        <v>0.2962156792</v>
      </c>
      <c r="AA19" s="70">
        <f t="shared" si="14"/>
        <v>0.4065786819</v>
      </c>
      <c r="AB19" s="70">
        <f t="shared" si="14"/>
        <v>0.437217024</v>
      </c>
      <c r="AC19" s="70">
        <f t="shared" si="14"/>
        <v>0.3183148283</v>
      </c>
      <c r="AD19" s="70">
        <f t="shared" si="14"/>
        <v>0.2950277116</v>
      </c>
      <c r="AE19" s="70">
        <f t="shared" si="14"/>
        <v>0.2964716532</v>
      </c>
      <c r="AF19" s="70">
        <f t="shared" si="14"/>
        <v>0.3836278501</v>
      </c>
      <c r="AG19" s="70">
        <f t="shared" si="14"/>
        <v>0.345706926</v>
      </c>
      <c r="AH19" s="70">
        <f t="shared" si="14"/>
        <v>0.3200295846</v>
      </c>
      <c r="AI19" s="70">
        <f t="shared" si="14"/>
        <v>0.4091468441</v>
      </c>
      <c r="AJ19" s="70">
        <f t="shared" si="14"/>
        <v>0.3207205738</v>
      </c>
      <c r="AK19" s="70">
        <f t="shared" si="14"/>
        <v>0.3174899456</v>
      </c>
      <c r="AL19" s="70">
        <f t="shared" si="14"/>
        <v>0.3372180712</v>
      </c>
      <c r="AM19" s="70">
        <f t="shared" si="14"/>
        <v>0.3610817235</v>
      </c>
      <c r="AN19" s="70">
        <f t="shared" si="14"/>
        <v>0.4021273898</v>
      </c>
      <c r="AO19" s="70">
        <f t="shared" si="14"/>
        <v>0.4403252047</v>
      </c>
      <c r="AP19" s="70">
        <f t="shared" si="14"/>
        <v>0.3591642911</v>
      </c>
      <c r="AQ19" s="70">
        <f t="shared" si="14"/>
        <v>0.314168043</v>
      </c>
      <c r="AR19" s="70">
        <f t="shared" si="14"/>
        <v>0.4234832311</v>
      </c>
      <c r="AS19" s="70">
        <f t="shared" si="14"/>
        <v>0.3720177726</v>
      </c>
      <c r="AT19" s="70">
        <f t="shared" si="14"/>
        <v>0.3883498037</v>
      </c>
      <c r="AU19" s="70">
        <f t="shared" si="14"/>
        <v>0.300515522</v>
      </c>
      <c r="AV19" s="70">
        <f t="shared" si="14"/>
        <v>0.3265997092</v>
      </c>
      <c r="AW19" s="70">
        <f t="shared" si="14"/>
        <v>0.327221105</v>
      </c>
      <c r="AX19" s="70">
        <f t="shared" si="14"/>
        <v>0.3771993701</v>
      </c>
      <c r="AY19" s="70">
        <f t="shared" si="14"/>
        <v>0.4745265636</v>
      </c>
      <c r="AZ19" s="70">
        <f t="shared" si="14"/>
        <v>0.3561154575</v>
      </c>
      <c r="BA19" s="70">
        <f t="shared" si="14"/>
        <v>0.3136777887</v>
      </c>
      <c r="BB19" s="70">
        <f t="shared" si="14"/>
        <v>0.4404154171</v>
      </c>
      <c r="BC19" s="70">
        <f t="shared" si="14"/>
        <v>0.3051911642</v>
      </c>
      <c r="BD19" s="70">
        <f t="shared" si="14"/>
        <v>0.3114642569</v>
      </c>
      <c r="BE19" s="70">
        <f t="shared" si="14"/>
        <v>0.4212286147</v>
      </c>
      <c r="BF19" s="70">
        <f t="shared" si="14"/>
        <v>0.2987850567</v>
      </c>
      <c r="BG19" s="70">
        <f t="shared" si="14"/>
        <v>0.3096073765</v>
      </c>
      <c r="BH19" s="70">
        <f t="shared" si="14"/>
        <v>0.2906834161</v>
      </c>
      <c r="BI19" s="70">
        <f t="shared" si="14"/>
        <v>0.3818400669</v>
      </c>
      <c r="BJ19" s="70">
        <f t="shared" si="14"/>
        <v>0.2877793579</v>
      </c>
      <c r="BK19" s="70">
        <f t="shared" si="14"/>
        <v>0.3636137261</v>
      </c>
      <c r="BL19" s="70">
        <f t="shared" si="14"/>
        <v>0.4011987633</v>
      </c>
      <c r="BM19" s="70">
        <f t="shared" si="14"/>
        <v>0.3282979904</v>
      </c>
      <c r="BN19" s="70">
        <f t="shared" si="14"/>
        <v>0.4141491007</v>
      </c>
      <c r="BO19" s="70">
        <f t="shared" si="14"/>
        <v>0.3156931025</v>
      </c>
      <c r="BP19" s="70">
        <f t="shared" si="14"/>
        <v>0.4218286811</v>
      </c>
      <c r="BQ19" s="70">
        <f t="shared" si="14"/>
        <v>0.3703077102</v>
      </c>
      <c r="BR19" s="70">
        <f t="shared" si="14"/>
        <v>0.3136005792</v>
      </c>
      <c r="BS19" s="70">
        <f t="shared" si="14"/>
        <v>0.3569212979</v>
      </c>
      <c r="BT19" s="70">
        <f t="shared" si="14"/>
        <v>0.3321892979</v>
      </c>
      <c r="BU19" s="70">
        <f t="shared" si="14"/>
        <v>0.4213388491</v>
      </c>
      <c r="BV19" s="70">
        <f t="shared" si="14"/>
        <v>0.3759699098</v>
      </c>
      <c r="BW19" s="70">
        <f t="shared" si="14"/>
        <v>0.4347017627</v>
      </c>
      <c r="BX19" s="70">
        <f t="shared" si="14"/>
        <v>0.4408360058</v>
      </c>
      <c r="BY19" s="70">
        <f t="shared" si="14"/>
        <v>0.3348471577</v>
      </c>
      <c r="BZ19" s="70">
        <f t="shared" si="14"/>
        <v>0.4051575863</v>
      </c>
      <c r="CA19" s="70">
        <f t="shared" si="14"/>
        <v>0.2980368856</v>
      </c>
      <c r="CB19" s="70">
        <f t="shared" si="14"/>
        <v>0.3127381606</v>
      </c>
      <c r="CC19" s="70">
        <f t="shared" si="14"/>
        <v>0.3549044137</v>
      </c>
      <c r="CD19" s="70">
        <f t="shared" si="14"/>
        <v>0.3080075427</v>
      </c>
      <c r="CE19" s="70">
        <f t="shared" si="14"/>
        <v>0.4399363681</v>
      </c>
      <c r="CF19" s="70">
        <f t="shared" si="14"/>
        <v>0.3434130792</v>
      </c>
      <c r="CG19" s="70">
        <f t="shared" si="14"/>
        <v>0.3485726102</v>
      </c>
      <c r="CH19" s="70">
        <f t="shared" si="14"/>
        <v>0.3138079367</v>
      </c>
      <c r="CI19" s="70">
        <f t="shared" si="14"/>
        <v>0.3619040894</v>
      </c>
      <c r="CJ19" s="70">
        <f t="shared" si="14"/>
        <v>0.4143976834</v>
      </c>
      <c r="CK19" s="70">
        <f t="shared" si="14"/>
        <v>0.310393423</v>
      </c>
      <c r="CL19" s="70">
        <f t="shared" si="14"/>
        <v>0.3143833604</v>
      </c>
      <c r="CM19" s="70">
        <f t="shared" si="14"/>
        <v>0.3748014191</v>
      </c>
      <c r="CN19" s="70">
        <f t="shared" si="14"/>
        <v>0.3663233873</v>
      </c>
      <c r="CO19" s="70">
        <f t="shared" si="14"/>
        <v>0.3255560071</v>
      </c>
      <c r="CP19" s="70">
        <f t="shared" si="14"/>
        <v>0.335067668</v>
      </c>
      <c r="CQ19" s="70">
        <f t="shared" si="14"/>
        <v>0.2935307622</v>
      </c>
      <c r="CR19" s="70">
        <f t="shared" si="14"/>
        <v>0.3467957442</v>
      </c>
      <c r="CS19" s="70">
        <f t="shared" si="14"/>
        <v>0.4630382652</v>
      </c>
      <c r="CT19" s="70">
        <f t="shared" si="14"/>
        <v>0.3236273034</v>
      </c>
      <c r="CU19" s="70">
        <f t="shared" si="14"/>
        <v>0.3459071799</v>
      </c>
      <c r="CV19" s="70">
        <f t="shared" si="14"/>
        <v>0.3122407278</v>
      </c>
      <c r="CW19" s="70">
        <f t="shared" si="14"/>
        <v>0.354238869</v>
      </c>
      <c r="CX19" s="70">
        <f t="shared" si="14"/>
        <v>0.3394077284</v>
      </c>
      <c r="CY19" s="70">
        <f t="shared" si="14"/>
        <v>0.3857290501</v>
      </c>
      <c r="CZ19" s="70">
        <f t="shared" si="14"/>
        <v>0.3328394401</v>
      </c>
      <c r="DA19" s="70">
        <f t="shared" si="14"/>
        <v>0.3784802017</v>
      </c>
      <c r="DB19" s="70">
        <f t="shared" si="14"/>
        <v>0.3363991703</v>
      </c>
      <c r="DC19" s="70">
        <f t="shared" si="14"/>
        <v>0.3463704713</v>
      </c>
      <c r="DD19" s="70">
        <f t="shared" si="14"/>
        <v>0.3154232979</v>
      </c>
      <c r="DE19" s="70">
        <f t="shared" si="14"/>
        <v>0.2897128523</v>
      </c>
      <c r="DF19" s="70">
        <f t="shared" si="14"/>
        <v>0.3234734787</v>
      </c>
      <c r="DG19" s="70">
        <f t="shared" si="14"/>
        <v>0.4393734294</v>
      </c>
      <c r="DH19" s="70">
        <f t="shared" si="14"/>
        <v>0.2957530871</v>
      </c>
      <c r="DI19" s="70">
        <f t="shared" si="14"/>
        <v>0.2843797592</v>
      </c>
      <c r="DJ19" s="70">
        <f t="shared" si="14"/>
        <v>0.4102941395</v>
      </c>
      <c r="DK19" s="70">
        <f t="shared" si="14"/>
        <v>0.4313525828</v>
      </c>
      <c r="DL19" s="70">
        <f t="shared" si="14"/>
        <v>0.3135763366</v>
      </c>
      <c r="DM19" s="70">
        <f t="shared" si="14"/>
        <v>0.3951970897</v>
      </c>
      <c r="DN19" s="70">
        <f t="shared" si="14"/>
        <v>0.4282166824</v>
      </c>
      <c r="DO19" s="70">
        <f t="shared" si="14"/>
        <v>0.2950321883</v>
      </c>
      <c r="DP19" s="70">
        <f t="shared" si="14"/>
        <v>0.3068069357</v>
      </c>
      <c r="DQ19" s="70">
        <f t="shared" si="14"/>
        <v>0.320597142</v>
      </c>
      <c r="DR19" s="70">
        <f t="shared" si="14"/>
        <v>0.3102760936</v>
      </c>
      <c r="DS19" s="70">
        <f t="shared" si="14"/>
        <v>0.4010294885</v>
      </c>
      <c r="DT19" s="70">
        <f t="shared" si="14"/>
        <v>0.2886506214</v>
      </c>
      <c r="DU19" s="70">
        <f t="shared" si="14"/>
        <v>0.358364016</v>
      </c>
      <c r="DV19" s="70">
        <f t="shared" si="14"/>
        <v>0.3459901556</v>
      </c>
      <c r="DW19" s="70">
        <f t="shared" si="14"/>
        <v>0.2963280404</v>
      </c>
      <c r="DX19" s="70">
        <f t="shared" si="14"/>
        <v>0.4312891958</v>
      </c>
      <c r="DY19" s="70">
        <f t="shared" si="14"/>
        <v>0.388178929</v>
      </c>
      <c r="DZ19" s="70">
        <f t="shared" si="14"/>
        <v>0.3623793638</v>
      </c>
      <c r="EA19" s="70">
        <f t="shared" si="14"/>
        <v>0.3496958923</v>
      </c>
      <c r="EB19" s="70">
        <f t="shared" si="14"/>
        <v>0.293718891</v>
      </c>
      <c r="EC19" s="70">
        <f t="shared" si="14"/>
        <v>0.4577793317</v>
      </c>
      <c r="ED19" s="70">
        <f t="shared" si="14"/>
        <v>0.4256656236</v>
      </c>
      <c r="EE19" s="70">
        <f t="shared" si="14"/>
        <v>0.3130934845</v>
      </c>
      <c r="EF19" s="70">
        <f t="shared" si="14"/>
        <v>0.3048825081</v>
      </c>
      <c r="EG19" s="70">
        <f t="shared" si="14"/>
        <v>0.4255899044</v>
      </c>
      <c r="EH19" s="70">
        <f t="shared" si="14"/>
        <v>0.2911407207</v>
      </c>
      <c r="EI19" s="70">
        <f t="shared" si="14"/>
        <v>0.3639316875</v>
      </c>
      <c r="EJ19" s="70">
        <f t="shared" si="14"/>
        <v>0.3763616479</v>
      </c>
      <c r="EK19" s="70">
        <f t="shared" si="14"/>
        <v>0.3523427776</v>
      </c>
      <c r="EL19" s="70">
        <f t="shared" si="14"/>
        <v>0.3866545752</v>
      </c>
      <c r="EM19" s="70">
        <f t="shared" si="14"/>
        <v>0.2976201043</v>
      </c>
      <c r="EN19" s="70">
        <f t="shared" si="14"/>
        <v>0.3913500434</v>
      </c>
      <c r="EO19" s="70">
        <f t="shared" si="14"/>
        <v>0.3427715389</v>
      </c>
      <c r="EP19" s="70">
        <f t="shared" si="14"/>
        <v>0.3463663319</v>
      </c>
      <c r="EQ19" s="70">
        <f t="shared" si="14"/>
        <v>0.4315261954</v>
      </c>
      <c r="ER19" s="70">
        <f t="shared" si="14"/>
        <v>0.4087124138</v>
      </c>
      <c r="ES19" s="70">
        <f t="shared" si="14"/>
        <v>0.3257866702</v>
      </c>
      <c r="ET19" s="70">
        <f t="shared" si="14"/>
        <v>0.4279142202</v>
      </c>
      <c r="EU19" s="70">
        <f t="shared" si="14"/>
        <v>0.3280716929</v>
      </c>
      <c r="EV19" s="70">
        <f t="shared" si="14"/>
        <v>0.2871740091</v>
      </c>
      <c r="EW19" s="70">
        <f t="shared" si="14"/>
        <v>0.4167732951</v>
      </c>
      <c r="EX19" s="70">
        <f t="shared" si="14"/>
        <v>0.2893603979</v>
      </c>
      <c r="EY19" s="70">
        <f t="shared" si="14"/>
        <v>0.3680890587</v>
      </c>
      <c r="EZ19" s="70">
        <f t="shared" si="14"/>
        <v>0.4731193482</v>
      </c>
      <c r="FA19" s="70">
        <f t="shared" si="14"/>
        <v>0.4023242093</v>
      </c>
      <c r="FB19" s="70">
        <f t="shared" si="14"/>
        <v>0.3007480705</v>
      </c>
      <c r="FC19" s="70">
        <f t="shared" si="14"/>
        <v>0.4080009981</v>
      </c>
      <c r="FD19" s="70">
        <f t="shared" si="14"/>
        <v>0.3175468659</v>
      </c>
      <c r="FE19" s="70">
        <f t="shared" si="14"/>
        <v>0.3565362099</v>
      </c>
      <c r="FF19" s="70">
        <f t="shared" si="14"/>
        <v>0.3840631903</v>
      </c>
      <c r="FG19" s="70">
        <f t="shared" si="14"/>
        <v>0.3380388911</v>
      </c>
      <c r="FH19" s="70">
        <f t="shared" si="14"/>
        <v>0.3171937226</v>
      </c>
      <c r="FI19" s="70">
        <f t="shared" si="14"/>
        <v>0.2874341043</v>
      </c>
      <c r="FJ19" s="70">
        <f t="shared" si="14"/>
        <v>0.3129372335</v>
      </c>
      <c r="FK19" s="70">
        <f t="shared" si="14"/>
        <v>0.306910745</v>
      </c>
      <c r="FL19" s="70">
        <f t="shared" si="14"/>
        <v>0.4476754342</v>
      </c>
      <c r="FM19" s="70">
        <f t="shared" si="14"/>
        <v>0.3653362295</v>
      </c>
      <c r="FN19" s="70">
        <f t="shared" si="14"/>
        <v>0.3208796476</v>
      </c>
      <c r="FO19" s="70">
        <f t="shared" si="14"/>
        <v>0.3585807214</v>
      </c>
      <c r="FP19" s="70">
        <f t="shared" si="14"/>
        <v>0.4694660261</v>
      </c>
      <c r="FQ19" s="70">
        <f t="shared" si="14"/>
        <v>0.3484026894</v>
      </c>
      <c r="FR19" s="70">
        <f t="shared" si="14"/>
        <v>0.3369325417</v>
      </c>
      <c r="FS19" s="70">
        <f t="shared" si="14"/>
        <v>0.4098814332</v>
      </c>
      <c r="FT19" s="70">
        <f t="shared" si="14"/>
        <v>0.4138141714</v>
      </c>
      <c r="FU19" s="70">
        <f t="shared" si="14"/>
        <v>0.3152218889</v>
      </c>
      <c r="FV19" s="70">
        <f t="shared" si="14"/>
        <v>0.3604893875</v>
      </c>
      <c r="FW19" s="70">
        <f t="shared" si="14"/>
        <v>0.3789874024</v>
      </c>
      <c r="FX19" s="70">
        <f t="shared" si="14"/>
        <v>0.3811378615</v>
      </c>
      <c r="FY19" s="70">
        <f t="shared" si="14"/>
        <v>0.307685367</v>
      </c>
      <c r="FZ19" s="70">
        <f t="shared" si="14"/>
        <v>0.3319998307</v>
      </c>
      <c r="GA19" s="70">
        <f t="shared" si="14"/>
        <v>0.2990101201</v>
      </c>
      <c r="GB19" s="70">
        <f t="shared" si="14"/>
        <v>0.3241295216</v>
      </c>
      <c r="GC19" s="70">
        <f t="shared" si="14"/>
        <v>0.2898766088</v>
      </c>
      <c r="GD19" s="70">
        <f t="shared" si="14"/>
        <v>0.3305344012</v>
      </c>
      <c r="GE19" s="70">
        <f t="shared" si="14"/>
        <v>0.2840174612</v>
      </c>
      <c r="GF19" s="70">
        <f t="shared" si="14"/>
        <v>0.3850174312</v>
      </c>
      <c r="GG19" s="70">
        <f t="shared" si="14"/>
        <v>0.3403570392</v>
      </c>
      <c r="GH19" s="70">
        <f t="shared" si="14"/>
        <v>0.3174876064</v>
      </c>
      <c r="GI19" s="70">
        <f t="shared" si="14"/>
        <v>0.325653311</v>
      </c>
      <c r="GJ19" s="70">
        <f t="shared" si="14"/>
        <v>0.4147424811</v>
      </c>
      <c r="GK19" s="70">
        <f t="shared" si="14"/>
        <v>0.2938612807</v>
      </c>
      <c r="GL19" s="70">
        <f t="shared" si="14"/>
        <v>0.3671996639</v>
      </c>
      <c r="GM19" s="70">
        <f t="shared" si="14"/>
        <v>0.3359465449</v>
      </c>
      <c r="GN19" s="70">
        <f t="shared" si="14"/>
        <v>0.4302020018</v>
      </c>
      <c r="GO19" s="70">
        <f t="shared" si="14"/>
        <v>0.3000755835</v>
      </c>
      <c r="GP19" s="70">
        <f t="shared" si="14"/>
        <v>0.3410565307</v>
      </c>
      <c r="GQ19" s="70">
        <f t="shared" si="14"/>
        <v>0.470709101</v>
      </c>
      <c r="GR19" s="70">
        <f t="shared" si="14"/>
        <v>0.4066121915</v>
      </c>
      <c r="GS19" s="70">
        <f t="shared" si="14"/>
        <v>0.4357116965</v>
      </c>
      <c r="GT19" s="70">
        <f t="shared" si="14"/>
        <v>0.3354627121</v>
      </c>
      <c r="GU19" s="70">
        <f t="shared" si="14"/>
        <v>0.2947761301</v>
      </c>
      <c r="GV19" s="70">
        <f t="shared" si="14"/>
        <v>0.3566210449</v>
      </c>
      <c r="GW19" s="70">
        <f t="shared" si="14"/>
        <v>0.309045029</v>
      </c>
      <c r="GX19" s="70">
        <f t="shared" si="14"/>
        <v>0.3619651384</v>
      </c>
      <c r="GY19" s="70">
        <f t="shared" si="14"/>
        <v>0.3152201957</v>
      </c>
      <c r="GZ19" s="70">
        <f t="shared" si="14"/>
        <v>0.3635397648</v>
      </c>
      <c r="HA19" s="70">
        <f t="shared" si="14"/>
        <v>0.3753122665</v>
      </c>
      <c r="HB19" s="70">
        <f t="shared" si="14"/>
        <v>0.3717400478</v>
      </c>
      <c r="HC19" s="70">
        <f t="shared" si="14"/>
        <v>0.393299558</v>
      </c>
      <c r="HD19" s="70">
        <f t="shared" si="14"/>
        <v>0.2900224892</v>
      </c>
      <c r="HE19" s="70">
        <f t="shared" si="14"/>
        <v>0.3851834466</v>
      </c>
      <c r="HF19" s="70">
        <f t="shared" si="14"/>
        <v>0.3792193547</v>
      </c>
      <c r="HG19" s="70">
        <f t="shared" si="14"/>
        <v>0.3418127143</v>
      </c>
      <c r="HH19" s="70">
        <f t="shared" si="14"/>
        <v>0.3858888024</v>
      </c>
      <c r="HI19" s="70">
        <f t="shared" si="14"/>
        <v>0.2995204128</v>
      </c>
      <c r="HJ19" s="70">
        <f t="shared" si="14"/>
        <v>0.3384564712</v>
      </c>
      <c r="HK19" s="70">
        <f t="shared" si="14"/>
        <v>0.3073414794</v>
      </c>
      <c r="HL19" s="70">
        <f t="shared" si="14"/>
        <v>0.4007933204</v>
      </c>
      <c r="HM19" s="70">
        <f t="shared" si="14"/>
        <v>0.3336539305</v>
      </c>
      <c r="HN19" s="70">
        <f t="shared" si="14"/>
        <v>0.3683926783</v>
      </c>
      <c r="HO19" s="70">
        <f t="shared" si="14"/>
        <v>0.3332783683</v>
      </c>
      <c r="HP19" s="70">
        <f t="shared" si="14"/>
        <v>0.3359749772</v>
      </c>
      <c r="HQ19" s="70">
        <f t="shared" si="14"/>
        <v>0.3083389445</v>
      </c>
      <c r="HR19" s="70">
        <f t="shared" si="14"/>
        <v>0.4755708648</v>
      </c>
      <c r="HS19" s="70">
        <f t="shared" si="14"/>
        <v>0.3556843059</v>
      </c>
      <c r="HT19" s="70">
        <f t="shared" si="14"/>
        <v>0.4074207682</v>
      </c>
      <c r="HU19" s="70">
        <f t="shared" si="14"/>
        <v>0.4023532947</v>
      </c>
      <c r="HV19" s="70">
        <f t="shared" si="14"/>
        <v>0.3124092626</v>
      </c>
      <c r="HW19" s="70">
        <f t="shared" si="14"/>
        <v>0.3057580515</v>
      </c>
      <c r="HX19" s="70">
        <f t="shared" si="14"/>
        <v>0.286665859</v>
      </c>
      <c r="HY19" s="70">
        <f t="shared" si="14"/>
        <v>0.4208288426</v>
      </c>
      <c r="HZ19" s="70">
        <f t="shared" si="14"/>
        <v>0.3218390576</v>
      </c>
      <c r="IA19" s="70">
        <f t="shared" si="14"/>
        <v>0.3874255626</v>
      </c>
      <c r="IB19" s="70">
        <f t="shared" si="14"/>
        <v>0.2897009694</v>
      </c>
      <c r="IC19" s="70">
        <f t="shared" si="14"/>
        <v>0.3838078826</v>
      </c>
      <c r="ID19" s="70">
        <f t="shared" si="14"/>
        <v>0.3577177176</v>
      </c>
      <c r="IE19" s="70">
        <f t="shared" si="14"/>
        <v>0.356612541</v>
      </c>
      <c r="IF19" s="70">
        <f t="shared" si="14"/>
        <v>0.358277128</v>
      </c>
      <c r="IG19" s="70">
        <f t="shared" si="14"/>
        <v>0.4176327788</v>
      </c>
      <c r="IH19" s="70">
        <f t="shared" si="14"/>
        <v>0.3398581251</v>
      </c>
      <c r="II19" s="70">
        <f t="shared" si="14"/>
        <v>0.2932486344</v>
      </c>
      <c r="IJ19" s="70">
        <f t="shared" si="14"/>
        <v>0.3179049441</v>
      </c>
      <c r="IK19" s="70">
        <f t="shared" si="14"/>
        <v>0.3115778135</v>
      </c>
      <c r="IL19" s="70">
        <f t="shared" si="14"/>
        <v>0.4162153991</v>
      </c>
      <c r="IM19" s="70">
        <f t="shared" si="14"/>
        <v>0.3980690419</v>
      </c>
      <c r="IN19" s="70">
        <f t="shared" si="14"/>
        <v>0.3238855408</v>
      </c>
      <c r="IO19" s="70">
        <f t="shared" si="14"/>
        <v>0.4111010067</v>
      </c>
      <c r="IP19" s="70">
        <f t="shared" si="14"/>
        <v>0.4714924153</v>
      </c>
      <c r="IQ19" s="70">
        <f t="shared" si="14"/>
        <v>0.4107972085</v>
      </c>
      <c r="IR19" s="70">
        <f t="shared" si="14"/>
        <v>0.4197174226</v>
      </c>
      <c r="IS19" s="70">
        <f t="shared" si="14"/>
        <v>0.4535378399</v>
      </c>
      <c r="IT19" s="70">
        <f t="shared" si="14"/>
        <v>0.3675115255</v>
      </c>
      <c r="IU19" s="70">
        <f t="shared" si="14"/>
        <v>0.3842448192</v>
      </c>
      <c r="IV19" s="70">
        <f t="shared" si="14"/>
        <v>0.4357802956</v>
      </c>
      <c r="IW19" s="70">
        <f t="shared" si="14"/>
        <v>0.3088101236</v>
      </c>
      <c r="IX19" s="70">
        <f t="shared" si="14"/>
        <v>0.311353595</v>
      </c>
      <c r="IY19" s="70">
        <f t="shared" si="14"/>
        <v>0.3308778806</v>
      </c>
      <c r="IZ19" s="70">
        <f t="shared" si="14"/>
        <v>0.2995975893</v>
      </c>
      <c r="JA19" s="70">
        <f t="shared" si="14"/>
        <v>0.4755549544</v>
      </c>
      <c r="JB19" s="70">
        <f t="shared" si="14"/>
        <v>0.3224221616</v>
      </c>
      <c r="JC19" s="70">
        <f t="shared" si="14"/>
        <v>0.4063954424</v>
      </c>
      <c r="JD19" s="70">
        <f t="shared" si="14"/>
        <v>0.2909218478</v>
      </c>
      <c r="JE19" s="70">
        <f t="shared" si="14"/>
        <v>0.3138069728</v>
      </c>
      <c r="JF19" s="70">
        <f t="shared" si="14"/>
        <v>0.3226785375</v>
      </c>
      <c r="JG19" s="70">
        <f t="shared" si="14"/>
        <v>0.3278468799</v>
      </c>
      <c r="JH19" s="70">
        <f t="shared" si="14"/>
        <v>0.3543109706</v>
      </c>
      <c r="JI19" s="70">
        <f t="shared" si="14"/>
        <v>0.3507791676</v>
      </c>
      <c r="JJ19" s="70">
        <f t="shared" si="14"/>
        <v>0.4199028888</v>
      </c>
      <c r="JK19" s="70">
        <f t="shared" si="14"/>
        <v>0.4076681338</v>
      </c>
      <c r="JL19" s="70">
        <f t="shared" si="14"/>
        <v>0.3392489223</v>
      </c>
      <c r="JM19" s="70">
        <f t="shared" si="14"/>
        <v>0.3581029205</v>
      </c>
      <c r="JN19" s="70">
        <f t="shared" si="14"/>
        <v>0.3797866625</v>
      </c>
      <c r="JO19" s="70">
        <f t="shared" si="14"/>
        <v>0.4224061293</v>
      </c>
      <c r="JP19" s="70">
        <f t="shared" si="14"/>
        <v>0.4296582646</v>
      </c>
      <c r="JQ19" s="70">
        <f t="shared" si="14"/>
        <v>0.2921046125</v>
      </c>
      <c r="JR19" s="70">
        <f t="shared" si="14"/>
        <v>0.3710501462</v>
      </c>
      <c r="JS19" s="70">
        <f t="shared" si="14"/>
        <v>0.3126464623</v>
      </c>
      <c r="JT19" s="70">
        <f t="shared" si="14"/>
        <v>0.4266393781</v>
      </c>
      <c r="JU19" s="70">
        <f t="shared" si="14"/>
        <v>0.2922453681</v>
      </c>
      <c r="JV19" s="70">
        <f t="shared" si="14"/>
        <v>0.4727824024</v>
      </c>
      <c r="JW19" s="70">
        <f t="shared" si="14"/>
        <v>0.4071936538</v>
      </c>
      <c r="JX19" s="70">
        <f t="shared" si="14"/>
        <v>0.369962606</v>
      </c>
      <c r="JY19" s="70">
        <f t="shared" si="14"/>
        <v>0.4240969948</v>
      </c>
      <c r="JZ19" s="70">
        <f t="shared" si="14"/>
        <v>0.2912409743</v>
      </c>
      <c r="KA19" s="70">
        <f t="shared" si="14"/>
        <v>0.3993844766</v>
      </c>
      <c r="KB19" s="70">
        <f t="shared" si="14"/>
        <v>0.3527944004</v>
      </c>
      <c r="KC19" s="70">
        <f t="shared" si="14"/>
        <v>0.3003776116</v>
      </c>
      <c r="KD19" s="70">
        <f t="shared" si="14"/>
        <v>0.3688837706</v>
      </c>
      <c r="KE19" s="70">
        <f t="shared" si="14"/>
        <v>0.3445965272</v>
      </c>
      <c r="KF19" s="70">
        <f t="shared" si="14"/>
        <v>0.3506264937</v>
      </c>
      <c r="KG19" s="70">
        <f t="shared" si="14"/>
        <v>0.3032049427</v>
      </c>
      <c r="KH19" s="70">
        <f t="shared" si="14"/>
        <v>0.3633337085</v>
      </c>
      <c r="KI19" s="70">
        <f t="shared" si="14"/>
        <v>0.3042085849</v>
      </c>
      <c r="KJ19" s="70">
        <f t="shared" si="14"/>
        <v>0.4153004028</v>
      </c>
      <c r="KK19" s="70">
        <f t="shared" si="14"/>
        <v>0.3339983599</v>
      </c>
      <c r="KL19" s="70">
        <f t="shared" si="14"/>
        <v>0.3505363911</v>
      </c>
      <c r="KM19" s="70">
        <f t="shared" si="14"/>
        <v>0.3974259475</v>
      </c>
      <c r="KN19" s="70">
        <f t="shared" si="14"/>
        <v>0.4235838608</v>
      </c>
      <c r="KO19" s="70">
        <f t="shared" si="14"/>
        <v>0.4441512185</v>
      </c>
      <c r="KP19" s="70">
        <f t="shared" si="14"/>
        <v>0.3350198354</v>
      </c>
      <c r="KQ19" s="70">
        <f t="shared" si="14"/>
        <v>0.4728083606</v>
      </c>
      <c r="KR19" s="70">
        <f t="shared" si="14"/>
        <v>0.3820087375</v>
      </c>
      <c r="KS19" s="70">
        <f t="shared" si="14"/>
        <v>0.4371077542</v>
      </c>
      <c r="KT19" s="70">
        <f t="shared" si="14"/>
        <v>0.2977971032</v>
      </c>
      <c r="KU19" s="70">
        <f t="shared" si="14"/>
        <v>0.3009731708</v>
      </c>
      <c r="KV19" s="70">
        <f t="shared" si="14"/>
        <v>0.3888414294</v>
      </c>
      <c r="KW19" s="70">
        <f t="shared" si="14"/>
        <v>0.314590041</v>
      </c>
      <c r="KX19" s="70">
        <f t="shared" si="14"/>
        <v>0.3891732082</v>
      </c>
      <c r="KY19" s="70">
        <f t="shared" si="14"/>
        <v>0.4443898824</v>
      </c>
      <c r="KZ19" s="70">
        <f t="shared" si="14"/>
        <v>0.3742432086</v>
      </c>
      <c r="LA19" s="70">
        <f t="shared" si="14"/>
        <v>0.4602470676</v>
      </c>
      <c r="LB19" s="70">
        <f t="shared" si="14"/>
        <v>0.401639721</v>
      </c>
      <c r="LC19" s="70">
        <f t="shared" si="14"/>
        <v>0.3119871752</v>
      </c>
      <c r="LD19" s="70">
        <f t="shared" si="14"/>
        <v>0.4129076634</v>
      </c>
      <c r="LE19" s="70">
        <f t="shared" si="14"/>
        <v>0.4350760665</v>
      </c>
      <c r="LF19" s="70">
        <f t="shared" si="14"/>
        <v>0.3532420712</v>
      </c>
      <c r="LG19" s="70">
        <f t="shared" si="14"/>
        <v>0.3286043506</v>
      </c>
      <c r="LH19" s="70">
        <f t="shared" si="14"/>
        <v>0.3387277033</v>
      </c>
      <c r="LI19" s="70">
        <f t="shared" si="14"/>
        <v>0.3755058265</v>
      </c>
      <c r="LJ19" s="70">
        <f t="shared" si="14"/>
        <v>0.4072941452</v>
      </c>
      <c r="LK19" s="70">
        <f t="shared" si="14"/>
        <v>0.3161041719</v>
      </c>
      <c r="LL19" s="70">
        <f t="shared" si="14"/>
        <v>0.3568052252</v>
      </c>
      <c r="LM19" s="70">
        <f t="shared" si="14"/>
        <v>0.3680938381</v>
      </c>
      <c r="LN19" s="70">
        <f t="shared" si="14"/>
        <v>0.3389609963</v>
      </c>
      <c r="LO19" s="70">
        <f t="shared" si="14"/>
        <v>0.3129341448</v>
      </c>
      <c r="LP19" s="70">
        <f t="shared" si="14"/>
        <v>0.2929835277</v>
      </c>
      <c r="LQ19" s="70">
        <f t="shared" si="14"/>
        <v>0.2968972993</v>
      </c>
      <c r="LR19" s="70">
        <f t="shared" si="14"/>
        <v>0.4431766921</v>
      </c>
      <c r="LS19" s="70">
        <f t="shared" si="14"/>
        <v>0.3462259146</v>
      </c>
      <c r="LT19" s="70">
        <f t="shared" si="14"/>
        <v>0.4508214403</v>
      </c>
      <c r="LU19" s="70">
        <f t="shared" si="14"/>
        <v>0.3052439287</v>
      </c>
      <c r="LV19" s="70">
        <f t="shared" si="14"/>
        <v>0.4405299906</v>
      </c>
      <c r="LW19" s="70">
        <f t="shared" si="14"/>
        <v>0.3188584543</v>
      </c>
      <c r="LX19" s="70">
        <f t="shared" si="14"/>
        <v>0.3816637002</v>
      </c>
      <c r="LY19" s="70">
        <f t="shared" si="14"/>
        <v>0.297247985</v>
      </c>
      <c r="LZ19" s="70">
        <f t="shared" si="14"/>
        <v>0.3017021172</v>
      </c>
      <c r="MA19" s="70">
        <f t="shared" si="14"/>
        <v>0.3598365953</v>
      </c>
      <c r="MB19" s="70">
        <f t="shared" si="14"/>
        <v>0.4011123781</v>
      </c>
      <c r="MC19" s="70">
        <f t="shared" si="14"/>
        <v>0.3783372732</v>
      </c>
      <c r="MD19" s="70">
        <f t="shared" si="14"/>
        <v>0.410678043</v>
      </c>
      <c r="ME19" s="70">
        <f t="shared" si="14"/>
        <v>0.2870744659</v>
      </c>
      <c r="MF19" s="70">
        <f t="shared" si="14"/>
        <v>0.2867439799</v>
      </c>
      <c r="MG19" s="70">
        <f t="shared" si="14"/>
        <v>0.3226159717</v>
      </c>
      <c r="MH19" s="70">
        <f t="shared" si="14"/>
        <v>0.287218774</v>
      </c>
      <c r="MI19" s="70">
        <f t="shared" si="14"/>
        <v>0.4055088432</v>
      </c>
      <c r="MJ19" s="70">
        <f t="shared" si="14"/>
        <v>0.4324434442</v>
      </c>
      <c r="MK19" s="70">
        <f t="shared" si="14"/>
        <v>0.3292042549</v>
      </c>
      <c r="ML19" s="70">
        <f t="shared" si="14"/>
        <v>0.4540171871</v>
      </c>
      <c r="MM19" s="70">
        <f t="shared" si="14"/>
        <v>0.3775147619</v>
      </c>
      <c r="MN19" s="70">
        <f t="shared" si="14"/>
        <v>0.4240134411</v>
      </c>
      <c r="MO19" s="70">
        <f t="shared" si="14"/>
        <v>0.3370829787</v>
      </c>
      <c r="MP19" s="70">
        <f t="shared" si="14"/>
        <v>0.4256183372</v>
      </c>
      <c r="MQ19" s="70">
        <f t="shared" si="14"/>
        <v>0.3029428113</v>
      </c>
      <c r="MR19" s="70">
        <f t="shared" si="14"/>
        <v>0.4264260494</v>
      </c>
      <c r="MS19" s="70">
        <f t="shared" si="14"/>
        <v>0.3667897839</v>
      </c>
      <c r="MT19" s="70">
        <f t="shared" si="14"/>
        <v>0.4273800022</v>
      </c>
      <c r="MU19" s="70">
        <f t="shared" si="14"/>
        <v>0.3826867432</v>
      </c>
      <c r="MV19" s="70">
        <f t="shared" si="14"/>
        <v>0.4372189096</v>
      </c>
      <c r="MW19" s="70">
        <f t="shared" si="14"/>
        <v>0.2930918768</v>
      </c>
      <c r="MX19" s="70">
        <f t="shared" si="14"/>
        <v>0.3735272368</v>
      </c>
      <c r="MY19" s="70">
        <f t="shared" si="14"/>
        <v>0.3651554993</v>
      </c>
      <c r="MZ19" s="70">
        <f t="shared" si="14"/>
        <v>0.3051083243</v>
      </c>
      <c r="NA19" s="70">
        <f t="shared" si="14"/>
        <v>0.4504503389</v>
      </c>
      <c r="NB19" s="70">
        <f t="shared" si="14"/>
        <v>0.3642499705</v>
      </c>
      <c r="NC19" s="70">
        <f t="shared" si="14"/>
        <v>0.4018548891</v>
      </c>
      <c r="ND19" s="70">
        <f t="shared" si="14"/>
        <v>0.4354216586</v>
      </c>
      <c r="NE19" s="70">
        <f t="shared" si="14"/>
        <v>0.3021301085</v>
      </c>
      <c r="NF19" s="70">
        <f t="shared" si="14"/>
        <v>0.3196526217</v>
      </c>
      <c r="NG19" s="70">
        <f t="shared" si="14"/>
        <v>0.3329684249</v>
      </c>
      <c r="NH19" s="70">
        <f t="shared" si="14"/>
        <v>0.3679908865</v>
      </c>
      <c r="NI19" s="70">
        <f t="shared" si="14"/>
        <v>0.3820176079</v>
      </c>
      <c r="NJ19" s="70">
        <f t="shared" si="14"/>
        <v>0.3545654557</v>
      </c>
      <c r="NK19" s="70">
        <f t="shared" si="14"/>
        <v>0.4164713772</v>
      </c>
      <c r="NL19" s="70">
        <f t="shared" si="14"/>
        <v>0.3596530473</v>
      </c>
      <c r="NM19" s="70">
        <f t="shared" si="14"/>
        <v>0.4574001656</v>
      </c>
      <c r="NN19" s="70">
        <f t="shared" si="14"/>
        <v>0.2926559242</v>
      </c>
      <c r="NO19" s="70">
        <f t="shared" si="14"/>
        <v>0.3593073045</v>
      </c>
      <c r="NP19" s="70">
        <f t="shared" si="14"/>
        <v>0.3450056515</v>
      </c>
      <c r="NQ19" s="70">
        <f t="shared" si="14"/>
        <v>0.3068061511</v>
      </c>
      <c r="NR19" s="70">
        <f t="shared" si="14"/>
        <v>0.458269616</v>
      </c>
      <c r="NS19" s="70">
        <f t="shared" si="14"/>
        <v>0.4422644704</v>
      </c>
      <c r="NT19" s="70">
        <f t="shared" si="14"/>
        <v>0.4469121966</v>
      </c>
      <c r="NU19" s="70">
        <f t="shared" si="14"/>
        <v>0.4286620323</v>
      </c>
      <c r="NV19" s="70">
        <f t="shared" si="14"/>
        <v>0.2846949484</v>
      </c>
      <c r="NW19" s="70">
        <f t="shared" si="14"/>
        <v>0.4666508803</v>
      </c>
      <c r="NX19" s="70">
        <f t="shared" si="14"/>
        <v>0.3196303532</v>
      </c>
      <c r="NY19" s="70">
        <f t="shared" si="14"/>
        <v>0.2889298608</v>
      </c>
      <c r="NZ19" s="70">
        <f t="shared" si="14"/>
        <v>0.2882238914</v>
      </c>
      <c r="OA19" s="70">
        <f t="shared" si="14"/>
        <v>0.3263872831</v>
      </c>
      <c r="OB19" s="70">
        <f t="shared" si="14"/>
        <v>0.4745246661</v>
      </c>
      <c r="OC19" s="70">
        <f t="shared" si="14"/>
        <v>0.348744333</v>
      </c>
      <c r="OD19" s="70">
        <f t="shared" si="14"/>
        <v>0.3232469027</v>
      </c>
      <c r="OE19" s="70">
        <f t="shared" si="14"/>
        <v>0.3418331631</v>
      </c>
      <c r="OF19" s="70">
        <f t="shared" si="14"/>
        <v>0.4111857054</v>
      </c>
      <c r="OG19" s="70">
        <f t="shared" si="14"/>
        <v>0.2947591363</v>
      </c>
      <c r="OH19" s="70">
        <f t="shared" si="14"/>
        <v>0.4440140398</v>
      </c>
      <c r="OI19" s="70">
        <f t="shared" si="14"/>
        <v>0.3252396564</v>
      </c>
      <c r="OJ19" s="70">
        <f t="shared" si="14"/>
        <v>0.3756507568</v>
      </c>
      <c r="OK19" s="70">
        <f t="shared" si="14"/>
        <v>0.4168735047</v>
      </c>
      <c r="OL19" s="70">
        <f t="shared" si="14"/>
        <v>0.2846695114</v>
      </c>
      <c r="OM19" s="70">
        <f t="shared" si="14"/>
        <v>0.3553359039</v>
      </c>
      <c r="ON19" s="70">
        <f t="shared" si="14"/>
        <v>0.3748597406</v>
      </c>
      <c r="OO19" s="70">
        <f t="shared" si="14"/>
        <v>0.4084073786</v>
      </c>
      <c r="OP19" s="70">
        <f t="shared" si="14"/>
        <v>0.2862023322</v>
      </c>
      <c r="OQ19" s="70">
        <f t="shared" si="14"/>
        <v>0.3370469753</v>
      </c>
      <c r="OR19" s="70">
        <f t="shared" si="14"/>
        <v>0.3150076069</v>
      </c>
      <c r="OS19" s="70">
        <f t="shared" si="14"/>
        <v>0.323761427</v>
      </c>
      <c r="OT19" s="70">
        <f t="shared" si="14"/>
        <v>0.469739011</v>
      </c>
      <c r="OU19" s="70">
        <f t="shared" si="14"/>
        <v>0.3284888939</v>
      </c>
      <c r="OV19" s="70">
        <f t="shared" si="14"/>
        <v>0.3633041952</v>
      </c>
      <c r="OW19" s="70">
        <f t="shared" si="14"/>
        <v>0.4333845549</v>
      </c>
      <c r="OX19" s="70">
        <f t="shared" si="14"/>
        <v>0.2970272466</v>
      </c>
      <c r="OY19" s="70">
        <f t="shared" si="14"/>
        <v>0.3326076659</v>
      </c>
      <c r="OZ19" s="70">
        <f t="shared" si="14"/>
        <v>0.3466742672</v>
      </c>
      <c r="PA19" s="70">
        <f t="shared" si="14"/>
        <v>0.4647385682</v>
      </c>
      <c r="PB19" s="70">
        <f t="shared" si="14"/>
        <v>0.3055444929</v>
      </c>
      <c r="PC19" s="70">
        <f t="shared" si="14"/>
        <v>0.3293202591</v>
      </c>
      <c r="PD19" s="70">
        <f t="shared" si="14"/>
        <v>0.2928460617</v>
      </c>
      <c r="PE19" s="70">
        <f t="shared" si="14"/>
        <v>0.4277311208</v>
      </c>
      <c r="PF19" s="70">
        <f t="shared" si="14"/>
        <v>0.4677708486</v>
      </c>
      <c r="PG19" s="70">
        <f t="shared" si="14"/>
        <v>0.3577187872</v>
      </c>
      <c r="PH19" s="70">
        <f t="shared" si="14"/>
        <v>0.4169936179</v>
      </c>
      <c r="PI19" s="70">
        <f t="shared" si="14"/>
        <v>0.365210485</v>
      </c>
      <c r="PJ19" s="70">
        <f t="shared" si="14"/>
        <v>0.4349725805</v>
      </c>
      <c r="PK19" s="70">
        <f t="shared" si="14"/>
        <v>0.3820201576</v>
      </c>
      <c r="PL19" s="70">
        <f t="shared" si="14"/>
        <v>0.409104671</v>
      </c>
      <c r="PM19" s="70">
        <f t="shared" si="14"/>
        <v>0.4239258538</v>
      </c>
      <c r="PN19" s="70">
        <f t="shared" si="14"/>
        <v>0.3007205138</v>
      </c>
      <c r="PO19" s="70">
        <f t="shared" si="14"/>
        <v>0.3294815588</v>
      </c>
      <c r="PP19" s="70">
        <f t="shared" si="14"/>
        <v>0.3590295914</v>
      </c>
      <c r="PQ19" s="70">
        <f t="shared" si="14"/>
        <v>0.4048861073</v>
      </c>
      <c r="PR19" s="70">
        <f t="shared" si="14"/>
        <v>0.3040514262</v>
      </c>
      <c r="PS19" s="70">
        <f t="shared" si="14"/>
        <v>0.3409537243</v>
      </c>
      <c r="PT19" s="70">
        <f t="shared" si="14"/>
        <v>0.2941571327</v>
      </c>
      <c r="PU19" s="70">
        <f t="shared" si="14"/>
        <v>0.3903847163</v>
      </c>
      <c r="PV19" s="70">
        <f t="shared" si="14"/>
        <v>0.3383807611</v>
      </c>
      <c r="PW19" s="70">
        <f t="shared" si="14"/>
        <v>0.2893139582</v>
      </c>
      <c r="PX19" s="70">
        <f t="shared" si="14"/>
        <v>0.3652955664</v>
      </c>
      <c r="PY19" s="70">
        <f t="shared" si="14"/>
        <v>0.439496628</v>
      </c>
      <c r="PZ19" s="70">
        <f t="shared" si="14"/>
        <v>0.2996538878</v>
      </c>
      <c r="QA19" s="70">
        <f t="shared" si="14"/>
        <v>0.3109899329</v>
      </c>
      <c r="QB19" s="70">
        <f t="shared" si="14"/>
        <v>0.3512305566</v>
      </c>
      <c r="QC19" s="70">
        <f t="shared" si="14"/>
        <v>0.2846792514</v>
      </c>
      <c r="QD19" s="70">
        <f t="shared" si="14"/>
        <v>0.3282388749</v>
      </c>
      <c r="QE19" s="70">
        <f t="shared" si="14"/>
        <v>0.3585401157</v>
      </c>
      <c r="QF19" s="70">
        <f t="shared" si="14"/>
        <v>0.3214929066</v>
      </c>
      <c r="QG19" s="70">
        <f t="shared" si="14"/>
        <v>0.330426169</v>
      </c>
      <c r="QH19" s="70">
        <f t="shared" si="14"/>
        <v>0.3025442674</v>
      </c>
      <c r="QI19" s="70">
        <f t="shared" si="14"/>
        <v>0.4338752704</v>
      </c>
      <c r="QJ19" s="70">
        <f t="shared" si="14"/>
        <v>0.3966265954</v>
      </c>
      <c r="QK19" s="70">
        <f t="shared" si="14"/>
        <v>0.4086883569</v>
      </c>
      <c r="QL19" s="70">
        <f t="shared" si="14"/>
        <v>0.3711150071</v>
      </c>
      <c r="QM19" s="70">
        <f t="shared" si="14"/>
        <v>0.3691683459</v>
      </c>
      <c r="QN19" s="70">
        <f t="shared" si="14"/>
        <v>0.3467750844</v>
      </c>
      <c r="QO19" s="70">
        <f t="shared" si="14"/>
        <v>0.2915868524</v>
      </c>
      <c r="QP19" s="70">
        <f t="shared" si="14"/>
        <v>0.3491477958</v>
      </c>
      <c r="QQ19" s="70">
        <f t="shared" si="14"/>
        <v>0.3592135284</v>
      </c>
      <c r="QR19" s="70">
        <f t="shared" si="14"/>
        <v>0.4448006505</v>
      </c>
      <c r="QS19" s="70">
        <f t="shared" si="14"/>
        <v>0.4442604174</v>
      </c>
      <c r="QT19" s="70">
        <f t="shared" si="14"/>
        <v>0.3364681935</v>
      </c>
      <c r="QU19" s="70">
        <f t="shared" si="14"/>
        <v>0.4029286811</v>
      </c>
      <c r="QV19" s="70">
        <f t="shared" si="14"/>
        <v>0.4480366149</v>
      </c>
      <c r="QW19" s="70">
        <f t="shared" si="14"/>
        <v>0.3313764202</v>
      </c>
      <c r="QX19" s="70">
        <f t="shared" si="14"/>
        <v>0.2916871384</v>
      </c>
      <c r="QY19" s="70">
        <f t="shared" si="14"/>
        <v>0.3159399187</v>
      </c>
      <c r="QZ19" s="70">
        <f t="shared" si="14"/>
        <v>0.4418246991</v>
      </c>
      <c r="RA19" s="70">
        <f t="shared" si="14"/>
        <v>0.3243141528</v>
      </c>
      <c r="RB19" s="70">
        <f t="shared" si="14"/>
        <v>0.3973830228</v>
      </c>
      <c r="RC19" s="70">
        <f t="shared" si="14"/>
        <v>0.3885185773</v>
      </c>
      <c r="RD19" s="70">
        <f t="shared" si="14"/>
        <v>0.3146097049</v>
      </c>
      <c r="RE19" s="70">
        <f t="shared" si="14"/>
        <v>0.3333509847</v>
      </c>
      <c r="RF19" s="70">
        <f t="shared" si="14"/>
        <v>0.3182638743</v>
      </c>
      <c r="RG19" s="70">
        <f t="shared" si="14"/>
        <v>0.4311146908</v>
      </c>
      <c r="RH19" s="70">
        <f t="shared" si="14"/>
        <v>0.367598874</v>
      </c>
      <c r="RI19" s="70">
        <f t="shared" si="14"/>
        <v>0.4450977363</v>
      </c>
      <c r="RJ19" s="70">
        <f t="shared" si="14"/>
        <v>0.4471700434</v>
      </c>
      <c r="RK19" s="70">
        <f t="shared" si="14"/>
        <v>0.3114889804</v>
      </c>
      <c r="RL19" s="70">
        <f t="shared" si="14"/>
        <v>0.348888944</v>
      </c>
      <c r="RM19" s="70">
        <f t="shared" si="14"/>
        <v>0.4076145171</v>
      </c>
      <c r="RN19" s="70">
        <f t="shared" si="14"/>
        <v>0.4002033728</v>
      </c>
      <c r="RO19" s="70">
        <f t="shared" si="14"/>
        <v>0.442008555</v>
      </c>
      <c r="RP19" s="70">
        <f t="shared" si="14"/>
        <v>0.3628481477</v>
      </c>
      <c r="RQ19" s="70">
        <f t="shared" si="14"/>
        <v>0.3534762111</v>
      </c>
      <c r="RR19" s="70">
        <f t="shared" si="14"/>
        <v>0.4161910068</v>
      </c>
      <c r="RS19" s="70">
        <f t="shared" si="14"/>
        <v>0.370898376</v>
      </c>
      <c r="RT19" s="70">
        <f t="shared" si="14"/>
        <v>0.2979271702</v>
      </c>
      <c r="RU19" s="70">
        <f t="shared" si="14"/>
        <v>0.3085769239</v>
      </c>
      <c r="RV19" s="70">
        <f t="shared" si="14"/>
        <v>0.3763679871</v>
      </c>
      <c r="RW19" s="70">
        <f t="shared" si="14"/>
        <v>0.341595905</v>
      </c>
      <c r="RX19" s="70">
        <f t="shared" si="14"/>
        <v>0.3075625149</v>
      </c>
      <c r="RY19" s="70">
        <f t="shared" si="14"/>
        <v>0.2924979759</v>
      </c>
      <c r="RZ19" s="70">
        <f t="shared" si="14"/>
        <v>0.3661059899</v>
      </c>
      <c r="SA19" s="70">
        <f t="shared" si="14"/>
        <v>0.2875382992</v>
      </c>
      <c r="SB19" s="70">
        <f t="shared" si="14"/>
        <v>0.4108490307</v>
      </c>
      <c r="SC19" s="70">
        <f t="shared" si="14"/>
        <v>0.3006228121</v>
      </c>
      <c r="SD19" s="70">
        <f t="shared" si="14"/>
        <v>0.3393152857</v>
      </c>
      <c r="SE19" s="70">
        <f t="shared" si="14"/>
        <v>0.3595616262</v>
      </c>
      <c r="SF19" s="70">
        <f t="shared" si="14"/>
        <v>0.4697704492</v>
      </c>
      <c r="SG19" s="70">
        <f t="shared" si="14"/>
        <v>0.3539956936</v>
      </c>
      <c r="SH19" s="70">
        <f t="shared" si="14"/>
        <v>0.4457740311</v>
      </c>
      <c r="SI19" s="70">
        <f t="shared" si="14"/>
        <v>0.3267262221</v>
      </c>
      <c r="SJ19" s="70">
        <f t="shared" si="14"/>
        <v>0.3593220392</v>
      </c>
      <c r="SK19" s="70">
        <f t="shared" si="14"/>
        <v>0.3878050514</v>
      </c>
      <c r="SL19" s="70">
        <f t="shared" si="14"/>
        <v>0.3264595301</v>
      </c>
    </row>
    <row r="20">
      <c r="A20" s="71" t="s">
        <v>96</v>
      </c>
      <c r="B20" s="217">
        <f t="array" ref="B20">INDEX('New CEA'!$B20:$F20,MATCH($B$2,'New CEA'!B$2:F$2,0))</f>
        <v>1.442695041</v>
      </c>
      <c r="C20" s="261">
        <f>AVERAGE(G20:SL20)</f>
        <v>1.4317102</v>
      </c>
      <c r="D20" s="262">
        <f>PERCENTILE($G20:$SL20,0.25)</f>
        <v>1.062425</v>
      </c>
      <c r="E20" s="263">
        <f>PERCENTILE($G20:$SL20,0.75)</f>
        <v>1.808775</v>
      </c>
      <c r="F20" s="72"/>
      <c r="G20" s="264">
        <f>RANDBETWEEN((Inputs!$E20-(Inputs!$E20-Inputs!$D20)*2)*10000,(Inputs!$E20+(Inputs!$F20-Inputs!$E20)*2)*10000)/10000</f>
        <v>1.0819</v>
      </c>
      <c r="H20" s="264">
        <f>RANDBETWEEN((Inputs!$E20-(Inputs!$E20-Inputs!$D20)*2)*10000,(Inputs!$E20+(Inputs!$F20-Inputs!$E20)*2)*10000)/10000</f>
        <v>1.3141</v>
      </c>
      <c r="I20" s="264">
        <f>RANDBETWEEN((Inputs!$E20-(Inputs!$E20-Inputs!$D20)*2)*10000,(Inputs!$E20+(Inputs!$F20-Inputs!$E20)*2)*10000)/10000</f>
        <v>1.3866</v>
      </c>
      <c r="J20" s="264">
        <f>RANDBETWEEN((Inputs!$E20-(Inputs!$E20-Inputs!$D20)*2)*10000,(Inputs!$E20+(Inputs!$F20-Inputs!$E20)*2)*10000)/10000</f>
        <v>1.7509</v>
      </c>
      <c r="K20" s="264">
        <f>RANDBETWEEN((Inputs!$E20-(Inputs!$E20-Inputs!$D20)*2)*10000,(Inputs!$E20+(Inputs!$F20-Inputs!$E20)*2)*10000)/10000</f>
        <v>1.2413</v>
      </c>
      <c r="L20" s="264">
        <f>RANDBETWEEN((Inputs!$E20-(Inputs!$E20-Inputs!$D20)*2)*10000,(Inputs!$E20+(Inputs!$F20-Inputs!$E20)*2)*10000)/10000</f>
        <v>1.9923</v>
      </c>
      <c r="M20" s="264">
        <f>RANDBETWEEN((Inputs!$E20-(Inputs!$E20-Inputs!$D20)*2)*10000,(Inputs!$E20+(Inputs!$F20-Inputs!$E20)*2)*10000)/10000</f>
        <v>1.4653</v>
      </c>
      <c r="N20" s="264">
        <f>RANDBETWEEN((Inputs!$E20-(Inputs!$E20-Inputs!$D20)*2)*10000,(Inputs!$E20+(Inputs!$F20-Inputs!$E20)*2)*10000)/10000</f>
        <v>1.5902</v>
      </c>
      <c r="O20" s="264">
        <f>RANDBETWEEN((Inputs!$E20-(Inputs!$E20-Inputs!$D20)*2)*10000,(Inputs!$E20+(Inputs!$F20-Inputs!$E20)*2)*10000)/10000</f>
        <v>1.8645</v>
      </c>
      <c r="P20" s="264">
        <f>RANDBETWEEN((Inputs!$E20-(Inputs!$E20-Inputs!$D20)*2)*10000,(Inputs!$E20+(Inputs!$F20-Inputs!$E20)*2)*10000)/10000</f>
        <v>1.8288</v>
      </c>
      <c r="Q20" s="264">
        <f>RANDBETWEEN((Inputs!$E20-(Inputs!$E20-Inputs!$D20)*2)*10000,(Inputs!$E20+(Inputs!$F20-Inputs!$E20)*2)*10000)/10000</f>
        <v>1.9537</v>
      </c>
      <c r="R20" s="264">
        <f>RANDBETWEEN((Inputs!$E20-(Inputs!$E20-Inputs!$D20)*2)*10000,(Inputs!$E20+(Inputs!$F20-Inputs!$E20)*2)*10000)/10000</f>
        <v>1.8313</v>
      </c>
      <c r="S20" s="264">
        <f>RANDBETWEEN((Inputs!$E20-(Inputs!$E20-Inputs!$D20)*2)*10000,(Inputs!$E20+(Inputs!$F20-Inputs!$E20)*2)*10000)/10000</f>
        <v>1.2217</v>
      </c>
      <c r="T20" s="264">
        <f>RANDBETWEEN((Inputs!$E20-(Inputs!$E20-Inputs!$D20)*2)*10000,(Inputs!$E20+(Inputs!$F20-Inputs!$E20)*2)*10000)/10000</f>
        <v>1.0915</v>
      </c>
      <c r="U20" s="264">
        <f>RANDBETWEEN((Inputs!$E20-(Inputs!$E20-Inputs!$D20)*2)*10000,(Inputs!$E20+(Inputs!$F20-Inputs!$E20)*2)*10000)/10000</f>
        <v>1.5185</v>
      </c>
      <c r="V20" s="264">
        <f>RANDBETWEEN((Inputs!$E20-(Inputs!$E20-Inputs!$D20)*2)*10000,(Inputs!$E20+(Inputs!$F20-Inputs!$E20)*2)*10000)/10000</f>
        <v>0.9949</v>
      </c>
      <c r="W20" s="264">
        <f>RANDBETWEEN((Inputs!$E20-(Inputs!$E20-Inputs!$D20)*2)*10000,(Inputs!$E20+(Inputs!$F20-Inputs!$E20)*2)*10000)/10000</f>
        <v>1.0669</v>
      </c>
      <c r="X20" s="264">
        <f>RANDBETWEEN((Inputs!$E20-(Inputs!$E20-Inputs!$D20)*2)*10000,(Inputs!$E20+(Inputs!$F20-Inputs!$E20)*2)*10000)/10000</f>
        <v>1.8213</v>
      </c>
      <c r="Y20" s="264">
        <f>RANDBETWEEN((Inputs!$E20-(Inputs!$E20-Inputs!$D20)*2)*10000,(Inputs!$E20+(Inputs!$F20-Inputs!$E20)*2)*10000)/10000</f>
        <v>2.0208</v>
      </c>
      <c r="Z20" s="264">
        <f>RANDBETWEEN((Inputs!$E20-(Inputs!$E20-Inputs!$D20)*2)*10000,(Inputs!$E20+(Inputs!$F20-Inputs!$E20)*2)*10000)/10000</f>
        <v>2.083</v>
      </c>
      <c r="AA20" s="264">
        <f>RANDBETWEEN((Inputs!$E20-(Inputs!$E20-Inputs!$D20)*2)*10000,(Inputs!$E20+(Inputs!$F20-Inputs!$E20)*2)*10000)/10000</f>
        <v>1.9014</v>
      </c>
      <c r="AB20" s="264">
        <f>RANDBETWEEN((Inputs!$E20-(Inputs!$E20-Inputs!$D20)*2)*10000,(Inputs!$E20+(Inputs!$F20-Inputs!$E20)*2)*10000)/10000</f>
        <v>1.3408</v>
      </c>
      <c r="AC20" s="264">
        <f>RANDBETWEEN((Inputs!$E20-(Inputs!$E20-Inputs!$D20)*2)*10000,(Inputs!$E20+(Inputs!$F20-Inputs!$E20)*2)*10000)/10000</f>
        <v>0.7374</v>
      </c>
      <c r="AD20" s="264">
        <f>RANDBETWEEN((Inputs!$E20-(Inputs!$E20-Inputs!$D20)*2)*10000,(Inputs!$E20+(Inputs!$F20-Inputs!$E20)*2)*10000)/10000</f>
        <v>0.8579</v>
      </c>
      <c r="AE20" s="264">
        <f>RANDBETWEEN((Inputs!$E20-(Inputs!$E20-Inputs!$D20)*2)*10000,(Inputs!$E20+(Inputs!$F20-Inputs!$E20)*2)*10000)/10000</f>
        <v>1.2939</v>
      </c>
      <c r="AF20" s="264">
        <f>RANDBETWEEN((Inputs!$E20-(Inputs!$E20-Inputs!$D20)*2)*10000,(Inputs!$E20+(Inputs!$F20-Inputs!$E20)*2)*10000)/10000</f>
        <v>1.1217</v>
      </c>
      <c r="AG20" s="264">
        <f>RANDBETWEEN((Inputs!$E20-(Inputs!$E20-Inputs!$D20)*2)*10000,(Inputs!$E20+(Inputs!$F20-Inputs!$E20)*2)*10000)/10000</f>
        <v>1.5067</v>
      </c>
      <c r="AH20" s="264">
        <f>RANDBETWEEN((Inputs!$E20-(Inputs!$E20-Inputs!$D20)*2)*10000,(Inputs!$E20+(Inputs!$F20-Inputs!$E20)*2)*10000)/10000</f>
        <v>1.5487</v>
      </c>
      <c r="AI20" s="264">
        <f>RANDBETWEEN((Inputs!$E20-(Inputs!$E20-Inputs!$D20)*2)*10000,(Inputs!$E20+(Inputs!$F20-Inputs!$E20)*2)*10000)/10000</f>
        <v>1.5199</v>
      </c>
      <c r="AJ20" s="264">
        <f>RANDBETWEEN((Inputs!$E20-(Inputs!$E20-Inputs!$D20)*2)*10000,(Inputs!$E20+(Inputs!$F20-Inputs!$E20)*2)*10000)/10000</f>
        <v>1.1052</v>
      </c>
      <c r="AK20" s="264">
        <f>RANDBETWEEN((Inputs!$E20-(Inputs!$E20-Inputs!$D20)*2)*10000,(Inputs!$E20+(Inputs!$F20-Inputs!$E20)*2)*10000)/10000</f>
        <v>1.4282</v>
      </c>
      <c r="AL20" s="264">
        <f>RANDBETWEEN((Inputs!$E20-(Inputs!$E20-Inputs!$D20)*2)*10000,(Inputs!$E20+(Inputs!$F20-Inputs!$E20)*2)*10000)/10000</f>
        <v>2.1567</v>
      </c>
      <c r="AM20" s="264">
        <f>RANDBETWEEN((Inputs!$E20-(Inputs!$E20-Inputs!$D20)*2)*10000,(Inputs!$E20+(Inputs!$F20-Inputs!$E20)*2)*10000)/10000</f>
        <v>1.8723</v>
      </c>
      <c r="AN20" s="264">
        <f>RANDBETWEEN((Inputs!$E20-(Inputs!$E20-Inputs!$D20)*2)*10000,(Inputs!$E20+(Inputs!$F20-Inputs!$E20)*2)*10000)/10000</f>
        <v>0.7642</v>
      </c>
      <c r="AO20" s="264">
        <f>RANDBETWEEN((Inputs!$E20-(Inputs!$E20-Inputs!$D20)*2)*10000,(Inputs!$E20+(Inputs!$F20-Inputs!$E20)*2)*10000)/10000</f>
        <v>1.2989</v>
      </c>
      <c r="AP20" s="264">
        <f>RANDBETWEEN((Inputs!$E20-(Inputs!$E20-Inputs!$D20)*2)*10000,(Inputs!$E20+(Inputs!$F20-Inputs!$E20)*2)*10000)/10000</f>
        <v>1.1783</v>
      </c>
      <c r="AQ20" s="264">
        <f>RANDBETWEEN((Inputs!$E20-(Inputs!$E20-Inputs!$D20)*2)*10000,(Inputs!$E20+(Inputs!$F20-Inputs!$E20)*2)*10000)/10000</f>
        <v>0.911</v>
      </c>
      <c r="AR20" s="264">
        <f>RANDBETWEEN((Inputs!$E20-(Inputs!$E20-Inputs!$D20)*2)*10000,(Inputs!$E20+(Inputs!$F20-Inputs!$E20)*2)*10000)/10000</f>
        <v>1.8923</v>
      </c>
      <c r="AS20" s="264">
        <f>RANDBETWEEN((Inputs!$E20-(Inputs!$E20-Inputs!$D20)*2)*10000,(Inputs!$E20+(Inputs!$F20-Inputs!$E20)*2)*10000)/10000</f>
        <v>1.3987</v>
      </c>
      <c r="AT20" s="264">
        <f>RANDBETWEEN((Inputs!$E20-(Inputs!$E20-Inputs!$D20)*2)*10000,(Inputs!$E20+(Inputs!$F20-Inputs!$E20)*2)*10000)/10000</f>
        <v>0.7843</v>
      </c>
      <c r="AU20" s="264">
        <f>RANDBETWEEN((Inputs!$E20-(Inputs!$E20-Inputs!$D20)*2)*10000,(Inputs!$E20+(Inputs!$F20-Inputs!$E20)*2)*10000)/10000</f>
        <v>1.6567</v>
      </c>
      <c r="AV20" s="264">
        <f>RANDBETWEEN((Inputs!$E20-(Inputs!$E20-Inputs!$D20)*2)*10000,(Inputs!$E20+(Inputs!$F20-Inputs!$E20)*2)*10000)/10000</f>
        <v>0.9581</v>
      </c>
      <c r="AW20" s="264">
        <f>RANDBETWEEN((Inputs!$E20-(Inputs!$E20-Inputs!$D20)*2)*10000,(Inputs!$E20+(Inputs!$F20-Inputs!$E20)*2)*10000)/10000</f>
        <v>1.2595</v>
      </c>
      <c r="AX20" s="264">
        <f>RANDBETWEEN((Inputs!$E20-(Inputs!$E20-Inputs!$D20)*2)*10000,(Inputs!$E20+(Inputs!$F20-Inputs!$E20)*2)*10000)/10000</f>
        <v>1.0661</v>
      </c>
      <c r="AY20" s="264">
        <f>RANDBETWEEN((Inputs!$E20-(Inputs!$E20-Inputs!$D20)*2)*10000,(Inputs!$E20+(Inputs!$F20-Inputs!$E20)*2)*10000)/10000</f>
        <v>2.1482</v>
      </c>
      <c r="AZ20" s="264">
        <f>RANDBETWEEN((Inputs!$E20-(Inputs!$E20-Inputs!$D20)*2)*10000,(Inputs!$E20+(Inputs!$F20-Inputs!$E20)*2)*10000)/10000</f>
        <v>1.1784</v>
      </c>
      <c r="BA20" s="264">
        <f>RANDBETWEEN((Inputs!$E20-(Inputs!$E20-Inputs!$D20)*2)*10000,(Inputs!$E20+(Inputs!$F20-Inputs!$E20)*2)*10000)/10000</f>
        <v>1.9333</v>
      </c>
      <c r="BB20" s="264">
        <f>RANDBETWEEN((Inputs!$E20-(Inputs!$E20-Inputs!$D20)*2)*10000,(Inputs!$E20+(Inputs!$F20-Inputs!$E20)*2)*10000)/10000</f>
        <v>2.0938</v>
      </c>
      <c r="BC20" s="264">
        <f>RANDBETWEEN((Inputs!$E20-(Inputs!$E20-Inputs!$D20)*2)*10000,(Inputs!$E20+(Inputs!$F20-Inputs!$E20)*2)*10000)/10000</f>
        <v>0.9551</v>
      </c>
      <c r="BD20" s="264">
        <f>RANDBETWEEN((Inputs!$E20-(Inputs!$E20-Inputs!$D20)*2)*10000,(Inputs!$E20+(Inputs!$F20-Inputs!$E20)*2)*10000)/10000</f>
        <v>1.7656</v>
      </c>
      <c r="BE20" s="264">
        <f>RANDBETWEEN((Inputs!$E20-(Inputs!$E20-Inputs!$D20)*2)*10000,(Inputs!$E20+(Inputs!$F20-Inputs!$E20)*2)*10000)/10000</f>
        <v>1.4673</v>
      </c>
      <c r="BF20" s="264">
        <f>RANDBETWEEN((Inputs!$E20-(Inputs!$E20-Inputs!$D20)*2)*10000,(Inputs!$E20+(Inputs!$F20-Inputs!$E20)*2)*10000)/10000</f>
        <v>1.8612</v>
      </c>
      <c r="BG20" s="264">
        <f>RANDBETWEEN((Inputs!$E20-(Inputs!$E20-Inputs!$D20)*2)*10000,(Inputs!$E20+(Inputs!$F20-Inputs!$E20)*2)*10000)/10000</f>
        <v>2.1209</v>
      </c>
      <c r="BH20" s="264">
        <f>RANDBETWEEN((Inputs!$E20-(Inputs!$E20-Inputs!$D20)*2)*10000,(Inputs!$E20+(Inputs!$F20-Inputs!$E20)*2)*10000)/10000</f>
        <v>0.9965</v>
      </c>
      <c r="BI20" s="264">
        <f>RANDBETWEEN((Inputs!$E20-(Inputs!$E20-Inputs!$D20)*2)*10000,(Inputs!$E20+(Inputs!$F20-Inputs!$E20)*2)*10000)/10000</f>
        <v>1.8746</v>
      </c>
      <c r="BJ20" s="264">
        <f>RANDBETWEEN((Inputs!$E20-(Inputs!$E20-Inputs!$D20)*2)*10000,(Inputs!$E20+(Inputs!$F20-Inputs!$E20)*2)*10000)/10000</f>
        <v>1.1408</v>
      </c>
      <c r="BK20" s="264">
        <f>RANDBETWEEN((Inputs!$E20-(Inputs!$E20-Inputs!$D20)*2)*10000,(Inputs!$E20+(Inputs!$F20-Inputs!$E20)*2)*10000)/10000</f>
        <v>0.7776</v>
      </c>
      <c r="BL20" s="264">
        <f>RANDBETWEEN((Inputs!$E20-(Inputs!$E20-Inputs!$D20)*2)*10000,(Inputs!$E20+(Inputs!$F20-Inputs!$E20)*2)*10000)/10000</f>
        <v>0.9485</v>
      </c>
      <c r="BM20" s="264">
        <f>RANDBETWEEN((Inputs!$E20-(Inputs!$E20-Inputs!$D20)*2)*10000,(Inputs!$E20+(Inputs!$F20-Inputs!$E20)*2)*10000)/10000</f>
        <v>2.102</v>
      </c>
      <c r="BN20" s="264">
        <f>RANDBETWEEN((Inputs!$E20-(Inputs!$E20-Inputs!$D20)*2)*10000,(Inputs!$E20+(Inputs!$F20-Inputs!$E20)*2)*10000)/10000</f>
        <v>1.2972</v>
      </c>
      <c r="BO20" s="264">
        <f>RANDBETWEEN((Inputs!$E20-(Inputs!$E20-Inputs!$D20)*2)*10000,(Inputs!$E20+(Inputs!$F20-Inputs!$E20)*2)*10000)/10000</f>
        <v>1.0631</v>
      </c>
      <c r="BP20" s="264">
        <f>RANDBETWEEN((Inputs!$E20-(Inputs!$E20-Inputs!$D20)*2)*10000,(Inputs!$E20+(Inputs!$F20-Inputs!$E20)*2)*10000)/10000</f>
        <v>0.9599</v>
      </c>
      <c r="BQ20" s="264">
        <f>RANDBETWEEN((Inputs!$E20-(Inputs!$E20-Inputs!$D20)*2)*10000,(Inputs!$E20+(Inputs!$F20-Inputs!$E20)*2)*10000)/10000</f>
        <v>0.8101</v>
      </c>
      <c r="BR20" s="264">
        <f>RANDBETWEEN((Inputs!$E20-(Inputs!$E20-Inputs!$D20)*2)*10000,(Inputs!$E20+(Inputs!$F20-Inputs!$E20)*2)*10000)/10000</f>
        <v>1.9823</v>
      </c>
      <c r="BS20" s="264">
        <f>RANDBETWEEN((Inputs!$E20-(Inputs!$E20-Inputs!$D20)*2)*10000,(Inputs!$E20+(Inputs!$F20-Inputs!$E20)*2)*10000)/10000</f>
        <v>0.8551</v>
      </c>
      <c r="BT20" s="264">
        <f>RANDBETWEEN((Inputs!$E20-(Inputs!$E20-Inputs!$D20)*2)*10000,(Inputs!$E20+(Inputs!$F20-Inputs!$E20)*2)*10000)/10000</f>
        <v>1.1161</v>
      </c>
      <c r="BU20" s="264">
        <f>RANDBETWEEN((Inputs!$E20-(Inputs!$E20-Inputs!$D20)*2)*10000,(Inputs!$E20+(Inputs!$F20-Inputs!$E20)*2)*10000)/10000</f>
        <v>2.0673</v>
      </c>
      <c r="BV20" s="264">
        <f>RANDBETWEEN((Inputs!$E20-(Inputs!$E20-Inputs!$D20)*2)*10000,(Inputs!$E20+(Inputs!$F20-Inputs!$E20)*2)*10000)/10000</f>
        <v>1.6701</v>
      </c>
      <c r="BW20" s="264">
        <f>RANDBETWEEN((Inputs!$E20-(Inputs!$E20-Inputs!$D20)*2)*10000,(Inputs!$E20+(Inputs!$F20-Inputs!$E20)*2)*10000)/10000</f>
        <v>1.696</v>
      </c>
      <c r="BX20" s="264">
        <f>RANDBETWEEN((Inputs!$E20-(Inputs!$E20-Inputs!$D20)*2)*10000,(Inputs!$E20+(Inputs!$F20-Inputs!$E20)*2)*10000)/10000</f>
        <v>1.0177</v>
      </c>
      <c r="BY20" s="264">
        <f>RANDBETWEEN((Inputs!$E20-(Inputs!$E20-Inputs!$D20)*2)*10000,(Inputs!$E20+(Inputs!$F20-Inputs!$E20)*2)*10000)/10000</f>
        <v>1.541</v>
      </c>
      <c r="BZ20" s="264">
        <f>RANDBETWEEN((Inputs!$E20-(Inputs!$E20-Inputs!$D20)*2)*10000,(Inputs!$E20+(Inputs!$F20-Inputs!$E20)*2)*10000)/10000</f>
        <v>1.1506</v>
      </c>
      <c r="CA20" s="264">
        <f>RANDBETWEEN((Inputs!$E20-(Inputs!$E20-Inputs!$D20)*2)*10000,(Inputs!$E20+(Inputs!$F20-Inputs!$E20)*2)*10000)/10000</f>
        <v>1.1244</v>
      </c>
      <c r="CB20" s="264">
        <f>RANDBETWEEN((Inputs!$E20-(Inputs!$E20-Inputs!$D20)*2)*10000,(Inputs!$E20+(Inputs!$F20-Inputs!$E20)*2)*10000)/10000</f>
        <v>1.1586</v>
      </c>
      <c r="CC20" s="264">
        <f>RANDBETWEEN((Inputs!$E20-(Inputs!$E20-Inputs!$D20)*2)*10000,(Inputs!$E20+(Inputs!$F20-Inputs!$E20)*2)*10000)/10000</f>
        <v>1.1367</v>
      </c>
      <c r="CD20" s="264">
        <f>RANDBETWEEN((Inputs!$E20-(Inputs!$E20-Inputs!$D20)*2)*10000,(Inputs!$E20+(Inputs!$F20-Inputs!$E20)*2)*10000)/10000</f>
        <v>1.1744</v>
      </c>
      <c r="CE20" s="264">
        <f>RANDBETWEEN((Inputs!$E20-(Inputs!$E20-Inputs!$D20)*2)*10000,(Inputs!$E20+(Inputs!$F20-Inputs!$E20)*2)*10000)/10000</f>
        <v>0.9732</v>
      </c>
      <c r="CF20" s="264">
        <f>RANDBETWEEN((Inputs!$E20-(Inputs!$E20-Inputs!$D20)*2)*10000,(Inputs!$E20+(Inputs!$F20-Inputs!$E20)*2)*10000)/10000</f>
        <v>2.092</v>
      </c>
      <c r="CG20" s="264">
        <f>RANDBETWEEN((Inputs!$E20-(Inputs!$E20-Inputs!$D20)*2)*10000,(Inputs!$E20+(Inputs!$F20-Inputs!$E20)*2)*10000)/10000</f>
        <v>0.9285</v>
      </c>
      <c r="CH20" s="264">
        <f>RANDBETWEEN((Inputs!$E20-(Inputs!$E20-Inputs!$D20)*2)*10000,(Inputs!$E20+(Inputs!$F20-Inputs!$E20)*2)*10000)/10000</f>
        <v>0.7284</v>
      </c>
      <c r="CI20" s="264">
        <f>RANDBETWEEN((Inputs!$E20-(Inputs!$E20-Inputs!$D20)*2)*10000,(Inputs!$E20+(Inputs!$F20-Inputs!$E20)*2)*10000)/10000</f>
        <v>1.6332</v>
      </c>
      <c r="CJ20" s="264">
        <f>RANDBETWEEN((Inputs!$E20-(Inputs!$E20-Inputs!$D20)*2)*10000,(Inputs!$E20+(Inputs!$F20-Inputs!$E20)*2)*10000)/10000</f>
        <v>2.133</v>
      </c>
      <c r="CK20" s="264">
        <f>RANDBETWEEN((Inputs!$E20-(Inputs!$E20-Inputs!$D20)*2)*10000,(Inputs!$E20+(Inputs!$F20-Inputs!$E20)*2)*10000)/10000</f>
        <v>2.1116</v>
      </c>
      <c r="CL20" s="264">
        <f>RANDBETWEEN((Inputs!$E20-(Inputs!$E20-Inputs!$D20)*2)*10000,(Inputs!$E20+(Inputs!$F20-Inputs!$E20)*2)*10000)/10000</f>
        <v>1.5195</v>
      </c>
      <c r="CM20" s="264">
        <f>RANDBETWEEN((Inputs!$E20-(Inputs!$E20-Inputs!$D20)*2)*10000,(Inputs!$E20+(Inputs!$F20-Inputs!$E20)*2)*10000)/10000</f>
        <v>1.3044</v>
      </c>
      <c r="CN20" s="264">
        <f>RANDBETWEEN((Inputs!$E20-(Inputs!$E20-Inputs!$D20)*2)*10000,(Inputs!$E20+(Inputs!$F20-Inputs!$E20)*2)*10000)/10000</f>
        <v>1.7616</v>
      </c>
      <c r="CO20" s="264">
        <f>RANDBETWEEN((Inputs!$E20-(Inputs!$E20-Inputs!$D20)*2)*10000,(Inputs!$E20+(Inputs!$F20-Inputs!$E20)*2)*10000)/10000</f>
        <v>1.8546</v>
      </c>
      <c r="CP20" s="264">
        <f>RANDBETWEEN((Inputs!$E20-(Inputs!$E20-Inputs!$D20)*2)*10000,(Inputs!$E20+(Inputs!$F20-Inputs!$E20)*2)*10000)/10000</f>
        <v>1.3892</v>
      </c>
      <c r="CQ20" s="264">
        <f>RANDBETWEEN((Inputs!$E20-(Inputs!$E20-Inputs!$D20)*2)*10000,(Inputs!$E20+(Inputs!$F20-Inputs!$E20)*2)*10000)/10000</f>
        <v>1.9557</v>
      </c>
      <c r="CR20" s="264">
        <f>RANDBETWEEN((Inputs!$E20-(Inputs!$E20-Inputs!$D20)*2)*10000,(Inputs!$E20+(Inputs!$F20-Inputs!$E20)*2)*10000)/10000</f>
        <v>1.8638</v>
      </c>
      <c r="CS20" s="264">
        <f>RANDBETWEEN((Inputs!$E20-(Inputs!$E20-Inputs!$D20)*2)*10000,(Inputs!$E20+(Inputs!$F20-Inputs!$E20)*2)*10000)/10000</f>
        <v>1.1847</v>
      </c>
      <c r="CT20" s="264">
        <f>RANDBETWEEN((Inputs!$E20-(Inputs!$E20-Inputs!$D20)*2)*10000,(Inputs!$E20+(Inputs!$F20-Inputs!$E20)*2)*10000)/10000</f>
        <v>1.1287</v>
      </c>
      <c r="CU20" s="264">
        <f>RANDBETWEEN((Inputs!$E20-(Inputs!$E20-Inputs!$D20)*2)*10000,(Inputs!$E20+(Inputs!$F20-Inputs!$E20)*2)*10000)/10000</f>
        <v>2.1305</v>
      </c>
      <c r="CV20" s="264">
        <f>RANDBETWEEN((Inputs!$E20-(Inputs!$E20-Inputs!$D20)*2)*10000,(Inputs!$E20+(Inputs!$F20-Inputs!$E20)*2)*10000)/10000</f>
        <v>1.2721</v>
      </c>
      <c r="CW20" s="264">
        <f>RANDBETWEEN((Inputs!$E20-(Inputs!$E20-Inputs!$D20)*2)*10000,(Inputs!$E20+(Inputs!$F20-Inputs!$E20)*2)*10000)/10000</f>
        <v>1.4887</v>
      </c>
      <c r="CX20" s="264">
        <f>RANDBETWEEN((Inputs!$E20-(Inputs!$E20-Inputs!$D20)*2)*10000,(Inputs!$E20+(Inputs!$F20-Inputs!$E20)*2)*10000)/10000</f>
        <v>1.155</v>
      </c>
      <c r="CY20" s="264">
        <f>RANDBETWEEN((Inputs!$E20-(Inputs!$E20-Inputs!$D20)*2)*10000,(Inputs!$E20+(Inputs!$F20-Inputs!$E20)*2)*10000)/10000</f>
        <v>1.5647</v>
      </c>
      <c r="CZ20" s="264">
        <f>RANDBETWEEN((Inputs!$E20-(Inputs!$E20-Inputs!$D20)*2)*10000,(Inputs!$E20+(Inputs!$F20-Inputs!$E20)*2)*10000)/10000</f>
        <v>1.9336</v>
      </c>
      <c r="DA20" s="264">
        <f>RANDBETWEEN((Inputs!$E20-(Inputs!$E20-Inputs!$D20)*2)*10000,(Inputs!$E20+(Inputs!$F20-Inputs!$E20)*2)*10000)/10000</f>
        <v>1.2299</v>
      </c>
      <c r="DB20" s="264">
        <f>RANDBETWEEN((Inputs!$E20-(Inputs!$E20-Inputs!$D20)*2)*10000,(Inputs!$E20+(Inputs!$F20-Inputs!$E20)*2)*10000)/10000</f>
        <v>1.2932</v>
      </c>
      <c r="DC20" s="264">
        <f>RANDBETWEEN((Inputs!$E20-(Inputs!$E20-Inputs!$D20)*2)*10000,(Inputs!$E20+(Inputs!$F20-Inputs!$E20)*2)*10000)/10000</f>
        <v>0.8892</v>
      </c>
      <c r="DD20" s="264">
        <f>RANDBETWEEN((Inputs!$E20-(Inputs!$E20-Inputs!$D20)*2)*10000,(Inputs!$E20+(Inputs!$F20-Inputs!$E20)*2)*10000)/10000</f>
        <v>1.5643</v>
      </c>
      <c r="DE20" s="264">
        <f>RANDBETWEEN((Inputs!$E20-(Inputs!$E20-Inputs!$D20)*2)*10000,(Inputs!$E20+(Inputs!$F20-Inputs!$E20)*2)*10000)/10000</f>
        <v>0.8607</v>
      </c>
      <c r="DF20" s="264">
        <f>RANDBETWEEN((Inputs!$E20-(Inputs!$E20-Inputs!$D20)*2)*10000,(Inputs!$E20+(Inputs!$F20-Inputs!$E20)*2)*10000)/10000</f>
        <v>1.4531</v>
      </c>
      <c r="DG20" s="264">
        <f>RANDBETWEEN((Inputs!$E20-(Inputs!$E20-Inputs!$D20)*2)*10000,(Inputs!$E20+(Inputs!$F20-Inputs!$E20)*2)*10000)/10000</f>
        <v>1.5277</v>
      </c>
      <c r="DH20" s="264">
        <f>RANDBETWEEN((Inputs!$E20-(Inputs!$E20-Inputs!$D20)*2)*10000,(Inputs!$E20+(Inputs!$F20-Inputs!$E20)*2)*10000)/10000</f>
        <v>2.0473</v>
      </c>
      <c r="DI20" s="264">
        <f>RANDBETWEEN((Inputs!$E20-(Inputs!$E20-Inputs!$D20)*2)*10000,(Inputs!$E20+(Inputs!$F20-Inputs!$E20)*2)*10000)/10000</f>
        <v>0.8656</v>
      </c>
      <c r="DJ20" s="264">
        <f>RANDBETWEEN((Inputs!$E20-(Inputs!$E20-Inputs!$D20)*2)*10000,(Inputs!$E20+(Inputs!$F20-Inputs!$E20)*2)*10000)/10000</f>
        <v>1.0759</v>
      </c>
      <c r="DK20" s="264">
        <f>RANDBETWEEN((Inputs!$E20-(Inputs!$E20-Inputs!$D20)*2)*10000,(Inputs!$E20+(Inputs!$F20-Inputs!$E20)*2)*10000)/10000</f>
        <v>1.0336</v>
      </c>
      <c r="DL20" s="264">
        <f>RANDBETWEEN((Inputs!$E20-(Inputs!$E20-Inputs!$D20)*2)*10000,(Inputs!$E20+(Inputs!$F20-Inputs!$E20)*2)*10000)/10000</f>
        <v>0.9917</v>
      </c>
      <c r="DM20" s="264">
        <f>RANDBETWEEN((Inputs!$E20-(Inputs!$E20-Inputs!$D20)*2)*10000,(Inputs!$E20+(Inputs!$F20-Inputs!$E20)*2)*10000)/10000</f>
        <v>1.7518</v>
      </c>
      <c r="DN20" s="264">
        <f>RANDBETWEEN((Inputs!$E20-(Inputs!$E20-Inputs!$D20)*2)*10000,(Inputs!$E20+(Inputs!$F20-Inputs!$E20)*2)*10000)/10000</f>
        <v>0.7756</v>
      </c>
      <c r="DO20" s="264">
        <f>RANDBETWEEN((Inputs!$E20-(Inputs!$E20-Inputs!$D20)*2)*10000,(Inputs!$E20+(Inputs!$F20-Inputs!$E20)*2)*10000)/10000</f>
        <v>1.0403</v>
      </c>
      <c r="DP20" s="264">
        <f>RANDBETWEEN((Inputs!$E20-(Inputs!$E20-Inputs!$D20)*2)*10000,(Inputs!$E20+(Inputs!$F20-Inputs!$E20)*2)*10000)/10000</f>
        <v>1.838</v>
      </c>
      <c r="DQ20" s="264">
        <f>RANDBETWEEN((Inputs!$E20-(Inputs!$E20-Inputs!$D20)*2)*10000,(Inputs!$E20+(Inputs!$F20-Inputs!$E20)*2)*10000)/10000</f>
        <v>1.9472</v>
      </c>
      <c r="DR20" s="264">
        <f>RANDBETWEEN((Inputs!$E20-(Inputs!$E20-Inputs!$D20)*2)*10000,(Inputs!$E20+(Inputs!$F20-Inputs!$E20)*2)*10000)/10000</f>
        <v>1.8454</v>
      </c>
      <c r="DS20" s="264">
        <f>RANDBETWEEN((Inputs!$E20-(Inputs!$E20-Inputs!$D20)*2)*10000,(Inputs!$E20+(Inputs!$F20-Inputs!$E20)*2)*10000)/10000</f>
        <v>2.0407</v>
      </c>
      <c r="DT20" s="264">
        <f>RANDBETWEEN((Inputs!$E20-(Inputs!$E20-Inputs!$D20)*2)*10000,(Inputs!$E20+(Inputs!$F20-Inputs!$E20)*2)*10000)/10000</f>
        <v>1.9935</v>
      </c>
      <c r="DU20" s="264">
        <f>RANDBETWEEN((Inputs!$E20-(Inputs!$E20-Inputs!$D20)*2)*10000,(Inputs!$E20+(Inputs!$F20-Inputs!$E20)*2)*10000)/10000</f>
        <v>1.9993</v>
      </c>
      <c r="DV20" s="264">
        <f>RANDBETWEEN((Inputs!$E20-(Inputs!$E20-Inputs!$D20)*2)*10000,(Inputs!$E20+(Inputs!$F20-Inputs!$E20)*2)*10000)/10000</f>
        <v>1.3313</v>
      </c>
      <c r="DW20" s="264">
        <f>RANDBETWEEN((Inputs!$E20-(Inputs!$E20-Inputs!$D20)*2)*10000,(Inputs!$E20+(Inputs!$F20-Inputs!$E20)*2)*10000)/10000</f>
        <v>1.4261</v>
      </c>
      <c r="DX20" s="264">
        <f>RANDBETWEEN((Inputs!$E20-(Inputs!$E20-Inputs!$D20)*2)*10000,(Inputs!$E20+(Inputs!$F20-Inputs!$E20)*2)*10000)/10000</f>
        <v>1.6901</v>
      </c>
      <c r="DY20" s="264">
        <f>RANDBETWEEN((Inputs!$E20-(Inputs!$E20-Inputs!$D20)*2)*10000,(Inputs!$E20+(Inputs!$F20-Inputs!$E20)*2)*10000)/10000</f>
        <v>2.0412</v>
      </c>
      <c r="DZ20" s="264">
        <f>RANDBETWEEN((Inputs!$E20-(Inputs!$E20-Inputs!$D20)*2)*10000,(Inputs!$E20+(Inputs!$F20-Inputs!$E20)*2)*10000)/10000</f>
        <v>0.842</v>
      </c>
      <c r="EA20" s="264">
        <f>RANDBETWEEN((Inputs!$E20-(Inputs!$E20-Inputs!$D20)*2)*10000,(Inputs!$E20+(Inputs!$F20-Inputs!$E20)*2)*10000)/10000</f>
        <v>1.5344</v>
      </c>
      <c r="EB20" s="264">
        <f>RANDBETWEEN((Inputs!$E20-(Inputs!$E20-Inputs!$D20)*2)*10000,(Inputs!$E20+(Inputs!$F20-Inputs!$E20)*2)*10000)/10000</f>
        <v>1.1661</v>
      </c>
      <c r="EC20" s="264">
        <f>RANDBETWEEN((Inputs!$E20-(Inputs!$E20-Inputs!$D20)*2)*10000,(Inputs!$E20+(Inputs!$F20-Inputs!$E20)*2)*10000)/10000</f>
        <v>2.1166</v>
      </c>
      <c r="ED20" s="264">
        <f>RANDBETWEEN((Inputs!$E20-(Inputs!$E20-Inputs!$D20)*2)*10000,(Inputs!$E20+(Inputs!$F20-Inputs!$E20)*2)*10000)/10000</f>
        <v>1.0576</v>
      </c>
      <c r="EE20" s="264">
        <f>RANDBETWEEN((Inputs!$E20-(Inputs!$E20-Inputs!$D20)*2)*10000,(Inputs!$E20+(Inputs!$F20-Inputs!$E20)*2)*10000)/10000</f>
        <v>1.7385</v>
      </c>
      <c r="EF20" s="264">
        <f>RANDBETWEEN((Inputs!$E20-(Inputs!$E20-Inputs!$D20)*2)*10000,(Inputs!$E20+(Inputs!$F20-Inputs!$E20)*2)*10000)/10000</f>
        <v>1.7274</v>
      </c>
      <c r="EG20" s="264">
        <f>RANDBETWEEN((Inputs!$E20-(Inputs!$E20-Inputs!$D20)*2)*10000,(Inputs!$E20+(Inputs!$F20-Inputs!$E20)*2)*10000)/10000</f>
        <v>0.8318</v>
      </c>
      <c r="EH20" s="264">
        <f>RANDBETWEEN((Inputs!$E20-(Inputs!$E20-Inputs!$D20)*2)*10000,(Inputs!$E20+(Inputs!$F20-Inputs!$E20)*2)*10000)/10000</f>
        <v>1.1466</v>
      </c>
      <c r="EI20" s="264">
        <f>RANDBETWEEN((Inputs!$E20-(Inputs!$E20-Inputs!$D20)*2)*10000,(Inputs!$E20+(Inputs!$F20-Inputs!$E20)*2)*10000)/10000</f>
        <v>1.0498</v>
      </c>
      <c r="EJ20" s="264">
        <f>RANDBETWEEN((Inputs!$E20-(Inputs!$E20-Inputs!$D20)*2)*10000,(Inputs!$E20+(Inputs!$F20-Inputs!$E20)*2)*10000)/10000</f>
        <v>1.0133</v>
      </c>
      <c r="EK20" s="264">
        <f>RANDBETWEEN((Inputs!$E20-(Inputs!$E20-Inputs!$D20)*2)*10000,(Inputs!$E20+(Inputs!$F20-Inputs!$E20)*2)*10000)/10000</f>
        <v>1.8616</v>
      </c>
      <c r="EL20" s="264">
        <f>RANDBETWEEN((Inputs!$E20-(Inputs!$E20-Inputs!$D20)*2)*10000,(Inputs!$E20+(Inputs!$F20-Inputs!$E20)*2)*10000)/10000</f>
        <v>1.4297</v>
      </c>
      <c r="EM20" s="264">
        <f>RANDBETWEEN((Inputs!$E20-(Inputs!$E20-Inputs!$D20)*2)*10000,(Inputs!$E20+(Inputs!$F20-Inputs!$E20)*2)*10000)/10000</f>
        <v>0.7593</v>
      </c>
      <c r="EN20" s="264">
        <f>RANDBETWEEN((Inputs!$E20-(Inputs!$E20-Inputs!$D20)*2)*10000,(Inputs!$E20+(Inputs!$F20-Inputs!$E20)*2)*10000)/10000</f>
        <v>1.3626</v>
      </c>
      <c r="EO20" s="264">
        <f>RANDBETWEEN((Inputs!$E20-(Inputs!$E20-Inputs!$D20)*2)*10000,(Inputs!$E20+(Inputs!$F20-Inputs!$E20)*2)*10000)/10000</f>
        <v>2.1604</v>
      </c>
      <c r="EP20" s="264">
        <f>RANDBETWEEN((Inputs!$E20-(Inputs!$E20-Inputs!$D20)*2)*10000,(Inputs!$E20+(Inputs!$F20-Inputs!$E20)*2)*10000)/10000</f>
        <v>0.8657</v>
      </c>
      <c r="EQ20" s="264">
        <f>RANDBETWEEN((Inputs!$E20-(Inputs!$E20-Inputs!$D20)*2)*10000,(Inputs!$E20+(Inputs!$F20-Inputs!$E20)*2)*10000)/10000</f>
        <v>1.5607</v>
      </c>
      <c r="ER20" s="264">
        <f>RANDBETWEEN((Inputs!$E20-(Inputs!$E20-Inputs!$D20)*2)*10000,(Inputs!$E20+(Inputs!$F20-Inputs!$E20)*2)*10000)/10000</f>
        <v>1.2295</v>
      </c>
      <c r="ES20" s="264">
        <f>RANDBETWEEN((Inputs!$E20-(Inputs!$E20-Inputs!$D20)*2)*10000,(Inputs!$E20+(Inputs!$F20-Inputs!$E20)*2)*10000)/10000</f>
        <v>1.8201</v>
      </c>
      <c r="ET20" s="264">
        <f>RANDBETWEEN((Inputs!$E20-(Inputs!$E20-Inputs!$D20)*2)*10000,(Inputs!$E20+(Inputs!$F20-Inputs!$E20)*2)*10000)/10000</f>
        <v>1.2736</v>
      </c>
      <c r="EU20" s="264">
        <f>RANDBETWEEN((Inputs!$E20-(Inputs!$E20-Inputs!$D20)*2)*10000,(Inputs!$E20+(Inputs!$F20-Inputs!$E20)*2)*10000)/10000</f>
        <v>1.7906</v>
      </c>
      <c r="EV20" s="264">
        <f>RANDBETWEEN((Inputs!$E20-(Inputs!$E20-Inputs!$D20)*2)*10000,(Inputs!$E20+(Inputs!$F20-Inputs!$E20)*2)*10000)/10000</f>
        <v>2.1631</v>
      </c>
      <c r="EW20" s="264">
        <f>RANDBETWEEN((Inputs!$E20-(Inputs!$E20-Inputs!$D20)*2)*10000,(Inputs!$E20+(Inputs!$F20-Inputs!$E20)*2)*10000)/10000</f>
        <v>0.9738</v>
      </c>
      <c r="EX20" s="264">
        <f>RANDBETWEEN((Inputs!$E20-(Inputs!$E20-Inputs!$D20)*2)*10000,(Inputs!$E20+(Inputs!$F20-Inputs!$E20)*2)*10000)/10000</f>
        <v>1.1648</v>
      </c>
      <c r="EY20" s="264">
        <f>RANDBETWEEN((Inputs!$E20-(Inputs!$E20-Inputs!$D20)*2)*10000,(Inputs!$E20+(Inputs!$F20-Inputs!$E20)*2)*10000)/10000</f>
        <v>1.2184</v>
      </c>
      <c r="EZ20" s="264">
        <f>RANDBETWEEN((Inputs!$E20-(Inputs!$E20-Inputs!$D20)*2)*10000,(Inputs!$E20+(Inputs!$F20-Inputs!$E20)*2)*10000)/10000</f>
        <v>1.3038</v>
      </c>
      <c r="FA20" s="264">
        <f>RANDBETWEEN((Inputs!$E20-(Inputs!$E20-Inputs!$D20)*2)*10000,(Inputs!$E20+(Inputs!$F20-Inputs!$E20)*2)*10000)/10000</f>
        <v>0.9003</v>
      </c>
      <c r="FB20" s="264">
        <f>RANDBETWEEN((Inputs!$E20-(Inputs!$E20-Inputs!$D20)*2)*10000,(Inputs!$E20+(Inputs!$F20-Inputs!$E20)*2)*10000)/10000</f>
        <v>1.9694</v>
      </c>
      <c r="FC20" s="264">
        <f>RANDBETWEEN((Inputs!$E20-(Inputs!$E20-Inputs!$D20)*2)*10000,(Inputs!$E20+(Inputs!$F20-Inputs!$E20)*2)*10000)/10000</f>
        <v>1.1325</v>
      </c>
      <c r="FD20" s="264">
        <f>RANDBETWEEN((Inputs!$E20-(Inputs!$E20-Inputs!$D20)*2)*10000,(Inputs!$E20+(Inputs!$F20-Inputs!$E20)*2)*10000)/10000</f>
        <v>1.2802</v>
      </c>
      <c r="FE20" s="264">
        <f>RANDBETWEEN((Inputs!$E20-(Inputs!$E20-Inputs!$D20)*2)*10000,(Inputs!$E20+(Inputs!$F20-Inputs!$E20)*2)*10000)/10000</f>
        <v>1.083</v>
      </c>
      <c r="FF20" s="264">
        <f>RANDBETWEEN((Inputs!$E20-(Inputs!$E20-Inputs!$D20)*2)*10000,(Inputs!$E20+(Inputs!$F20-Inputs!$E20)*2)*10000)/10000</f>
        <v>1.0124</v>
      </c>
      <c r="FG20" s="264">
        <f>RANDBETWEEN((Inputs!$E20-(Inputs!$E20-Inputs!$D20)*2)*10000,(Inputs!$E20+(Inputs!$F20-Inputs!$E20)*2)*10000)/10000</f>
        <v>0.8977</v>
      </c>
      <c r="FH20" s="264">
        <f>RANDBETWEEN((Inputs!$E20-(Inputs!$E20-Inputs!$D20)*2)*10000,(Inputs!$E20+(Inputs!$F20-Inputs!$E20)*2)*10000)/10000</f>
        <v>1.8741</v>
      </c>
      <c r="FI20" s="264">
        <f>RANDBETWEEN((Inputs!$E20-(Inputs!$E20-Inputs!$D20)*2)*10000,(Inputs!$E20+(Inputs!$F20-Inputs!$E20)*2)*10000)/10000</f>
        <v>1.1974</v>
      </c>
      <c r="FJ20" s="264">
        <f>RANDBETWEEN((Inputs!$E20-(Inputs!$E20-Inputs!$D20)*2)*10000,(Inputs!$E20+(Inputs!$F20-Inputs!$E20)*2)*10000)/10000</f>
        <v>0.7427</v>
      </c>
      <c r="FK20" s="264">
        <f>RANDBETWEEN((Inputs!$E20-(Inputs!$E20-Inputs!$D20)*2)*10000,(Inputs!$E20+(Inputs!$F20-Inputs!$E20)*2)*10000)/10000</f>
        <v>2.088</v>
      </c>
      <c r="FL20" s="264">
        <f>RANDBETWEEN((Inputs!$E20-(Inputs!$E20-Inputs!$D20)*2)*10000,(Inputs!$E20+(Inputs!$F20-Inputs!$E20)*2)*10000)/10000</f>
        <v>2.0022</v>
      </c>
      <c r="FM20" s="264">
        <f>RANDBETWEEN((Inputs!$E20-(Inputs!$E20-Inputs!$D20)*2)*10000,(Inputs!$E20+(Inputs!$F20-Inputs!$E20)*2)*10000)/10000</f>
        <v>1.7918</v>
      </c>
      <c r="FN20" s="264">
        <f>RANDBETWEEN((Inputs!$E20-(Inputs!$E20-Inputs!$D20)*2)*10000,(Inputs!$E20+(Inputs!$F20-Inputs!$E20)*2)*10000)/10000</f>
        <v>1.6779</v>
      </c>
      <c r="FO20" s="264">
        <f>RANDBETWEEN((Inputs!$E20-(Inputs!$E20-Inputs!$D20)*2)*10000,(Inputs!$E20+(Inputs!$F20-Inputs!$E20)*2)*10000)/10000</f>
        <v>1.8666</v>
      </c>
      <c r="FP20" s="264">
        <f>RANDBETWEEN((Inputs!$E20-(Inputs!$E20-Inputs!$D20)*2)*10000,(Inputs!$E20+(Inputs!$F20-Inputs!$E20)*2)*10000)/10000</f>
        <v>1.2731</v>
      </c>
      <c r="FQ20" s="264">
        <f>RANDBETWEEN((Inputs!$E20-(Inputs!$E20-Inputs!$D20)*2)*10000,(Inputs!$E20+(Inputs!$F20-Inputs!$E20)*2)*10000)/10000</f>
        <v>1.7478</v>
      </c>
      <c r="FR20" s="264">
        <f>RANDBETWEEN((Inputs!$E20-(Inputs!$E20-Inputs!$D20)*2)*10000,(Inputs!$E20+(Inputs!$F20-Inputs!$E20)*2)*10000)/10000</f>
        <v>1.039</v>
      </c>
      <c r="FS20" s="264">
        <f>RANDBETWEEN((Inputs!$E20-(Inputs!$E20-Inputs!$D20)*2)*10000,(Inputs!$E20+(Inputs!$F20-Inputs!$E20)*2)*10000)/10000</f>
        <v>1.4836</v>
      </c>
      <c r="FT20" s="264">
        <f>RANDBETWEEN((Inputs!$E20-(Inputs!$E20-Inputs!$D20)*2)*10000,(Inputs!$E20+(Inputs!$F20-Inputs!$E20)*2)*10000)/10000</f>
        <v>1.9876</v>
      </c>
      <c r="FU20" s="264">
        <f>RANDBETWEEN((Inputs!$E20-(Inputs!$E20-Inputs!$D20)*2)*10000,(Inputs!$E20+(Inputs!$F20-Inputs!$E20)*2)*10000)/10000</f>
        <v>1.4612</v>
      </c>
      <c r="FV20" s="264">
        <f>RANDBETWEEN((Inputs!$E20-(Inputs!$E20-Inputs!$D20)*2)*10000,(Inputs!$E20+(Inputs!$F20-Inputs!$E20)*2)*10000)/10000</f>
        <v>1.1066</v>
      </c>
      <c r="FW20" s="264">
        <f>RANDBETWEEN((Inputs!$E20-(Inputs!$E20-Inputs!$D20)*2)*10000,(Inputs!$E20+(Inputs!$F20-Inputs!$E20)*2)*10000)/10000</f>
        <v>1.8975</v>
      </c>
      <c r="FX20" s="264">
        <f>RANDBETWEEN((Inputs!$E20-(Inputs!$E20-Inputs!$D20)*2)*10000,(Inputs!$E20+(Inputs!$F20-Inputs!$E20)*2)*10000)/10000</f>
        <v>1.3855</v>
      </c>
      <c r="FY20" s="264">
        <f>RANDBETWEEN((Inputs!$E20-(Inputs!$E20-Inputs!$D20)*2)*10000,(Inputs!$E20+(Inputs!$F20-Inputs!$E20)*2)*10000)/10000</f>
        <v>2.0088</v>
      </c>
      <c r="FZ20" s="264">
        <f>RANDBETWEEN((Inputs!$E20-(Inputs!$E20-Inputs!$D20)*2)*10000,(Inputs!$E20+(Inputs!$F20-Inputs!$E20)*2)*10000)/10000</f>
        <v>1.5294</v>
      </c>
      <c r="GA20" s="264">
        <f>RANDBETWEEN((Inputs!$E20-(Inputs!$E20-Inputs!$D20)*2)*10000,(Inputs!$E20+(Inputs!$F20-Inputs!$E20)*2)*10000)/10000</f>
        <v>1.3685</v>
      </c>
      <c r="GB20" s="264">
        <f>RANDBETWEEN((Inputs!$E20-(Inputs!$E20-Inputs!$D20)*2)*10000,(Inputs!$E20+(Inputs!$F20-Inputs!$E20)*2)*10000)/10000</f>
        <v>0.8881</v>
      </c>
      <c r="GC20" s="264">
        <f>RANDBETWEEN((Inputs!$E20-(Inputs!$E20-Inputs!$D20)*2)*10000,(Inputs!$E20+(Inputs!$F20-Inputs!$E20)*2)*10000)/10000</f>
        <v>1.5139</v>
      </c>
      <c r="GD20" s="264">
        <f>RANDBETWEEN((Inputs!$E20-(Inputs!$E20-Inputs!$D20)*2)*10000,(Inputs!$E20+(Inputs!$F20-Inputs!$E20)*2)*10000)/10000</f>
        <v>1.937</v>
      </c>
      <c r="GE20" s="264">
        <f>RANDBETWEEN((Inputs!$E20-(Inputs!$E20-Inputs!$D20)*2)*10000,(Inputs!$E20+(Inputs!$F20-Inputs!$E20)*2)*10000)/10000</f>
        <v>0.8254</v>
      </c>
      <c r="GF20" s="264">
        <f>RANDBETWEEN((Inputs!$E20-(Inputs!$E20-Inputs!$D20)*2)*10000,(Inputs!$E20+(Inputs!$F20-Inputs!$E20)*2)*10000)/10000</f>
        <v>1.224</v>
      </c>
      <c r="GG20" s="264">
        <f>RANDBETWEEN((Inputs!$E20-(Inputs!$E20-Inputs!$D20)*2)*10000,(Inputs!$E20+(Inputs!$F20-Inputs!$E20)*2)*10000)/10000</f>
        <v>1.6333</v>
      </c>
      <c r="GH20" s="264">
        <f>RANDBETWEEN((Inputs!$E20-(Inputs!$E20-Inputs!$D20)*2)*10000,(Inputs!$E20+(Inputs!$F20-Inputs!$E20)*2)*10000)/10000</f>
        <v>2.1201</v>
      </c>
      <c r="GI20" s="264">
        <f>RANDBETWEEN((Inputs!$E20-(Inputs!$E20-Inputs!$D20)*2)*10000,(Inputs!$E20+(Inputs!$F20-Inputs!$E20)*2)*10000)/10000</f>
        <v>0.8143</v>
      </c>
      <c r="GJ20" s="264">
        <f>RANDBETWEEN((Inputs!$E20-(Inputs!$E20-Inputs!$D20)*2)*10000,(Inputs!$E20+(Inputs!$F20-Inputs!$E20)*2)*10000)/10000</f>
        <v>1.6226</v>
      </c>
      <c r="GK20" s="264">
        <f>RANDBETWEEN((Inputs!$E20-(Inputs!$E20-Inputs!$D20)*2)*10000,(Inputs!$E20+(Inputs!$F20-Inputs!$E20)*2)*10000)/10000</f>
        <v>1.9587</v>
      </c>
      <c r="GL20" s="264">
        <f>RANDBETWEEN((Inputs!$E20-(Inputs!$E20-Inputs!$D20)*2)*10000,(Inputs!$E20+(Inputs!$F20-Inputs!$E20)*2)*10000)/10000</f>
        <v>1.0206</v>
      </c>
      <c r="GM20" s="264">
        <f>RANDBETWEEN((Inputs!$E20-(Inputs!$E20-Inputs!$D20)*2)*10000,(Inputs!$E20+(Inputs!$F20-Inputs!$E20)*2)*10000)/10000</f>
        <v>0.952</v>
      </c>
      <c r="GN20" s="264">
        <f>RANDBETWEEN((Inputs!$E20-(Inputs!$E20-Inputs!$D20)*2)*10000,(Inputs!$E20+(Inputs!$F20-Inputs!$E20)*2)*10000)/10000</f>
        <v>1.7218</v>
      </c>
      <c r="GO20" s="264">
        <f>RANDBETWEEN((Inputs!$E20-(Inputs!$E20-Inputs!$D20)*2)*10000,(Inputs!$E20+(Inputs!$F20-Inputs!$E20)*2)*10000)/10000</f>
        <v>0.7839</v>
      </c>
      <c r="GP20" s="264">
        <f>RANDBETWEEN((Inputs!$E20-(Inputs!$E20-Inputs!$D20)*2)*10000,(Inputs!$E20+(Inputs!$F20-Inputs!$E20)*2)*10000)/10000</f>
        <v>0.778</v>
      </c>
      <c r="GQ20" s="264">
        <f>RANDBETWEEN((Inputs!$E20-(Inputs!$E20-Inputs!$D20)*2)*10000,(Inputs!$E20+(Inputs!$F20-Inputs!$E20)*2)*10000)/10000</f>
        <v>1.0021</v>
      </c>
      <c r="GR20" s="264">
        <f>RANDBETWEEN((Inputs!$E20-(Inputs!$E20-Inputs!$D20)*2)*10000,(Inputs!$E20+(Inputs!$F20-Inputs!$E20)*2)*10000)/10000</f>
        <v>1.5667</v>
      </c>
      <c r="GS20" s="264">
        <f>RANDBETWEEN((Inputs!$E20-(Inputs!$E20-Inputs!$D20)*2)*10000,(Inputs!$E20+(Inputs!$F20-Inputs!$E20)*2)*10000)/10000</f>
        <v>1.5133</v>
      </c>
      <c r="GT20" s="264">
        <f>RANDBETWEEN((Inputs!$E20-(Inputs!$E20-Inputs!$D20)*2)*10000,(Inputs!$E20+(Inputs!$F20-Inputs!$E20)*2)*10000)/10000</f>
        <v>0.8017</v>
      </c>
      <c r="GU20" s="264">
        <f>RANDBETWEEN((Inputs!$E20-(Inputs!$E20-Inputs!$D20)*2)*10000,(Inputs!$E20+(Inputs!$F20-Inputs!$E20)*2)*10000)/10000</f>
        <v>1.0387</v>
      </c>
      <c r="GV20" s="264">
        <f>RANDBETWEEN((Inputs!$E20-(Inputs!$E20-Inputs!$D20)*2)*10000,(Inputs!$E20+(Inputs!$F20-Inputs!$E20)*2)*10000)/10000</f>
        <v>0.8698</v>
      </c>
      <c r="GW20" s="264">
        <f>RANDBETWEEN((Inputs!$E20-(Inputs!$E20-Inputs!$D20)*2)*10000,(Inputs!$E20+(Inputs!$F20-Inputs!$E20)*2)*10000)/10000</f>
        <v>1.2617</v>
      </c>
      <c r="GX20" s="264">
        <f>RANDBETWEEN((Inputs!$E20-(Inputs!$E20-Inputs!$D20)*2)*10000,(Inputs!$E20+(Inputs!$F20-Inputs!$E20)*2)*10000)/10000</f>
        <v>1.5099</v>
      </c>
      <c r="GY20" s="264">
        <f>RANDBETWEEN((Inputs!$E20-(Inputs!$E20-Inputs!$D20)*2)*10000,(Inputs!$E20+(Inputs!$F20-Inputs!$E20)*2)*10000)/10000</f>
        <v>0.8817</v>
      </c>
      <c r="GZ20" s="264">
        <f>RANDBETWEEN((Inputs!$E20-(Inputs!$E20-Inputs!$D20)*2)*10000,(Inputs!$E20+(Inputs!$F20-Inputs!$E20)*2)*10000)/10000</f>
        <v>2.0216</v>
      </c>
      <c r="HA20" s="264">
        <f>RANDBETWEEN((Inputs!$E20-(Inputs!$E20-Inputs!$D20)*2)*10000,(Inputs!$E20+(Inputs!$F20-Inputs!$E20)*2)*10000)/10000</f>
        <v>1.3412</v>
      </c>
      <c r="HB20" s="264">
        <f>RANDBETWEEN((Inputs!$E20-(Inputs!$E20-Inputs!$D20)*2)*10000,(Inputs!$E20+(Inputs!$F20-Inputs!$E20)*2)*10000)/10000</f>
        <v>1.0376</v>
      </c>
      <c r="HC20" s="264">
        <f>RANDBETWEEN((Inputs!$E20-(Inputs!$E20-Inputs!$D20)*2)*10000,(Inputs!$E20+(Inputs!$F20-Inputs!$E20)*2)*10000)/10000</f>
        <v>1.7472</v>
      </c>
      <c r="HD20" s="264">
        <f>RANDBETWEEN((Inputs!$E20-(Inputs!$E20-Inputs!$D20)*2)*10000,(Inputs!$E20+(Inputs!$F20-Inputs!$E20)*2)*10000)/10000</f>
        <v>1.9748</v>
      </c>
      <c r="HE20" s="264">
        <f>RANDBETWEEN((Inputs!$E20-(Inputs!$E20-Inputs!$D20)*2)*10000,(Inputs!$E20+(Inputs!$F20-Inputs!$E20)*2)*10000)/10000</f>
        <v>1.8739</v>
      </c>
      <c r="HF20" s="264">
        <f>RANDBETWEEN((Inputs!$E20-(Inputs!$E20-Inputs!$D20)*2)*10000,(Inputs!$E20+(Inputs!$F20-Inputs!$E20)*2)*10000)/10000</f>
        <v>0.816</v>
      </c>
      <c r="HG20" s="264">
        <f>RANDBETWEEN((Inputs!$E20-(Inputs!$E20-Inputs!$D20)*2)*10000,(Inputs!$E20+(Inputs!$F20-Inputs!$E20)*2)*10000)/10000</f>
        <v>1.4405</v>
      </c>
      <c r="HH20" s="264">
        <f>RANDBETWEEN((Inputs!$E20-(Inputs!$E20-Inputs!$D20)*2)*10000,(Inputs!$E20+(Inputs!$F20-Inputs!$E20)*2)*10000)/10000</f>
        <v>1.207</v>
      </c>
      <c r="HI20" s="264">
        <f>RANDBETWEEN((Inputs!$E20-(Inputs!$E20-Inputs!$D20)*2)*10000,(Inputs!$E20+(Inputs!$F20-Inputs!$E20)*2)*10000)/10000</f>
        <v>1.6769</v>
      </c>
      <c r="HJ20" s="264">
        <f>RANDBETWEEN((Inputs!$E20-(Inputs!$E20-Inputs!$D20)*2)*10000,(Inputs!$E20+(Inputs!$F20-Inputs!$E20)*2)*10000)/10000</f>
        <v>1.8408</v>
      </c>
      <c r="HK20" s="264">
        <f>RANDBETWEEN((Inputs!$E20-(Inputs!$E20-Inputs!$D20)*2)*10000,(Inputs!$E20+(Inputs!$F20-Inputs!$E20)*2)*10000)/10000</f>
        <v>1.796</v>
      </c>
      <c r="HL20" s="264">
        <f>RANDBETWEEN((Inputs!$E20-(Inputs!$E20-Inputs!$D20)*2)*10000,(Inputs!$E20+(Inputs!$F20-Inputs!$E20)*2)*10000)/10000</f>
        <v>1.9051</v>
      </c>
      <c r="HM20" s="264">
        <f>RANDBETWEEN((Inputs!$E20-(Inputs!$E20-Inputs!$D20)*2)*10000,(Inputs!$E20+(Inputs!$F20-Inputs!$E20)*2)*10000)/10000</f>
        <v>2.0214</v>
      </c>
      <c r="HN20" s="264">
        <f>RANDBETWEEN((Inputs!$E20-(Inputs!$E20-Inputs!$D20)*2)*10000,(Inputs!$E20+(Inputs!$F20-Inputs!$E20)*2)*10000)/10000</f>
        <v>1.088</v>
      </c>
      <c r="HO20" s="264">
        <f>RANDBETWEEN((Inputs!$E20-(Inputs!$E20-Inputs!$D20)*2)*10000,(Inputs!$E20+(Inputs!$F20-Inputs!$E20)*2)*10000)/10000</f>
        <v>0.9159</v>
      </c>
      <c r="HP20" s="264">
        <f>RANDBETWEEN((Inputs!$E20-(Inputs!$E20-Inputs!$D20)*2)*10000,(Inputs!$E20+(Inputs!$F20-Inputs!$E20)*2)*10000)/10000</f>
        <v>1.3063</v>
      </c>
      <c r="HQ20" s="264">
        <f>RANDBETWEEN((Inputs!$E20-(Inputs!$E20-Inputs!$D20)*2)*10000,(Inputs!$E20+(Inputs!$F20-Inputs!$E20)*2)*10000)/10000</f>
        <v>1.174</v>
      </c>
      <c r="HR20" s="264">
        <f>RANDBETWEEN((Inputs!$E20-(Inputs!$E20-Inputs!$D20)*2)*10000,(Inputs!$E20+(Inputs!$F20-Inputs!$E20)*2)*10000)/10000</f>
        <v>1.7708</v>
      </c>
      <c r="HS20" s="264">
        <f>RANDBETWEEN((Inputs!$E20-(Inputs!$E20-Inputs!$D20)*2)*10000,(Inputs!$E20+(Inputs!$F20-Inputs!$E20)*2)*10000)/10000</f>
        <v>1.9679</v>
      </c>
      <c r="HT20" s="264">
        <f>RANDBETWEEN((Inputs!$E20-(Inputs!$E20-Inputs!$D20)*2)*10000,(Inputs!$E20+(Inputs!$F20-Inputs!$E20)*2)*10000)/10000</f>
        <v>1.5745</v>
      </c>
      <c r="HU20" s="264">
        <f>RANDBETWEEN((Inputs!$E20-(Inputs!$E20-Inputs!$D20)*2)*10000,(Inputs!$E20+(Inputs!$F20-Inputs!$E20)*2)*10000)/10000</f>
        <v>1.8806</v>
      </c>
      <c r="HV20" s="264">
        <f>RANDBETWEEN((Inputs!$E20-(Inputs!$E20-Inputs!$D20)*2)*10000,(Inputs!$E20+(Inputs!$F20-Inputs!$E20)*2)*10000)/10000</f>
        <v>1.6807</v>
      </c>
      <c r="HW20" s="264">
        <f>RANDBETWEEN((Inputs!$E20-(Inputs!$E20-Inputs!$D20)*2)*10000,(Inputs!$E20+(Inputs!$F20-Inputs!$E20)*2)*10000)/10000</f>
        <v>1.1537</v>
      </c>
      <c r="HX20" s="264">
        <f>RANDBETWEEN((Inputs!$E20-(Inputs!$E20-Inputs!$D20)*2)*10000,(Inputs!$E20+(Inputs!$F20-Inputs!$E20)*2)*10000)/10000</f>
        <v>1.3026</v>
      </c>
      <c r="HY20" s="264">
        <f>RANDBETWEEN((Inputs!$E20-(Inputs!$E20-Inputs!$D20)*2)*10000,(Inputs!$E20+(Inputs!$F20-Inputs!$E20)*2)*10000)/10000</f>
        <v>1.9568</v>
      </c>
      <c r="HZ20" s="264">
        <f>RANDBETWEEN((Inputs!$E20-(Inputs!$E20-Inputs!$D20)*2)*10000,(Inputs!$E20+(Inputs!$F20-Inputs!$E20)*2)*10000)/10000</f>
        <v>1.0361</v>
      </c>
      <c r="IA20" s="264">
        <f>RANDBETWEEN((Inputs!$E20-(Inputs!$E20-Inputs!$D20)*2)*10000,(Inputs!$E20+(Inputs!$F20-Inputs!$E20)*2)*10000)/10000</f>
        <v>1.2877</v>
      </c>
      <c r="IB20" s="264">
        <f>RANDBETWEEN((Inputs!$E20-(Inputs!$E20-Inputs!$D20)*2)*10000,(Inputs!$E20+(Inputs!$F20-Inputs!$E20)*2)*10000)/10000</f>
        <v>1.926</v>
      </c>
      <c r="IC20" s="264">
        <f>RANDBETWEEN((Inputs!$E20-(Inputs!$E20-Inputs!$D20)*2)*10000,(Inputs!$E20+(Inputs!$F20-Inputs!$E20)*2)*10000)/10000</f>
        <v>0.8981</v>
      </c>
      <c r="ID20" s="264">
        <f>RANDBETWEEN((Inputs!$E20-(Inputs!$E20-Inputs!$D20)*2)*10000,(Inputs!$E20+(Inputs!$F20-Inputs!$E20)*2)*10000)/10000</f>
        <v>0.9805</v>
      </c>
      <c r="IE20" s="264">
        <f>RANDBETWEEN((Inputs!$E20-(Inputs!$E20-Inputs!$D20)*2)*10000,(Inputs!$E20+(Inputs!$F20-Inputs!$E20)*2)*10000)/10000</f>
        <v>0.9541</v>
      </c>
      <c r="IF20" s="264">
        <f>RANDBETWEEN((Inputs!$E20-(Inputs!$E20-Inputs!$D20)*2)*10000,(Inputs!$E20+(Inputs!$F20-Inputs!$E20)*2)*10000)/10000</f>
        <v>1.0821</v>
      </c>
      <c r="IG20" s="264">
        <f>RANDBETWEEN((Inputs!$E20-(Inputs!$E20-Inputs!$D20)*2)*10000,(Inputs!$E20+(Inputs!$F20-Inputs!$E20)*2)*10000)/10000</f>
        <v>2.0784</v>
      </c>
      <c r="IH20" s="264">
        <f>RANDBETWEEN((Inputs!$E20-(Inputs!$E20-Inputs!$D20)*2)*10000,(Inputs!$E20+(Inputs!$F20-Inputs!$E20)*2)*10000)/10000</f>
        <v>1.4724</v>
      </c>
      <c r="II20" s="264">
        <f>RANDBETWEEN((Inputs!$E20-(Inputs!$E20-Inputs!$D20)*2)*10000,(Inputs!$E20+(Inputs!$F20-Inputs!$E20)*2)*10000)/10000</f>
        <v>1.7843</v>
      </c>
      <c r="IJ20" s="264">
        <f>RANDBETWEEN((Inputs!$E20-(Inputs!$E20-Inputs!$D20)*2)*10000,(Inputs!$E20+(Inputs!$F20-Inputs!$E20)*2)*10000)/10000</f>
        <v>0.975</v>
      </c>
      <c r="IK20" s="264">
        <f>RANDBETWEEN((Inputs!$E20-(Inputs!$E20-Inputs!$D20)*2)*10000,(Inputs!$E20+(Inputs!$F20-Inputs!$E20)*2)*10000)/10000</f>
        <v>1.0062</v>
      </c>
      <c r="IL20" s="264">
        <f>RANDBETWEEN((Inputs!$E20-(Inputs!$E20-Inputs!$D20)*2)*10000,(Inputs!$E20+(Inputs!$F20-Inputs!$E20)*2)*10000)/10000</f>
        <v>1.3151</v>
      </c>
      <c r="IM20" s="264">
        <f>RANDBETWEEN((Inputs!$E20-(Inputs!$E20-Inputs!$D20)*2)*10000,(Inputs!$E20+(Inputs!$F20-Inputs!$E20)*2)*10000)/10000</f>
        <v>1.6569</v>
      </c>
      <c r="IN20" s="264">
        <f>RANDBETWEEN((Inputs!$E20-(Inputs!$E20-Inputs!$D20)*2)*10000,(Inputs!$E20+(Inputs!$F20-Inputs!$E20)*2)*10000)/10000</f>
        <v>0.8074</v>
      </c>
      <c r="IO20" s="264">
        <f>RANDBETWEEN((Inputs!$E20-(Inputs!$E20-Inputs!$D20)*2)*10000,(Inputs!$E20+(Inputs!$F20-Inputs!$E20)*2)*10000)/10000</f>
        <v>0.7259</v>
      </c>
      <c r="IP20" s="264">
        <f>RANDBETWEEN((Inputs!$E20-(Inputs!$E20-Inputs!$D20)*2)*10000,(Inputs!$E20+(Inputs!$F20-Inputs!$E20)*2)*10000)/10000</f>
        <v>1.0911</v>
      </c>
      <c r="IQ20" s="264">
        <f>RANDBETWEEN((Inputs!$E20-(Inputs!$E20-Inputs!$D20)*2)*10000,(Inputs!$E20+(Inputs!$F20-Inputs!$E20)*2)*10000)/10000</f>
        <v>1.1045</v>
      </c>
      <c r="IR20" s="264">
        <f>RANDBETWEEN((Inputs!$E20-(Inputs!$E20-Inputs!$D20)*2)*10000,(Inputs!$E20+(Inputs!$F20-Inputs!$E20)*2)*10000)/10000</f>
        <v>2.062</v>
      </c>
      <c r="IS20" s="264">
        <f>RANDBETWEEN((Inputs!$E20-(Inputs!$E20-Inputs!$D20)*2)*10000,(Inputs!$E20+(Inputs!$F20-Inputs!$E20)*2)*10000)/10000</f>
        <v>1.1289</v>
      </c>
      <c r="IT20" s="264">
        <f>RANDBETWEEN((Inputs!$E20-(Inputs!$E20-Inputs!$D20)*2)*10000,(Inputs!$E20+(Inputs!$F20-Inputs!$E20)*2)*10000)/10000</f>
        <v>1.698</v>
      </c>
      <c r="IU20" s="264">
        <f>RANDBETWEEN((Inputs!$E20-(Inputs!$E20-Inputs!$D20)*2)*10000,(Inputs!$E20+(Inputs!$F20-Inputs!$E20)*2)*10000)/10000</f>
        <v>1.5286</v>
      </c>
      <c r="IV20" s="264">
        <f>RANDBETWEEN((Inputs!$E20-(Inputs!$E20-Inputs!$D20)*2)*10000,(Inputs!$E20+(Inputs!$F20-Inputs!$E20)*2)*10000)/10000</f>
        <v>1.5608</v>
      </c>
      <c r="IW20" s="264">
        <f>RANDBETWEEN((Inputs!$E20-(Inputs!$E20-Inputs!$D20)*2)*10000,(Inputs!$E20+(Inputs!$F20-Inputs!$E20)*2)*10000)/10000</f>
        <v>1.4827</v>
      </c>
      <c r="IX20" s="264">
        <f>RANDBETWEEN((Inputs!$E20-(Inputs!$E20-Inputs!$D20)*2)*10000,(Inputs!$E20+(Inputs!$F20-Inputs!$E20)*2)*10000)/10000</f>
        <v>1.5548</v>
      </c>
      <c r="IY20" s="264">
        <f>RANDBETWEEN((Inputs!$E20-(Inputs!$E20-Inputs!$D20)*2)*10000,(Inputs!$E20+(Inputs!$F20-Inputs!$E20)*2)*10000)/10000</f>
        <v>1.6592</v>
      </c>
      <c r="IZ20" s="264">
        <f>RANDBETWEEN((Inputs!$E20-(Inputs!$E20-Inputs!$D20)*2)*10000,(Inputs!$E20+(Inputs!$F20-Inputs!$E20)*2)*10000)/10000</f>
        <v>1.9858</v>
      </c>
      <c r="JA20" s="264">
        <f>RANDBETWEEN((Inputs!$E20-(Inputs!$E20-Inputs!$D20)*2)*10000,(Inputs!$E20+(Inputs!$F20-Inputs!$E20)*2)*10000)/10000</f>
        <v>1.6503</v>
      </c>
      <c r="JB20" s="264">
        <f>RANDBETWEEN((Inputs!$E20-(Inputs!$E20-Inputs!$D20)*2)*10000,(Inputs!$E20+(Inputs!$F20-Inputs!$E20)*2)*10000)/10000</f>
        <v>1.2704</v>
      </c>
      <c r="JC20" s="264">
        <f>RANDBETWEEN((Inputs!$E20-(Inputs!$E20-Inputs!$D20)*2)*10000,(Inputs!$E20+(Inputs!$F20-Inputs!$E20)*2)*10000)/10000</f>
        <v>2.0397</v>
      </c>
      <c r="JD20" s="264">
        <f>RANDBETWEEN((Inputs!$E20-(Inputs!$E20-Inputs!$D20)*2)*10000,(Inputs!$E20+(Inputs!$F20-Inputs!$E20)*2)*10000)/10000</f>
        <v>2.0806</v>
      </c>
      <c r="JE20" s="264">
        <f>RANDBETWEEN((Inputs!$E20-(Inputs!$E20-Inputs!$D20)*2)*10000,(Inputs!$E20+(Inputs!$F20-Inputs!$E20)*2)*10000)/10000</f>
        <v>0.759</v>
      </c>
      <c r="JF20" s="264">
        <f>RANDBETWEEN((Inputs!$E20-(Inputs!$E20-Inputs!$D20)*2)*10000,(Inputs!$E20+(Inputs!$F20-Inputs!$E20)*2)*10000)/10000</f>
        <v>1.1297</v>
      </c>
      <c r="JG20" s="264">
        <f>RANDBETWEEN((Inputs!$E20-(Inputs!$E20-Inputs!$D20)*2)*10000,(Inputs!$E20+(Inputs!$F20-Inputs!$E20)*2)*10000)/10000</f>
        <v>1.8606</v>
      </c>
      <c r="JH20" s="264">
        <f>RANDBETWEEN((Inputs!$E20-(Inputs!$E20-Inputs!$D20)*2)*10000,(Inputs!$E20+(Inputs!$F20-Inputs!$E20)*2)*10000)/10000</f>
        <v>1.6291</v>
      </c>
      <c r="JI20" s="264">
        <f>RANDBETWEEN((Inputs!$E20-(Inputs!$E20-Inputs!$D20)*2)*10000,(Inputs!$E20+(Inputs!$F20-Inputs!$E20)*2)*10000)/10000</f>
        <v>1.8075</v>
      </c>
      <c r="JJ20" s="264">
        <f>RANDBETWEEN((Inputs!$E20-(Inputs!$E20-Inputs!$D20)*2)*10000,(Inputs!$E20+(Inputs!$F20-Inputs!$E20)*2)*10000)/10000</f>
        <v>2.0406</v>
      </c>
      <c r="JK20" s="264">
        <f>RANDBETWEEN((Inputs!$E20-(Inputs!$E20-Inputs!$D20)*2)*10000,(Inputs!$E20+(Inputs!$F20-Inputs!$E20)*2)*10000)/10000</f>
        <v>1.8727</v>
      </c>
      <c r="JL20" s="264">
        <f>RANDBETWEEN((Inputs!$E20-(Inputs!$E20-Inputs!$D20)*2)*10000,(Inputs!$E20+(Inputs!$F20-Inputs!$E20)*2)*10000)/10000</f>
        <v>1.1965</v>
      </c>
      <c r="JM20" s="264">
        <f>RANDBETWEEN((Inputs!$E20-(Inputs!$E20-Inputs!$D20)*2)*10000,(Inputs!$E20+(Inputs!$F20-Inputs!$E20)*2)*10000)/10000</f>
        <v>0.7994</v>
      </c>
      <c r="JN20" s="264">
        <f>RANDBETWEEN((Inputs!$E20-(Inputs!$E20-Inputs!$D20)*2)*10000,(Inputs!$E20+(Inputs!$F20-Inputs!$E20)*2)*10000)/10000</f>
        <v>0.8447</v>
      </c>
      <c r="JO20" s="264">
        <f>RANDBETWEEN((Inputs!$E20-(Inputs!$E20-Inputs!$D20)*2)*10000,(Inputs!$E20+(Inputs!$F20-Inputs!$E20)*2)*10000)/10000</f>
        <v>1.7389</v>
      </c>
      <c r="JP20" s="264">
        <f>RANDBETWEEN((Inputs!$E20-(Inputs!$E20-Inputs!$D20)*2)*10000,(Inputs!$E20+(Inputs!$F20-Inputs!$E20)*2)*10000)/10000</f>
        <v>1.2548</v>
      </c>
      <c r="JQ20" s="264">
        <f>RANDBETWEEN((Inputs!$E20-(Inputs!$E20-Inputs!$D20)*2)*10000,(Inputs!$E20+(Inputs!$F20-Inputs!$E20)*2)*10000)/10000</f>
        <v>0.7455</v>
      </c>
      <c r="JR20" s="264">
        <f>RANDBETWEEN((Inputs!$E20-(Inputs!$E20-Inputs!$D20)*2)*10000,(Inputs!$E20+(Inputs!$F20-Inputs!$E20)*2)*10000)/10000</f>
        <v>1.3227</v>
      </c>
      <c r="JS20" s="264">
        <f>RANDBETWEEN((Inputs!$E20-(Inputs!$E20-Inputs!$D20)*2)*10000,(Inputs!$E20+(Inputs!$F20-Inputs!$E20)*2)*10000)/10000</f>
        <v>1.0289</v>
      </c>
      <c r="JT20" s="264">
        <f>RANDBETWEEN((Inputs!$E20-(Inputs!$E20-Inputs!$D20)*2)*10000,(Inputs!$E20+(Inputs!$F20-Inputs!$E20)*2)*10000)/10000</f>
        <v>1.509</v>
      </c>
      <c r="JU20" s="264">
        <f>RANDBETWEEN((Inputs!$E20-(Inputs!$E20-Inputs!$D20)*2)*10000,(Inputs!$E20+(Inputs!$F20-Inputs!$E20)*2)*10000)/10000</f>
        <v>1.919</v>
      </c>
      <c r="JV20" s="264">
        <f>RANDBETWEEN((Inputs!$E20-(Inputs!$E20-Inputs!$D20)*2)*10000,(Inputs!$E20+(Inputs!$F20-Inputs!$E20)*2)*10000)/10000</f>
        <v>1.459</v>
      </c>
      <c r="JW20" s="264">
        <f>RANDBETWEEN((Inputs!$E20-(Inputs!$E20-Inputs!$D20)*2)*10000,(Inputs!$E20+(Inputs!$F20-Inputs!$E20)*2)*10000)/10000</f>
        <v>0.7613</v>
      </c>
      <c r="JX20" s="264">
        <f>RANDBETWEEN((Inputs!$E20-(Inputs!$E20-Inputs!$D20)*2)*10000,(Inputs!$E20+(Inputs!$F20-Inputs!$E20)*2)*10000)/10000</f>
        <v>0.7227</v>
      </c>
      <c r="JY20" s="264">
        <f>RANDBETWEEN((Inputs!$E20-(Inputs!$E20-Inputs!$D20)*2)*10000,(Inputs!$E20+(Inputs!$F20-Inputs!$E20)*2)*10000)/10000</f>
        <v>1.7871</v>
      </c>
      <c r="JZ20" s="264">
        <f>RANDBETWEEN((Inputs!$E20-(Inputs!$E20-Inputs!$D20)*2)*10000,(Inputs!$E20+(Inputs!$F20-Inputs!$E20)*2)*10000)/10000</f>
        <v>2.1487</v>
      </c>
      <c r="KA20" s="264">
        <f>RANDBETWEEN((Inputs!$E20-(Inputs!$E20-Inputs!$D20)*2)*10000,(Inputs!$E20+(Inputs!$F20-Inputs!$E20)*2)*10000)/10000</f>
        <v>1.6935</v>
      </c>
      <c r="KB20" s="264">
        <f>RANDBETWEEN((Inputs!$E20-(Inputs!$E20-Inputs!$D20)*2)*10000,(Inputs!$E20+(Inputs!$F20-Inputs!$E20)*2)*10000)/10000</f>
        <v>1.5573</v>
      </c>
      <c r="KC20" s="264">
        <f>RANDBETWEEN((Inputs!$E20-(Inputs!$E20-Inputs!$D20)*2)*10000,(Inputs!$E20+(Inputs!$F20-Inputs!$E20)*2)*10000)/10000</f>
        <v>1.1135</v>
      </c>
      <c r="KD20" s="264">
        <f>RANDBETWEEN((Inputs!$E20-(Inputs!$E20-Inputs!$D20)*2)*10000,(Inputs!$E20+(Inputs!$F20-Inputs!$E20)*2)*10000)/10000</f>
        <v>0.9348</v>
      </c>
      <c r="KE20" s="264">
        <f>RANDBETWEEN((Inputs!$E20-(Inputs!$E20-Inputs!$D20)*2)*10000,(Inputs!$E20+(Inputs!$F20-Inputs!$E20)*2)*10000)/10000</f>
        <v>2.1057</v>
      </c>
      <c r="KF20" s="264">
        <f>RANDBETWEEN((Inputs!$E20-(Inputs!$E20-Inputs!$D20)*2)*10000,(Inputs!$E20+(Inputs!$F20-Inputs!$E20)*2)*10000)/10000</f>
        <v>2.152</v>
      </c>
      <c r="KG20" s="264">
        <f>RANDBETWEEN((Inputs!$E20-(Inputs!$E20-Inputs!$D20)*2)*10000,(Inputs!$E20+(Inputs!$F20-Inputs!$E20)*2)*10000)/10000</f>
        <v>1.0795</v>
      </c>
      <c r="KH20" s="264">
        <f>RANDBETWEEN((Inputs!$E20-(Inputs!$E20-Inputs!$D20)*2)*10000,(Inputs!$E20+(Inputs!$F20-Inputs!$E20)*2)*10000)/10000</f>
        <v>1.0388</v>
      </c>
      <c r="KI20" s="264">
        <f>RANDBETWEEN((Inputs!$E20-(Inputs!$E20-Inputs!$D20)*2)*10000,(Inputs!$E20+(Inputs!$F20-Inputs!$E20)*2)*10000)/10000</f>
        <v>1.5376</v>
      </c>
      <c r="KJ20" s="264">
        <f>RANDBETWEEN((Inputs!$E20-(Inputs!$E20-Inputs!$D20)*2)*10000,(Inputs!$E20+(Inputs!$F20-Inputs!$E20)*2)*10000)/10000</f>
        <v>1.5948</v>
      </c>
      <c r="KK20" s="264">
        <f>RANDBETWEEN((Inputs!$E20-(Inputs!$E20-Inputs!$D20)*2)*10000,(Inputs!$E20+(Inputs!$F20-Inputs!$E20)*2)*10000)/10000</f>
        <v>1.4685</v>
      </c>
      <c r="KL20" s="264">
        <f>RANDBETWEEN((Inputs!$E20-(Inputs!$E20-Inputs!$D20)*2)*10000,(Inputs!$E20+(Inputs!$F20-Inputs!$E20)*2)*10000)/10000</f>
        <v>1.0332</v>
      </c>
      <c r="KM20" s="264">
        <f>RANDBETWEEN((Inputs!$E20-(Inputs!$E20-Inputs!$D20)*2)*10000,(Inputs!$E20+(Inputs!$F20-Inputs!$E20)*2)*10000)/10000</f>
        <v>1.9351</v>
      </c>
      <c r="KN20" s="264">
        <f>RANDBETWEEN((Inputs!$E20-(Inputs!$E20-Inputs!$D20)*2)*10000,(Inputs!$E20+(Inputs!$F20-Inputs!$E20)*2)*10000)/10000</f>
        <v>1.3744</v>
      </c>
      <c r="KO20" s="264">
        <f>RANDBETWEEN((Inputs!$E20-(Inputs!$E20-Inputs!$D20)*2)*10000,(Inputs!$E20+(Inputs!$F20-Inputs!$E20)*2)*10000)/10000</f>
        <v>1.289</v>
      </c>
      <c r="KP20" s="264">
        <f>RANDBETWEEN((Inputs!$E20-(Inputs!$E20-Inputs!$D20)*2)*10000,(Inputs!$E20+(Inputs!$F20-Inputs!$E20)*2)*10000)/10000</f>
        <v>0.8787</v>
      </c>
      <c r="KQ20" s="264">
        <f>RANDBETWEEN((Inputs!$E20-(Inputs!$E20-Inputs!$D20)*2)*10000,(Inputs!$E20+(Inputs!$F20-Inputs!$E20)*2)*10000)/10000</f>
        <v>1.4633</v>
      </c>
      <c r="KR20" s="264">
        <f>RANDBETWEEN((Inputs!$E20-(Inputs!$E20-Inputs!$D20)*2)*10000,(Inputs!$E20+(Inputs!$F20-Inputs!$E20)*2)*10000)/10000</f>
        <v>0.8412</v>
      </c>
      <c r="KS20" s="264">
        <f>RANDBETWEEN((Inputs!$E20-(Inputs!$E20-Inputs!$D20)*2)*10000,(Inputs!$E20+(Inputs!$F20-Inputs!$E20)*2)*10000)/10000</f>
        <v>1.0842</v>
      </c>
      <c r="KT20" s="264">
        <f>RANDBETWEEN((Inputs!$E20-(Inputs!$E20-Inputs!$D20)*2)*10000,(Inputs!$E20+(Inputs!$F20-Inputs!$E20)*2)*10000)/10000</f>
        <v>1.7126</v>
      </c>
      <c r="KU20" s="264">
        <f>RANDBETWEEN((Inputs!$E20-(Inputs!$E20-Inputs!$D20)*2)*10000,(Inputs!$E20+(Inputs!$F20-Inputs!$E20)*2)*10000)/10000</f>
        <v>1.7291</v>
      </c>
      <c r="KV20" s="264">
        <f>RANDBETWEEN((Inputs!$E20-(Inputs!$E20-Inputs!$D20)*2)*10000,(Inputs!$E20+(Inputs!$F20-Inputs!$E20)*2)*10000)/10000</f>
        <v>1.0512</v>
      </c>
      <c r="KW20" s="264">
        <f>RANDBETWEEN((Inputs!$E20-(Inputs!$E20-Inputs!$D20)*2)*10000,(Inputs!$E20+(Inputs!$F20-Inputs!$E20)*2)*10000)/10000</f>
        <v>1.9284</v>
      </c>
      <c r="KX20" s="264">
        <f>RANDBETWEEN((Inputs!$E20-(Inputs!$E20-Inputs!$D20)*2)*10000,(Inputs!$E20+(Inputs!$F20-Inputs!$E20)*2)*10000)/10000</f>
        <v>1.7983</v>
      </c>
      <c r="KY20" s="264">
        <f>RANDBETWEEN((Inputs!$E20-(Inputs!$E20-Inputs!$D20)*2)*10000,(Inputs!$E20+(Inputs!$F20-Inputs!$E20)*2)*10000)/10000</f>
        <v>1.1078</v>
      </c>
      <c r="KZ20" s="264">
        <f>RANDBETWEEN((Inputs!$E20-(Inputs!$E20-Inputs!$D20)*2)*10000,(Inputs!$E20+(Inputs!$F20-Inputs!$E20)*2)*10000)/10000</f>
        <v>1.95</v>
      </c>
      <c r="LA20" s="264">
        <f>RANDBETWEEN((Inputs!$E20-(Inputs!$E20-Inputs!$D20)*2)*10000,(Inputs!$E20+(Inputs!$F20-Inputs!$E20)*2)*10000)/10000</f>
        <v>1.285</v>
      </c>
      <c r="LB20" s="264">
        <f>RANDBETWEEN((Inputs!$E20-(Inputs!$E20-Inputs!$D20)*2)*10000,(Inputs!$E20+(Inputs!$F20-Inputs!$E20)*2)*10000)/10000</f>
        <v>1.3259</v>
      </c>
      <c r="LC20" s="264">
        <f>RANDBETWEEN((Inputs!$E20-(Inputs!$E20-Inputs!$D20)*2)*10000,(Inputs!$E20+(Inputs!$F20-Inputs!$E20)*2)*10000)/10000</f>
        <v>1.2989</v>
      </c>
      <c r="LD20" s="264">
        <f>RANDBETWEEN((Inputs!$E20-(Inputs!$E20-Inputs!$D20)*2)*10000,(Inputs!$E20+(Inputs!$F20-Inputs!$E20)*2)*10000)/10000</f>
        <v>0.7793</v>
      </c>
      <c r="LE20" s="264">
        <f>RANDBETWEEN((Inputs!$E20-(Inputs!$E20-Inputs!$D20)*2)*10000,(Inputs!$E20+(Inputs!$F20-Inputs!$E20)*2)*10000)/10000</f>
        <v>1.9397</v>
      </c>
      <c r="LF20" s="264">
        <f>RANDBETWEEN((Inputs!$E20-(Inputs!$E20-Inputs!$D20)*2)*10000,(Inputs!$E20+(Inputs!$F20-Inputs!$E20)*2)*10000)/10000</f>
        <v>1.209</v>
      </c>
      <c r="LG20" s="264">
        <f>RANDBETWEEN((Inputs!$E20-(Inputs!$E20-Inputs!$D20)*2)*10000,(Inputs!$E20+(Inputs!$F20-Inputs!$E20)*2)*10000)/10000</f>
        <v>1.9495</v>
      </c>
      <c r="LH20" s="264">
        <f>RANDBETWEEN((Inputs!$E20-(Inputs!$E20-Inputs!$D20)*2)*10000,(Inputs!$E20+(Inputs!$F20-Inputs!$E20)*2)*10000)/10000</f>
        <v>1.284</v>
      </c>
      <c r="LI20" s="264">
        <f>RANDBETWEEN((Inputs!$E20-(Inputs!$E20-Inputs!$D20)*2)*10000,(Inputs!$E20+(Inputs!$F20-Inputs!$E20)*2)*10000)/10000</f>
        <v>2.1116</v>
      </c>
      <c r="LJ20" s="264">
        <f>RANDBETWEEN((Inputs!$E20-(Inputs!$E20-Inputs!$D20)*2)*10000,(Inputs!$E20+(Inputs!$F20-Inputs!$E20)*2)*10000)/10000</f>
        <v>0.7715</v>
      </c>
      <c r="LK20" s="264">
        <f>RANDBETWEEN((Inputs!$E20-(Inputs!$E20-Inputs!$D20)*2)*10000,(Inputs!$E20+(Inputs!$F20-Inputs!$E20)*2)*10000)/10000</f>
        <v>1.165</v>
      </c>
      <c r="LL20" s="264">
        <f>RANDBETWEEN((Inputs!$E20-(Inputs!$E20-Inputs!$D20)*2)*10000,(Inputs!$E20+(Inputs!$F20-Inputs!$E20)*2)*10000)/10000</f>
        <v>2.1102</v>
      </c>
      <c r="LM20" s="264">
        <f>RANDBETWEEN((Inputs!$E20-(Inputs!$E20-Inputs!$D20)*2)*10000,(Inputs!$E20+(Inputs!$F20-Inputs!$E20)*2)*10000)/10000</f>
        <v>1.4636</v>
      </c>
      <c r="LN20" s="264">
        <f>RANDBETWEEN((Inputs!$E20-(Inputs!$E20-Inputs!$D20)*2)*10000,(Inputs!$E20+(Inputs!$F20-Inputs!$E20)*2)*10000)/10000</f>
        <v>1.3377</v>
      </c>
      <c r="LO20" s="264">
        <f>RANDBETWEEN((Inputs!$E20-(Inputs!$E20-Inputs!$D20)*2)*10000,(Inputs!$E20+(Inputs!$F20-Inputs!$E20)*2)*10000)/10000</f>
        <v>2.1512</v>
      </c>
      <c r="LP20" s="264">
        <f>RANDBETWEEN((Inputs!$E20-(Inputs!$E20-Inputs!$D20)*2)*10000,(Inputs!$E20+(Inputs!$F20-Inputs!$E20)*2)*10000)/10000</f>
        <v>1.6568</v>
      </c>
      <c r="LQ20" s="264">
        <f>RANDBETWEEN((Inputs!$E20-(Inputs!$E20-Inputs!$D20)*2)*10000,(Inputs!$E20+(Inputs!$F20-Inputs!$E20)*2)*10000)/10000</f>
        <v>1.0594</v>
      </c>
      <c r="LR20" s="264">
        <f>RANDBETWEEN((Inputs!$E20-(Inputs!$E20-Inputs!$D20)*2)*10000,(Inputs!$E20+(Inputs!$F20-Inputs!$E20)*2)*10000)/10000</f>
        <v>1.4615</v>
      </c>
      <c r="LS20" s="264">
        <f>RANDBETWEEN((Inputs!$E20-(Inputs!$E20-Inputs!$D20)*2)*10000,(Inputs!$E20+(Inputs!$F20-Inputs!$E20)*2)*10000)/10000</f>
        <v>1.4998</v>
      </c>
      <c r="LT20" s="264">
        <f>RANDBETWEEN((Inputs!$E20-(Inputs!$E20-Inputs!$D20)*2)*10000,(Inputs!$E20+(Inputs!$F20-Inputs!$E20)*2)*10000)/10000</f>
        <v>1.8408</v>
      </c>
      <c r="LU20" s="264">
        <f>RANDBETWEEN((Inputs!$E20-(Inputs!$E20-Inputs!$D20)*2)*10000,(Inputs!$E20+(Inputs!$F20-Inputs!$E20)*2)*10000)/10000</f>
        <v>1.6282</v>
      </c>
      <c r="LV20" s="264">
        <f>RANDBETWEEN((Inputs!$E20-(Inputs!$E20-Inputs!$D20)*2)*10000,(Inputs!$E20+(Inputs!$F20-Inputs!$E20)*2)*10000)/10000</f>
        <v>1.3157</v>
      </c>
      <c r="LW20" s="264">
        <f>RANDBETWEEN((Inputs!$E20-(Inputs!$E20-Inputs!$D20)*2)*10000,(Inputs!$E20+(Inputs!$F20-Inputs!$E20)*2)*10000)/10000</f>
        <v>0.8202</v>
      </c>
      <c r="LX20" s="264">
        <f>RANDBETWEEN((Inputs!$E20-(Inputs!$E20-Inputs!$D20)*2)*10000,(Inputs!$E20+(Inputs!$F20-Inputs!$E20)*2)*10000)/10000</f>
        <v>0.883</v>
      </c>
      <c r="LY20" s="264">
        <f>RANDBETWEEN((Inputs!$E20-(Inputs!$E20-Inputs!$D20)*2)*10000,(Inputs!$E20+(Inputs!$F20-Inputs!$E20)*2)*10000)/10000</f>
        <v>1.2908</v>
      </c>
      <c r="LZ20" s="264">
        <f>RANDBETWEEN((Inputs!$E20-(Inputs!$E20-Inputs!$D20)*2)*10000,(Inputs!$E20+(Inputs!$F20-Inputs!$E20)*2)*10000)/10000</f>
        <v>1.755</v>
      </c>
      <c r="MA20" s="264">
        <f>RANDBETWEEN((Inputs!$E20-(Inputs!$E20-Inputs!$D20)*2)*10000,(Inputs!$E20+(Inputs!$F20-Inputs!$E20)*2)*10000)/10000</f>
        <v>1.0667</v>
      </c>
      <c r="MB20" s="264">
        <f>RANDBETWEEN((Inputs!$E20-(Inputs!$E20-Inputs!$D20)*2)*10000,(Inputs!$E20+(Inputs!$F20-Inputs!$E20)*2)*10000)/10000</f>
        <v>2.1206</v>
      </c>
      <c r="MC20" s="264">
        <f>RANDBETWEEN((Inputs!$E20-(Inputs!$E20-Inputs!$D20)*2)*10000,(Inputs!$E20+(Inputs!$F20-Inputs!$E20)*2)*10000)/10000</f>
        <v>1.5529</v>
      </c>
      <c r="MD20" s="264">
        <f>RANDBETWEEN((Inputs!$E20-(Inputs!$E20-Inputs!$D20)*2)*10000,(Inputs!$E20+(Inputs!$F20-Inputs!$E20)*2)*10000)/10000</f>
        <v>1.7345</v>
      </c>
      <c r="ME20" s="264">
        <f>RANDBETWEEN((Inputs!$E20-(Inputs!$E20-Inputs!$D20)*2)*10000,(Inputs!$E20+(Inputs!$F20-Inputs!$E20)*2)*10000)/10000</f>
        <v>0.87</v>
      </c>
      <c r="MF20" s="264">
        <f>RANDBETWEEN((Inputs!$E20-(Inputs!$E20-Inputs!$D20)*2)*10000,(Inputs!$E20+(Inputs!$F20-Inputs!$E20)*2)*10000)/10000</f>
        <v>0.7331</v>
      </c>
      <c r="MG20" s="264">
        <f>RANDBETWEEN((Inputs!$E20-(Inputs!$E20-Inputs!$D20)*2)*10000,(Inputs!$E20+(Inputs!$F20-Inputs!$E20)*2)*10000)/10000</f>
        <v>1.2852</v>
      </c>
      <c r="MH20" s="264">
        <f>RANDBETWEEN((Inputs!$E20-(Inputs!$E20-Inputs!$D20)*2)*10000,(Inputs!$E20+(Inputs!$F20-Inputs!$E20)*2)*10000)/10000</f>
        <v>1.1963</v>
      </c>
      <c r="MI20" s="264">
        <f>RANDBETWEEN((Inputs!$E20-(Inputs!$E20-Inputs!$D20)*2)*10000,(Inputs!$E20+(Inputs!$F20-Inputs!$E20)*2)*10000)/10000</f>
        <v>1.3905</v>
      </c>
      <c r="MJ20" s="264">
        <f>RANDBETWEEN((Inputs!$E20-(Inputs!$E20-Inputs!$D20)*2)*10000,(Inputs!$E20+(Inputs!$F20-Inputs!$E20)*2)*10000)/10000</f>
        <v>1.3597</v>
      </c>
      <c r="MK20" s="264">
        <f>RANDBETWEEN((Inputs!$E20-(Inputs!$E20-Inputs!$D20)*2)*10000,(Inputs!$E20+(Inputs!$F20-Inputs!$E20)*2)*10000)/10000</f>
        <v>0.7757</v>
      </c>
      <c r="ML20" s="264">
        <f>RANDBETWEEN((Inputs!$E20-(Inputs!$E20-Inputs!$D20)*2)*10000,(Inputs!$E20+(Inputs!$F20-Inputs!$E20)*2)*10000)/10000</f>
        <v>0.8912</v>
      </c>
      <c r="MM20" s="264">
        <f>RANDBETWEEN((Inputs!$E20-(Inputs!$E20-Inputs!$D20)*2)*10000,(Inputs!$E20+(Inputs!$F20-Inputs!$E20)*2)*10000)/10000</f>
        <v>1.4726</v>
      </c>
      <c r="MN20" s="264">
        <f>RANDBETWEEN((Inputs!$E20-(Inputs!$E20-Inputs!$D20)*2)*10000,(Inputs!$E20+(Inputs!$F20-Inputs!$E20)*2)*10000)/10000</f>
        <v>1.8976</v>
      </c>
      <c r="MO20" s="264">
        <f>RANDBETWEEN((Inputs!$E20-(Inputs!$E20-Inputs!$D20)*2)*10000,(Inputs!$E20+(Inputs!$F20-Inputs!$E20)*2)*10000)/10000</f>
        <v>1.7291</v>
      </c>
      <c r="MP20" s="264">
        <f>RANDBETWEEN((Inputs!$E20-(Inputs!$E20-Inputs!$D20)*2)*10000,(Inputs!$E20+(Inputs!$F20-Inputs!$E20)*2)*10000)/10000</f>
        <v>2.0571</v>
      </c>
      <c r="MQ20" s="264">
        <f>RANDBETWEEN((Inputs!$E20-(Inputs!$E20-Inputs!$D20)*2)*10000,(Inputs!$E20+(Inputs!$F20-Inputs!$E20)*2)*10000)/10000</f>
        <v>1.5592</v>
      </c>
      <c r="MR20" s="264">
        <f>RANDBETWEEN((Inputs!$E20-(Inputs!$E20-Inputs!$D20)*2)*10000,(Inputs!$E20+(Inputs!$F20-Inputs!$E20)*2)*10000)/10000</f>
        <v>0.9713</v>
      </c>
      <c r="MS20" s="264">
        <f>RANDBETWEEN((Inputs!$E20-(Inputs!$E20-Inputs!$D20)*2)*10000,(Inputs!$E20+(Inputs!$F20-Inputs!$E20)*2)*10000)/10000</f>
        <v>1.2519</v>
      </c>
      <c r="MT20" s="264">
        <f>RANDBETWEEN((Inputs!$E20-(Inputs!$E20-Inputs!$D20)*2)*10000,(Inputs!$E20+(Inputs!$F20-Inputs!$E20)*2)*10000)/10000</f>
        <v>1.2574</v>
      </c>
      <c r="MU20" s="264">
        <f>RANDBETWEEN((Inputs!$E20-(Inputs!$E20-Inputs!$D20)*2)*10000,(Inputs!$E20+(Inputs!$F20-Inputs!$E20)*2)*10000)/10000</f>
        <v>1.7472</v>
      </c>
      <c r="MV20" s="264">
        <f>RANDBETWEEN((Inputs!$E20-(Inputs!$E20-Inputs!$D20)*2)*10000,(Inputs!$E20+(Inputs!$F20-Inputs!$E20)*2)*10000)/10000</f>
        <v>1.4225</v>
      </c>
      <c r="MW20" s="264">
        <f>RANDBETWEEN((Inputs!$E20-(Inputs!$E20-Inputs!$D20)*2)*10000,(Inputs!$E20+(Inputs!$F20-Inputs!$E20)*2)*10000)/10000</f>
        <v>0.8872</v>
      </c>
      <c r="MX20" s="264">
        <f>RANDBETWEEN((Inputs!$E20-(Inputs!$E20-Inputs!$D20)*2)*10000,(Inputs!$E20+(Inputs!$F20-Inputs!$E20)*2)*10000)/10000</f>
        <v>0.9308</v>
      </c>
      <c r="MY20" s="264">
        <f>RANDBETWEEN((Inputs!$E20-(Inputs!$E20-Inputs!$D20)*2)*10000,(Inputs!$E20+(Inputs!$F20-Inputs!$E20)*2)*10000)/10000</f>
        <v>1.1536</v>
      </c>
      <c r="MZ20" s="264">
        <f>RANDBETWEEN((Inputs!$E20-(Inputs!$E20-Inputs!$D20)*2)*10000,(Inputs!$E20+(Inputs!$F20-Inputs!$E20)*2)*10000)/10000</f>
        <v>1.3122</v>
      </c>
      <c r="NA20" s="264">
        <f>RANDBETWEEN((Inputs!$E20-(Inputs!$E20-Inputs!$D20)*2)*10000,(Inputs!$E20+(Inputs!$F20-Inputs!$E20)*2)*10000)/10000</f>
        <v>1.9835</v>
      </c>
      <c r="NB20" s="264">
        <f>RANDBETWEEN((Inputs!$E20-(Inputs!$E20-Inputs!$D20)*2)*10000,(Inputs!$E20+(Inputs!$F20-Inputs!$E20)*2)*10000)/10000</f>
        <v>1.7887</v>
      </c>
      <c r="NC20" s="264">
        <f>RANDBETWEEN((Inputs!$E20-(Inputs!$E20-Inputs!$D20)*2)*10000,(Inputs!$E20+(Inputs!$F20-Inputs!$E20)*2)*10000)/10000</f>
        <v>1.6252</v>
      </c>
      <c r="ND20" s="264">
        <f>RANDBETWEEN((Inputs!$E20-(Inputs!$E20-Inputs!$D20)*2)*10000,(Inputs!$E20+(Inputs!$F20-Inputs!$E20)*2)*10000)/10000</f>
        <v>0.7818</v>
      </c>
      <c r="NE20" s="264">
        <f>RANDBETWEEN((Inputs!$E20-(Inputs!$E20-Inputs!$D20)*2)*10000,(Inputs!$E20+(Inputs!$F20-Inputs!$E20)*2)*10000)/10000</f>
        <v>1.9954</v>
      </c>
      <c r="NF20" s="264">
        <f>RANDBETWEEN((Inputs!$E20-(Inputs!$E20-Inputs!$D20)*2)*10000,(Inputs!$E20+(Inputs!$F20-Inputs!$E20)*2)*10000)/10000</f>
        <v>0.9973</v>
      </c>
      <c r="NG20" s="264">
        <f>RANDBETWEEN((Inputs!$E20-(Inputs!$E20-Inputs!$D20)*2)*10000,(Inputs!$E20+(Inputs!$F20-Inputs!$E20)*2)*10000)/10000</f>
        <v>1.7535</v>
      </c>
      <c r="NH20" s="264">
        <f>RANDBETWEEN((Inputs!$E20-(Inputs!$E20-Inputs!$D20)*2)*10000,(Inputs!$E20+(Inputs!$F20-Inputs!$E20)*2)*10000)/10000</f>
        <v>0.9367</v>
      </c>
      <c r="NI20" s="264">
        <f>RANDBETWEEN((Inputs!$E20-(Inputs!$E20-Inputs!$D20)*2)*10000,(Inputs!$E20+(Inputs!$F20-Inputs!$E20)*2)*10000)/10000</f>
        <v>1.346</v>
      </c>
      <c r="NJ20" s="264">
        <f>RANDBETWEEN((Inputs!$E20-(Inputs!$E20-Inputs!$D20)*2)*10000,(Inputs!$E20+(Inputs!$F20-Inputs!$E20)*2)*10000)/10000</f>
        <v>1.0998</v>
      </c>
      <c r="NK20" s="264">
        <f>RANDBETWEEN((Inputs!$E20-(Inputs!$E20-Inputs!$D20)*2)*10000,(Inputs!$E20+(Inputs!$F20-Inputs!$E20)*2)*10000)/10000</f>
        <v>2.0605</v>
      </c>
      <c r="NL20" s="264">
        <f>RANDBETWEEN((Inputs!$E20-(Inputs!$E20-Inputs!$D20)*2)*10000,(Inputs!$E20+(Inputs!$F20-Inputs!$E20)*2)*10000)/10000</f>
        <v>1.3749</v>
      </c>
      <c r="NM20" s="264">
        <f>RANDBETWEEN((Inputs!$E20-(Inputs!$E20-Inputs!$D20)*2)*10000,(Inputs!$E20+(Inputs!$F20-Inputs!$E20)*2)*10000)/10000</f>
        <v>1.7533</v>
      </c>
      <c r="NN20" s="264">
        <f>RANDBETWEEN((Inputs!$E20-(Inputs!$E20-Inputs!$D20)*2)*10000,(Inputs!$E20+(Inputs!$F20-Inputs!$E20)*2)*10000)/10000</f>
        <v>0.915</v>
      </c>
      <c r="NO20" s="264">
        <f>RANDBETWEEN((Inputs!$E20-(Inputs!$E20-Inputs!$D20)*2)*10000,(Inputs!$E20+(Inputs!$F20-Inputs!$E20)*2)*10000)/10000</f>
        <v>2.1573</v>
      </c>
      <c r="NP20" s="264">
        <f>RANDBETWEEN((Inputs!$E20-(Inputs!$E20-Inputs!$D20)*2)*10000,(Inputs!$E20+(Inputs!$F20-Inputs!$E20)*2)*10000)/10000</f>
        <v>2.0998</v>
      </c>
      <c r="NQ20" s="264">
        <f>RANDBETWEEN((Inputs!$E20-(Inputs!$E20-Inputs!$D20)*2)*10000,(Inputs!$E20+(Inputs!$F20-Inputs!$E20)*2)*10000)/10000</f>
        <v>0.8948</v>
      </c>
      <c r="NR20" s="264">
        <f>RANDBETWEEN((Inputs!$E20-(Inputs!$E20-Inputs!$D20)*2)*10000,(Inputs!$E20+(Inputs!$F20-Inputs!$E20)*2)*10000)/10000</f>
        <v>0.8278</v>
      </c>
      <c r="NS20" s="264">
        <f>RANDBETWEEN((Inputs!$E20-(Inputs!$E20-Inputs!$D20)*2)*10000,(Inputs!$E20+(Inputs!$F20-Inputs!$E20)*2)*10000)/10000</f>
        <v>1.3456</v>
      </c>
      <c r="NT20" s="264">
        <f>RANDBETWEEN((Inputs!$E20-(Inputs!$E20-Inputs!$D20)*2)*10000,(Inputs!$E20+(Inputs!$F20-Inputs!$E20)*2)*10000)/10000</f>
        <v>2.1059</v>
      </c>
      <c r="NU20" s="264">
        <f>RANDBETWEEN((Inputs!$E20-(Inputs!$E20-Inputs!$D20)*2)*10000,(Inputs!$E20+(Inputs!$F20-Inputs!$E20)*2)*10000)/10000</f>
        <v>1.4886</v>
      </c>
      <c r="NV20" s="264">
        <f>RANDBETWEEN((Inputs!$E20-(Inputs!$E20-Inputs!$D20)*2)*10000,(Inputs!$E20+(Inputs!$F20-Inputs!$E20)*2)*10000)/10000</f>
        <v>1.7796</v>
      </c>
      <c r="NW20" s="264">
        <f>RANDBETWEEN((Inputs!$E20-(Inputs!$E20-Inputs!$D20)*2)*10000,(Inputs!$E20+(Inputs!$F20-Inputs!$E20)*2)*10000)/10000</f>
        <v>1.5662</v>
      </c>
      <c r="NX20" s="264">
        <f>RANDBETWEEN((Inputs!$E20-(Inputs!$E20-Inputs!$D20)*2)*10000,(Inputs!$E20+(Inputs!$F20-Inputs!$E20)*2)*10000)/10000</f>
        <v>1.2822</v>
      </c>
      <c r="NY20" s="264">
        <f>RANDBETWEEN((Inputs!$E20-(Inputs!$E20-Inputs!$D20)*2)*10000,(Inputs!$E20+(Inputs!$F20-Inputs!$E20)*2)*10000)/10000</f>
        <v>1.9105</v>
      </c>
      <c r="NZ20" s="264">
        <f>RANDBETWEEN((Inputs!$E20-(Inputs!$E20-Inputs!$D20)*2)*10000,(Inputs!$E20+(Inputs!$F20-Inputs!$E20)*2)*10000)/10000</f>
        <v>1.7494</v>
      </c>
      <c r="OA20" s="264">
        <f>RANDBETWEEN((Inputs!$E20-(Inputs!$E20-Inputs!$D20)*2)*10000,(Inputs!$E20+(Inputs!$F20-Inputs!$E20)*2)*10000)/10000</f>
        <v>1.965</v>
      </c>
      <c r="OB20" s="264">
        <f>RANDBETWEEN((Inputs!$E20-(Inputs!$E20-Inputs!$D20)*2)*10000,(Inputs!$E20+(Inputs!$F20-Inputs!$E20)*2)*10000)/10000</f>
        <v>1.0798</v>
      </c>
      <c r="OC20" s="264">
        <f>RANDBETWEEN((Inputs!$E20-(Inputs!$E20-Inputs!$D20)*2)*10000,(Inputs!$E20+(Inputs!$F20-Inputs!$E20)*2)*10000)/10000</f>
        <v>2.1375</v>
      </c>
      <c r="OD20" s="264">
        <f>RANDBETWEEN((Inputs!$E20-(Inputs!$E20-Inputs!$D20)*2)*10000,(Inputs!$E20+(Inputs!$F20-Inputs!$E20)*2)*10000)/10000</f>
        <v>1.8126</v>
      </c>
      <c r="OE20" s="264">
        <f>RANDBETWEEN((Inputs!$E20-(Inputs!$E20-Inputs!$D20)*2)*10000,(Inputs!$E20+(Inputs!$F20-Inputs!$E20)*2)*10000)/10000</f>
        <v>0.821</v>
      </c>
      <c r="OF20" s="264">
        <f>RANDBETWEEN((Inputs!$E20-(Inputs!$E20-Inputs!$D20)*2)*10000,(Inputs!$E20+(Inputs!$F20-Inputs!$E20)*2)*10000)/10000</f>
        <v>1.5748</v>
      </c>
      <c r="OG20" s="264">
        <f>RANDBETWEEN((Inputs!$E20-(Inputs!$E20-Inputs!$D20)*2)*10000,(Inputs!$E20+(Inputs!$F20-Inputs!$E20)*2)*10000)/10000</f>
        <v>0.7318</v>
      </c>
      <c r="OH20" s="264">
        <f>RANDBETWEEN((Inputs!$E20-(Inputs!$E20-Inputs!$D20)*2)*10000,(Inputs!$E20+(Inputs!$F20-Inputs!$E20)*2)*10000)/10000</f>
        <v>1.4499</v>
      </c>
      <c r="OI20" s="264">
        <f>RANDBETWEEN((Inputs!$E20-(Inputs!$E20-Inputs!$D20)*2)*10000,(Inputs!$E20+(Inputs!$F20-Inputs!$E20)*2)*10000)/10000</f>
        <v>0.9415</v>
      </c>
      <c r="OJ20" s="264">
        <f>RANDBETWEEN((Inputs!$E20-(Inputs!$E20-Inputs!$D20)*2)*10000,(Inputs!$E20+(Inputs!$F20-Inputs!$E20)*2)*10000)/10000</f>
        <v>0.9256</v>
      </c>
      <c r="OK20" s="264">
        <f>RANDBETWEEN((Inputs!$E20-(Inputs!$E20-Inputs!$D20)*2)*10000,(Inputs!$E20+(Inputs!$F20-Inputs!$E20)*2)*10000)/10000</f>
        <v>0.8092</v>
      </c>
      <c r="OL20" s="264">
        <f>RANDBETWEEN((Inputs!$E20-(Inputs!$E20-Inputs!$D20)*2)*10000,(Inputs!$E20+(Inputs!$F20-Inputs!$E20)*2)*10000)/10000</f>
        <v>0.7424</v>
      </c>
      <c r="OM20" s="264">
        <f>RANDBETWEEN((Inputs!$E20-(Inputs!$E20-Inputs!$D20)*2)*10000,(Inputs!$E20+(Inputs!$F20-Inputs!$E20)*2)*10000)/10000</f>
        <v>0.7951</v>
      </c>
      <c r="ON20" s="264">
        <f>RANDBETWEEN((Inputs!$E20-(Inputs!$E20-Inputs!$D20)*2)*10000,(Inputs!$E20+(Inputs!$F20-Inputs!$E20)*2)*10000)/10000</f>
        <v>1.891</v>
      </c>
      <c r="OO20" s="264">
        <f>RANDBETWEEN((Inputs!$E20-(Inputs!$E20-Inputs!$D20)*2)*10000,(Inputs!$E20+(Inputs!$F20-Inputs!$E20)*2)*10000)/10000</f>
        <v>0.8225</v>
      </c>
      <c r="OP20" s="264">
        <f>RANDBETWEEN((Inputs!$E20-(Inputs!$E20-Inputs!$D20)*2)*10000,(Inputs!$E20+(Inputs!$F20-Inputs!$E20)*2)*10000)/10000</f>
        <v>1.2572</v>
      </c>
      <c r="OQ20" s="264">
        <f>RANDBETWEEN((Inputs!$E20-(Inputs!$E20-Inputs!$D20)*2)*10000,(Inputs!$E20+(Inputs!$F20-Inputs!$E20)*2)*10000)/10000</f>
        <v>1.9131</v>
      </c>
      <c r="OR20" s="264">
        <f>RANDBETWEEN((Inputs!$E20-(Inputs!$E20-Inputs!$D20)*2)*10000,(Inputs!$E20+(Inputs!$F20-Inputs!$E20)*2)*10000)/10000</f>
        <v>1.7465</v>
      </c>
      <c r="OS20" s="264">
        <f>RANDBETWEEN((Inputs!$E20-(Inputs!$E20-Inputs!$D20)*2)*10000,(Inputs!$E20+(Inputs!$F20-Inputs!$E20)*2)*10000)/10000</f>
        <v>1.2935</v>
      </c>
      <c r="OT20" s="264">
        <f>RANDBETWEEN((Inputs!$E20-(Inputs!$E20-Inputs!$D20)*2)*10000,(Inputs!$E20+(Inputs!$F20-Inputs!$E20)*2)*10000)/10000</f>
        <v>1.5736</v>
      </c>
      <c r="OU20" s="264">
        <f>RANDBETWEEN((Inputs!$E20-(Inputs!$E20-Inputs!$D20)*2)*10000,(Inputs!$E20+(Inputs!$F20-Inputs!$E20)*2)*10000)/10000</f>
        <v>1.7365</v>
      </c>
      <c r="OV20" s="264">
        <f>RANDBETWEEN((Inputs!$E20-(Inputs!$E20-Inputs!$D20)*2)*10000,(Inputs!$E20+(Inputs!$F20-Inputs!$E20)*2)*10000)/10000</f>
        <v>2.0076</v>
      </c>
      <c r="OW20" s="264">
        <f>RANDBETWEEN((Inputs!$E20-(Inputs!$E20-Inputs!$D20)*2)*10000,(Inputs!$E20+(Inputs!$F20-Inputs!$E20)*2)*10000)/10000</f>
        <v>0.7344</v>
      </c>
      <c r="OX20" s="264">
        <f>RANDBETWEEN((Inputs!$E20-(Inputs!$E20-Inputs!$D20)*2)*10000,(Inputs!$E20+(Inputs!$F20-Inputs!$E20)*2)*10000)/10000</f>
        <v>1.666</v>
      </c>
      <c r="OY20" s="264">
        <f>RANDBETWEEN((Inputs!$E20-(Inputs!$E20-Inputs!$D20)*2)*10000,(Inputs!$E20+(Inputs!$F20-Inputs!$E20)*2)*10000)/10000</f>
        <v>0.9751</v>
      </c>
      <c r="OZ20" s="264">
        <f>RANDBETWEEN((Inputs!$E20-(Inputs!$E20-Inputs!$D20)*2)*10000,(Inputs!$E20+(Inputs!$F20-Inputs!$E20)*2)*10000)/10000</f>
        <v>2.1258</v>
      </c>
      <c r="PA20" s="264">
        <f>RANDBETWEEN((Inputs!$E20-(Inputs!$E20-Inputs!$D20)*2)*10000,(Inputs!$E20+(Inputs!$F20-Inputs!$E20)*2)*10000)/10000</f>
        <v>0.7371</v>
      </c>
      <c r="PB20" s="264">
        <f>RANDBETWEEN((Inputs!$E20-(Inputs!$E20-Inputs!$D20)*2)*10000,(Inputs!$E20+(Inputs!$F20-Inputs!$E20)*2)*10000)/10000</f>
        <v>2.1333</v>
      </c>
      <c r="PC20" s="264">
        <f>RANDBETWEEN((Inputs!$E20-(Inputs!$E20-Inputs!$D20)*2)*10000,(Inputs!$E20+(Inputs!$F20-Inputs!$E20)*2)*10000)/10000</f>
        <v>1.9413</v>
      </c>
      <c r="PD20" s="264">
        <f>RANDBETWEEN((Inputs!$E20-(Inputs!$E20-Inputs!$D20)*2)*10000,(Inputs!$E20+(Inputs!$F20-Inputs!$E20)*2)*10000)/10000</f>
        <v>0.7664</v>
      </c>
      <c r="PE20" s="264">
        <f>RANDBETWEEN((Inputs!$E20-(Inputs!$E20-Inputs!$D20)*2)*10000,(Inputs!$E20+(Inputs!$F20-Inputs!$E20)*2)*10000)/10000</f>
        <v>1.1607</v>
      </c>
      <c r="PF20" s="264">
        <f>RANDBETWEEN((Inputs!$E20-(Inputs!$E20-Inputs!$D20)*2)*10000,(Inputs!$E20+(Inputs!$F20-Inputs!$E20)*2)*10000)/10000</f>
        <v>1.8975</v>
      </c>
      <c r="PG20" s="264">
        <f>RANDBETWEEN((Inputs!$E20-(Inputs!$E20-Inputs!$D20)*2)*10000,(Inputs!$E20+(Inputs!$F20-Inputs!$E20)*2)*10000)/10000</f>
        <v>1.1167</v>
      </c>
      <c r="PH20" s="264">
        <f>RANDBETWEEN((Inputs!$E20-(Inputs!$E20-Inputs!$D20)*2)*10000,(Inputs!$E20+(Inputs!$F20-Inputs!$E20)*2)*10000)/10000</f>
        <v>1.5679</v>
      </c>
      <c r="PI20" s="264">
        <f>RANDBETWEEN((Inputs!$E20-(Inputs!$E20-Inputs!$D20)*2)*10000,(Inputs!$E20+(Inputs!$F20-Inputs!$E20)*2)*10000)/10000</f>
        <v>1.6344</v>
      </c>
      <c r="PJ20" s="264">
        <f>RANDBETWEEN((Inputs!$E20-(Inputs!$E20-Inputs!$D20)*2)*10000,(Inputs!$E20+(Inputs!$F20-Inputs!$E20)*2)*10000)/10000</f>
        <v>0.8786</v>
      </c>
      <c r="PK20" s="264">
        <f>RANDBETWEEN((Inputs!$E20-(Inputs!$E20-Inputs!$D20)*2)*10000,(Inputs!$E20+(Inputs!$F20-Inputs!$E20)*2)*10000)/10000</f>
        <v>1.7159</v>
      </c>
      <c r="PL20" s="264">
        <f>RANDBETWEEN((Inputs!$E20-(Inputs!$E20-Inputs!$D20)*2)*10000,(Inputs!$E20+(Inputs!$F20-Inputs!$E20)*2)*10000)/10000</f>
        <v>1.1888</v>
      </c>
      <c r="PM20" s="264">
        <f>RANDBETWEEN((Inputs!$E20-(Inputs!$E20-Inputs!$D20)*2)*10000,(Inputs!$E20+(Inputs!$F20-Inputs!$E20)*2)*10000)/10000</f>
        <v>1.0604</v>
      </c>
      <c r="PN20" s="264">
        <f>RANDBETWEEN((Inputs!$E20-(Inputs!$E20-Inputs!$D20)*2)*10000,(Inputs!$E20+(Inputs!$F20-Inputs!$E20)*2)*10000)/10000</f>
        <v>0.855</v>
      </c>
      <c r="PO20" s="264">
        <f>RANDBETWEEN((Inputs!$E20-(Inputs!$E20-Inputs!$D20)*2)*10000,(Inputs!$E20+(Inputs!$F20-Inputs!$E20)*2)*10000)/10000</f>
        <v>0.7958</v>
      </c>
      <c r="PP20" s="264">
        <f>RANDBETWEEN((Inputs!$E20-(Inputs!$E20-Inputs!$D20)*2)*10000,(Inputs!$E20+(Inputs!$F20-Inputs!$E20)*2)*10000)/10000</f>
        <v>0.9972</v>
      </c>
      <c r="PQ20" s="264">
        <f>RANDBETWEEN((Inputs!$E20-(Inputs!$E20-Inputs!$D20)*2)*10000,(Inputs!$E20+(Inputs!$F20-Inputs!$E20)*2)*10000)/10000</f>
        <v>1.9827</v>
      </c>
      <c r="PR20" s="264">
        <f>RANDBETWEEN((Inputs!$E20-(Inputs!$E20-Inputs!$D20)*2)*10000,(Inputs!$E20+(Inputs!$F20-Inputs!$E20)*2)*10000)/10000</f>
        <v>1.419</v>
      </c>
      <c r="PS20" s="264">
        <f>RANDBETWEEN((Inputs!$E20-(Inputs!$E20-Inputs!$D20)*2)*10000,(Inputs!$E20+(Inputs!$F20-Inputs!$E20)*2)*10000)/10000</f>
        <v>1.6318</v>
      </c>
      <c r="PT20" s="264">
        <f>RANDBETWEEN((Inputs!$E20-(Inputs!$E20-Inputs!$D20)*2)*10000,(Inputs!$E20+(Inputs!$F20-Inputs!$E20)*2)*10000)/10000</f>
        <v>1.9986</v>
      </c>
      <c r="PU20" s="264">
        <f>RANDBETWEEN((Inputs!$E20-(Inputs!$E20-Inputs!$D20)*2)*10000,(Inputs!$E20+(Inputs!$F20-Inputs!$E20)*2)*10000)/10000</f>
        <v>0.8023</v>
      </c>
      <c r="PV20" s="264">
        <f>RANDBETWEEN((Inputs!$E20-(Inputs!$E20-Inputs!$D20)*2)*10000,(Inputs!$E20+(Inputs!$F20-Inputs!$E20)*2)*10000)/10000</f>
        <v>1.4152</v>
      </c>
      <c r="PW20" s="264">
        <f>RANDBETWEEN((Inputs!$E20-(Inputs!$E20-Inputs!$D20)*2)*10000,(Inputs!$E20+(Inputs!$F20-Inputs!$E20)*2)*10000)/10000</f>
        <v>2.1014</v>
      </c>
      <c r="PX20" s="264">
        <f>RANDBETWEEN((Inputs!$E20-(Inputs!$E20-Inputs!$D20)*2)*10000,(Inputs!$E20+(Inputs!$F20-Inputs!$E20)*2)*10000)/10000</f>
        <v>1.1865</v>
      </c>
      <c r="PY20" s="264">
        <f>RANDBETWEEN((Inputs!$E20-(Inputs!$E20-Inputs!$D20)*2)*10000,(Inputs!$E20+(Inputs!$F20-Inputs!$E20)*2)*10000)/10000</f>
        <v>1.9267</v>
      </c>
      <c r="PZ20" s="264">
        <f>RANDBETWEEN((Inputs!$E20-(Inputs!$E20-Inputs!$D20)*2)*10000,(Inputs!$E20+(Inputs!$F20-Inputs!$E20)*2)*10000)/10000</f>
        <v>2.0065</v>
      </c>
      <c r="QA20" s="264">
        <f>RANDBETWEEN((Inputs!$E20-(Inputs!$E20-Inputs!$D20)*2)*10000,(Inputs!$E20+(Inputs!$F20-Inputs!$E20)*2)*10000)/10000</f>
        <v>1.7528</v>
      </c>
      <c r="QB20" s="264">
        <f>RANDBETWEEN((Inputs!$E20-(Inputs!$E20-Inputs!$D20)*2)*10000,(Inputs!$E20+(Inputs!$F20-Inputs!$E20)*2)*10000)/10000</f>
        <v>1.5714</v>
      </c>
      <c r="QC20" s="264">
        <f>RANDBETWEEN((Inputs!$E20-(Inputs!$E20-Inputs!$D20)*2)*10000,(Inputs!$E20+(Inputs!$F20-Inputs!$E20)*2)*10000)/10000</f>
        <v>1.785</v>
      </c>
      <c r="QD20" s="264">
        <f>RANDBETWEEN((Inputs!$E20-(Inputs!$E20-Inputs!$D20)*2)*10000,(Inputs!$E20+(Inputs!$F20-Inputs!$E20)*2)*10000)/10000</f>
        <v>1.6083</v>
      </c>
      <c r="QE20" s="264">
        <f>RANDBETWEEN((Inputs!$E20-(Inputs!$E20-Inputs!$D20)*2)*10000,(Inputs!$E20+(Inputs!$F20-Inputs!$E20)*2)*10000)/10000</f>
        <v>2.0831</v>
      </c>
      <c r="QF20" s="264">
        <f>RANDBETWEEN((Inputs!$E20-(Inputs!$E20-Inputs!$D20)*2)*10000,(Inputs!$E20+(Inputs!$F20-Inputs!$E20)*2)*10000)/10000</f>
        <v>0.788</v>
      </c>
      <c r="QG20" s="264">
        <f>RANDBETWEEN((Inputs!$E20-(Inputs!$E20-Inputs!$D20)*2)*10000,(Inputs!$E20+(Inputs!$F20-Inputs!$E20)*2)*10000)/10000</f>
        <v>2.1029</v>
      </c>
      <c r="QH20" s="264">
        <f>RANDBETWEEN((Inputs!$E20-(Inputs!$E20-Inputs!$D20)*2)*10000,(Inputs!$E20+(Inputs!$F20-Inputs!$E20)*2)*10000)/10000</f>
        <v>1.3338</v>
      </c>
      <c r="QI20" s="264">
        <f>RANDBETWEEN((Inputs!$E20-(Inputs!$E20-Inputs!$D20)*2)*10000,(Inputs!$E20+(Inputs!$F20-Inputs!$E20)*2)*10000)/10000</f>
        <v>1.6584</v>
      </c>
      <c r="QJ20" s="264">
        <f>RANDBETWEEN((Inputs!$E20-(Inputs!$E20-Inputs!$D20)*2)*10000,(Inputs!$E20+(Inputs!$F20-Inputs!$E20)*2)*10000)/10000</f>
        <v>1.7363</v>
      </c>
      <c r="QK20" s="264">
        <f>RANDBETWEEN((Inputs!$E20-(Inputs!$E20-Inputs!$D20)*2)*10000,(Inputs!$E20+(Inputs!$F20-Inputs!$E20)*2)*10000)/10000</f>
        <v>1.0056</v>
      </c>
      <c r="QL20" s="264">
        <f>RANDBETWEEN((Inputs!$E20-(Inputs!$E20-Inputs!$D20)*2)*10000,(Inputs!$E20+(Inputs!$F20-Inputs!$E20)*2)*10000)/10000</f>
        <v>1.3198</v>
      </c>
      <c r="QM20" s="264">
        <f>RANDBETWEEN((Inputs!$E20-(Inputs!$E20-Inputs!$D20)*2)*10000,(Inputs!$E20+(Inputs!$F20-Inputs!$E20)*2)*10000)/10000</f>
        <v>1.8763</v>
      </c>
      <c r="QN20" s="264">
        <f>RANDBETWEEN((Inputs!$E20-(Inputs!$E20-Inputs!$D20)*2)*10000,(Inputs!$E20+(Inputs!$F20-Inputs!$E20)*2)*10000)/10000</f>
        <v>1.7723</v>
      </c>
      <c r="QO20" s="264">
        <f>RANDBETWEEN((Inputs!$E20-(Inputs!$E20-Inputs!$D20)*2)*10000,(Inputs!$E20+(Inputs!$F20-Inputs!$E20)*2)*10000)/10000</f>
        <v>0.9938</v>
      </c>
      <c r="QP20" s="264">
        <f>RANDBETWEEN((Inputs!$E20-(Inputs!$E20-Inputs!$D20)*2)*10000,(Inputs!$E20+(Inputs!$F20-Inputs!$E20)*2)*10000)/10000</f>
        <v>1.8467</v>
      </c>
      <c r="QQ20" s="264">
        <f>RANDBETWEEN((Inputs!$E20-(Inputs!$E20-Inputs!$D20)*2)*10000,(Inputs!$E20+(Inputs!$F20-Inputs!$E20)*2)*10000)/10000</f>
        <v>1.4505</v>
      </c>
      <c r="QR20" s="264">
        <f>RANDBETWEEN((Inputs!$E20-(Inputs!$E20-Inputs!$D20)*2)*10000,(Inputs!$E20+(Inputs!$F20-Inputs!$E20)*2)*10000)/10000</f>
        <v>2.106</v>
      </c>
      <c r="QS20" s="264">
        <f>RANDBETWEEN((Inputs!$E20-(Inputs!$E20-Inputs!$D20)*2)*10000,(Inputs!$E20+(Inputs!$F20-Inputs!$E20)*2)*10000)/10000</f>
        <v>1.05</v>
      </c>
      <c r="QT20" s="264">
        <f>RANDBETWEEN((Inputs!$E20-(Inputs!$E20-Inputs!$D20)*2)*10000,(Inputs!$E20+(Inputs!$F20-Inputs!$E20)*2)*10000)/10000</f>
        <v>1.5711</v>
      </c>
      <c r="QU20" s="264">
        <f>RANDBETWEEN((Inputs!$E20-(Inputs!$E20-Inputs!$D20)*2)*10000,(Inputs!$E20+(Inputs!$F20-Inputs!$E20)*2)*10000)/10000</f>
        <v>0.8082</v>
      </c>
      <c r="QV20" s="264">
        <f>RANDBETWEEN((Inputs!$E20-(Inputs!$E20-Inputs!$D20)*2)*10000,(Inputs!$E20+(Inputs!$F20-Inputs!$E20)*2)*10000)/10000</f>
        <v>1.5875</v>
      </c>
      <c r="QW20" s="264">
        <f>RANDBETWEEN((Inputs!$E20-(Inputs!$E20-Inputs!$D20)*2)*10000,(Inputs!$E20+(Inputs!$F20-Inputs!$E20)*2)*10000)/10000</f>
        <v>1.8451</v>
      </c>
      <c r="QX20" s="264">
        <f>RANDBETWEEN((Inputs!$E20-(Inputs!$E20-Inputs!$D20)*2)*10000,(Inputs!$E20+(Inputs!$F20-Inputs!$E20)*2)*10000)/10000</f>
        <v>0.7912</v>
      </c>
      <c r="QY20" s="264">
        <f>RANDBETWEEN((Inputs!$E20-(Inputs!$E20-Inputs!$D20)*2)*10000,(Inputs!$E20+(Inputs!$F20-Inputs!$E20)*2)*10000)/10000</f>
        <v>1.4033</v>
      </c>
      <c r="QZ20" s="264">
        <f>RANDBETWEEN((Inputs!$E20-(Inputs!$E20-Inputs!$D20)*2)*10000,(Inputs!$E20+(Inputs!$F20-Inputs!$E20)*2)*10000)/10000</f>
        <v>1.9351</v>
      </c>
      <c r="RA20" s="264">
        <f>RANDBETWEEN((Inputs!$E20-(Inputs!$E20-Inputs!$D20)*2)*10000,(Inputs!$E20+(Inputs!$F20-Inputs!$E20)*2)*10000)/10000</f>
        <v>1.5188</v>
      </c>
      <c r="RB20" s="264">
        <f>RANDBETWEEN((Inputs!$E20-(Inputs!$E20-Inputs!$D20)*2)*10000,(Inputs!$E20+(Inputs!$F20-Inputs!$E20)*2)*10000)/10000</f>
        <v>1.2101</v>
      </c>
      <c r="RC20" s="264">
        <f>RANDBETWEEN((Inputs!$E20-(Inputs!$E20-Inputs!$D20)*2)*10000,(Inputs!$E20+(Inputs!$F20-Inputs!$E20)*2)*10000)/10000</f>
        <v>0.7376</v>
      </c>
      <c r="RD20" s="264">
        <f>RANDBETWEEN((Inputs!$E20-(Inputs!$E20-Inputs!$D20)*2)*10000,(Inputs!$E20+(Inputs!$F20-Inputs!$E20)*2)*10000)/10000</f>
        <v>0.7622</v>
      </c>
      <c r="RE20" s="264">
        <f>RANDBETWEEN((Inputs!$E20-(Inputs!$E20-Inputs!$D20)*2)*10000,(Inputs!$E20+(Inputs!$F20-Inputs!$E20)*2)*10000)/10000</f>
        <v>1.1109</v>
      </c>
      <c r="RF20" s="264">
        <f>RANDBETWEEN((Inputs!$E20-(Inputs!$E20-Inputs!$D20)*2)*10000,(Inputs!$E20+(Inputs!$F20-Inputs!$E20)*2)*10000)/10000</f>
        <v>1.4183</v>
      </c>
      <c r="RG20" s="264">
        <f>RANDBETWEEN((Inputs!$E20-(Inputs!$E20-Inputs!$D20)*2)*10000,(Inputs!$E20+(Inputs!$F20-Inputs!$E20)*2)*10000)/10000</f>
        <v>1.1658</v>
      </c>
      <c r="RH20" s="264">
        <f>RANDBETWEEN((Inputs!$E20-(Inputs!$E20-Inputs!$D20)*2)*10000,(Inputs!$E20+(Inputs!$F20-Inputs!$E20)*2)*10000)/10000</f>
        <v>0.9019</v>
      </c>
      <c r="RI20" s="264">
        <f>RANDBETWEEN((Inputs!$E20-(Inputs!$E20-Inputs!$D20)*2)*10000,(Inputs!$E20+(Inputs!$F20-Inputs!$E20)*2)*10000)/10000</f>
        <v>1.7386</v>
      </c>
      <c r="RJ20" s="264">
        <f>RANDBETWEEN((Inputs!$E20-(Inputs!$E20-Inputs!$D20)*2)*10000,(Inputs!$E20+(Inputs!$F20-Inputs!$E20)*2)*10000)/10000</f>
        <v>1.9711</v>
      </c>
      <c r="RK20" s="264">
        <f>RANDBETWEEN((Inputs!$E20-(Inputs!$E20-Inputs!$D20)*2)*10000,(Inputs!$E20+(Inputs!$F20-Inputs!$E20)*2)*10000)/10000</f>
        <v>1.5178</v>
      </c>
      <c r="RL20" s="264">
        <f>RANDBETWEEN((Inputs!$E20-(Inputs!$E20-Inputs!$D20)*2)*10000,(Inputs!$E20+(Inputs!$F20-Inputs!$E20)*2)*10000)/10000</f>
        <v>1.6585</v>
      </c>
      <c r="RM20" s="264">
        <f>RANDBETWEEN((Inputs!$E20-(Inputs!$E20-Inputs!$D20)*2)*10000,(Inputs!$E20+(Inputs!$F20-Inputs!$E20)*2)*10000)/10000</f>
        <v>1.4433</v>
      </c>
      <c r="RN20" s="264">
        <f>RANDBETWEEN((Inputs!$E20-(Inputs!$E20-Inputs!$D20)*2)*10000,(Inputs!$E20+(Inputs!$F20-Inputs!$E20)*2)*10000)/10000</f>
        <v>2.1069</v>
      </c>
      <c r="RO20" s="264">
        <f>RANDBETWEEN((Inputs!$E20-(Inputs!$E20-Inputs!$D20)*2)*10000,(Inputs!$E20+(Inputs!$F20-Inputs!$E20)*2)*10000)/10000</f>
        <v>1.225</v>
      </c>
      <c r="RP20" s="264">
        <f>RANDBETWEEN((Inputs!$E20-(Inputs!$E20-Inputs!$D20)*2)*10000,(Inputs!$E20+(Inputs!$F20-Inputs!$E20)*2)*10000)/10000</f>
        <v>2.1116</v>
      </c>
      <c r="RQ20" s="264">
        <f>RANDBETWEEN((Inputs!$E20-(Inputs!$E20-Inputs!$D20)*2)*10000,(Inputs!$E20+(Inputs!$F20-Inputs!$E20)*2)*10000)/10000</f>
        <v>1.6901</v>
      </c>
      <c r="RR20" s="264">
        <f>RANDBETWEEN((Inputs!$E20-(Inputs!$E20-Inputs!$D20)*2)*10000,(Inputs!$E20+(Inputs!$F20-Inputs!$E20)*2)*10000)/10000</f>
        <v>1.4888</v>
      </c>
      <c r="RS20" s="264">
        <f>RANDBETWEEN((Inputs!$E20-(Inputs!$E20-Inputs!$D20)*2)*10000,(Inputs!$E20+(Inputs!$F20-Inputs!$E20)*2)*10000)/10000</f>
        <v>2.0156</v>
      </c>
      <c r="RT20" s="264">
        <f>RANDBETWEEN((Inputs!$E20-(Inputs!$E20-Inputs!$D20)*2)*10000,(Inputs!$E20+(Inputs!$F20-Inputs!$E20)*2)*10000)/10000</f>
        <v>1.8512</v>
      </c>
      <c r="RU20" s="264">
        <f>RANDBETWEEN((Inputs!$E20-(Inputs!$E20-Inputs!$D20)*2)*10000,(Inputs!$E20+(Inputs!$F20-Inputs!$E20)*2)*10000)/10000</f>
        <v>1.7108</v>
      </c>
      <c r="RV20" s="264">
        <f>RANDBETWEEN((Inputs!$E20-(Inputs!$E20-Inputs!$D20)*2)*10000,(Inputs!$E20+(Inputs!$F20-Inputs!$E20)*2)*10000)/10000</f>
        <v>0.8768</v>
      </c>
      <c r="RW20" s="264">
        <f>RANDBETWEEN((Inputs!$E20-(Inputs!$E20-Inputs!$D20)*2)*10000,(Inputs!$E20+(Inputs!$F20-Inputs!$E20)*2)*10000)/10000</f>
        <v>1.0475</v>
      </c>
      <c r="RX20" s="264">
        <f>RANDBETWEEN((Inputs!$E20-(Inputs!$E20-Inputs!$D20)*2)*10000,(Inputs!$E20+(Inputs!$F20-Inputs!$E20)*2)*10000)/10000</f>
        <v>0.7789</v>
      </c>
      <c r="RY20" s="264">
        <f>RANDBETWEEN((Inputs!$E20-(Inputs!$E20-Inputs!$D20)*2)*10000,(Inputs!$E20+(Inputs!$F20-Inputs!$E20)*2)*10000)/10000</f>
        <v>1.4305</v>
      </c>
      <c r="RZ20" s="264">
        <f>RANDBETWEEN((Inputs!$E20-(Inputs!$E20-Inputs!$D20)*2)*10000,(Inputs!$E20+(Inputs!$F20-Inputs!$E20)*2)*10000)/10000</f>
        <v>1.8154</v>
      </c>
      <c r="SA20" s="264">
        <f>RANDBETWEEN((Inputs!$E20-(Inputs!$E20-Inputs!$D20)*2)*10000,(Inputs!$E20+(Inputs!$F20-Inputs!$E20)*2)*10000)/10000</f>
        <v>1.2821</v>
      </c>
      <c r="SB20" s="264">
        <f>RANDBETWEEN((Inputs!$E20-(Inputs!$E20-Inputs!$D20)*2)*10000,(Inputs!$E20+(Inputs!$F20-Inputs!$E20)*2)*10000)/10000</f>
        <v>1.8413</v>
      </c>
      <c r="SC20" s="264">
        <f>RANDBETWEEN((Inputs!$E20-(Inputs!$E20-Inputs!$D20)*2)*10000,(Inputs!$E20+(Inputs!$F20-Inputs!$E20)*2)*10000)/10000</f>
        <v>2.0148</v>
      </c>
      <c r="SD20" s="264">
        <f>RANDBETWEEN((Inputs!$E20-(Inputs!$E20-Inputs!$D20)*2)*10000,(Inputs!$E20+(Inputs!$F20-Inputs!$E20)*2)*10000)/10000</f>
        <v>1.1845</v>
      </c>
      <c r="SE20" s="264">
        <f>RANDBETWEEN((Inputs!$E20-(Inputs!$E20-Inputs!$D20)*2)*10000,(Inputs!$E20+(Inputs!$F20-Inputs!$E20)*2)*10000)/10000</f>
        <v>1.6577</v>
      </c>
      <c r="SF20" s="264">
        <f>RANDBETWEEN((Inputs!$E20-(Inputs!$E20-Inputs!$D20)*2)*10000,(Inputs!$E20+(Inputs!$F20-Inputs!$E20)*2)*10000)/10000</f>
        <v>1.562</v>
      </c>
      <c r="SG20" s="264">
        <f>RANDBETWEEN((Inputs!$E20-(Inputs!$E20-Inputs!$D20)*2)*10000,(Inputs!$E20+(Inputs!$F20-Inputs!$E20)*2)*10000)/10000</f>
        <v>1.0875</v>
      </c>
      <c r="SH20" s="264">
        <f>RANDBETWEEN((Inputs!$E20-(Inputs!$E20-Inputs!$D20)*2)*10000,(Inputs!$E20+(Inputs!$F20-Inputs!$E20)*2)*10000)/10000</f>
        <v>0.764</v>
      </c>
      <c r="SI20" s="264">
        <f>RANDBETWEEN((Inputs!$E20-(Inputs!$E20-Inputs!$D20)*2)*10000,(Inputs!$E20+(Inputs!$F20-Inputs!$E20)*2)*10000)/10000</f>
        <v>2.0443</v>
      </c>
      <c r="SJ20" s="264">
        <f>RANDBETWEEN((Inputs!$E20-(Inputs!$E20-Inputs!$D20)*2)*10000,(Inputs!$E20+(Inputs!$F20-Inputs!$E20)*2)*10000)/10000</f>
        <v>1.0052</v>
      </c>
      <c r="SK20" s="264">
        <f>RANDBETWEEN((Inputs!$E20-(Inputs!$E20-Inputs!$D20)*2)*10000,(Inputs!$E20+(Inputs!$F20-Inputs!$E20)*2)*10000)/10000</f>
        <v>1.4368</v>
      </c>
      <c r="SL20" s="264">
        <f>RANDBETWEEN((Inputs!$E20-(Inputs!$E20-Inputs!$D20)*2)*10000,(Inputs!$E20+(Inputs!$F20-Inputs!$E20)*2)*10000)/10000</f>
        <v>0.9296</v>
      </c>
    </row>
    <row r="21">
      <c r="A21" s="53" t="s">
        <v>97</v>
      </c>
      <c r="B21" s="73">
        <f>B19*B20</f>
        <v>0.5125406631</v>
      </c>
      <c r="C21" s="265"/>
      <c r="D21" s="266"/>
      <c r="E21" s="267"/>
      <c r="F21" s="73"/>
      <c r="G21" s="73">
        <f t="shared" ref="G21:SL21" si="15">G19*G20</f>
        <v>0.3166541123</v>
      </c>
      <c r="H21" s="73">
        <f t="shared" si="15"/>
        <v>0.3950247313</v>
      </c>
      <c r="I21" s="73">
        <f t="shared" si="15"/>
        <v>0.4650814144</v>
      </c>
      <c r="J21" s="73">
        <f t="shared" si="15"/>
        <v>0.7895554447</v>
      </c>
      <c r="K21" s="73">
        <f t="shared" si="15"/>
        <v>0.3626058343</v>
      </c>
      <c r="L21" s="73">
        <f t="shared" si="15"/>
        <v>0.7492557795</v>
      </c>
      <c r="M21" s="73">
        <f t="shared" si="15"/>
        <v>0.6643963904</v>
      </c>
      <c r="N21" s="73">
        <f t="shared" si="15"/>
        <v>0.6014673974</v>
      </c>
      <c r="O21" s="73">
        <f t="shared" si="15"/>
        <v>0.8597259365</v>
      </c>
      <c r="P21" s="73">
        <f t="shared" si="15"/>
        <v>0.5556709026</v>
      </c>
      <c r="Q21" s="73">
        <f t="shared" si="15"/>
        <v>0.8356203175</v>
      </c>
      <c r="R21" s="73">
        <f t="shared" si="15"/>
        <v>0.7059503088</v>
      </c>
      <c r="S21" s="73">
        <f t="shared" si="15"/>
        <v>0.5140821502</v>
      </c>
      <c r="T21" s="73">
        <f t="shared" si="15"/>
        <v>0.3702407234</v>
      </c>
      <c r="U21" s="73">
        <f t="shared" si="15"/>
        <v>0.6927031806</v>
      </c>
      <c r="V21" s="73">
        <f t="shared" si="15"/>
        <v>0.308708858</v>
      </c>
      <c r="W21" s="73">
        <f t="shared" si="15"/>
        <v>0.4928761682</v>
      </c>
      <c r="X21" s="73">
        <f t="shared" si="15"/>
        <v>0.7812016991</v>
      </c>
      <c r="Y21" s="73">
        <f t="shared" si="15"/>
        <v>0.6926713463</v>
      </c>
      <c r="Z21" s="73">
        <f t="shared" si="15"/>
        <v>0.6170172598</v>
      </c>
      <c r="AA21" s="73">
        <f t="shared" si="15"/>
        <v>0.7730687058</v>
      </c>
      <c r="AB21" s="73">
        <f t="shared" si="15"/>
        <v>0.5862205857</v>
      </c>
      <c r="AC21" s="73">
        <f t="shared" si="15"/>
        <v>0.2347253544</v>
      </c>
      <c r="AD21" s="73">
        <f t="shared" si="15"/>
        <v>0.2531042738</v>
      </c>
      <c r="AE21" s="73">
        <f t="shared" si="15"/>
        <v>0.3836046721</v>
      </c>
      <c r="AF21" s="73">
        <f t="shared" si="15"/>
        <v>0.4303153594</v>
      </c>
      <c r="AG21" s="73">
        <f t="shared" si="15"/>
        <v>0.5208766254</v>
      </c>
      <c r="AH21" s="73">
        <f t="shared" si="15"/>
        <v>0.4956298177</v>
      </c>
      <c r="AI21" s="73">
        <f t="shared" si="15"/>
        <v>0.6218622884</v>
      </c>
      <c r="AJ21" s="73">
        <f t="shared" si="15"/>
        <v>0.3544603782</v>
      </c>
      <c r="AK21" s="73">
        <f t="shared" si="15"/>
        <v>0.4534391404</v>
      </c>
      <c r="AL21" s="73">
        <f t="shared" si="15"/>
        <v>0.7272782141</v>
      </c>
      <c r="AM21" s="73">
        <f t="shared" si="15"/>
        <v>0.6760533108</v>
      </c>
      <c r="AN21" s="73">
        <f t="shared" si="15"/>
        <v>0.3073057513</v>
      </c>
      <c r="AO21" s="73">
        <f t="shared" si="15"/>
        <v>0.5719384084</v>
      </c>
      <c r="AP21" s="73">
        <f t="shared" si="15"/>
        <v>0.4232032842</v>
      </c>
      <c r="AQ21" s="73">
        <f t="shared" si="15"/>
        <v>0.2862070872</v>
      </c>
      <c r="AR21" s="73">
        <f t="shared" si="15"/>
        <v>0.8013573181</v>
      </c>
      <c r="AS21" s="73">
        <f t="shared" si="15"/>
        <v>0.5203412586</v>
      </c>
      <c r="AT21" s="73">
        <f t="shared" si="15"/>
        <v>0.304582751</v>
      </c>
      <c r="AU21" s="73">
        <f t="shared" si="15"/>
        <v>0.4978640653</v>
      </c>
      <c r="AV21" s="73">
        <f t="shared" si="15"/>
        <v>0.3129151814</v>
      </c>
      <c r="AW21" s="73">
        <f t="shared" si="15"/>
        <v>0.4121349818</v>
      </c>
      <c r="AX21" s="73">
        <f t="shared" si="15"/>
        <v>0.4021322485</v>
      </c>
      <c r="AY21" s="73">
        <f t="shared" si="15"/>
        <v>1.019377964</v>
      </c>
      <c r="AZ21" s="73">
        <f t="shared" si="15"/>
        <v>0.4196464551</v>
      </c>
      <c r="BA21" s="73">
        <f t="shared" si="15"/>
        <v>0.6064332688</v>
      </c>
      <c r="BB21" s="73">
        <f t="shared" si="15"/>
        <v>0.9221418003</v>
      </c>
      <c r="BC21" s="73">
        <f t="shared" si="15"/>
        <v>0.2914880809</v>
      </c>
      <c r="BD21" s="73">
        <f t="shared" si="15"/>
        <v>0.5499212921</v>
      </c>
      <c r="BE21" s="73">
        <f t="shared" si="15"/>
        <v>0.6180687463</v>
      </c>
      <c r="BF21" s="73">
        <f t="shared" si="15"/>
        <v>0.5560987474</v>
      </c>
      <c r="BG21" s="73">
        <f t="shared" si="15"/>
        <v>0.6566462848</v>
      </c>
      <c r="BH21" s="73">
        <f t="shared" si="15"/>
        <v>0.2896660241</v>
      </c>
      <c r="BI21" s="73">
        <f t="shared" si="15"/>
        <v>0.7157973895</v>
      </c>
      <c r="BJ21" s="73">
        <f t="shared" si="15"/>
        <v>0.3282986915</v>
      </c>
      <c r="BK21" s="73">
        <f t="shared" si="15"/>
        <v>0.2827460334</v>
      </c>
      <c r="BL21" s="73">
        <f t="shared" si="15"/>
        <v>0.380537027</v>
      </c>
      <c r="BM21" s="73">
        <f t="shared" si="15"/>
        <v>0.6900823758</v>
      </c>
      <c r="BN21" s="73">
        <f t="shared" si="15"/>
        <v>0.5372342134</v>
      </c>
      <c r="BO21" s="73">
        <f t="shared" si="15"/>
        <v>0.3356133373</v>
      </c>
      <c r="BP21" s="73">
        <f t="shared" si="15"/>
        <v>0.404913351</v>
      </c>
      <c r="BQ21" s="73">
        <f t="shared" si="15"/>
        <v>0.299986276</v>
      </c>
      <c r="BR21" s="73">
        <f t="shared" si="15"/>
        <v>0.6216504282</v>
      </c>
      <c r="BS21" s="73">
        <f t="shared" si="15"/>
        <v>0.3052034019</v>
      </c>
      <c r="BT21" s="73">
        <f t="shared" si="15"/>
        <v>0.3707564754</v>
      </c>
      <c r="BU21" s="73">
        <f t="shared" si="15"/>
        <v>0.8710338028</v>
      </c>
      <c r="BV21" s="73">
        <f t="shared" si="15"/>
        <v>0.6279073464</v>
      </c>
      <c r="BW21" s="73">
        <f t="shared" si="15"/>
        <v>0.7372541895</v>
      </c>
      <c r="BX21" s="73">
        <f t="shared" si="15"/>
        <v>0.4486388031</v>
      </c>
      <c r="BY21" s="73">
        <f t="shared" si="15"/>
        <v>0.51599947</v>
      </c>
      <c r="BZ21" s="73">
        <f t="shared" si="15"/>
        <v>0.4661743188</v>
      </c>
      <c r="CA21" s="73">
        <f t="shared" si="15"/>
        <v>0.3351126742</v>
      </c>
      <c r="CB21" s="73">
        <f t="shared" si="15"/>
        <v>0.3623384329</v>
      </c>
      <c r="CC21" s="73">
        <f t="shared" si="15"/>
        <v>0.4034198471</v>
      </c>
      <c r="CD21" s="73">
        <f t="shared" si="15"/>
        <v>0.3617240582</v>
      </c>
      <c r="CE21" s="73">
        <f t="shared" si="15"/>
        <v>0.4281460734</v>
      </c>
      <c r="CF21" s="73">
        <f t="shared" si="15"/>
        <v>0.7184201617</v>
      </c>
      <c r="CG21" s="73">
        <f t="shared" si="15"/>
        <v>0.3236496685</v>
      </c>
      <c r="CH21" s="73">
        <f t="shared" si="15"/>
        <v>0.2285777011</v>
      </c>
      <c r="CI21" s="73">
        <f t="shared" si="15"/>
        <v>0.5910617588</v>
      </c>
      <c r="CJ21" s="73">
        <f t="shared" si="15"/>
        <v>0.8839102587</v>
      </c>
      <c r="CK21" s="73">
        <f t="shared" si="15"/>
        <v>0.655426752</v>
      </c>
      <c r="CL21" s="73">
        <f t="shared" si="15"/>
        <v>0.4777055161</v>
      </c>
      <c r="CM21" s="73">
        <f t="shared" si="15"/>
        <v>0.488890971</v>
      </c>
      <c r="CN21" s="73">
        <f t="shared" si="15"/>
        <v>0.6453152791</v>
      </c>
      <c r="CO21" s="73">
        <f t="shared" si="15"/>
        <v>0.6037761708</v>
      </c>
      <c r="CP21" s="73">
        <f t="shared" si="15"/>
        <v>0.4654760044</v>
      </c>
      <c r="CQ21" s="73">
        <f t="shared" si="15"/>
        <v>0.5740581116</v>
      </c>
      <c r="CR21" s="73">
        <f t="shared" si="15"/>
        <v>0.646357908</v>
      </c>
      <c r="CS21" s="73">
        <f t="shared" si="15"/>
        <v>0.5485614328</v>
      </c>
      <c r="CT21" s="73">
        <f t="shared" si="15"/>
        <v>0.3652781373</v>
      </c>
      <c r="CU21" s="73">
        <f t="shared" si="15"/>
        <v>0.7369552468</v>
      </c>
      <c r="CV21" s="73">
        <f t="shared" si="15"/>
        <v>0.3972014298</v>
      </c>
      <c r="CW21" s="73">
        <f t="shared" si="15"/>
        <v>0.5273554043</v>
      </c>
      <c r="CX21" s="73">
        <f t="shared" si="15"/>
        <v>0.3920159263</v>
      </c>
      <c r="CY21" s="73">
        <f t="shared" si="15"/>
        <v>0.6035502448</v>
      </c>
      <c r="CZ21" s="73">
        <f t="shared" si="15"/>
        <v>0.6435783414</v>
      </c>
      <c r="DA21" s="73">
        <f t="shared" si="15"/>
        <v>0.4654928001</v>
      </c>
      <c r="DB21" s="73">
        <f t="shared" si="15"/>
        <v>0.435031407</v>
      </c>
      <c r="DC21" s="73">
        <f t="shared" si="15"/>
        <v>0.307992623</v>
      </c>
      <c r="DD21" s="73">
        <f t="shared" si="15"/>
        <v>0.493416665</v>
      </c>
      <c r="DE21" s="73">
        <f t="shared" si="15"/>
        <v>0.249355852</v>
      </c>
      <c r="DF21" s="73">
        <f t="shared" si="15"/>
        <v>0.4700393118</v>
      </c>
      <c r="DG21" s="73">
        <f t="shared" si="15"/>
        <v>0.6712307882</v>
      </c>
      <c r="DH21" s="73">
        <f t="shared" si="15"/>
        <v>0.6054952952</v>
      </c>
      <c r="DI21" s="73">
        <f t="shared" si="15"/>
        <v>0.2461591196</v>
      </c>
      <c r="DJ21" s="73">
        <f t="shared" si="15"/>
        <v>0.4414354647</v>
      </c>
      <c r="DK21" s="73">
        <f t="shared" si="15"/>
        <v>0.4458460296</v>
      </c>
      <c r="DL21" s="73">
        <f t="shared" si="15"/>
        <v>0.310973653</v>
      </c>
      <c r="DM21" s="73">
        <f t="shared" si="15"/>
        <v>0.6923062617</v>
      </c>
      <c r="DN21" s="73">
        <f t="shared" si="15"/>
        <v>0.3321248588</v>
      </c>
      <c r="DO21" s="73">
        <f t="shared" si="15"/>
        <v>0.3069219855</v>
      </c>
      <c r="DP21" s="73">
        <f t="shared" si="15"/>
        <v>0.5639111478</v>
      </c>
      <c r="DQ21" s="73">
        <f t="shared" si="15"/>
        <v>0.6242667549</v>
      </c>
      <c r="DR21" s="73">
        <f t="shared" si="15"/>
        <v>0.5725835032</v>
      </c>
      <c r="DS21" s="73">
        <f t="shared" si="15"/>
        <v>0.8183808771</v>
      </c>
      <c r="DT21" s="73">
        <f t="shared" si="15"/>
        <v>0.5754250139</v>
      </c>
      <c r="DU21" s="73">
        <f t="shared" si="15"/>
        <v>0.7164771772</v>
      </c>
      <c r="DV21" s="73">
        <f t="shared" si="15"/>
        <v>0.4606166942</v>
      </c>
      <c r="DW21" s="73">
        <f t="shared" si="15"/>
        <v>0.4225934184</v>
      </c>
      <c r="DX21" s="73">
        <f t="shared" si="15"/>
        <v>0.7289218699</v>
      </c>
      <c r="DY21" s="73">
        <f t="shared" si="15"/>
        <v>0.7923508298</v>
      </c>
      <c r="DZ21" s="73">
        <f t="shared" si="15"/>
        <v>0.3051234243</v>
      </c>
      <c r="EA21" s="73">
        <f t="shared" si="15"/>
        <v>0.5365733771</v>
      </c>
      <c r="EB21" s="73">
        <f t="shared" si="15"/>
        <v>0.3425055987</v>
      </c>
      <c r="EC21" s="73">
        <f t="shared" si="15"/>
        <v>0.9689357334</v>
      </c>
      <c r="ED21" s="73">
        <f t="shared" si="15"/>
        <v>0.4501839636</v>
      </c>
      <c r="EE21" s="73">
        <f t="shared" si="15"/>
        <v>0.5443130229</v>
      </c>
      <c r="EF21" s="73">
        <f t="shared" si="15"/>
        <v>0.5266540444</v>
      </c>
      <c r="EG21" s="73">
        <f t="shared" si="15"/>
        <v>0.3540056824</v>
      </c>
      <c r="EH21" s="73">
        <f t="shared" si="15"/>
        <v>0.3338219504</v>
      </c>
      <c r="EI21" s="73">
        <f t="shared" si="15"/>
        <v>0.3820554856</v>
      </c>
      <c r="EJ21" s="73">
        <f t="shared" si="15"/>
        <v>0.3813672578</v>
      </c>
      <c r="EK21" s="73">
        <f t="shared" si="15"/>
        <v>0.6559213148</v>
      </c>
      <c r="EL21" s="73">
        <f t="shared" si="15"/>
        <v>0.5528000461</v>
      </c>
      <c r="EM21" s="73">
        <f t="shared" si="15"/>
        <v>0.2259829452</v>
      </c>
      <c r="EN21" s="73">
        <f t="shared" si="15"/>
        <v>0.5332535692</v>
      </c>
      <c r="EO21" s="73">
        <f t="shared" si="15"/>
        <v>0.7405236326</v>
      </c>
      <c r="EP21" s="73">
        <f t="shared" si="15"/>
        <v>0.2998493335</v>
      </c>
      <c r="EQ21" s="73">
        <f t="shared" si="15"/>
        <v>0.6734829332</v>
      </c>
      <c r="ER21" s="73">
        <f t="shared" si="15"/>
        <v>0.5025119127</v>
      </c>
      <c r="ES21" s="73">
        <f t="shared" si="15"/>
        <v>0.5929643184</v>
      </c>
      <c r="ET21" s="73">
        <f t="shared" si="15"/>
        <v>0.5449915509</v>
      </c>
      <c r="EU21" s="73">
        <f t="shared" si="15"/>
        <v>0.5874451733</v>
      </c>
      <c r="EV21" s="73">
        <f t="shared" si="15"/>
        <v>0.6211860991</v>
      </c>
      <c r="EW21" s="73">
        <f t="shared" si="15"/>
        <v>0.4058538347</v>
      </c>
      <c r="EX21" s="73">
        <f t="shared" si="15"/>
        <v>0.3370469914</v>
      </c>
      <c r="EY21" s="73">
        <f t="shared" si="15"/>
        <v>0.4484797091</v>
      </c>
      <c r="EZ21" s="73">
        <f t="shared" si="15"/>
        <v>0.6168530062</v>
      </c>
      <c r="FA21" s="73">
        <f t="shared" si="15"/>
        <v>0.3622124856</v>
      </c>
      <c r="FB21" s="73">
        <f t="shared" si="15"/>
        <v>0.5922932501</v>
      </c>
      <c r="FC21" s="73">
        <f t="shared" si="15"/>
        <v>0.4620611304</v>
      </c>
      <c r="FD21" s="73">
        <f t="shared" si="15"/>
        <v>0.4065234977</v>
      </c>
      <c r="FE21" s="73">
        <f t="shared" si="15"/>
        <v>0.3861287153</v>
      </c>
      <c r="FF21" s="73">
        <f t="shared" si="15"/>
        <v>0.3888255739</v>
      </c>
      <c r="FG21" s="73">
        <f t="shared" si="15"/>
        <v>0.3034575125</v>
      </c>
      <c r="FH21" s="73">
        <f t="shared" si="15"/>
        <v>0.5944527556</v>
      </c>
      <c r="FI21" s="73">
        <f t="shared" si="15"/>
        <v>0.3441735965</v>
      </c>
      <c r="FJ21" s="73">
        <f t="shared" si="15"/>
        <v>0.2324184833</v>
      </c>
      <c r="FK21" s="73">
        <f t="shared" si="15"/>
        <v>0.6408296356</v>
      </c>
      <c r="FL21" s="73">
        <f t="shared" si="15"/>
        <v>0.8963357543</v>
      </c>
      <c r="FM21" s="73">
        <f t="shared" si="15"/>
        <v>0.654609456</v>
      </c>
      <c r="FN21" s="73">
        <f t="shared" si="15"/>
        <v>0.5384039606</v>
      </c>
      <c r="FO21" s="73">
        <f t="shared" si="15"/>
        <v>0.6693267745</v>
      </c>
      <c r="FP21" s="73">
        <f t="shared" si="15"/>
        <v>0.5976771978</v>
      </c>
      <c r="FQ21" s="73">
        <f t="shared" si="15"/>
        <v>0.6089382206</v>
      </c>
      <c r="FR21" s="73">
        <f t="shared" si="15"/>
        <v>0.3500729108</v>
      </c>
      <c r="FS21" s="73">
        <f t="shared" si="15"/>
        <v>0.6081000943</v>
      </c>
      <c r="FT21" s="73">
        <f t="shared" si="15"/>
        <v>0.822497047</v>
      </c>
      <c r="FU21" s="73">
        <f t="shared" si="15"/>
        <v>0.4606022241</v>
      </c>
      <c r="FV21" s="73">
        <f t="shared" si="15"/>
        <v>0.3989175563</v>
      </c>
      <c r="FW21" s="73">
        <f t="shared" si="15"/>
        <v>0.719128596</v>
      </c>
      <c r="FX21" s="73">
        <f t="shared" si="15"/>
        <v>0.5280665071</v>
      </c>
      <c r="FY21" s="73">
        <f t="shared" si="15"/>
        <v>0.6180783653</v>
      </c>
      <c r="FZ21" s="73">
        <f t="shared" si="15"/>
        <v>0.507760541</v>
      </c>
      <c r="GA21" s="73">
        <f t="shared" si="15"/>
        <v>0.4091953494</v>
      </c>
      <c r="GB21" s="73">
        <f t="shared" si="15"/>
        <v>0.2878594281</v>
      </c>
      <c r="GC21" s="73">
        <f t="shared" si="15"/>
        <v>0.4388441981</v>
      </c>
      <c r="GD21" s="73">
        <f t="shared" si="15"/>
        <v>0.6402451352</v>
      </c>
      <c r="GE21" s="73">
        <f t="shared" si="15"/>
        <v>0.2344280125</v>
      </c>
      <c r="GF21" s="73">
        <f t="shared" si="15"/>
        <v>0.4712613358</v>
      </c>
      <c r="GG21" s="73">
        <f t="shared" si="15"/>
        <v>0.5559051521</v>
      </c>
      <c r="GH21" s="73">
        <f t="shared" si="15"/>
        <v>0.6731054743</v>
      </c>
      <c r="GI21" s="73">
        <f t="shared" si="15"/>
        <v>0.2651794911</v>
      </c>
      <c r="GJ21" s="73">
        <f t="shared" si="15"/>
        <v>0.6729611499</v>
      </c>
      <c r="GK21" s="73">
        <f t="shared" si="15"/>
        <v>0.5755860906</v>
      </c>
      <c r="GL21" s="73">
        <f t="shared" si="15"/>
        <v>0.3747639769</v>
      </c>
      <c r="GM21" s="73">
        <f t="shared" si="15"/>
        <v>0.3198211107</v>
      </c>
      <c r="GN21" s="73">
        <f t="shared" si="15"/>
        <v>0.7407218067</v>
      </c>
      <c r="GO21" s="73">
        <f t="shared" si="15"/>
        <v>0.2352292499</v>
      </c>
      <c r="GP21" s="73">
        <f t="shared" si="15"/>
        <v>0.2653419809</v>
      </c>
      <c r="GQ21" s="73">
        <f t="shared" si="15"/>
        <v>0.4716975901</v>
      </c>
      <c r="GR21" s="73">
        <f t="shared" si="15"/>
        <v>0.6370393205</v>
      </c>
      <c r="GS21" s="73">
        <f t="shared" si="15"/>
        <v>0.6593625102</v>
      </c>
      <c r="GT21" s="73">
        <f t="shared" si="15"/>
        <v>0.2689404563</v>
      </c>
      <c r="GU21" s="73">
        <f t="shared" si="15"/>
        <v>0.3061839664</v>
      </c>
      <c r="GV21" s="73">
        <f t="shared" si="15"/>
        <v>0.3101889848</v>
      </c>
      <c r="GW21" s="73">
        <f t="shared" si="15"/>
        <v>0.389922113</v>
      </c>
      <c r="GX21" s="73">
        <f t="shared" si="15"/>
        <v>0.5465311625</v>
      </c>
      <c r="GY21" s="73">
        <f t="shared" si="15"/>
        <v>0.2779296465</v>
      </c>
      <c r="GZ21" s="73">
        <f t="shared" si="15"/>
        <v>0.7349319885</v>
      </c>
      <c r="HA21" s="73">
        <f t="shared" si="15"/>
        <v>0.5033688118</v>
      </c>
      <c r="HB21" s="73">
        <f t="shared" si="15"/>
        <v>0.3857174736</v>
      </c>
      <c r="HC21" s="73">
        <f t="shared" si="15"/>
        <v>0.6871729877</v>
      </c>
      <c r="HD21" s="73">
        <f t="shared" si="15"/>
        <v>0.5727364116</v>
      </c>
      <c r="HE21" s="73">
        <f t="shared" si="15"/>
        <v>0.7217952606</v>
      </c>
      <c r="HF21" s="73">
        <f t="shared" si="15"/>
        <v>0.3094429934</v>
      </c>
      <c r="HG21" s="73">
        <f t="shared" si="15"/>
        <v>0.4923812149</v>
      </c>
      <c r="HH21" s="73">
        <f t="shared" si="15"/>
        <v>0.4657677845</v>
      </c>
      <c r="HI21" s="73">
        <f t="shared" si="15"/>
        <v>0.5022657802</v>
      </c>
      <c r="HJ21" s="73">
        <f t="shared" si="15"/>
        <v>0.6230306722</v>
      </c>
      <c r="HK21" s="73">
        <f t="shared" si="15"/>
        <v>0.5519852971</v>
      </c>
      <c r="HL21" s="73">
        <f t="shared" si="15"/>
        <v>0.7635513547</v>
      </c>
      <c r="HM21" s="73">
        <f t="shared" si="15"/>
        <v>0.674448055</v>
      </c>
      <c r="HN21" s="73">
        <f t="shared" si="15"/>
        <v>0.400811234</v>
      </c>
      <c r="HO21" s="73">
        <f t="shared" si="15"/>
        <v>0.3052496575</v>
      </c>
      <c r="HP21" s="73">
        <f t="shared" si="15"/>
        <v>0.4388841127</v>
      </c>
      <c r="HQ21" s="73">
        <f t="shared" si="15"/>
        <v>0.3619899209</v>
      </c>
      <c r="HR21" s="73">
        <f t="shared" si="15"/>
        <v>0.8421408874</v>
      </c>
      <c r="HS21" s="73">
        <f t="shared" si="15"/>
        <v>0.6999511455</v>
      </c>
      <c r="HT21" s="73">
        <f t="shared" si="15"/>
        <v>0.6414839995</v>
      </c>
      <c r="HU21" s="73">
        <f t="shared" si="15"/>
        <v>0.7566656061</v>
      </c>
      <c r="HV21" s="73">
        <f t="shared" si="15"/>
        <v>0.5250662477</v>
      </c>
      <c r="HW21" s="73">
        <f t="shared" si="15"/>
        <v>0.352753064</v>
      </c>
      <c r="HX21" s="73">
        <f t="shared" si="15"/>
        <v>0.373410948</v>
      </c>
      <c r="HY21" s="73">
        <f t="shared" si="15"/>
        <v>0.8234778792</v>
      </c>
      <c r="HZ21" s="73">
        <f t="shared" si="15"/>
        <v>0.3334574476</v>
      </c>
      <c r="IA21" s="73">
        <f t="shared" si="15"/>
        <v>0.498887897</v>
      </c>
      <c r="IB21" s="73">
        <f t="shared" si="15"/>
        <v>0.557964067</v>
      </c>
      <c r="IC21" s="73">
        <f t="shared" si="15"/>
        <v>0.3446978593</v>
      </c>
      <c r="ID21" s="73">
        <f t="shared" si="15"/>
        <v>0.3507422221</v>
      </c>
      <c r="IE21" s="73">
        <f t="shared" si="15"/>
        <v>0.3402440254</v>
      </c>
      <c r="IF21" s="73">
        <f t="shared" si="15"/>
        <v>0.3876916803</v>
      </c>
      <c r="IG21" s="73">
        <f t="shared" si="15"/>
        <v>0.8680079674</v>
      </c>
      <c r="IH21" s="73">
        <f t="shared" si="15"/>
        <v>0.5004071033</v>
      </c>
      <c r="II21" s="73">
        <f t="shared" si="15"/>
        <v>0.5232435383</v>
      </c>
      <c r="IJ21" s="73">
        <f t="shared" si="15"/>
        <v>0.3099573205</v>
      </c>
      <c r="IK21" s="73">
        <f t="shared" si="15"/>
        <v>0.313509596</v>
      </c>
      <c r="IL21" s="73">
        <f t="shared" si="15"/>
        <v>0.5473648714</v>
      </c>
      <c r="IM21" s="73">
        <f t="shared" si="15"/>
        <v>0.6595605955</v>
      </c>
      <c r="IN21" s="73">
        <f t="shared" si="15"/>
        <v>0.2615051857</v>
      </c>
      <c r="IO21" s="73">
        <f t="shared" si="15"/>
        <v>0.2984182207</v>
      </c>
      <c r="IP21" s="73">
        <f t="shared" si="15"/>
        <v>0.5144453743</v>
      </c>
      <c r="IQ21" s="73">
        <f t="shared" si="15"/>
        <v>0.4537255168</v>
      </c>
      <c r="IR21" s="73">
        <f t="shared" si="15"/>
        <v>0.8654573253</v>
      </c>
      <c r="IS21" s="73">
        <f t="shared" si="15"/>
        <v>0.5119988675</v>
      </c>
      <c r="IT21" s="73">
        <f t="shared" si="15"/>
        <v>0.6240345703</v>
      </c>
      <c r="IU21" s="73">
        <f t="shared" si="15"/>
        <v>0.5873566306</v>
      </c>
      <c r="IV21" s="73">
        <f t="shared" si="15"/>
        <v>0.6801658854</v>
      </c>
      <c r="IW21" s="73">
        <f t="shared" si="15"/>
        <v>0.4578727703</v>
      </c>
      <c r="IX21" s="73">
        <f t="shared" si="15"/>
        <v>0.4840925695</v>
      </c>
      <c r="IY21" s="73">
        <f t="shared" si="15"/>
        <v>0.5489925795</v>
      </c>
      <c r="IZ21" s="73">
        <f t="shared" si="15"/>
        <v>0.5949408929</v>
      </c>
      <c r="JA21" s="73">
        <f t="shared" si="15"/>
        <v>0.7848083413</v>
      </c>
      <c r="JB21" s="73">
        <f t="shared" si="15"/>
        <v>0.4096051142</v>
      </c>
      <c r="JC21" s="73">
        <f t="shared" si="15"/>
        <v>0.828924784</v>
      </c>
      <c r="JD21" s="73">
        <f t="shared" si="15"/>
        <v>0.6052919966</v>
      </c>
      <c r="JE21" s="73">
        <f t="shared" si="15"/>
        <v>0.2381794923</v>
      </c>
      <c r="JF21" s="73">
        <f t="shared" si="15"/>
        <v>0.3645299439</v>
      </c>
      <c r="JG21" s="73">
        <f t="shared" si="15"/>
        <v>0.6099919047</v>
      </c>
      <c r="JH21" s="73">
        <f t="shared" si="15"/>
        <v>0.5772080022</v>
      </c>
      <c r="JI21" s="73">
        <f t="shared" si="15"/>
        <v>0.6340333454</v>
      </c>
      <c r="JJ21" s="73">
        <f t="shared" si="15"/>
        <v>0.8568538348</v>
      </c>
      <c r="JK21" s="73">
        <f t="shared" si="15"/>
        <v>0.7634401142</v>
      </c>
      <c r="JL21" s="73">
        <f t="shared" si="15"/>
        <v>0.4059113355</v>
      </c>
      <c r="JM21" s="73">
        <f t="shared" si="15"/>
        <v>0.2862674747</v>
      </c>
      <c r="JN21" s="73">
        <f t="shared" si="15"/>
        <v>0.3208057938</v>
      </c>
      <c r="JO21" s="73">
        <f t="shared" si="15"/>
        <v>0.7345220183</v>
      </c>
      <c r="JP21" s="73">
        <f t="shared" si="15"/>
        <v>0.5391351904</v>
      </c>
      <c r="JQ21" s="73">
        <f t="shared" si="15"/>
        <v>0.2177639886</v>
      </c>
      <c r="JR21" s="73">
        <f t="shared" si="15"/>
        <v>0.4907880283</v>
      </c>
      <c r="JS21" s="73">
        <f t="shared" si="15"/>
        <v>0.3216819451</v>
      </c>
      <c r="JT21" s="73">
        <f t="shared" si="15"/>
        <v>0.6437988215</v>
      </c>
      <c r="JU21" s="73">
        <f t="shared" si="15"/>
        <v>0.5608188614</v>
      </c>
      <c r="JV21" s="73">
        <f t="shared" si="15"/>
        <v>0.689789525</v>
      </c>
      <c r="JW21" s="73">
        <f t="shared" si="15"/>
        <v>0.3099965286</v>
      </c>
      <c r="JX21" s="73">
        <f t="shared" si="15"/>
        <v>0.2673719753</v>
      </c>
      <c r="JY21" s="73">
        <f t="shared" si="15"/>
        <v>0.7579037395</v>
      </c>
      <c r="JZ21" s="73">
        <f t="shared" si="15"/>
        <v>0.6257894815</v>
      </c>
      <c r="KA21" s="73">
        <f t="shared" si="15"/>
        <v>0.6763576111</v>
      </c>
      <c r="KB21" s="73">
        <f t="shared" si="15"/>
        <v>0.5494067197</v>
      </c>
      <c r="KC21" s="73">
        <f t="shared" si="15"/>
        <v>0.3344704705</v>
      </c>
      <c r="KD21" s="73">
        <f t="shared" si="15"/>
        <v>0.3448325487</v>
      </c>
      <c r="KE21" s="73">
        <f t="shared" si="15"/>
        <v>0.7256169073</v>
      </c>
      <c r="KF21" s="73">
        <f t="shared" si="15"/>
        <v>0.7545482144</v>
      </c>
      <c r="KG21" s="73">
        <f t="shared" si="15"/>
        <v>0.3273097357</v>
      </c>
      <c r="KH21" s="73">
        <f t="shared" si="15"/>
        <v>0.3774310564</v>
      </c>
      <c r="KI21" s="73">
        <f t="shared" si="15"/>
        <v>0.4677511201</v>
      </c>
      <c r="KJ21" s="73">
        <f t="shared" si="15"/>
        <v>0.6623210824</v>
      </c>
      <c r="KK21" s="73">
        <f t="shared" si="15"/>
        <v>0.4904765916</v>
      </c>
      <c r="KL21" s="73">
        <f t="shared" si="15"/>
        <v>0.3621741993</v>
      </c>
      <c r="KM21" s="73">
        <f t="shared" si="15"/>
        <v>0.7690589509</v>
      </c>
      <c r="KN21" s="73">
        <f t="shared" si="15"/>
        <v>0.5821736583</v>
      </c>
      <c r="KO21" s="73">
        <f t="shared" si="15"/>
        <v>0.5725109206</v>
      </c>
      <c r="KP21" s="73">
        <f t="shared" si="15"/>
        <v>0.2943819293</v>
      </c>
      <c r="KQ21" s="73">
        <f t="shared" si="15"/>
        <v>0.6918604741</v>
      </c>
      <c r="KR21" s="73">
        <f t="shared" si="15"/>
        <v>0.32134575</v>
      </c>
      <c r="KS21" s="73">
        <f t="shared" si="15"/>
        <v>0.4739122271</v>
      </c>
      <c r="KT21" s="73">
        <f t="shared" si="15"/>
        <v>0.510007319</v>
      </c>
      <c r="KU21" s="73">
        <f t="shared" si="15"/>
        <v>0.5204127097</v>
      </c>
      <c r="KV21" s="73">
        <f t="shared" si="15"/>
        <v>0.4087501106</v>
      </c>
      <c r="KW21" s="73">
        <f t="shared" si="15"/>
        <v>0.606655435</v>
      </c>
      <c r="KX21" s="73">
        <f t="shared" si="15"/>
        <v>0.6998501803</v>
      </c>
      <c r="KY21" s="73">
        <f t="shared" si="15"/>
        <v>0.4922951117</v>
      </c>
      <c r="KZ21" s="73">
        <f t="shared" si="15"/>
        <v>0.7297742568</v>
      </c>
      <c r="LA21" s="73">
        <f t="shared" si="15"/>
        <v>0.5914174818</v>
      </c>
      <c r="LB21" s="73">
        <f t="shared" si="15"/>
        <v>0.5325341061</v>
      </c>
      <c r="LC21" s="73">
        <f t="shared" si="15"/>
        <v>0.4052401418</v>
      </c>
      <c r="LD21" s="73">
        <f t="shared" si="15"/>
        <v>0.3217789421</v>
      </c>
      <c r="LE21" s="73">
        <f t="shared" si="15"/>
        <v>0.8439170463</v>
      </c>
      <c r="LF21" s="73">
        <f t="shared" si="15"/>
        <v>0.4270696641</v>
      </c>
      <c r="LG21" s="73">
        <f t="shared" si="15"/>
        <v>0.6406141815</v>
      </c>
      <c r="LH21" s="73">
        <f t="shared" si="15"/>
        <v>0.434926371</v>
      </c>
      <c r="LI21" s="73">
        <f t="shared" si="15"/>
        <v>0.7929181031</v>
      </c>
      <c r="LJ21" s="73">
        <f t="shared" si="15"/>
        <v>0.314227433</v>
      </c>
      <c r="LK21" s="73">
        <f t="shared" si="15"/>
        <v>0.3682613603</v>
      </c>
      <c r="LL21" s="73">
        <f t="shared" si="15"/>
        <v>0.7529303863</v>
      </c>
      <c r="LM21" s="73">
        <f t="shared" si="15"/>
        <v>0.5387421415</v>
      </c>
      <c r="LN21" s="73">
        <f t="shared" si="15"/>
        <v>0.4534281248</v>
      </c>
      <c r="LO21" s="73">
        <f t="shared" si="15"/>
        <v>0.6731839324</v>
      </c>
      <c r="LP21" s="73">
        <f t="shared" si="15"/>
        <v>0.4854151087</v>
      </c>
      <c r="LQ21" s="73">
        <f t="shared" si="15"/>
        <v>0.3145329988</v>
      </c>
      <c r="LR21" s="73">
        <f t="shared" si="15"/>
        <v>0.6477027356</v>
      </c>
      <c r="LS21" s="73">
        <f t="shared" si="15"/>
        <v>0.5192696267</v>
      </c>
      <c r="LT21" s="73">
        <f t="shared" si="15"/>
        <v>0.8298721072</v>
      </c>
      <c r="LU21" s="73">
        <f t="shared" si="15"/>
        <v>0.4969981647</v>
      </c>
      <c r="LV21" s="73">
        <f t="shared" si="15"/>
        <v>0.5796053087</v>
      </c>
      <c r="LW21" s="73">
        <f t="shared" si="15"/>
        <v>0.2615277042</v>
      </c>
      <c r="LX21" s="73">
        <f t="shared" si="15"/>
        <v>0.3370090473</v>
      </c>
      <c r="LY21" s="73">
        <f t="shared" si="15"/>
        <v>0.383687699</v>
      </c>
      <c r="LZ21" s="73">
        <f t="shared" si="15"/>
        <v>0.5294872157</v>
      </c>
      <c r="MA21" s="73">
        <f t="shared" si="15"/>
        <v>0.3838376962</v>
      </c>
      <c r="MB21" s="73">
        <f t="shared" si="15"/>
        <v>0.850598909</v>
      </c>
      <c r="MC21" s="73">
        <f t="shared" si="15"/>
        <v>0.5875199515</v>
      </c>
      <c r="MD21" s="73">
        <f t="shared" si="15"/>
        <v>0.7123210657</v>
      </c>
      <c r="ME21" s="73">
        <f t="shared" si="15"/>
        <v>0.2497547853</v>
      </c>
      <c r="MF21" s="73">
        <f t="shared" si="15"/>
        <v>0.2102120117</v>
      </c>
      <c r="MG21" s="73">
        <f t="shared" si="15"/>
        <v>0.4146260468</v>
      </c>
      <c r="MH21" s="73">
        <f t="shared" si="15"/>
        <v>0.3435998193</v>
      </c>
      <c r="MI21" s="73">
        <f t="shared" si="15"/>
        <v>0.5638600465</v>
      </c>
      <c r="MJ21" s="73">
        <f t="shared" si="15"/>
        <v>0.587993351</v>
      </c>
      <c r="MK21" s="73">
        <f t="shared" si="15"/>
        <v>0.2553637406</v>
      </c>
      <c r="ML21" s="73">
        <f t="shared" si="15"/>
        <v>0.4046201172</v>
      </c>
      <c r="MM21" s="73">
        <f t="shared" si="15"/>
        <v>0.5559282383</v>
      </c>
      <c r="MN21" s="73">
        <f t="shared" si="15"/>
        <v>0.8046079057</v>
      </c>
      <c r="MO21" s="73">
        <f t="shared" si="15"/>
        <v>0.5828501785</v>
      </c>
      <c r="MP21" s="73">
        <f t="shared" si="15"/>
        <v>0.8755394815</v>
      </c>
      <c r="MQ21" s="73">
        <f t="shared" si="15"/>
        <v>0.4723484314</v>
      </c>
      <c r="MR21" s="73">
        <f t="shared" si="15"/>
        <v>0.4141876218</v>
      </c>
      <c r="MS21" s="73">
        <f t="shared" si="15"/>
        <v>0.4591841304</v>
      </c>
      <c r="MT21" s="73">
        <f t="shared" si="15"/>
        <v>0.5373876148</v>
      </c>
      <c r="MU21" s="73">
        <f t="shared" si="15"/>
        <v>0.6686302777</v>
      </c>
      <c r="MV21" s="73">
        <f t="shared" si="15"/>
        <v>0.6219438989</v>
      </c>
      <c r="MW21" s="73">
        <f t="shared" si="15"/>
        <v>0.2600311131</v>
      </c>
      <c r="MX21" s="73">
        <f t="shared" si="15"/>
        <v>0.347679152</v>
      </c>
      <c r="MY21" s="73">
        <f t="shared" si="15"/>
        <v>0.421243384</v>
      </c>
      <c r="MZ21" s="73">
        <f t="shared" si="15"/>
        <v>0.4003631432</v>
      </c>
      <c r="NA21" s="73">
        <f t="shared" si="15"/>
        <v>0.8934682472</v>
      </c>
      <c r="NB21" s="73">
        <f t="shared" si="15"/>
        <v>0.6515339223</v>
      </c>
      <c r="NC21" s="73">
        <f t="shared" si="15"/>
        <v>0.6530945657</v>
      </c>
      <c r="ND21" s="73">
        <f t="shared" si="15"/>
        <v>0.3404126527</v>
      </c>
      <c r="NE21" s="73">
        <f t="shared" si="15"/>
        <v>0.6028704186</v>
      </c>
      <c r="NF21" s="73">
        <f t="shared" si="15"/>
        <v>0.3187895596</v>
      </c>
      <c r="NG21" s="73">
        <f t="shared" si="15"/>
        <v>0.5838601331</v>
      </c>
      <c r="NH21" s="73">
        <f t="shared" si="15"/>
        <v>0.3446970634</v>
      </c>
      <c r="NI21" s="73">
        <f t="shared" si="15"/>
        <v>0.5141957002</v>
      </c>
      <c r="NJ21" s="73">
        <f t="shared" si="15"/>
        <v>0.3899510882</v>
      </c>
      <c r="NK21" s="73">
        <f t="shared" si="15"/>
        <v>0.8581392728</v>
      </c>
      <c r="NL21" s="73">
        <f t="shared" si="15"/>
        <v>0.4944869747</v>
      </c>
      <c r="NM21" s="73">
        <f t="shared" si="15"/>
        <v>0.8019597104</v>
      </c>
      <c r="NN21" s="73">
        <f t="shared" si="15"/>
        <v>0.2677801706</v>
      </c>
      <c r="NO21" s="73">
        <f t="shared" si="15"/>
        <v>0.775133648</v>
      </c>
      <c r="NP21" s="73">
        <f t="shared" si="15"/>
        <v>0.724442867</v>
      </c>
      <c r="NQ21" s="73">
        <f t="shared" si="15"/>
        <v>0.274530144</v>
      </c>
      <c r="NR21" s="73">
        <f t="shared" si="15"/>
        <v>0.3793555881</v>
      </c>
      <c r="NS21" s="73">
        <f t="shared" si="15"/>
        <v>0.5951110713</v>
      </c>
      <c r="NT21" s="73">
        <f t="shared" si="15"/>
        <v>0.9411523947</v>
      </c>
      <c r="NU21" s="73">
        <f t="shared" si="15"/>
        <v>0.6381063013</v>
      </c>
      <c r="NV21" s="73">
        <f t="shared" si="15"/>
        <v>0.5066431301</v>
      </c>
      <c r="NW21" s="73">
        <f t="shared" si="15"/>
        <v>0.7308686087</v>
      </c>
      <c r="NX21" s="73">
        <f t="shared" si="15"/>
        <v>0.4098300389</v>
      </c>
      <c r="NY21" s="73">
        <f t="shared" si="15"/>
        <v>0.5520004991</v>
      </c>
      <c r="NZ21" s="73">
        <f t="shared" si="15"/>
        <v>0.5042188756</v>
      </c>
      <c r="OA21" s="73">
        <f t="shared" si="15"/>
        <v>0.6413510114</v>
      </c>
      <c r="OB21" s="73">
        <f t="shared" si="15"/>
        <v>0.5123917345</v>
      </c>
      <c r="OC21" s="73">
        <f t="shared" si="15"/>
        <v>0.7454410118</v>
      </c>
      <c r="OD21" s="73">
        <f t="shared" si="15"/>
        <v>0.5859173358</v>
      </c>
      <c r="OE21" s="73">
        <f t="shared" si="15"/>
        <v>0.2806450269</v>
      </c>
      <c r="OF21" s="73">
        <f t="shared" si="15"/>
        <v>0.6475352489</v>
      </c>
      <c r="OG21" s="73">
        <f t="shared" si="15"/>
        <v>0.215704736</v>
      </c>
      <c r="OH21" s="73">
        <f t="shared" si="15"/>
        <v>0.6437759563</v>
      </c>
      <c r="OI21" s="73">
        <f t="shared" si="15"/>
        <v>0.3062131365</v>
      </c>
      <c r="OJ21" s="73">
        <f t="shared" si="15"/>
        <v>0.3477023405</v>
      </c>
      <c r="OK21" s="73">
        <f t="shared" si="15"/>
        <v>0.33733404</v>
      </c>
      <c r="OL21" s="73">
        <f t="shared" si="15"/>
        <v>0.2113386453</v>
      </c>
      <c r="OM21" s="73">
        <f t="shared" si="15"/>
        <v>0.2825275772</v>
      </c>
      <c r="ON21" s="73">
        <f t="shared" si="15"/>
        <v>0.7088597695</v>
      </c>
      <c r="OO21" s="73">
        <f t="shared" si="15"/>
        <v>0.3359150689</v>
      </c>
      <c r="OP21" s="73">
        <f t="shared" si="15"/>
        <v>0.3598135721</v>
      </c>
      <c r="OQ21" s="73">
        <f t="shared" si="15"/>
        <v>0.6448045684</v>
      </c>
      <c r="OR21" s="73">
        <f t="shared" si="15"/>
        <v>0.5501607854</v>
      </c>
      <c r="OS21" s="73">
        <f t="shared" si="15"/>
        <v>0.4187854058</v>
      </c>
      <c r="OT21" s="73">
        <f t="shared" si="15"/>
        <v>0.7391813077</v>
      </c>
      <c r="OU21" s="73">
        <f t="shared" si="15"/>
        <v>0.5704209642</v>
      </c>
      <c r="OV21" s="73">
        <f t="shared" si="15"/>
        <v>0.7293695023</v>
      </c>
      <c r="OW21" s="73">
        <f t="shared" si="15"/>
        <v>0.3182776171</v>
      </c>
      <c r="OX21" s="73">
        <f t="shared" si="15"/>
        <v>0.4948473928</v>
      </c>
      <c r="OY21" s="73">
        <f t="shared" si="15"/>
        <v>0.324325735</v>
      </c>
      <c r="OZ21" s="73">
        <f t="shared" si="15"/>
        <v>0.7369601573</v>
      </c>
      <c r="PA21" s="73">
        <f t="shared" si="15"/>
        <v>0.3425587986</v>
      </c>
      <c r="PB21" s="73">
        <f t="shared" si="15"/>
        <v>0.6518180666</v>
      </c>
      <c r="PC21" s="73">
        <f t="shared" si="15"/>
        <v>0.6393094189</v>
      </c>
      <c r="PD21" s="73">
        <f t="shared" si="15"/>
        <v>0.2244372217</v>
      </c>
      <c r="PE21" s="73">
        <f t="shared" si="15"/>
        <v>0.4964675119</v>
      </c>
      <c r="PF21" s="73">
        <f t="shared" si="15"/>
        <v>0.8875951852</v>
      </c>
      <c r="PG21" s="73">
        <f t="shared" si="15"/>
        <v>0.3994645697</v>
      </c>
      <c r="PH21" s="73">
        <f t="shared" si="15"/>
        <v>0.6538042934</v>
      </c>
      <c r="PI21" s="73">
        <f t="shared" si="15"/>
        <v>0.5969000167</v>
      </c>
      <c r="PJ21" s="73">
        <f t="shared" si="15"/>
        <v>0.3821669092</v>
      </c>
      <c r="PK21" s="73">
        <f t="shared" si="15"/>
        <v>0.6555083883</v>
      </c>
      <c r="PL21" s="73">
        <f t="shared" si="15"/>
        <v>0.4863436329</v>
      </c>
      <c r="PM21" s="73">
        <f t="shared" si="15"/>
        <v>0.4495309753</v>
      </c>
      <c r="PN21" s="73">
        <f t="shared" si="15"/>
        <v>0.2571160393</v>
      </c>
      <c r="PO21" s="73">
        <f t="shared" si="15"/>
        <v>0.2622014245</v>
      </c>
      <c r="PP21" s="73">
        <f t="shared" si="15"/>
        <v>0.3580243085</v>
      </c>
      <c r="PQ21" s="73">
        <f t="shared" si="15"/>
        <v>0.802767685</v>
      </c>
      <c r="PR21" s="73">
        <f t="shared" si="15"/>
        <v>0.4314489738</v>
      </c>
      <c r="PS21" s="73">
        <f t="shared" si="15"/>
        <v>0.5563682874</v>
      </c>
      <c r="PT21" s="73">
        <f t="shared" si="15"/>
        <v>0.5879024453</v>
      </c>
      <c r="PU21" s="73">
        <f t="shared" si="15"/>
        <v>0.3132056579</v>
      </c>
      <c r="PV21" s="73">
        <f t="shared" si="15"/>
        <v>0.478876453</v>
      </c>
      <c r="PW21" s="73">
        <f t="shared" si="15"/>
        <v>0.6079643517</v>
      </c>
      <c r="PX21" s="73">
        <f t="shared" si="15"/>
        <v>0.4334231896</v>
      </c>
      <c r="PY21" s="73">
        <f t="shared" si="15"/>
        <v>0.8467781532</v>
      </c>
      <c r="PZ21" s="73">
        <f t="shared" si="15"/>
        <v>0.6012555259</v>
      </c>
      <c r="QA21" s="73">
        <f t="shared" si="15"/>
        <v>0.5451031544</v>
      </c>
      <c r="QB21" s="73">
        <f t="shared" si="15"/>
        <v>0.5519236966</v>
      </c>
      <c r="QC21" s="73">
        <f t="shared" si="15"/>
        <v>0.5081524638</v>
      </c>
      <c r="QD21" s="73">
        <f t="shared" si="15"/>
        <v>0.5279065825</v>
      </c>
      <c r="QE21" s="73">
        <f t="shared" si="15"/>
        <v>0.7468749149</v>
      </c>
      <c r="QF21" s="73">
        <f t="shared" si="15"/>
        <v>0.2533364104</v>
      </c>
      <c r="QG21" s="73">
        <f t="shared" si="15"/>
        <v>0.6948531908</v>
      </c>
      <c r="QH21" s="73">
        <f t="shared" si="15"/>
        <v>0.4035335438</v>
      </c>
      <c r="QI21" s="73">
        <f t="shared" si="15"/>
        <v>0.7195387484</v>
      </c>
      <c r="QJ21" s="73">
        <f t="shared" si="15"/>
        <v>0.6886627576</v>
      </c>
      <c r="QK21" s="73">
        <f t="shared" si="15"/>
        <v>0.4109770117</v>
      </c>
      <c r="QL21" s="73">
        <f t="shared" si="15"/>
        <v>0.4897975864</v>
      </c>
      <c r="QM21" s="73">
        <f t="shared" si="15"/>
        <v>0.6926705674</v>
      </c>
      <c r="QN21" s="73">
        <f t="shared" si="15"/>
        <v>0.6145894821</v>
      </c>
      <c r="QO21" s="73">
        <f t="shared" si="15"/>
        <v>0.2897790139</v>
      </c>
      <c r="QP21" s="73">
        <f t="shared" si="15"/>
        <v>0.6447712345</v>
      </c>
      <c r="QQ21" s="73">
        <f t="shared" si="15"/>
        <v>0.5210392229</v>
      </c>
      <c r="QR21" s="73">
        <f t="shared" si="15"/>
        <v>0.9367501699</v>
      </c>
      <c r="QS21" s="73">
        <f t="shared" si="15"/>
        <v>0.4664734383</v>
      </c>
      <c r="QT21" s="73">
        <f t="shared" si="15"/>
        <v>0.5286251788</v>
      </c>
      <c r="QU21" s="73">
        <f t="shared" si="15"/>
        <v>0.3256469601</v>
      </c>
      <c r="QV21" s="73">
        <f t="shared" si="15"/>
        <v>0.7112581262</v>
      </c>
      <c r="QW21" s="73">
        <f t="shared" si="15"/>
        <v>0.6114226328</v>
      </c>
      <c r="QX21" s="73">
        <f t="shared" si="15"/>
        <v>0.2307828639</v>
      </c>
      <c r="QY21" s="73">
        <f t="shared" si="15"/>
        <v>0.4433584879</v>
      </c>
      <c r="QZ21" s="73">
        <f t="shared" si="15"/>
        <v>0.8549749753</v>
      </c>
      <c r="RA21" s="73">
        <f t="shared" si="15"/>
        <v>0.4925683352</v>
      </c>
      <c r="RB21" s="73">
        <f t="shared" si="15"/>
        <v>0.4808731958</v>
      </c>
      <c r="RC21" s="73">
        <f t="shared" si="15"/>
        <v>0.2865713026</v>
      </c>
      <c r="RD21" s="73">
        <f t="shared" si="15"/>
        <v>0.2397955171</v>
      </c>
      <c r="RE21" s="73">
        <f t="shared" si="15"/>
        <v>0.3703196089</v>
      </c>
      <c r="RF21" s="73">
        <f t="shared" si="15"/>
        <v>0.4513936529</v>
      </c>
      <c r="RG21" s="73">
        <f t="shared" si="15"/>
        <v>0.5025935065</v>
      </c>
      <c r="RH21" s="73">
        <f t="shared" si="15"/>
        <v>0.3315374245</v>
      </c>
      <c r="RI21" s="73">
        <f t="shared" si="15"/>
        <v>0.7738469244</v>
      </c>
      <c r="RJ21" s="73">
        <f t="shared" si="15"/>
        <v>0.8814168726</v>
      </c>
      <c r="RK21" s="73">
        <f t="shared" si="15"/>
        <v>0.4727779745</v>
      </c>
      <c r="RL21" s="73">
        <f t="shared" si="15"/>
        <v>0.5786323137</v>
      </c>
      <c r="RM21" s="73">
        <f t="shared" si="15"/>
        <v>0.5883100326</v>
      </c>
      <c r="RN21" s="73">
        <f t="shared" si="15"/>
        <v>0.8431884861</v>
      </c>
      <c r="RO21" s="73">
        <f t="shared" si="15"/>
        <v>0.5414604799</v>
      </c>
      <c r="RP21" s="73">
        <f t="shared" si="15"/>
        <v>0.7661901487</v>
      </c>
      <c r="RQ21" s="73">
        <f t="shared" si="15"/>
        <v>0.5974101444</v>
      </c>
      <c r="RR21" s="73">
        <f t="shared" si="15"/>
        <v>0.6196251709</v>
      </c>
      <c r="RS21" s="73">
        <f t="shared" si="15"/>
        <v>0.7475827667</v>
      </c>
      <c r="RT21" s="73">
        <f t="shared" si="15"/>
        <v>0.5515227775</v>
      </c>
      <c r="RU21" s="73">
        <f t="shared" si="15"/>
        <v>0.5279134014</v>
      </c>
      <c r="RV21" s="73">
        <f t="shared" si="15"/>
        <v>0.3299994511</v>
      </c>
      <c r="RW21" s="73">
        <f t="shared" si="15"/>
        <v>0.3578217105</v>
      </c>
      <c r="RX21" s="73">
        <f t="shared" si="15"/>
        <v>0.2395604428</v>
      </c>
      <c r="RY21" s="73">
        <f t="shared" si="15"/>
        <v>0.4184183545</v>
      </c>
      <c r="RZ21" s="73">
        <f t="shared" si="15"/>
        <v>0.664628814</v>
      </c>
      <c r="SA21" s="73">
        <f t="shared" si="15"/>
        <v>0.3686528535</v>
      </c>
      <c r="SB21" s="73">
        <f t="shared" si="15"/>
        <v>0.7564963203</v>
      </c>
      <c r="SC21" s="73">
        <f t="shared" si="15"/>
        <v>0.6056948418</v>
      </c>
      <c r="SD21" s="73">
        <f t="shared" si="15"/>
        <v>0.401918956</v>
      </c>
      <c r="SE21" s="73">
        <f t="shared" si="15"/>
        <v>0.5960453077</v>
      </c>
      <c r="SF21" s="73">
        <f t="shared" si="15"/>
        <v>0.7337814417</v>
      </c>
      <c r="SG21" s="73">
        <f t="shared" si="15"/>
        <v>0.3849703168</v>
      </c>
      <c r="SH21" s="73">
        <f t="shared" si="15"/>
        <v>0.3405713598</v>
      </c>
      <c r="SI21" s="73">
        <f t="shared" si="15"/>
        <v>0.6679264159</v>
      </c>
      <c r="SJ21" s="73">
        <f t="shared" si="15"/>
        <v>0.3611905138</v>
      </c>
      <c r="SK21" s="73">
        <f t="shared" si="15"/>
        <v>0.5571982978</v>
      </c>
      <c r="SL21" s="73">
        <f t="shared" si="15"/>
        <v>0.3034767792</v>
      </c>
    </row>
    <row r="22">
      <c r="A22" s="53" t="s">
        <v>98</v>
      </c>
      <c r="B22" s="74">
        <f>B21*B9</f>
        <v>2090.454866</v>
      </c>
      <c r="C22" s="268"/>
      <c r="D22" s="269"/>
      <c r="E22" s="270"/>
      <c r="F22" s="74"/>
      <c r="G22" s="74">
        <f t="shared" ref="G22:SL22" si="16">G21*G9</f>
        <v>1342.862366</v>
      </c>
      <c r="H22" s="74">
        <f t="shared" si="16"/>
        <v>1786.461671</v>
      </c>
      <c r="I22" s="74">
        <f t="shared" si="16"/>
        <v>1935.27635</v>
      </c>
      <c r="J22" s="74">
        <f t="shared" si="16"/>
        <v>2946.566153</v>
      </c>
      <c r="K22" s="74">
        <f t="shared" si="16"/>
        <v>1373.467061</v>
      </c>
      <c r="L22" s="74">
        <f t="shared" si="16"/>
        <v>2740.872922</v>
      </c>
      <c r="M22" s="74">
        <f t="shared" si="16"/>
        <v>2693.685712</v>
      </c>
      <c r="N22" s="74">
        <f t="shared" si="16"/>
        <v>2680.653273</v>
      </c>
      <c r="O22" s="74">
        <f t="shared" si="16"/>
        <v>3468.084733</v>
      </c>
      <c r="P22" s="74">
        <f t="shared" si="16"/>
        <v>2115.00551</v>
      </c>
      <c r="Q22" s="74">
        <f t="shared" si="16"/>
        <v>3082.366673</v>
      </c>
      <c r="R22" s="74">
        <f t="shared" si="16"/>
        <v>3081.191534</v>
      </c>
      <c r="S22" s="74">
        <f t="shared" si="16"/>
        <v>2153.403952</v>
      </c>
      <c r="T22" s="74">
        <f t="shared" si="16"/>
        <v>1492.630827</v>
      </c>
      <c r="U22" s="74">
        <f t="shared" si="16"/>
        <v>2975.276278</v>
      </c>
      <c r="V22" s="74">
        <f t="shared" si="16"/>
        <v>1392.209141</v>
      </c>
      <c r="W22" s="74">
        <f t="shared" si="16"/>
        <v>1788.40545</v>
      </c>
      <c r="X22" s="74">
        <f t="shared" si="16"/>
        <v>2855.8386</v>
      </c>
      <c r="Y22" s="74">
        <f t="shared" si="16"/>
        <v>2886.685814</v>
      </c>
      <c r="Z22" s="74">
        <f t="shared" si="16"/>
        <v>2427.895152</v>
      </c>
      <c r="AA22" s="74">
        <f t="shared" si="16"/>
        <v>3356.119151</v>
      </c>
      <c r="AB22" s="74">
        <f t="shared" si="16"/>
        <v>2147.600479</v>
      </c>
      <c r="AC22" s="74">
        <f t="shared" si="16"/>
        <v>1042.03404</v>
      </c>
      <c r="AD22" s="74">
        <f t="shared" si="16"/>
        <v>1060.08848</v>
      </c>
      <c r="AE22" s="74">
        <f t="shared" si="16"/>
        <v>1508.697219</v>
      </c>
      <c r="AF22" s="74">
        <f t="shared" si="16"/>
        <v>1953.164106</v>
      </c>
      <c r="AG22" s="74">
        <f t="shared" si="16"/>
        <v>2206.144344</v>
      </c>
      <c r="AH22" s="74">
        <f t="shared" si="16"/>
        <v>2105.229192</v>
      </c>
      <c r="AI22" s="74">
        <f t="shared" si="16"/>
        <v>2279.380502</v>
      </c>
      <c r="AJ22" s="74">
        <f t="shared" si="16"/>
        <v>1285.474124</v>
      </c>
      <c r="AK22" s="74">
        <f t="shared" si="16"/>
        <v>1921.397247</v>
      </c>
      <c r="AL22" s="74">
        <f t="shared" si="16"/>
        <v>2810.203019</v>
      </c>
      <c r="AM22" s="74">
        <f t="shared" si="16"/>
        <v>2603.407051</v>
      </c>
      <c r="AN22" s="74">
        <f t="shared" si="16"/>
        <v>1252.933509</v>
      </c>
      <c r="AO22" s="74">
        <f t="shared" si="16"/>
        <v>2307.721888</v>
      </c>
      <c r="AP22" s="74">
        <f t="shared" si="16"/>
        <v>1541.55588</v>
      </c>
      <c r="AQ22" s="74">
        <f t="shared" si="16"/>
        <v>1083.669369</v>
      </c>
      <c r="AR22" s="74">
        <f t="shared" si="16"/>
        <v>3074.65517</v>
      </c>
      <c r="AS22" s="74">
        <f t="shared" si="16"/>
        <v>2238.99535</v>
      </c>
      <c r="AT22" s="74">
        <f t="shared" si="16"/>
        <v>1330.269567</v>
      </c>
      <c r="AU22" s="74">
        <f t="shared" si="16"/>
        <v>1812.547514</v>
      </c>
      <c r="AV22" s="74">
        <f t="shared" si="16"/>
        <v>1357.697371</v>
      </c>
      <c r="AW22" s="74">
        <f t="shared" si="16"/>
        <v>1632.91215</v>
      </c>
      <c r="AX22" s="74">
        <f t="shared" si="16"/>
        <v>1764.909625</v>
      </c>
      <c r="AY22" s="74">
        <f t="shared" si="16"/>
        <v>3666.154547</v>
      </c>
      <c r="AZ22" s="74">
        <f t="shared" si="16"/>
        <v>1755.383547</v>
      </c>
      <c r="BA22" s="74">
        <f t="shared" si="16"/>
        <v>2605.615905</v>
      </c>
      <c r="BB22" s="74">
        <f t="shared" si="16"/>
        <v>3430.623351</v>
      </c>
      <c r="BC22" s="74">
        <f t="shared" si="16"/>
        <v>1243.781326</v>
      </c>
      <c r="BD22" s="74">
        <f t="shared" si="16"/>
        <v>2231.167368</v>
      </c>
      <c r="BE22" s="74">
        <f t="shared" si="16"/>
        <v>2683.518736</v>
      </c>
      <c r="BF22" s="74">
        <f t="shared" si="16"/>
        <v>2078.022085</v>
      </c>
      <c r="BG22" s="74">
        <f t="shared" si="16"/>
        <v>2940.606298</v>
      </c>
      <c r="BH22" s="74">
        <f t="shared" si="16"/>
        <v>1079.888333</v>
      </c>
      <c r="BI22" s="74">
        <f t="shared" si="16"/>
        <v>3202.022389</v>
      </c>
      <c r="BJ22" s="74">
        <f t="shared" si="16"/>
        <v>1206.537542</v>
      </c>
      <c r="BK22" s="74">
        <f t="shared" si="16"/>
        <v>1188.357063</v>
      </c>
      <c r="BL22" s="74">
        <f t="shared" si="16"/>
        <v>1555.573777</v>
      </c>
      <c r="BM22" s="74">
        <f t="shared" si="16"/>
        <v>2512.011538</v>
      </c>
      <c r="BN22" s="74">
        <f t="shared" si="16"/>
        <v>2333.857217</v>
      </c>
      <c r="BO22" s="74">
        <f t="shared" si="16"/>
        <v>1267.477718</v>
      </c>
      <c r="BP22" s="74">
        <f t="shared" si="16"/>
        <v>1575.005271</v>
      </c>
      <c r="BQ22" s="74">
        <f t="shared" si="16"/>
        <v>1329.712578</v>
      </c>
      <c r="BR22" s="74">
        <f t="shared" si="16"/>
        <v>2566.259208</v>
      </c>
      <c r="BS22" s="74">
        <f t="shared" si="16"/>
        <v>1291.042145</v>
      </c>
      <c r="BT22" s="74">
        <f t="shared" si="16"/>
        <v>1384.897592</v>
      </c>
      <c r="BU22" s="74">
        <f t="shared" si="16"/>
        <v>3356.370161</v>
      </c>
      <c r="BV22" s="74">
        <f t="shared" si="16"/>
        <v>2293.306364</v>
      </c>
      <c r="BW22" s="74">
        <f t="shared" si="16"/>
        <v>2820.470311</v>
      </c>
      <c r="BX22" s="74">
        <f t="shared" si="16"/>
        <v>1855.092925</v>
      </c>
      <c r="BY22" s="74">
        <f t="shared" si="16"/>
        <v>2010.858882</v>
      </c>
      <c r="BZ22" s="74">
        <f t="shared" si="16"/>
        <v>1799.486763</v>
      </c>
      <c r="CA22" s="74">
        <f t="shared" si="16"/>
        <v>1529.183056</v>
      </c>
      <c r="CB22" s="74">
        <f t="shared" si="16"/>
        <v>1457.605832</v>
      </c>
      <c r="CC22" s="74">
        <f t="shared" si="16"/>
        <v>1823.840142</v>
      </c>
      <c r="CD22" s="74">
        <f t="shared" si="16"/>
        <v>1555.597449</v>
      </c>
      <c r="CE22" s="74">
        <f t="shared" si="16"/>
        <v>1853.303286</v>
      </c>
      <c r="CF22" s="74">
        <f t="shared" si="16"/>
        <v>3173.98858</v>
      </c>
      <c r="CG22" s="74">
        <f t="shared" si="16"/>
        <v>1215.695504</v>
      </c>
      <c r="CH22" s="74">
        <f t="shared" si="16"/>
        <v>864.467653</v>
      </c>
      <c r="CI22" s="74">
        <f t="shared" si="16"/>
        <v>2564.538391</v>
      </c>
      <c r="CJ22" s="74">
        <f t="shared" si="16"/>
        <v>3408.991512</v>
      </c>
      <c r="CK22" s="74">
        <f t="shared" si="16"/>
        <v>2815.804253</v>
      </c>
      <c r="CL22" s="74">
        <f t="shared" si="16"/>
        <v>1757.945254</v>
      </c>
      <c r="CM22" s="74">
        <f t="shared" si="16"/>
        <v>1927.292987</v>
      </c>
      <c r="CN22" s="74">
        <f t="shared" si="16"/>
        <v>2810.277168</v>
      </c>
      <c r="CO22" s="74">
        <f t="shared" si="16"/>
        <v>2346.769785</v>
      </c>
      <c r="CP22" s="74">
        <f t="shared" si="16"/>
        <v>1961.779563</v>
      </c>
      <c r="CQ22" s="74">
        <f t="shared" si="16"/>
        <v>2278.088228</v>
      </c>
      <c r="CR22" s="74">
        <f t="shared" si="16"/>
        <v>2389.252667</v>
      </c>
      <c r="CS22" s="74">
        <f t="shared" si="16"/>
        <v>2061.309954</v>
      </c>
      <c r="CT22" s="74">
        <f t="shared" si="16"/>
        <v>1544.632445</v>
      </c>
      <c r="CU22" s="74">
        <f t="shared" si="16"/>
        <v>2820.400147</v>
      </c>
      <c r="CV22" s="74">
        <f t="shared" si="16"/>
        <v>1619.45222</v>
      </c>
      <c r="CW22" s="74">
        <f t="shared" si="16"/>
        <v>2269.43283</v>
      </c>
      <c r="CX22" s="74">
        <f t="shared" si="16"/>
        <v>1428.524163</v>
      </c>
      <c r="CY22" s="74">
        <f t="shared" si="16"/>
        <v>2556.596972</v>
      </c>
      <c r="CZ22" s="74">
        <f t="shared" si="16"/>
        <v>2666.467832</v>
      </c>
      <c r="DA22" s="74">
        <f t="shared" si="16"/>
        <v>2045.025571</v>
      </c>
      <c r="DB22" s="74">
        <f t="shared" si="16"/>
        <v>1754.68032</v>
      </c>
      <c r="DC22" s="74">
        <f t="shared" si="16"/>
        <v>1308.673117</v>
      </c>
      <c r="DD22" s="74">
        <f t="shared" si="16"/>
        <v>2018.684513</v>
      </c>
      <c r="DE22" s="74">
        <f t="shared" si="16"/>
        <v>924.8882409</v>
      </c>
      <c r="DF22" s="74">
        <f t="shared" si="16"/>
        <v>1737.721751</v>
      </c>
      <c r="DG22" s="74">
        <f t="shared" si="16"/>
        <v>2750.401134</v>
      </c>
      <c r="DH22" s="74">
        <f t="shared" si="16"/>
        <v>2288.772216</v>
      </c>
      <c r="DI22" s="74">
        <f t="shared" si="16"/>
        <v>941.2384832</v>
      </c>
      <c r="DJ22" s="74">
        <f t="shared" si="16"/>
        <v>1748.574357</v>
      </c>
      <c r="DK22" s="74">
        <f t="shared" si="16"/>
        <v>1843.761464</v>
      </c>
      <c r="DL22" s="74">
        <f t="shared" si="16"/>
        <v>1151.019544</v>
      </c>
      <c r="DM22" s="74">
        <f t="shared" si="16"/>
        <v>3073.407611</v>
      </c>
      <c r="DN22" s="74">
        <f t="shared" si="16"/>
        <v>1255.915755</v>
      </c>
      <c r="DO22" s="74">
        <f t="shared" si="16"/>
        <v>1319.324557</v>
      </c>
      <c r="DP22" s="74">
        <f t="shared" si="16"/>
        <v>2115.429551</v>
      </c>
      <c r="DQ22" s="74">
        <f t="shared" si="16"/>
        <v>2631.923073</v>
      </c>
      <c r="DR22" s="74">
        <f t="shared" si="16"/>
        <v>2347.857142</v>
      </c>
      <c r="DS22" s="74">
        <f t="shared" si="16"/>
        <v>3249.246453</v>
      </c>
      <c r="DT22" s="74">
        <f t="shared" si="16"/>
        <v>2101.345714</v>
      </c>
      <c r="DU22" s="74">
        <f t="shared" si="16"/>
        <v>2634.532137</v>
      </c>
      <c r="DV22" s="74">
        <f t="shared" si="16"/>
        <v>2003.474943</v>
      </c>
      <c r="DW22" s="74">
        <f t="shared" si="16"/>
        <v>1925.50172</v>
      </c>
      <c r="DX22" s="74">
        <f t="shared" si="16"/>
        <v>3147.12228</v>
      </c>
      <c r="DY22" s="74">
        <f t="shared" si="16"/>
        <v>3240.925577</v>
      </c>
      <c r="DZ22" s="74">
        <f t="shared" si="16"/>
        <v>1129.365853</v>
      </c>
      <c r="EA22" s="74">
        <f t="shared" si="16"/>
        <v>2051.434779</v>
      </c>
      <c r="EB22" s="74">
        <f t="shared" si="16"/>
        <v>1444.510433</v>
      </c>
      <c r="EC22" s="74">
        <f t="shared" si="16"/>
        <v>3801.83498</v>
      </c>
      <c r="ED22" s="74">
        <f t="shared" si="16"/>
        <v>1660.382546</v>
      </c>
      <c r="EE22" s="74">
        <f t="shared" si="16"/>
        <v>2108.247044</v>
      </c>
      <c r="EF22" s="74">
        <f t="shared" si="16"/>
        <v>2265.647434</v>
      </c>
      <c r="EG22" s="74">
        <f t="shared" si="16"/>
        <v>1308.061228</v>
      </c>
      <c r="EH22" s="74">
        <f t="shared" si="16"/>
        <v>1445.977757</v>
      </c>
      <c r="EI22" s="74">
        <f t="shared" si="16"/>
        <v>1616.134455</v>
      </c>
      <c r="EJ22" s="74">
        <f t="shared" si="16"/>
        <v>1490.268613</v>
      </c>
      <c r="EK22" s="74">
        <f t="shared" si="16"/>
        <v>2938.633651</v>
      </c>
      <c r="EL22" s="74">
        <f t="shared" si="16"/>
        <v>2079.652946</v>
      </c>
      <c r="EM22" s="74">
        <f t="shared" si="16"/>
        <v>898.5447654</v>
      </c>
      <c r="EN22" s="74">
        <f t="shared" si="16"/>
        <v>2048.840355</v>
      </c>
      <c r="EO22" s="74">
        <f t="shared" si="16"/>
        <v>3281.709667</v>
      </c>
      <c r="EP22" s="74">
        <f t="shared" si="16"/>
        <v>1341.626446</v>
      </c>
      <c r="EQ22" s="74">
        <f t="shared" si="16"/>
        <v>2810.96983</v>
      </c>
      <c r="ER22" s="74">
        <f t="shared" si="16"/>
        <v>2119.333825</v>
      </c>
      <c r="ES22" s="74">
        <f t="shared" si="16"/>
        <v>2658.591511</v>
      </c>
      <c r="ET22" s="74">
        <f t="shared" si="16"/>
        <v>1994.706879</v>
      </c>
      <c r="EU22" s="74">
        <f t="shared" si="16"/>
        <v>2573.661822</v>
      </c>
      <c r="EV22" s="74">
        <f t="shared" si="16"/>
        <v>2625.570517</v>
      </c>
      <c r="EW22" s="74">
        <f t="shared" si="16"/>
        <v>1466.732299</v>
      </c>
      <c r="EX22" s="74">
        <f t="shared" si="16"/>
        <v>1482.040431</v>
      </c>
      <c r="EY22" s="74">
        <f t="shared" si="16"/>
        <v>1962.225754</v>
      </c>
      <c r="EZ22" s="74">
        <f t="shared" si="16"/>
        <v>2798.045236</v>
      </c>
      <c r="FA22" s="74">
        <f t="shared" si="16"/>
        <v>1529.38255</v>
      </c>
      <c r="FB22" s="74">
        <f t="shared" si="16"/>
        <v>2659.60896</v>
      </c>
      <c r="FC22" s="74">
        <f t="shared" si="16"/>
        <v>1972.514928</v>
      </c>
      <c r="FD22" s="74">
        <f t="shared" si="16"/>
        <v>1528.763336</v>
      </c>
      <c r="FE22" s="74">
        <f t="shared" si="16"/>
        <v>1440.06816</v>
      </c>
      <c r="FF22" s="74">
        <f t="shared" si="16"/>
        <v>1600.028474</v>
      </c>
      <c r="FG22" s="74">
        <f t="shared" si="16"/>
        <v>1145.301275</v>
      </c>
      <c r="FH22" s="74">
        <f t="shared" si="16"/>
        <v>2317.458605</v>
      </c>
      <c r="FI22" s="74">
        <f t="shared" si="16"/>
        <v>1521.899834</v>
      </c>
      <c r="FJ22" s="74">
        <f t="shared" si="16"/>
        <v>878.3161657</v>
      </c>
      <c r="FK22" s="74">
        <f t="shared" si="16"/>
        <v>2608.406278</v>
      </c>
      <c r="FL22" s="74">
        <f t="shared" si="16"/>
        <v>4031.832208</v>
      </c>
      <c r="FM22" s="74">
        <f t="shared" si="16"/>
        <v>2421.97931</v>
      </c>
      <c r="FN22" s="74">
        <f t="shared" si="16"/>
        <v>2144.964033</v>
      </c>
      <c r="FO22" s="74">
        <f t="shared" si="16"/>
        <v>2526.155315</v>
      </c>
      <c r="FP22" s="74">
        <f t="shared" si="16"/>
        <v>2383.426112</v>
      </c>
      <c r="FQ22" s="74">
        <f t="shared" si="16"/>
        <v>2699.46185</v>
      </c>
      <c r="FR22" s="74">
        <f t="shared" si="16"/>
        <v>1300.328627</v>
      </c>
      <c r="FS22" s="74">
        <f t="shared" si="16"/>
        <v>2332.278278</v>
      </c>
      <c r="FT22" s="74">
        <f t="shared" si="16"/>
        <v>3129.006974</v>
      </c>
      <c r="FU22" s="74">
        <f t="shared" si="16"/>
        <v>2085.937013</v>
      </c>
      <c r="FV22" s="74">
        <f t="shared" si="16"/>
        <v>1583.449051</v>
      </c>
      <c r="FW22" s="74">
        <f t="shared" si="16"/>
        <v>2682.690522</v>
      </c>
      <c r="FX22" s="74">
        <f t="shared" si="16"/>
        <v>2171.214123</v>
      </c>
      <c r="FY22" s="74">
        <f t="shared" si="16"/>
        <v>2718.072852</v>
      </c>
      <c r="FZ22" s="74">
        <f t="shared" si="16"/>
        <v>2003.898988</v>
      </c>
      <c r="GA22" s="74">
        <f t="shared" si="16"/>
        <v>1840.215349</v>
      </c>
      <c r="GB22" s="74">
        <f t="shared" si="16"/>
        <v>1069.519242</v>
      </c>
      <c r="GC22" s="74">
        <f t="shared" si="16"/>
        <v>1832.704691</v>
      </c>
      <c r="GD22" s="74">
        <f t="shared" si="16"/>
        <v>2416.085295</v>
      </c>
      <c r="GE22" s="74">
        <f t="shared" si="16"/>
        <v>870.998987</v>
      </c>
      <c r="GF22" s="74">
        <f t="shared" si="16"/>
        <v>1704.48415</v>
      </c>
      <c r="GG22" s="74">
        <f t="shared" si="16"/>
        <v>2219.546113</v>
      </c>
      <c r="GH22" s="74">
        <f t="shared" si="16"/>
        <v>2536.168048</v>
      </c>
      <c r="GI22" s="74">
        <f t="shared" si="16"/>
        <v>988.3438902</v>
      </c>
      <c r="GJ22" s="74">
        <f t="shared" si="16"/>
        <v>2507.523264</v>
      </c>
      <c r="GK22" s="74">
        <f t="shared" si="16"/>
        <v>2171.243817</v>
      </c>
      <c r="GL22" s="74">
        <f t="shared" si="16"/>
        <v>1603.85118</v>
      </c>
      <c r="GM22" s="74">
        <f t="shared" si="16"/>
        <v>1411.109898</v>
      </c>
      <c r="GN22" s="74">
        <f t="shared" si="16"/>
        <v>2921.492438</v>
      </c>
      <c r="GO22" s="74">
        <f t="shared" si="16"/>
        <v>1013.661305</v>
      </c>
      <c r="GP22" s="74">
        <f t="shared" si="16"/>
        <v>1185.811779</v>
      </c>
      <c r="GQ22" s="74">
        <f t="shared" si="16"/>
        <v>1771.107208</v>
      </c>
      <c r="GR22" s="74">
        <f t="shared" si="16"/>
        <v>2295.109062</v>
      </c>
      <c r="GS22" s="74">
        <f t="shared" si="16"/>
        <v>2906.988288</v>
      </c>
      <c r="GT22" s="74">
        <f t="shared" si="16"/>
        <v>1120.539634</v>
      </c>
      <c r="GU22" s="74">
        <f t="shared" si="16"/>
        <v>1228.735725</v>
      </c>
      <c r="GV22" s="74">
        <f t="shared" si="16"/>
        <v>1158.507447</v>
      </c>
      <c r="GW22" s="74">
        <f t="shared" si="16"/>
        <v>1554.55861</v>
      </c>
      <c r="GX22" s="74">
        <f t="shared" si="16"/>
        <v>2121.615018</v>
      </c>
      <c r="GY22" s="74">
        <f t="shared" si="16"/>
        <v>1039.508287</v>
      </c>
      <c r="GZ22" s="74">
        <f t="shared" si="16"/>
        <v>2868.324851</v>
      </c>
      <c r="HA22" s="74">
        <f t="shared" si="16"/>
        <v>2206.047279</v>
      </c>
      <c r="HB22" s="74">
        <f t="shared" si="16"/>
        <v>1698.672999</v>
      </c>
      <c r="HC22" s="74">
        <f t="shared" si="16"/>
        <v>2749.661143</v>
      </c>
      <c r="HD22" s="74">
        <f t="shared" si="16"/>
        <v>2395.75972</v>
      </c>
      <c r="HE22" s="74">
        <f t="shared" si="16"/>
        <v>3241.469865</v>
      </c>
      <c r="HF22" s="74">
        <f t="shared" si="16"/>
        <v>1167.741268</v>
      </c>
      <c r="HG22" s="74">
        <f t="shared" si="16"/>
        <v>2151.677448</v>
      </c>
      <c r="HH22" s="74">
        <f t="shared" si="16"/>
        <v>1794.977503</v>
      </c>
      <c r="HI22" s="74">
        <f t="shared" si="16"/>
        <v>2029.769245</v>
      </c>
      <c r="HJ22" s="74">
        <f t="shared" si="16"/>
        <v>2608.560999</v>
      </c>
      <c r="HK22" s="74">
        <f t="shared" si="16"/>
        <v>2001.27534</v>
      </c>
      <c r="HL22" s="74">
        <f t="shared" si="16"/>
        <v>2925.893482</v>
      </c>
      <c r="HM22" s="74">
        <f t="shared" si="16"/>
        <v>2962.03551</v>
      </c>
      <c r="HN22" s="74">
        <f t="shared" si="16"/>
        <v>1600.112585</v>
      </c>
      <c r="HO22" s="74">
        <f t="shared" si="16"/>
        <v>1105.970678</v>
      </c>
      <c r="HP22" s="74">
        <f t="shared" si="16"/>
        <v>1908.095613</v>
      </c>
      <c r="HQ22" s="74">
        <f t="shared" si="16"/>
        <v>1487.314056</v>
      </c>
      <c r="HR22" s="74">
        <f t="shared" si="16"/>
        <v>3749.211231</v>
      </c>
      <c r="HS22" s="74">
        <f t="shared" si="16"/>
        <v>2969.022829</v>
      </c>
      <c r="HT22" s="74">
        <f t="shared" si="16"/>
        <v>2833.14931</v>
      </c>
      <c r="HU22" s="74">
        <f t="shared" si="16"/>
        <v>2942.493217</v>
      </c>
      <c r="HV22" s="74">
        <f t="shared" si="16"/>
        <v>2367.423554</v>
      </c>
      <c r="HW22" s="74">
        <f t="shared" si="16"/>
        <v>1421.957796</v>
      </c>
      <c r="HX22" s="74">
        <f t="shared" si="16"/>
        <v>1663.150778</v>
      </c>
      <c r="HY22" s="74">
        <f t="shared" si="16"/>
        <v>3423.821102</v>
      </c>
      <c r="HZ22" s="74">
        <f t="shared" si="16"/>
        <v>1336.24302</v>
      </c>
      <c r="IA22" s="74">
        <f t="shared" si="16"/>
        <v>1906.628425</v>
      </c>
      <c r="IB22" s="74">
        <f t="shared" si="16"/>
        <v>2518.733654</v>
      </c>
      <c r="IC22" s="74">
        <f t="shared" si="16"/>
        <v>1330.238851</v>
      </c>
      <c r="ID22" s="74">
        <f t="shared" si="16"/>
        <v>1558.949834</v>
      </c>
      <c r="IE22" s="74">
        <f t="shared" si="16"/>
        <v>1366.907755</v>
      </c>
      <c r="IF22" s="74">
        <f t="shared" si="16"/>
        <v>1396.577482</v>
      </c>
      <c r="IG22" s="74">
        <f t="shared" si="16"/>
        <v>3675.97862</v>
      </c>
      <c r="IH22" s="74">
        <f t="shared" si="16"/>
        <v>1962.486743</v>
      </c>
      <c r="II22" s="74">
        <f t="shared" si="16"/>
        <v>2241.067197</v>
      </c>
      <c r="IJ22" s="74">
        <f t="shared" si="16"/>
        <v>1256.821393</v>
      </c>
      <c r="IK22" s="74">
        <f t="shared" si="16"/>
        <v>1413.554966</v>
      </c>
      <c r="IL22" s="74">
        <f t="shared" si="16"/>
        <v>2213.353702</v>
      </c>
      <c r="IM22" s="74">
        <f t="shared" si="16"/>
        <v>2585.370785</v>
      </c>
      <c r="IN22" s="74">
        <f t="shared" si="16"/>
        <v>1100.734278</v>
      </c>
      <c r="IO22" s="74">
        <f t="shared" si="16"/>
        <v>1216.407866</v>
      </c>
      <c r="IP22" s="74">
        <f t="shared" si="16"/>
        <v>1925.3698</v>
      </c>
      <c r="IQ22" s="74">
        <f t="shared" si="16"/>
        <v>1633.789528</v>
      </c>
      <c r="IR22" s="74">
        <f t="shared" si="16"/>
        <v>3302.945344</v>
      </c>
      <c r="IS22" s="74">
        <f t="shared" si="16"/>
        <v>2079.04687</v>
      </c>
      <c r="IT22" s="74">
        <f t="shared" si="16"/>
        <v>2533.378356</v>
      </c>
      <c r="IU22" s="74">
        <f t="shared" si="16"/>
        <v>2169.158964</v>
      </c>
      <c r="IV22" s="74">
        <f t="shared" si="16"/>
        <v>2640.380377</v>
      </c>
      <c r="IW22" s="74">
        <f t="shared" si="16"/>
        <v>2002.656097</v>
      </c>
      <c r="IX22" s="74">
        <f t="shared" si="16"/>
        <v>1796.492709</v>
      </c>
      <c r="IY22" s="74">
        <f t="shared" si="16"/>
        <v>2022.679065</v>
      </c>
      <c r="IZ22" s="74">
        <f t="shared" si="16"/>
        <v>2288.741054</v>
      </c>
      <c r="JA22" s="74">
        <f t="shared" si="16"/>
        <v>3163.585106</v>
      </c>
      <c r="JB22" s="74">
        <f t="shared" si="16"/>
        <v>1691.105618</v>
      </c>
      <c r="JC22" s="74">
        <f t="shared" si="16"/>
        <v>3143.80026</v>
      </c>
      <c r="JD22" s="74">
        <f t="shared" si="16"/>
        <v>2305.343788</v>
      </c>
      <c r="JE22" s="74">
        <f t="shared" si="16"/>
        <v>965.659514</v>
      </c>
      <c r="JF22" s="74">
        <f t="shared" si="16"/>
        <v>1421.110504</v>
      </c>
      <c r="JG22" s="74">
        <f t="shared" si="16"/>
        <v>2756.556943</v>
      </c>
      <c r="JH22" s="74">
        <f t="shared" si="16"/>
        <v>2334.028973</v>
      </c>
      <c r="JI22" s="74">
        <f t="shared" si="16"/>
        <v>2787.313204</v>
      </c>
      <c r="JJ22" s="74">
        <f t="shared" si="16"/>
        <v>3327.108959</v>
      </c>
      <c r="JK22" s="74">
        <f t="shared" si="16"/>
        <v>3323.585788</v>
      </c>
      <c r="JL22" s="74">
        <f t="shared" si="16"/>
        <v>1762.772039</v>
      </c>
      <c r="JM22" s="74">
        <f t="shared" si="16"/>
        <v>1256.949185</v>
      </c>
      <c r="JN22" s="74">
        <f t="shared" si="16"/>
        <v>1330.249967</v>
      </c>
      <c r="JO22" s="74">
        <f t="shared" si="16"/>
        <v>3146.33568</v>
      </c>
      <c r="JP22" s="74">
        <f t="shared" si="16"/>
        <v>2405.4654</v>
      </c>
      <c r="JQ22" s="74">
        <f t="shared" si="16"/>
        <v>977.7326163</v>
      </c>
      <c r="JR22" s="74">
        <f t="shared" si="16"/>
        <v>1950.022824</v>
      </c>
      <c r="JS22" s="74">
        <f t="shared" si="16"/>
        <v>1252.194387</v>
      </c>
      <c r="JT22" s="74">
        <f t="shared" si="16"/>
        <v>2648.31297</v>
      </c>
      <c r="JU22" s="74">
        <f t="shared" si="16"/>
        <v>2030.034609</v>
      </c>
      <c r="JV22" s="74">
        <f t="shared" si="16"/>
        <v>2794.628433</v>
      </c>
      <c r="JW22" s="74">
        <f t="shared" si="16"/>
        <v>1195.568808</v>
      </c>
      <c r="JX22" s="74">
        <f t="shared" si="16"/>
        <v>1115.822074</v>
      </c>
      <c r="JY22" s="74">
        <f t="shared" si="16"/>
        <v>3188.347699</v>
      </c>
      <c r="JZ22" s="74">
        <f t="shared" si="16"/>
        <v>2753.198805</v>
      </c>
      <c r="KA22" s="74">
        <f t="shared" si="16"/>
        <v>2637.419364</v>
      </c>
      <c r="KB22" s="74">
        <f t="shared" si="16"/>
        <v>2481.97185</v>
      </c>
      <c r="KC22" s="74">
        <f t="shared" si="16"/>
        <v>1391.459025</v>
      </c>
      <c r="KD22" s="74">
        <f t="shared" si="16"/>
        <v>1529.50178</v>
      </c>
      <c r="KE22" s="74">
        <f t="shared" si="16"/>
        <v>2611.063235</v>
      </c>
      <c r="KF22" s="74">
        <f t="shared" si="16"/>
        <v>2719.199856</v>
      </c>
      <c r="KG22" s="74">
        <f t="shared" si="16"/>
        <v>1380.581113</v>
      </c>
      <c r="KH22" s="74">
        <f t="shared" si="16"/>
        <v>1385.455596</v>
      </c>
      <c r="KI22" s="74">
        <f t="shared" si="16"/>
        <v>2051.994423</v>
      </c>
      <c r="KJ22" s="74">
        <f t="shared" si="16"/>
        <v>2708.747746</v>
      </c>
      <c r="KK22" s="74">
        <f t="shared" si="16"/>
        <v>1889.247788</v>
      </c>
      <c r="KL22" s="74">
        <f t="shared" si="16"/>
        <v>1507.063367</v>
      </c>
      <c r="KM22" s="74">
        <f t="shared" si="16"/>
        <v>3105.700097</v>
      </c>
      <c r="KN22" s="74">
        <f t="shared" si="16"/>
        <v>2192.984233</v>
      </c>
      <c r="KO22" s="74">
        <f t="shared" si="16"/>
        <v>2383.419221</v>
      </c>
      <c r="KP22" s="74">
        <f t="shared" si="16"/>
        <v>1331.600072</v>
      </c>
      <c r="KQ22" s="74">
        <f t="shared" si="16"/>
        <v>2848.705508</v>
      </c>
      <c r="KR22" s="74">
        <f t="shared" si="16"/>
        <v>1194.403145</v>
      </c>
      <c r="KS22" s="74">
        <f t="shared" si="16"/>
        <v>1706.24838</v>
      </c>
      <c r="KT22" s="74">
        <f t="shared" si="16"/>
        <v>2043.224929</v>
      </c>
      <c r="KU22" s="74">
        <f t="shared" si="16"/>
        <v>1947.703225</v>
      </c>
      <c r="KV22" s="74">
        <f t="shared" si="16"/>
        <v>1597.272571</v>
      </c>
      <c r="KW22" s="74">
        <f t="shared" si="16"/>
        <v>2370.921654</v>
      </c>
      <c r="KX22" s="74">
        <f t="shared" si="16"/>
        <v>2638.637448</v>
      </c>
      <c r="KY22" s="74">
        <f t="shared" si="16"/>
        <v>1868.046526</v>
      </c>
      <c r="KZ22" s="74">
        <f t="shared" si="16"/>
        <v>2740.475287</v>
      </c>
      <c r="LA22" s="74">
        <f t="shared" si="16"/>
        <v>2551.149389</v>
      </c>
      <c r="LB22" s="74">
        <f t="shared" si="16"/>
        <v>2191.393238</v>
      </c>
      <c r="LC22" s="74">
        <f t="shared" si="16"/>
        <v>1832.856655</v>
      </c>
      <c r="LD22" s="74">
        <f t="shared" si="16"/>
        <v>1349.127964</v>
      </c>
      <c r="LE22" s="74">
        <f t="shared" si="16"/>
        <v>3697.703027</v>
      </c>
      <c r="LF22" s="74">
        <f t="shared" si="16"/>
        <v>1636.303841</v>
      </c>
      <c r="LG22" s="74">
        <f t="shared" si="16"/>
        <v>2494.307227</v>
      </c>
      <c r="LH22" s="74">
        <f t="shared" si="16"/>
        <v>1624.382117</v>
      </c>
      <c r="LI22" s="74">
        <f t="shared" si="16"/>
        <v>3535.076404</v>
      </c>
      <c r="LJ22" s="74">
        <f t="shared" si="16"/>
        <v>1349.049207</v>
      </c>
      <c r="LK22" s="74">
        <f t="shared" si="16"/>
        <v>1487.154321</v>
      </c>
      <c r="LL22" s="74">
        <f t="shared" si="16"/>
        <v>2781.002784</v>
      </c>
      <c r="LM22" s="74">
        <f t="shared" si="16"/>
        <v>2028.336136</v>
      </c>
      <c r="LN22" s="74">
        <f t="shared" si="16"/>
        <v>2006.553122</v>
      </c>
      <c r="LO22" s="74">
        <f t="shared" si="16"/>
        <v>2529.599526</v>
      </c>
      <c r="LP22" s="74">
        <f t="shared" si="16"/>
        <v>1859.852557</v>
      </c>
      <c r="LQ22" s="74">
        <f t="shared" si="16"/>
        <v>1237.500085</v>
      </c>
      <c r="LR22" s="74">
        <f t="shared" si="16"/>
        <v>2557.759383</v>
      </c>
      <c r="LS22" s="74">
        <f t="shared" si="16"/>
        <v>2114.622001</v>
      </c>
      <c r="LT22" s="74">
        <f t="shared" si="16"/>
        <v>3097.025141</v>
      </c>
      <c r="LU22" s="74">
        <f t="shared" si="16"/>
        <v>1829.183072</v>
      </c>
      <c r="LV22" s="74">
        <f t="shared" si="16"/>
        <v>2112.671401</v>
      </c>
      <c r="LW22" s="74">
        <f t="shared" si="16"/>
        <v>1021.844674</v>
      </c>
      <c r="LX22" s="74">
        <f t="shared" si="16"/>
        <v>1215.149431</v>
      </c>
      <c r="LY22" s="74">
        <f t="shared" si="16"/>
        <v>1740.593702</v>
      </c>
      <c r="LZ22" s="74">
        <f t="shared" si="16"/>
        <v>1905.566338</v>
      </c>
      <c r="MA22" s="74">
        <f t="shared" si="16"/>
        <v>1631.314646</v>
      </c>
      <c r="MB22" s="74">
        <f t="shared" si="16"/>
        <v>3726.980246</v>
      </c>
      <c r="MC22" s="74">
        <f t="shared" si="16"/>
        <v>2352.049526</v>
      </c>
      <c r="MD22" s="74">
        <f t="shared" si="16"/>
        <v>2583.971429</v>
      </c>
      <c r="ME22" s="74">
        <f t="shared" si="16"/>
        <v>996.339691</v>
      </c>
      <c r="MF22" s="74">
        <f t="shared" si="16"/>
        <v>954.4402993</v>
      </c>
      <c r="MG22" s="74">
        <f t="shared" si="16"/>
        <v>1814.509035</v>
      </c>
      <c r="MH22" s="74">
        <f t="shared" si="16"/>
        <v>1461.304212</v>
      </c>
      <c r="MI22" s="74">
        <f t="shared" si="16"/>
        <v>2308.801554</v>
      </c>
      <c r="MJ22" s="74">
        <f t="shared" si="16"/>
        <v>2180.360917</v>
      </c>
      <c r="MK22" s="74">
        <f t="shared" si="16"/>
        <v>1117.536677</v>
      </c>
      <c r="ML22" s="74">
        <f t="shared" si="16"/>
        <v>1820.032742</v>
      </c>
      <c r="MM22" s="74">
        <f t="shared" si="16"/>
        <v>2061.459031</v>
      </c>
      <c r="MN22" s="74">
        <f t="shared" si="16"/>
        <v>3639.543867</v>
      </c>
      <c r="MO22" s="74">
        <f t="shared" si="16"/>
        <v>2590.320956</v>
      </c>
      <c r="MP22" s="74">
        <f t="shared" si="16"/>
        <v>3631.353139</v>
      </c>
      <c r="MQ22" s="74">
        <f t="shared" si="16"/>
        <v>2003.587372</v>
      </c>
      <c r="MR22" s="74">
        <f t="shared" si="16"/>
        <v>1533.652968</v>
      </c>
      <c r="MS22" s="74">
        <f t="shared" si="16"/>
        <v>1962.462729</v>
      </c>
      <c r="MT22" s="74">
        <f t="shared" si="16"/>
        <v>2058.722633</v>
      </c>
      <c r="MU22" s="74">
        <f t="shared" si="16"/>
        <v>3035.828815</v>
      </c>
      <c r="MV22" s="74">
        <f t="shared" si="16"/>
        <v>2510.395659</v>
      </c>
      <c r="MW22" s="74">
        <f t="shared" si="16"/>
        <v>946.0503062</v>
      </c>
      <c r="MX22" s="74">
        <f t="shared" si="16"/>
        <v>1501.94982</v>
      </c>
      <c r="MY22" s="74">
        <f t="shared" si="16"/>
        <v>1582.891411</v>
      </c>
      <c r="MZ22" s="74">
        <f t="shared" si="16"/>
        <v>1439.891002</v>
      </c>
      <c r="NA22" s="74">
        <f t="shared" si="16"/>
        <v>4026.742605</v>
      </c>
      <c r="NB22" s="74">
        <f t="shared" si="16"/>
        <v>2873.422773</v>
      </c>
      <c r="NC22" s="74">
        <f t="shared" si="16"/>
        <v>2874.597619</v>
      </c>
      <c r="ND22" s="74">
        <f t="shared" si="16"/>
        <v>1316.676787</v>
      </c>
      <c r="NE22" s="74">
        <f t="shared" si="16"/>
        <v>2321.587771</v>
      </c>
      <c r="NF22" s="74">
        <f t="shared" si="16"/>
        <v>1398.045164</v>
      </c>
      <c r="NG22" s="74">
        <f t="shared" si="16"/>
        <v>2605.298661</v>
      </c>
      <c r="NH22" s="74">
        <f t="shared" si="16"/>
        <v>1244.041589</v>
      </c>
      <c r="NI22" s="74">
        <f t="shared" si="16"/>
        <v>2300.434285</v>
      </c>
      <c r="NJ22" s="74">
        <f t="shared" si="16"/>
        <v>1539.905577</v>
      </c>
      <c r="NK22" s="74">
        <f t="shared" si="16"/>
        <v>3538.767947</v>
      </c>
      <c r="NL22" s="74">
        <f t="shared" si="16"/>
        <v>1890.289364</v>
      </c>
      <c r="NM22" s="74">
        <f t="shared" si="16"/>
        <v>3127.976634</v>
      </c>
      <c r="NN22" s="74">
        <f t="shared" si="16"/>
        <v>1177.334991</v>
      </c>
      <c r="NO22" s="74">
        <f t="shared" si="16"/>
        <v>3110.660615</v>
      </c>
      <c r="NP22" s="74">
        <f t="shared" si="16"/>
        <v>3061.302929</v>
      </c>
      <c r="NQ22" s="74">
        <f t="shared" si="16"/>
        <v>1210.744584</v>
      </c>
      <c r="NR22" s="74">
        <f t="shared" si="16"/>
        <v>1638.23724</v>
      </c>
      <c r="NS22" s="74">
        <f t="shared" si="16"/>
        <v>2207.910234</v>
      </c>
      <c r="NT22" s="74">
        <f t="shared" si="16"/>
        <v>4042.864277</v>
      </c>
      <c r="NU22" s="74">
        <f t="shared" si="16"/>
        <v>2800.261266</v>
      </c>
      <c r="NV22" s="74">
        <f t="shared" si="16"/>
        <v>2255.083215</v>
      </c>
      <c r="NW22" s="74">
        <f t="shared" si="16"/>
        <v>2804.913183</v>
      </c>
      <c r="NX22" s="74">
        <f t="shared" si="16"/>
        <v>1632.93344</v>
      </c>
      <c r="NY22" s="74">
        <f t="shared" si="16"/>
        <v>2478.144021</v>
      </c>
      <c r="NZ22" s="74">
        <f t="shared" si="16"/>
        <v>1845.231236</v>
      </c>
      <c r="OA22" s="74">
        <f t="shared" si="16"/>
        <v>2433.960453</v>
      </c>
      <c r="OB22" s="74">
        <f t="shared" si="16"/>
        <v>2053.772697</v>
      </c>
      <c r="OC22" s="74">
        <f t="shared" si="16"/>
        <v>2780.124408</v>
      </c>
      <c r="OD22" s="74">
        <f t="shared" si="16"/>
        <v>2176.930139</v>
      </c>
      <c r="OE22" s="74">
        <f t="shared" si="16"/>
        <v>1226.675079</v>
      </c>
      <c r="OF22" s="74">
        <f t="shared" si="16"/>
        <v>2509.307636</v>
      </c>
      <c r="OG22" s="74">
        <f t="shared" si="16"/>
        <v>791.4842655</v>
      </c>
      <c r="OH22" s="74">
        <f t="shared" si="16"/>
        <v>2911.102777</v>
      </c>
      <c r="OI22" s="74">
        <f t="shared" si="16"/>
        <v>1372.033093</v>
      </c>
      <c r="OJ22" s="74">
        <f t="shared" si="16"/>
        <v>1427.259822</v>
      </c>
      <c r="OK22" s="74">
        <f t="shared" si="16"/>
        <v>1355.05329</v>
      </c>
      <c r="OL22" s="74">
        <f t="shared" si="16"/>
        <v>792.2927001</v>
      </c>
      <c r="OM22" s="74">
        <f t="shared" si="16"/>
        <v>1233.806095</v>
      </c>
      <c r="ON22" s="74">
        <f t="shared" si="16"/>
        <v>2973.76917</v>
      </c>
      <c r="OO22" s="74">
        <f t="shared" si="16"/>
        <v>1456.512205</v>
      </c>
      <c r="OP22" s="74">
        <f t="shared" si="16"/>
        <v>1387.873742</v>
      </c>
      <c r="OQ22" s="74">
        <f t="shared" si="16"/>
        <v>2421.080885</v>
      </c>
      <c r="OR22" s="74">
        <f t="shared" si="16"/>
        <v>2513.159909</v>
      </c>
      <c r="OS22" s="74">
        <f t="shared" si="16"/>
        <v>1892.290329</v>
      </c>
      <c r="OT22" s="74">
        <f t="shared" si="16"/>
        <v>2668.128339</v>
      </c>
      <c r="OU22" s="74">
        <f t="shared" si="16"/>
        <v>2103.844405</v>
      </c>
      <c r="OV22" s="74">
        <f t="shared" si="16"/>
        <v>3222.362893</v>
      </c>
      <c r="OW22" s="74">
        <f t="shared" si="16"/>
        <v>1145.13711</v>
      </c>
      <c r="OX22" s="74">
        <f t="shared" si="16"/>
        <v>2162.21423</v>
      </c>
      <c r="OY22" s="74">
        <f t="shared" si="16"/>
        <v>1239.179269</v>
      </c>
      <c r="OZ22" s="74">
        <f t="shared" si="16"/>
        <v>2678.360285</v>
      </c>
      <c r="PA22" s="74">
        <f t="shared" si="16"/>
        <v>1339.781123</v>
      </c>
      <c r="PB22" s="74">
        <f t="shared" si="16"/>
        <v>2510.396277</v>
      </c>
      <c r="PC22" s="74">
        <f t="shared" si="16"/>
        <v>2751.528612</v>
      </c>
      <c r="PD22" s="74">
        <f t="shared" si="16"/>
        <v>932.0657271</v>
      </c>
      <c r="PE22" s="74">
        <f t="shared" si="16"/>
        <v>2094.564866</v>
      </c>
      <c r="PF22" s="74">
        <f t="shared" si="16"/>
        <v>3324.510854</v>
      </c>
      <c r="PG22" s="74">
        <f t="shared" si="16"/>
        <v>1809.255852</v>
      </c>
      <c r="PH22" s="74">
        <f t="shared" si="16"/>
        <v>2799.945231</v>
      </c>
      <c r="PI22" s="74">
        <f t="shared" si="16"/>
        <v>2526.977946</v>
      </c>
      <c r="PJ22" s="74">
        <f t="shared" si="16"/>
        <v>1702.149323</v>
      </c>
      <c r="PK22" s="74">
        <f t="shared" si="16"/>
        <v>2936.465392</v>
      </c>
      <c r="PL22" s="74">
        <f t="shared" si="16"/>
        <v>2185.510214</v>
      </c>
      <c r="PM22" s="74">
        <f t="shared" si="16"/>
        <v>1802.031962</v>
      </c>
      <c r="PN22" s="74">
        <f t="shared" si="16"/>
        <v>958.5404844</v>
      </c>
      <c r="PO22" s="74">
        <f t="shared" si="16"/>
        <v>1176.232559</v>
      </c>
      <c r="PP22" s="74">
        <f t="shared" si="16"/>
        <v>1331.602087</v>
      </c>
      <c r="PQ22" s="74">
        <f t="shared" si="16"/>
        <v>3111.24913</v>
      </c>
      <c r="PR22" s="74">
        <f t="shared" si="16"/>
        <v>1938.407964</v>
      </c>
      <c r="PS22" s="74">
        <f t="shared" si="16"/>
        <v>2184.385512</v>
      </c>
      <c r="PT22" s="74">
        <f t="shared" si="16"/>
        <v>2590.223412</v>
      </c>
      <c r="PU22" s="74">
        <f t="shared" si="16"/>
        <v>1254.480992</v>
      </c>
      <c r="PV22" s="74">
        <f t="shared" si="16"/>
        <v>1850.843651</v>
      </c>
      <c r="PW22" s="74">
        <f t="shared" si="16"/>
        <v>2556.107046</v>
      </c>
      <c r="PX22" s="74">
        <f t="shared" si="16"/>
        <v>1611.191832</v>
      </c>
      <c r="PY22" s="74">
        <f t="shared" si="16"/>
        <v>3735.730689</v>
      </c>
      <c r="PZ22" s="74">
        <f t="shared" si="16"/>
        <v>2264.571593</v>
      </c>
      <c r="QA22" s="74">
        <f t="shared" si="16"/>
        <v>1968.912594</v>
      </c>
      <c r="QB22" s="74">
        <f t="shared" si="16"/>
        <v>2040.177969</v>
      </c>
      <c r="QC22" s="74">
        <f t="shared" si="16"/>
        <v>2308.927304</v>
      </c>
      <c r="QD22" s="74">
        <f t="shared" si="16"/>
        <v>1997.537479</v>
      </c>
      <c r="QE22" s="74">
        <f t="shared" si="16"/>
        <v>2959.904143</v>
      </c>
      <c r="QF22" s="74">
        <f t="shared" si="16"/>
        <v>1142.122543</v>
      </c>
      <c r="QG22" s="74">
        <f t="shared" si="16"/>
        <v>3058.735713</v>
      </c>
      <c r="QH22" s="74">
        <f t="shared" si="16"/>
        <v>1576.887796</v>
      </c>
      <c r="QI22" s="74">
        <f t="shared" si="16"/>
        <v>2739.421268</v>
      </c>
      <c r="QJ22" s="74">
        <f t="shared" si="16"/>
        <v>2603.479603</v>
      </c>
      <c r="QK22" s="74">
        <f t="shared" si="16"/>
        <v>1479.061129</v>
      </c>
      <c r="QL22" s="74">
        <f t="shared" si="16"/>
        <v>1863.563737</v>
      </c>
      <c r="QM22" s="74">
        <f t="shared" si="16"/>
        <v>2745.089493</v>
      </c>
      <c r="QN22" s="74">
        <f t="shared" si="16"/>
        <v>2413.269086</v>
      </c>
      <c r="QO22" s="74">
        <f t="shared" si="16"/>
        <v>1294.176526</v>
      </c>
      <c r="QP22" s="74">
        <f t="shared" si="16"/>
        <v>2454.454013</v>
      </c>
      <c r="QQ22" s="74">
        <f t="shared" si="16"/>
        <v>2163.571702</v>
      </c>
      <c r="QR22" s="74">
        <f t="shared" si="16"/>
        <v>3363.98357</v>
      </c>
      <c r="QS22" s="74">
        <f t="shared" si="16"/>
        <v>1961.226903</v>
      </c>
      <c r="QT22" s="74">
        <f t="shared" si="16"/>
        <v>1977.155949</v>
      </c>
      <c r="QU22" s="74">
        <f t="shared" si="16"/>
        <v>1253.240091</v>
      </c>
      <c r="QV22" s="74">
        <f t="shared" si="16"/>
        <v>2966.217733</v>
      </c>
      <c r="QW22" s="74">
        <f t="shared" si="16"/>
        <v>2514.834302</v>
      </c>
      <c r="QX22" s="74">
        <f t="shared" si="16"/>
        <v>926.2583632</v>
      </c>
      <c r="QY22" s="74">
        <f t="shared" si="16"/>
        <v>1737.032426</v>
      </c>
      <c r="QZ22" s="74">
        <f t="shared" si="16"/>
        <v>3322.719393</v>
      </c>
      <c r="RA22" s="74">
        <f t="shared" si="16"/>
        <v>1825.555056</v>
      </c>
      <c r="RB22" s="74">
        <f t="shared" si="16"/>
        <v>1872.570258</v>
      </c>
      <c r="RC22" s="74">
        <f t="shared" si="16"/>
        <v>1088.387868</v>
      </c>
      <c r="RD22" s="74">
        <f t="shared" si="16"/>
        <v>1031.009835</v>
      </c>
      <c r="RE22" s="74">
        <f t="shared" si="16"/>
        <v>1608.565633</v>
      </c>
      <c r="RF22" s="74">
        <f t="shared" si="16"/>
        <v>1664.84416</v>
      </c>
      <c r="RG22" s="74">
        <f t="shared" si="16"/>
        <v>1913.713384</v>
      </c>
      <c r="RH22" s="74">
        <f t="shared" si="16"/>
        <v>1350.602978</v>
      </c>
      <c r="RI22" s="74">
        <f t="shared" si="16"/>
        <v>3455.311506</v>
      </c>
      <c r="RJ22" s="74">
        <f t="shared" si="16"/>
        <v>3268.416041</v>
      </c>
      <c r="RK22" s="74">
        <f t="shared" si="16"/>
        <v>1782.509605</v>
      </c>
      <c r="RL22" s="74">
        <f t="shared" si="16"/>
        <v>2222.911357</v>
      </c>
      <c r="RM22" s="74">
        <f t="shared" si="16"/>
        <v>2263.803403</v>
      </c>
      <c r="RN22" s="74">
        <f t="shared" si="16"/>
        <v>3599.118372</v>
      </c>
      <c r="RO22" s="74">
        <f t="shared" si="16"/>
        <v>2192.107448</v>
      </c>
      <c r="RP22" s="74">
        <f t="shared" si="16"/>
        <v>3308.400204</v>
      </c>
      <c r="RQ22" s="74">
        <f t="shared" si="16"/>
        <v>2726.966662</v>
      </c>
      <c r="RR22" s="74">
        <f t="shared" si="16"/>
        <v>2795.275994</v>
      </c>
      <c r="RS22" s="74">
        <f t="shared" si="16"/>
        <v>3412.088743</v>
      </c>
      <c r="RT22" s="74">
        <f t="shared" si="16"/>
        <v>2184.910085</v>
      </c>
      <c r="RU22" s="74">
        <f t="shared" si="16"/>
        <v>2263.887962</v>
      </c>
      <c r="RV22" s="74">
        <f t="shared" si="16"/>
        <v>1293.8649</v>
      </c>
      <c r="RW22" s="74">
        <f t="shared" si="16"/>
        <v>1615.260978</v>
      </c>
      <c r="RX22" s="74">
        <f t="shared" si="16"/>
        <v>1053.14648</v>
      </c>
      <c r="RY22" s="74">
        <f t="shared" si="16"/>
        <v>1561.305113</v>
      </c>
      <c r="RZ22" s="74">
        <f t="shared" si="16"/>
        <v>2974.417557</v>
      </c>
      <c r="SA22" s="74">
        <f t="shared" si="16"/>
        <v>1423.042633</v>
      </c>
      <c r="SB22" s="74">
        <f t="shared" si="16"/>
        <v>2756.707574</v>
      </c>
      <c r="SC22" s="74">
        <f t="shared" si="16"/>
        <v>2527.154943</v>
      </c>
      <c r="SD22" s="74">
        <f t="shared" si="16"/>
        <v>1723.57717</v>
      </c>
      <c r="SE22" s="74">
        <f t="shared" si="16"/>
        <v>2434.221474</v>
      </c>
      <c r="SF22" s="74">
        <f t="shared" si="16"/>
        <v>2745.903468</v>
      </c>
      <c r="SG22" s="74">
        <f t="shared" si="16"/>
        <v>1572.94866</v>
      </c>
      <c r="SH22" s="74">
        <f t="shared" si="16"/>
        <v>1525.153357</v>
      </c>
      <c r="SI22" s="74">
        <f t="shared" si="16"/>
        <v>2757.292905</v>
      </c>
      <c r="SJ22" s="74">
        <f t="shared" si="16"/>
        <v>1547.340161</v>
      </c>
      <c r="SK22" s="74">
        <f t="shared" si="16"/>
        <v>2306.685004</v>
      </c>
      <c r="SL22" s="74">
        <f t="shared" si="16"/>
        <v>1301.715404</v>
      </c>
    </row>
    <row r="23">
      <c r="A23" s="53" t="s">
        <v>99</v>
      </c>
      <c r="B23" s="75">
        <f t="array" ref="B23">INDEX('New CEA'!$B23:$F23,MATCH($B$2,'New CEA'!B$2:F$2,0))</f>
        <v>1.230452749</v>
      </c>
      <c r="C23" s="233">
        <f>AVERAGE(G23:SL23)</f>
        <v>1.2266436</v>
      </c>
      <c r="D23" s="271">
        <f>PERCENTILE($G23:$SL23,0.25)</f>
        <v>0.760075</v>
      </c>
      <c r="E23" s="272">
        <f>PERCENTILE($G23:$SL23,0.75)</f>
        <v>1.694075</v>
      </c>
      <c r="F23" s="75"/>
      <c r="G23" s="236">
        <f>RANDBETWEEN((Inputs!$E23-(Inputs!$E23-Inputs!$D23)*2)*10000,(Inputs!$E23+(Inputs!$F23-Inputs!$E23)*2)*10000)/10000</f>
        <v>2.0174</v>
      </c>
      <c r="H23" s="236">
        <f>RANDBETWEEN((Inputs!$E23-(Inputs!$E23-Inputs!$D23)*2)*10000,(Inputs!$E23+(Inputs!$F23-Inputs!$E23)*2)*10000)/10000</f>
        <v>0.79</v>
      </c>
      <c r="I23" s="236">
        <f>RANDBETWEEN((Inputs!$E23-(Inputs!$E23-Inputs!$D23)*2)*10000,(Inputs!$E23+(Inputs!$F23-Inputs!$E23)*2)*10000)/10000</f>
        <v>0.6015</v>
      </c>
      <c r="J23" s="236">
        <f>RANDBETWEEN((Inputs!$E23-(Inputs!$E23-Inputs!$D23)*2)*10000,(Inputs!$E23+(Inputs!$F23-Inputs!$E23)*2)*10000)/10000</f>
        <v>1.3924</v>
      </c>
      <c r="K23" s="236">
        <f>RANDBETWEEN((Inputs!$E23-(Inputs!$E23-Inputs!$D23)*2)*10000,(Inputs!$E23+(Inputs!$F23-Inputs!$E23)*2)*10000)/10000</f>
        <v>1.6309</v>
      </c>
      <c r="L23" s="236">
        <f>RANDBETWEEN((Inputs!$E23-(Inputs!$E23-Inputs!$D23)*2)*10000,(Inputs!$E23+(Inputs!$F23-Inputs!$E23)*2)*10000)/10000</f>
        <v>0.3069</v>
      </c>
      <c r="M23" s="236">
        <f>RANDBETWEEN((Inputs!$E23-(Inputs!$E23-Inputs!$D23)*2)*10000,(Inputs!$E23+(Inputs!$F23-Inputs!$E23)*2)*10000)/10000</f>
        <v>0.948</v>
      </c>
      <c r="N23" s="236">
        <f>RANDBETWEEN((Inputs!$E23-(Inputs!$E23-Inputs!$D23)*2)*10000,(Inputs!$E23+(Inputs!$F23-Inputs!$E23)*2)*10000)/10000</f>
        <v>1.694</v>
      </c>
      <c r="O23" s="236">
        <f>RANDBETWEEN((Inputs!$E23-(Inputs!$E23-Inputs!$D23)*2)*10000,(Inputs!$E23+(Inputs!$F23-Inputs!$E23)*2)*10000)/10000</f>
        <v>2.0317</v>
      </c>
      <c r="P23" s="236">
        <f>RANDBETWEEN((Inputs!$E23-(Inputs!$E23-Inputs!$D23)*2)*10000,(Inputs!$E23+(Inputs!$F23-Inputs!$E23)*2)*10000)/10000</f>
        <v>0.9341</v>
      </c>
      <c r="Q23" s="236">
        <f>RANDBETWEEN((Inputs!$E23-(Inputs!$E23-Inputs!$D23)*2)*10000,(Inputs!$E23+(Inputs!$F23-Inputs!$E23)*2)*10000)/10000</f>
        <v>1.7079</v>
      </c>
      <c r="R23" s="236">
        <f>RANDBETWEEN((Inputs!$E23-(Inputs!$E23-Inputs!$D23)*2)*10000,(Inputs!$E23+(Inputs!$F23-Inputs!$E23)*2)*10000)/10000</f>
        <v>1.5016</v>
      </c>
      <c r="S23" s="236">
        <f>RANDBETWEEN((Inputs!$E23-(Inputs!$E23-Inputs!$D23)*2)*10000,(Inputs!$E23+(Inputs!$F23-Inputs!$E23)*2)*10000)/10000</f>
        <v>1.1329</v>
      </c>
      <c r="T23" s="236">
        <f>RANDBETWEEN((Inputs!$E23-(Inputs!$E23-Inputs!$D23)*2)*10000,(Inputs!$E23+(Inputs!$F23-Inputs!$E23)*2)*10000)/10000</f>
        <v>0.8335</v>
      </c>
      <c r="U23" s="236">
        <f>RANDBETWEEN((Inputs!$E23-(Inputs!$E23-Inputs!$D23)*2)*10000,(Inputs!$E23+(Inputs!$F23-Inputs!$E23)*2)*10000)/10000</f>
        <v>2.0593</v>
      </c>
      <c r="V23" s="236">
        <f>RANDBETWEEN((Inputs!$E23-(Inputs!$E23-Inputs!$D23)*2)*10000,(Inputs!$E23+(Inputs!$F23-Inputs!$E23)*2)*10000)/10000</f>
        <v>1.0095</v>
      </c>
      <c r="W23" s="236">
        <f>RANDBETWEEN((Inputs!$E23-(Inputs!$E23-Inputs!$D23)*2)*10000,(Inputs!$E23+(Inputs!$F23-Inputs!$E23)*2)*10000)/10000</f>
        <v>0.3147</v>
      </c>
      <c r="X23" s="236">
        <f>RANDBETWEEN((Inputs!$E23-(Inputs!$E23-Inputs!$D23)*2)*10000,(Inputs!$E23+(Inputs!$F23-Inputs!$E23)*2)*10000)/10000</f>
        <v>0.9946</v>
      </c>
      <c r="Y23" s="236">
        <f>RANDBETWEEN((Inputs!$E23-(Inputs!$E23-Inputs!$D23)*2)*10000,(Inputs!$E23+(Inputs!$F23-Inputs!$E23)*2)*10000)/10000</f>
        <v>2.2036</v>
      </c>
      <c r="Z23" s="236">
        <f>RANDBETWEEN((Inputs!$E23-(Inputs!$E23-Inputs!$D23)*2)*10000,(Inputs!$E23+(Inputs!$F23-Inputs!$E23)*2)*10000)/10000</f>
        <v>0.7791</v>
      </c>
      <c r="AA23" s="236">
        <f>RANDBETWEEN((Inputs!$E23-(Inputs!$E23-Inputs!$D23)*2)*10000,(Inputs!$E23+(Inputs!$F23-Inputs!$E23)*2)*10000)/10000</f>
        <v>0.4673</v>
      </c>
      <c r="AB23" s="236">
        <f>RANDBETWEEN((Inputs!$E23-(Inputs!$E23-Inputs!$D23)*2)*10000,(Inputs!$E23+(Inputs!$F23-Inputs!$E23)*2)*10000)/10000</f>
        <v>1.7071</v>
      </c>
      <c r="AC23" s="236">
        <f>RANDBETWEEN((Inputs!$E23-(Inputs!$E23-Inputs!$D23)*2)*10000,(Inputs!$E23+(Inputs!$F23-Inputs!$E23)*2)*10000)/10000</f>
        <v>1.0787</v>
      </c>
      <c r="AD23" s="236">
        <f>RANDBETWEEN((Inputs!$E23-(Inputs!$E23-Inputs!$D23)*2)*10000,(Inputs!$E23+(Inputs!$F23-Inputs!$E23)*2)*10000)/10000</f>
        <v>0.9032</v>
      </c>
      <c r="AE23" s="236">
        <f>RANDBETWEEN((Inputs!$E23-(Inputs!$E23-Inputs!$D23)*2)*10000,(Inputs!$E23+(Inputs!$F23-Inputs!$E23)*2)*10000)/10000</f>
        <v>2.1396</v>
      </c>
      <c r="AF23" s="236">
        <f>RANDBETWEEN((Inputs!$E23-(Inputs!$E23-Inputs!$D23)*2)*10000,(Inputs!$E23+(Inputs!$F23-Inputs!$E23)*2)*10000)/10000</f>
        <v>1.4265</v>
      </c>
      <c r="AG23" s="236">
        <f>RANDBETWEEN((Inputs!$E23-(Inputs!$E23-Inputs!$D23)*2)*10000,(Inputs!$E23+(Inputs!$F23-Inputs!$E23)*2)*10000)/10000</f>
        <v>1.3741</v>
      </c>
      <c r="AH23" s="236">
        <f>RANDBETWEEN((Inputs!$E23-(Inputs!$E23-Inputs!$D23)*2)*10000,(Inputs!$E23+(Inputs!$F23-Inputs!$E23)*2)*10000)/10000</f>
        <v>0.7672</v>
      </c>
      <c r="AI23" s="236">
        <f>RANDBETWEEN((Inputs!$E23-(Inputs!$E23-Inputs!$D23)*2)*10000,(Inputs!$E23+(Inputs!$F23-Inputs!$E23)*2)*10000)/10000</f>
        <v>1.802</v>
      </c>
      <c r="AJ23" s="236">
        <f>RANDBETWEEN((Inputs!$E23-(Inputs!$E23-Inputs!$D23)*2)*10000,(Inputs!$E23+(Inputs!$F23-Inputs!$E23)*2)*10000)/10000</f>
        <v>1.2413</v>
      </c>
      <c r="AK23" s="236">
        <f>RANDBETWEEN((Inputs!$E23-(Inputs!$E23-Inputs!$D23)*2)*10000,(Inputs!$E23+(Inputs!$F23-Inputs!$E23)*2)*10000)/10000</f>
        <v>1.8914</v>
      </c>
      <c r="AL23" s="236">
        <f>RANDBETWEEN((Inputs!$E23-(Inputs!$E23-Inputs!$D23)*2)*10000,(Inputs!$E23+(Inputs!$F23-Inputs!$E23)*2)*10000)/10000</f>
        <v>0.8382</v>
      </c>
      <c r="AM23" s="236">
        <f>RANDBETWEEN((Inputs!$E23-(Inputs!$E23-Inputs!$D23)*2)*10000,(Inputs!$E23+(Inputs!$F23-Inputs!$E23)*2)*10000)/10000</f>
        <v>0.7973</v>
      </c>
      <c r="AN23" s="236">
        <f>RANDBETWEEN((Inputs!$E23-(Inputs!$E23-Inputs!$D23)*2)*10000,(Inputs!$E23+(Inputs!$F23-Inputs!$E23)*2)*10000)/10000</f>
        <v>1.6864</v>
      </c>
      <c r="AO23" s="236">
        <f>RANDBETWEEN((Inputs!$E23-(Inputs!$E23-Inputs!$D23)*2)*10000,(Inputs!$E23+(Inputs!$F23-Inputs!$E23)*2)*10000)/10000</f>
        <v>0.3461</v>
      </c>
      <c r="AP23" s="236">
        <f>RANDBETWEEN((Inputs!$E23-(Inputs!$E23-Inputs!$D23)*2)*10000,(Inputs!$E23+(Inputs!$F23-Inputs!$E23)*2)*10000)/10000</f>
        <v>1.3274</v>
      </c>
      <c r="AQ23" s="236">
        <f>RANDBETWEEN((Inputs!$E23-(Inputs!$E23-Inputs!$D23)*2)*10000,(Inputs!$E23+(Inputs!$F23-Inputs!$E23)*2)*10000)/10000</f>
        <v>1.2423</v>
      </c>
      <c r="AR23" s="236">
        <f>RANDBETWEEN((Inputs!$E23-(Inputs!$E23-Inputs!$D23)*2)*10000,(Inputs!$E23+(Inputs!$F23-Inputs!$E23)*2)*10000)/10000</f>
        <v>2.1283</v>
      </c>
      <c r="AS23" s="236">
        <f>RANDBETWEEN((Inputs!$E23-(Inputs!$E23-Inputs!$D23)*2)*10000,(Inputs!$E23+(Inputs!$F23-Inputs!$E23)*2)*10000)/10000</f>
        <v>0.9635</v>
      </c>
      <c r="AT23" s="236">
        <f>RANDBETWEEN((Inputs!$E23-(Inputs!$E23-Inputs!$D23)*2)*10000,(Inputs!$E23+(Inputs!$F23-Inputs!$E23)*2)*10000)/10000</f>
        <v>1.3143</v>
      </c>
      <c r="AU23" s="236">
        <f>RANDBETWEEN((Inputs!$E23-(Inputs!$E23-Inputs!$D23)*2)*10000,(Inputs!$E23+(Inputs!$F23-Inputs!$E23)*2)*10000)/10000</f>
        <v>1.6134</v>
      </c>
      <c r="AV23" s="236">
        <f>RANDBETWEEN((Inputs!$E23-(Inputs!$E23-Inputs!$D23)*2)*10000,(Inputs!$E23+(Inputs!$F23-Inputs!$E23)*2)*10000)/10000</f>
        <v>1.5314</v>
      </c>
      <c r="AW23" s="236">
        <f>RANDBETWEEN((Inputs!$E23-(Inputs!$E23-Inputs!$D23)*2)*10000,(Inputs!$E23+(Inputs!$F23-Inputs!$E23)*2)*10000)/10000</f>
        <v>1.3938</v>
      </c>
      <c r="AX23" s="236">
        <f>RANDBETWEEN((Inputs!$E23-(Inputs!$E23-Inputs!$D23)*2)*10000,(Inputs!$E23+(Inputs!$F23-Inputs!$E23)*2)*10000)/10000</f>
        <v>0.3815</v>
      </c>
      <c r="AY23" s="236">
        <f>RANDBETWEEN((Inputs!$E23-(Inputs!$E23-Inputs!$D23)*2)*10000,(Inputs!$E23+(Inputs!$F23-Inputs!$E23)*2)*10000)/10000</f>
        <v>1.9352</v>
      </c>
      <c r="AZ23" s="236">
        <f>RANDBETWEEN((Inputs!$E23-(Inputs!$E23-Inputs!$D23)*2)*10000,(Inputs!$E23+(Inputs!$F23-Inputs!$E23)*2)*10000)/10000</f>
        <v>0.3739</v>
      </c>
      <c r="BA23" s="236">
        <f>RANDBETWEEN((Inputs!$E23-(Inputs!$E23-Inputs!$D23)*2)*10000,(Inputs!$E23+(Inputs!$F23-Inputs!$E23)*2)*10000)/10000</f>
        <v>1.3236</v>
      </c>
      <c r="BB23" s="236">
        <f>RANDBETWEEN((Inputs!$E23-(Inputs!$E23-Inputs!$D23)*2)*10000,(Inputs!$E23+(Inputs!$F23-Inputs!$E23)*2)*10000)/10000</f>
        <v>0.8748</v>
      </c>
      <c r="BC23" s="236">
        <f>RANDBETWEEN((Inputs!$E23-(Inputs!$E23-Inputs!$D23)*2)*10000,(Inputs!$E23+(Inputs!$F23-Inputs!$E23)*2)*10000)/10000</f>
        <v>2.1162</v>
      </c>
      <c r="BD23" s="236">
        <f>RANDBETWEEN((Inputs!$E23-(Inputs!$E23-Inputs!$D23)*2)*10000,(Inputs!$E23+(Inputs!$F23-Inputs!$E23)*2)*10000)/10000</f>
        <v>1.0498</v>
      </c>
      <c r="BE23" s="236">
        <f>RANDBETWEEN((Inputs!$E23-(Inputs!$E23-Inputs!$D23)*2)*10000,(Inputs!$E23+(Inputs!$F23-Inputs!$E23)*2)*10000)/10000</f>
        <v>0.3296</v>
      </c>
      <c r="BF23" s="236">
        <f>RANDBETWEEN((Inputs!$E23-(Inputs!$E23-Inputs!$D23)*2)*10000,(Inputs!$E23+(Inputs!$F23-Inputs!$E23)*2)*10000)/10000</f>
        <v>0.5995</v>
      </c>
      <c r="BG23" s="236">
        <f>RANDBETWEEN((Inputs!$E23-(Inputs!$E23-Inputs!$D23)*2)*10000,(Inputs!$E23+(Inputs!$F23-Inputs!$E23)*2)*10000)/10000</f>
        <v>1.8476</v>
      </c>
      <c r="BH23" s="236">
        <f>RANDBETWEEN((Inputs!$E23-(Inputs!$E23-Inputs!$D23)*2)*10000,(Inputs!$E23+(Inputs!$F23-Inputs!$E23)*2)*10000)/10000</f>
        <v>0.2552</v>
      </c>
      <c r="BI23" s="236">
        <f>RANDBETWEEN((Inputs!$E23-(Inputs!$E23-Inputs!$D23)*2)*10000,(Inputs!$E23+(Inputs!$F23-Inputs!$E23)*2)*10000)/10000</f>
        <v>0.8064</v>
      </c>
      <c r="BJ23" s="236">
        <f>RANDBETWEEN((Inputs!$E23-(Inputs!$E23-Inputs!$D23)*2)*10000,(Inputs!$E23+(Inputs!$F23-Inputs!$E23)*2)*10000)/10000</f>
        <v>0.3415</v>
      </c>
      <c r="BK23" s="236">
        <f>RANDBETWEEN((Inputs!$E23-(Inputs!$E23-Inputs!$D23)*2)*10000,(Inputs!$E23+(Inputs!$F23-Inputs!$E23)*2)*10000)/10000</f>
        <v>1.947</v>
      </c>
      <c r="BL23" s="236">
        <f>RANDBETWEEN((Inputs!$E23-(Inputs!$E23-Inputs!$D23)*2)*10000,(Inputs!$E23+(Inputs!$F23-Inputs!$E23)*2)*10000)/10000</f>
        <v>0.9683</v>
      </c>
      <c r="BM23" s="236">
        <f>RANDBETWEEN((Inputs!$E23-(Inputs!$E23-Inputs!$D23)*2)*10000,(Inputs!$E23+(Inputs!$F23-Inputs!$E23)*2)*10000)/10000</f>
        <v>0.4098</v>
      </c>
      <c r="BN23" s="236">
        <f>RANDBETWEEN((Inputs!$E23-(Inputs!$E23-Inputs!$D23)*2)*10000,(Inputs!$E23+(Inputs!$F23-Inputs!$E23)*2)*10000)/10000</f>
        <v>2.062</v>
      </c>
      <c r="BO23" s="236">
        <f>RANDBETWEEN((Inputs!$E23-(Inputs!$E23-Inputs!$D23)*2)*10000,(Inputs!$E23+(Inputs!$F23-Inputs!$E23)*2)*10000)/10000</f>
        <v>0.5246</v>
      </c>
      <c r="BP23" s="236">
        <f>RANDBETWEEN((Inputs!$E23-(Inputs!$E23-Inputs!$D23)*2)*10000,(Inputs!$E23+(Inputs!$F23-Inputs!$E23)*2)*10000)/10000</f>
        <v>1.964</v>
      </c>
      <c r="BQ23" s="236">
        <f>RANDBETWEEN((Inputs!$E23-(Inputs!$E23-Inputs!$D23)*2)*10000,(Inputs!$E23+(Inputs!$F23-Inputs!$E23)*2)*10000)/10000</f>
        <v>0.9527</v>
      </c>
      <c r="BR23" s="236">
        <f>RANDBETWEEN((Inputs!$E23-(Inputs!$E23-Inputs!$D23)*2)*10000,(Inputs!$E23+(Inputs!$F23-Inputs!$E23)*2)*10000)/10000</f>
        <v>1.4252</v>
      </c>
      <c r="BS23" s="236">
        <f>RANDBETWEEN((Inputs!$E23-(Inputs!$E23-Inputs!$D23)*2)*10000,(Inputs!$E23+(Inputs!$F23-Inputs!$E23)*2)*10000)/10000</f>
        <v>0.4384</v>
      </c>
      <c r="BT23" s="236">
        <f>RANDBETWEEN((Inputs!$E23-(Inputs!$E23-Inputs!$D23)*2)*10000,(Inputs!$E23+(Inputs!$F23-Inputs!$E23)*2)*10000)/10000</f>
        <v>1.3367</v>
      </c>
      <c r="BU23" s="236">
        <f>RANDBETWEEN((Inputs!$E23-(Inputs!$E23-Inputs!$D23)*2)*10000,(Inputs!$E23+(Inputs!$F23-Inputs!$E23)*2)*10000)/10000</f>
        <v>1.8664</v>
      </c>
      <c r="BV23" s="236">
        <f>RANDBETWEEN((Inputs!$E23-(Inputs!$E23-Inputs!$D23)*2)*10000,(Inputs!$E23+(Inputs!$F23-Inputs!$E23)*2)*10000)/10000</f>
        <v>1.7609</v>
      </c>
      <c r="BW23" s="236">
        <f>RANDBETWEEN((Inputs!$E23-(Inputs!$E23-Inputs!$D23)*2)*10000,(Inputs!$E23+(Inputs!$F23-Inputs!$E23)*2)*10000)/10000</f>
        <v>0.7169</v>
      </c>
      <c r="BX23" s="236">
        <f>RANDBETWEEN((Inputs!$E23-(Inputs!$E23-Inputs!$D23)*2)*10000,(Inputs!$E23+(Inputs!$F23-Inputs!$E23)*2)*10000)/10000</f>
        <v>1.6292</v>
      </c>
      <c r="BY23" s="236">
        <f>RANDBETWEEN((Inputs!$E23-(Inputs!$E23-Inputs!$D23)*2)*10000,(Inputs!$E23+(Inputs!$F23-Inputs!$E23)*2)*10000)/10000</f>
        <v>0.7689</v>
      </c>
      <c r="BZ23" s="236">
        <f>RANDBETWEEN((Inputs!$E23-(Inputs!$E23-Inputs!$D23)*2)*10000,(Inputs!$E23+(Inputs!$F23-Inputs!$E23)*2)*10000)/10000</f>
        <v>1.1363</v>
      </c>
      <c r="CA23" s="236">
        <f>RANDBETWEEN((Inputs!$E23-(Inputs!$E23-Inputs!$D23)*2)*10000,(Inputs!$E23+(Inputs!$F23-Inputs!$E23)*2)*10000)/10000</f>
        <v>1.3086</v>
      </c>
      <c r="CB23" s="236">
        <f>RANDBETWEEN((Inputs!$E23-(Inputs!$E23-Inputs!$D23)*2)*10000,(Inputs!$E23+(Inputs!$F23-Inputs!$E23)*2)*10000)/10000</f>
        <v>1.1205</v>
      </c>
      <c r="CC23" s="236">
        <f>RANDBETWEEN((Inputs!$E23-(Inputs!$E23-Inputs!$D23)*2)*10000,(Inputs!$E23+(Inputs!$F23-Inputs!$E23)*2)*10000)/10000</f>
        <v>0.4184</v>
      </c>
      <c r="CD23" s="236">
        <f>RANDBETWEEN((Inputs!$E23-(Inputs!$E23-Inputs!$D23)*2)*10000,(Inputs!$E23+(Inputs!$F23-Inputs!$E23)*2)*10000)/10000</f>
        <v>1.6091</v>
      </c>
      <c r="CE23" s="236">
        <f>RANDBETWEEN((Inputs!$E23-(Inputs!$E23-Inputs!$D23)*2)*10000,(Inputs!$E23+(Inputs!$F23-Inputs!$E23)*2)*10000)/10000</f>
        <v>0.9476</v>
      </c>
      <c r="CF23" s="236">
        <f>RANDBETWEEN((Inputs!$E23-(Inputs!$E23-Inputs!$D23)*2)*10000,(Inputs!$E23+(Inputs!$F23-Inputs!$E23)*2)*10000)/10000</f>
        <v>0.5865</v>
      </c>
      <c r="CG23" s="236">
        <f>RANDBETWEEN((Inputs!$E23-(Inputs!$E23-Inputs!$D23)*2)*10000,(Inputs!$E23+(Inputs!$F23-Inputs!$E23)*2)*10000)/10000</f>
        <v>1.0695</v>
      </c>
      <c r="CH23" s="236">
        <f>RANDBETWEEN((Inputs!$E23-(Inputs!$E23-Inputs!$D23)*2)*10000,(Inputs!$E23+(Inputs!$F23-Inputs!$E23)*2)*10000)/10000</f>
        <v>1.628</v>
      </c>
      <c r="CI23" s="236">
        <f>RANDBETWEEN((Inputs!$E23-(Inputs!$E23-Inputs!$D23)*2)*10000,(Inputs!$E23+(Inputs!$F23-Inputs!$E23)*2)*10000)/10000</f>
        <v>1.1012</v>
      </c>
      <c r="CJ23" s="236">
        <f>RANDBETWEEN((Inputs!$E23-(Inputs!$E23-Inputs!$D23)*2)*10000,(Inputs!$E23+(Inputs!$F23-Inputs!$E23)*2)*10000)/10000</f>
        <v>1.7232</v>
      </c>
      <c r="CK23" s="236">
        <f>RANDBETWEEN((Inputs!$E23-(Inputs!$E23-Inputs!$D23)*2)*10000,(Inputs!$E23+(Inputs!$F23-Inputs!$E23)*2)*10000)/10000</f>
        <v>1.0464</v>
      </c>
      <c r="CL23" s="236">
        <f>RANDBETWEEN((Inputs!$E23-(Inputs!$E23-Inputs!$D23)*2)*10000,(Inputs!$E23+(Inputs!$F23-Inputs!$E23)*2)*10000)/10000</f>
        <v>1.5238</v>
      </c>
      <c r="CM23" s="236">
        <f>RANDBETWEEN((Inputs!$E23-(Inputs!$E23-Inputs!$D23)*2)*10000,(Inputs!$E23+(Inputs!$F23-Inputs!$E23)*2)*10000)/10000</f>
        <v>1.1762</v>
      </c>
      <c r="CN23" s="236">
        <f>RANDBETWEEN((Inputs!$E23-(Inputs!$E23-Inputs!$D23)*2)*10000,(Inputs!$E23+(Inputs!$F23-Inputs!$E23)*2)*10000)/10000</f>
        <v>1.5711</v>
      </c>
      <c r="CO23" s="236">
        <f>RANDBETWEEN((Inputs!$E23-(Inputs!$E23-Inputs!$D23)*2)*10000,(Inputs!$E23+(Inputs!$F23-Inputs!$E23)*2)*10000)/10000</f>
        <v>0.3374</v>
      </c>
      <c r="CP23" s="236">
        <f>RANDBETWEEN((Inputs!$E23-(Inputs!$E23-Inputs!$D23)*2)*10000,(Inputs!$E23+(Inputs!$F23-Inputs!$E23)*2)*10000)/10000</f>
        <v>0.4725</v>
      </c>
      <c r="CQ23" s="236">
        <f>RANDBETWEEN((Inputs!$E23-(Inputs!$E23-Inputs!$D23)*2)*10000,(Inputs!$E23+(Inputs!$F23-Inputs!$E23)*2)*10000)/10000</f>
        <v>1.4921</v>
      </c>
      <c r="CR23" s="236">
        <f>RANDBETWEEN((Inputs!$E23-(Inputs!$E23-Inputs!$D23)*2)*10000,(Inputs!$E23+(Inputs!$F23-Inputs!$E23)*2)*10000)/10000</f>
        <v>2.2028</v>
      </c>
      <c r="CS23" s="236">
        <f>RANDBETWEEN((Inputs!$E23-(Inputs!$E23-Inputs!$D23)*2)*10000,(Inputs!$E23+(Inputs!$F23-Inputs!$E23)*2)*10000)/10000</f>
        <v>0.6481</v>
      </c>
      <c r="CT23" s="236">
        <f>RANDBETWEEN((Inputs!$E23-(Inputs!$E23-Inputs!$D23)*2)*10000,(Inputs!$E23+(Inputs!$F23-Inputs!$E23)*2)*10000)/10000</f>
        <v>1.8946</v>
      </c>
      <c r="CU23" s="236">
        <f>RANDBETWEEN((Inputs!$E23-(Inputs!$E23-Inputs!$D23)*2)*10000,(Inputs!$E23+(Inputs!$F23-Inputs!$E23)*2)*10000)/10000</f>
        <v>0.893</v>
      </c>
      <c r="CV23" s="236">
        <f>RANDBETWEEN((Inputs!$E23-(Inputs!$E23-Inputs!$D23)*2)*10000,(Inputs!$E23+(Inputs!$F23-Inputs!$E23)*2)*10000)/10000</f>
        <v>1.4993</v>
      </c>
      <c r="CW23" s="236">
        <f>RANDBETWEEN((Inputs!$E23-(Inputs!$E23-Inputs!$D23)*2)*10000,(Inputs!$E23+(Inputs!$F23-Inputs!$E23)*2)*10000)/10000</f>
        <v>0.938</v>
      </c>
      <c r="CX23" s="236">
        <f>RANDBETWEEN((Inputs!$E23-(Inputs!$E23-Inputs!$D23)*2)*10000,(Inputs!$E23+(Inputs!$F23-Inputs!$E23)*2)*10000)/10000</f>
        <v>1.678</v>
      </c>
      <c r="CY23" s="236">
        <f>RANDBETWEEN((Inputs!$E23-(Inputs!$E23-Inputs!$D23)*2)*10000,(Inputs!$E23+(Inputs!$F23-Inputs!$E23)*2)*10000)/10000</f>
        <v>1.4188</v>
      </c>
      <c r="CZ23" s="236">
        <f>RANDBETWEEN((Inputs!$E23-(Inputs!$E23-Inputs!$D23)*2)*10000,(Inputs!$E23+(Inputs!$F23-Inputs!$E23)*2)*10000)/10000</f>
        <v>2.0026</v>
      </c>
      <c r="DA23" s="236">
        <f>RANDBETWEEN((Inputs!$E23-(Inputs!$E23-Inputs!$D23)*2)*10000,(Inputs!$E23+(Inputs!$F23-Inputs!$E23)*2)*10000)/10000</f>
        <v>1.969</v>
      </c>
      <c r="DB23" s="236">
        <f>RANDBETWEEN((Inputs!$E23-(Inputs!$E23-Inputs!$D23)*2)*10000,(Inputs!$E23+(Inputs!$F23-Inputs!$E23)*2)*10000)/10000</f>
        <v>0.863</v>
      </c>
      <c r="DC23" s="236">
        <f>RANDBETWEEN((Inputs!$E23-(Inputs!$E23-Inputs!$D23)*2)*10000,(Inputs!$E23+(Inputs!$F23-Inputs!$E23)*2)*10000)/10000</f>
        <v>0.9743</v>
      </c>
      <c r="DD23" s="236">
        <f>RANDBETWEEN((Inputs!$E23-(Inputs!$E23-Inputs!$D23)*2)*10000,(Inputs!$E23+(Inputs!$F23-Inputs!$E23)*2)*10000)/10000</f>
        <v>0.8427</v>
      </c>
      <c r="DE23" s="236">
        <f>RANDBETWEEN((Inputs!$E23-(Inputs!$E23-Inputs!$D23)*2)*10000,(Inputs!$E23+(Inputs!$F23-Inputs!$E23)*2)*10000)/10000</f>
        <v>1.6976</v>
      </c>
      <c r="DF23" s="236">
        <f>RANDBETWEEN((Inputs!$E23-(Inputs!$E23-Inputs!$D23)*2)*10000,(Inputs!$E23+(Inputs!$F23-Inputs!$E23)*2)*10000)/10000</f>
        <v>1.616</v>
      </c>
      <c r="DG23" s="236">
        <f>RANDBETWEEN((Inputs!$E23-(Inputs!$E23-Inputs!$D23)*2)*10000,(Inputs!$E23+(Inputs!$F23-Inputs!$E23)*2)*10000)/10000</f>
        <v>0.295</v>
      </c>
      <c r="DH23" s="236">
        <f>RANDBETWEEN((Inputs!$E23-(Inputs!$E23-Inputs!$D23)*2)*10000,(Inputs!$E23+(Inputs!$F23-Inputs!$E23)*2)*10000)/10000</f>
        <v>1.9129</v>
      </c>
      <c r="DI23" s="236">
        <f>RANDBETWEEN((Inputs!$E23-(Inputs!$E23-Inputs!$D23)*2)*10000,(Inputs!$E23+(Inputs!$F23-Inputs!$E23)*2)*10000)/10000</f>
        <v>1.5969</v>
      </c>
      <c r="DJ23" s="236">
        <f>RANDBETWEEN((Inputs!$E23-(Inputs!$E23-Inputs!$D23)*2)*10000,(Inputs!$E23+(Inputs!$F23-Inputs!$E23)*2)*10000)/10000</f>
        <v>1.8623</v>
      </c>
      <c r="DK23" s="236">
        <f>RANDBETWEEN((Inputs!$E23-(Inputs!$E23-Inputs!$D23)*2)*10000,(Inputs!$E23+(Inputs!$F23-Inputs!$E23)*2)*10000)/10000</f>
        <v>1.4293</v>
      </c>
      <c r="DL23" s="236">
        <f>RANDBETWEEN((Inputs!$E23-(Inputs!$E23-Inputs!$D23)*2)*10000,(Inputs!$E23+(Inputs!$F23-Inputs!$E23)*2)*10000)/10000</f>
        <v>0.8706</v>
      </c>
      <c r="DM23" s="236">
        <f>RANDBETWEEN((Inputs!$E23-(Inputs!$E23-Inputs!$D23)*2)*10000,(Inputs!$E23+(Inputs!$F23-Inputs!$E23)*2)*10000)/10000</f>
        <v>0.6047</v>
      </c>
      <c r="DN23" s="236">
        <f>RANDBETWEEN((Inputs!$E23-(Inputs!$E23-Inputs!$D23)*2)*10000,(Inputs!$E23+(Inputs!$F23-Inputs!$E23)*2)*10000)/10000</f>
        <v>0.996</v>
      </c>
      <c r="DO23" s="236">
        <f>RANDBETWEEN((Inputs!$E23-(Inputs!$E23-Inputs!$D23)*2)*10000,(Inputs!$E23+(Inputs!$F23-Inputs!$E23)*2)*10000)/10000</f>
        <v>0.752</v>
      </c>
      <c r="DP23" s="236">
        <f>RANDBETWEEN((Inputs!$E23-(Inputs!$E23-Inputs!$D23)*2)*10000,(Inputs!$E23+(Inputs!$F23-Inputs!$E23)*2)*10000)/10000</f>
        <v>0.3801</v>
      </c>
      <c r="DQ23" s="236">
        <f>RANDBETWEEN((Inputs!$E23-(Inputs!$E23-Inputs!$D23)*2)*10000,(Inputs!$E23+(Inputs!$F23-Inputs!$E23)*2)*10000)/10000</f>
        <v>1.619</v>
      </c>
      <c r="DR23" s="236">
        <f>RANDBETWEEN((Inputs!$E23-(Inputs!$E23-Inputs!$D23)*2)*10000,(Inputs!$E23+(Inputs!$F23-Inputs!$E23)*2)*10000)/10000</f>
        <v>2.0803</v>
      </c>
      <c r="DS23" s="236">
        <f>RANDBETWEEN((Inputs!$E23-(Inputs!$E23-Inputs!$D23)*2)*10000,(Inputs!$E23+(Inputs!$F23-Inputs!$E23)*2)*10000)/10000</f>
        <v>1.4466</v>
      </c>
      <c r="DT23" s="236">
        <f>RANDBETWEEN((Inputs!$E23-(Inputs!$E23-Inputs!$D23)*2)*10000,(Inputs!$E23+(Inputs!$F23-Inputs!$E23)*2)*10000)/10000</f>
        <v>1.8737</v>
      </c>
      <c r="DU23" s="236">
        <f>RANDBETWEEN((Inputs!$E23-(Inputs!$E23-Inputs!$D23)*2)*10000,(Inputs!$E23+(Inputs!$F23-Inputs!$E23)*2)*10000)/10000</f>
        <v>0.3808</v>
      </c>
      <c r="DV23" s="236">
        <f>RANDBETWEEN((Inputs!$E23-(Inputs!$E23-Inputs!$D23)*2)*10000,(Inputs!$E23+(Inputs!$F23-Inputs!$E23)*2)*10000)/10000</f>
        <v>1.9789</v>
      </c>
      <c r="DW23" s="236">
        <f>RANDBETWEEN((Inputs!$E23-(Inputs!$E23-Inputs!$D23)*2)*10000,(Inputs!$E23+(Inputs!$F23-Inputs!$E23)*2)*10000)/10000</f>
        <v>1.8073</v>
      </c>
      <c r="DX23" s="236">
        <f>RANDBETWEEN((Inputs!$E23-(Inputs!$E23-Inputs!$D23)*2)*10000,(Inputs!$E23+(Inputs!$F23-Inputs!$E23)*2)*10000)/10000</f>
        <v>0.4901</v>
      </c>
      <c r="DY23" s="236">
        <f>RANDBETWEEN((Inputs!$E23-(Inputs!$E23-Inputs!$D23)*2)*10000,(Inputs!$E23+(Inputs!$F23-Inputs!$E23)*2)*10000)/10000</f>
        <v>0.5255</v>
      </c>
      <c r="DZ23" s="236">
        <f>RANDBETWEEN((Inputs!$E23-(Inputs!$E23-Inputs!$D23)*2)*10000,(Inputs!$E23+(Inputs!$F23-Inputs!$E23)*2)*10000)/10000</f>
        <v>1.9026</v>
      </c>
      <c r="EA23" s="236">
        <f>RANDBETWEEN((Inputs!$E23-(Inputs!$E23-Inputs!$D23)*2)*10000,(Inputs!$E23+(Inputs!$F23-Inputs!$E23)*2)*10000)/10000</f>
        <v>0.7611</v>
      </c>
      <c r="EB23" s="236">
        <f>RANDBETWEEN((Inputs!$E23-(Inputs!$E23-Inputs!$D23)*2)*10000,(Inputs!$E23+(Inputs!$F23-Inputs!$E23)*2)*10000)/10000</f>
        <v>2.1902</v>
      </c>
      <c r="EC23" s="236">
        <f>RANDBETWEEN((Inputs!$E23-(Inputs!$E23-Inputs!$D23)*2)*10000,(Inputs!$E23+(Inputs!$F23-Inputs!$E23)*2)*10000)/10000</f>
        <v>0.3161</v>
      </c>
      <c r="ED23" s="236">
        <f>RANDBETWEEN((Inputs!$E23-(Inputs!$E23-Inputs!$D23)*2)*10000,(Inputs!$E23+(Inputs!$F23-Inputs!$E23)*2)*10000)/10000</f>
        <v>1.2061</v>
      </c>
      <c r="EE23" s="236">
        <f>RANDBETWEEN((Inputs!$E23-(Inputs!$E23-Inputs!$D23)*2)*10000,(Inputs!$E23+(Inputs!$F23-Inputs!$E23)*2)*10000)/10000</f>
        <v>1.4194</v>
      </c>
      <c r="EF23" s="236">
        <f>RANDBETWEEN((Inputs!$E23-(Inputs!$E23-Inputs!$D23)*2)*10000,(Inputs!$E23+(Inputs!$F23-Inputs!$E23)*2)*10000)/10000</f>
        <v>2.1024</v>
      </c>
      <c r="EG23" s="236">
        <f>RANDBETWEEN((Inputs!$E23-(Inputs!$E23-Inputs!$D23)*2)*10000,(Inputs!$E23+(Inputs!$F23-Inputs!$E23)*2)*10000)/10000</f>
        <v>2.1304</v>
      </c>
      <c r="EH23" s="236">
        <f>RANDBETWEEN((Inputs!$E23-(Inputs!$E23-Inputs!$D23)*2)*10000,(Inputs!$E23+(Inputs!$F23-Inputs!$E23)*2)*10000)/10000</f>
        <v>1.0779</v>
      </c>
      <c r="EI23" s="236">
        <f>RANDBETWEEN((Inputs!$E23-(Inputs!$E23-Inputs!$D23)*2)*10000,(Inputs!$E23+(Inputs!$F23-Inputs!$E23)*2)*10000)/10000</f>
        <v>1.8602</v>
      </c>
      <c r="EJ23" s="236">
        <f>RANDBETWEEN((Inputs!$E23-(Inputs!$E23-Inputs!$D23)*2)*10000,(Inputs!$E23+(Inputs!$F23-Inputs!$E23)*2)*10000)/10000</f>
        <v>0.3213</v>
      </c>
      <c r="EK23" s="236">
        <f>RANDBETWEEN((Inputs!$E23-(Inputs!$E23-Inputs!$D23)*2)*10000,(Inputs!$E23+(Inputs!$F23-Inputs!$E23)*2)*10000)/10000</f>
        <v>1.5738</v>
      </c>
      <c r="EL23" s="236">
        <f>RANDBETWEEN((Inputs!$E23-(Inputs!$E23-Inputs!$D23)*2)*10000,(Inputs!$E23+(Inputs!$F23-Inputs!$E23)*2)*10000)/10000</f>
        <v>1.8215</v>
      </c>
      <c r="EM23" s="236">
        <f>RANDBETWEEN((Inputs!$E23-(Inputs!$E23-Inputs!$D23)*2)*10000,(Inputs!$E23+(Inputs!$F23-Inputs!$E23)*2)*10000)/10000</f>
        <v>0.3144</v>
      </c>
      <c r="EN23" s="236">
        <f>RANDBETWEEN((Inputs!$E23-(Inputs!$E23-Inputs!$D23)*2)*10000,(Inputs!$E23+(Inputs!$F23-Inputs!$E23)*2)*10000)/10000</f>
        <v>1.3505</v>
      </c>
      <c r="EO23" s="236">
        <f>RANDBETWEEN((Inputs!$E23-(Inputs!$E23-Inputs!$D23)*2)*10000,(Inputs!$E23+(Inputs!$F23-Inputs!$E23)*2)*10000)/10000</f>
        <v>1.0481</v>
      </c>
      <c r="EP23" s="236">
        <f>RANDBETWEEN((Inputs!$E23-(Inputs!$E23-Inputs!$D23)*2)*10000,(Inputs!$E23+(Inputs!$F23-Inputs!$E23)*2)*10000)/10000</f>
        <v>0.9902</v>
      </c>
      <c r="EQ23" s="236">
        <f>RANDBETWEEN((Inputs!$E23-(Inputs!$E23-Inputs!$D23)*2)*10000,(Inputs!$E23+(Inputs!$F23-Inputs!$E23)*2)*10000)/10000</f>
        <v>1.2207</v>
      </c>
      <c r="ER23" s="236">
        <f>RANDBETWEEN((Inputs!$E23-(Inputs!$E23-Inputs!$D23)*2)*10000,(Inputs!$E23+(Inputs!$F23-Inputs!$E23)*2)*10000)/10000</f>
        <v>0.9414</v>
      </c>
      <c r="ES23" s="236">
        <f>RANDBETWEEN((Inputs!$E23-(Inputs!$E23-Inputs!$D23)*2)*10000,(Inputs!$E23+(Inputs!$F23-Inputs!$E23)*2)*10000)/10000</f>
        <v>0.4972</v>
      </c>
      <c r="ET23" s="236">
        <f>RANDBETWEEN((Inputs!$E23-(Inputs!$E23-Inputs!$D23)*2)*10000,(Inputs!$E23+(Inputs!$F23-Inputs!$E23)*2)*10000)/10000</f>
        <v>1.1212</v>
      </c>
      <c r="EU23" s="236">
        <f>RANDBETWEEN((Inputs!$E23-(Inputs!$E23-Inputs!$D23)*2)*10000,(Inputs!$E23+(Inputs!$F23-Inputs!$E23)*2)*10000)/10000</f>
        <v>1.4318</v>
      </c>
      <c r="EV23" s="236">
        <f>RANDBETWEEN((Inputs!$E23-(Inputs!$E23-Inputs!$D23)*2)*10000,(Inputs!$E23+(Inputs!$F23-Inputs!$E23)*2)*10000)/10000</f>
        <v>0.5335</v>
      </c>
      <c r="EW23" s="236">
        <f>RANDBETWEEN((Inputs!$E23-(Inputs!$E23-Inputs!$D23)*2)*10000,(Inputs!$E23+(Inputs!$F23-Inputs!$E23)*2)*10000)/10000</f>
        <v>2.1988</v>
      </c>
      <c r="EX23" s="236">
        <f>RANDBETWEEN((Inputs!$E23-(Inputs!$E23-Inputs!$D23)*2)*10000,(Inputs!$E23+(Inputs!$F23-Inputs!$E23)*2)*10000)/10000</f>
        <v>1.4196</v>
      </c>
      <c r="EY23" s="236">
        <f>RANDBETWEEN((Inputs!$E23-(Inputs!$E23-Inputs!$D23)*2)*10000,(Inputs!$E23+(Inputs!$F23-Inputs!$E23)*2)*10000)/10000</f>
        <v>1.5797</v>
      </c>
      <c r="EZ23" s="236">
        <f>RANDBETWEEN((Inputs!$E23-(Inputs!$E23-Inputs!$D23)*2)*10000,(Inputs!$E23+(Inputs!$F23-Inputs!$E23)*2)*10000)/10000</f>
        <v>0.5087</v>
      </c>
      <c r="FA23" s="236">
        <f>RANDBETWEEN((Inputs!$E23-(Inputs!$E23-Inputs!$D23)*2)*10000,(Inputs!$E23+(Inputs!$F23-Inputs!$E23)*2)*10000)/10000</f>
        <v>2.0443</v>
      </c>
      <c r="FB23" s="236">
        <f>RANDBETWEEN((Inputs!$E23-(Inputs!$E23-Inputs!$D23)*2)*10000,(Inputs!$E23+(Inputs!$F23-Inputs!$E23)*2)*10000)/10000</f>
        <v>1.5188</v>
      </c>
      <c r="FC23" s="236">
        <f>RANDBETWEEN((Inputs!$E23-(Inputs!$E23-Inputs!$D23)*2)*10000,(Inputs!$E23+(Inputs!$F23-Inputs!$E23)*2)*10000)/10000</f>
        <v>1.7987</v>
      </c>
      <c r="FD23" s="236">
        <f>RANDBETWEEN((Inputs!$E23-(Inputs!$E23-Inputs!$D23)*2)*10000,(Inputs!$E23+(Inputs!$F23-Inputs!$E23)*2)*10000)/10000</f>
        <v>0.4108</v>
      </c>
      <c r="FE23" s="236">
        <f>RANDBETWEEN((Inputs!$E23-(Inputs!$E23-Inputs!$D23)*2)*10000,(Inputs!$E23+(Inputs!$F23-Inputs!$E23)*2)*10000)/10000</f>
        <v>0.3962</v>
      </c>
      <c r="FF23" s="236">
        <f>RANDBETWEEN((Inputs!$E23-(Inputs!$E23-Inputs!$D23)*2)*10000,(Inputs!$E23+(Inputs!$F23-Inputs!$E23)*2)*10000)/10000</f>
        <v>0.3508</v>
      </c>
      <c r="FG23" s="236">
        <f>RANDBETWEEN((Inputs!$E23-(Inputs!$E23-Inputs!$D23)*2)*10000,(Inputs!$E23+(Inputs!$F23-Inputs!$E23)*2)*10000)/10000</f>
        <v>0.9479</v>
      </c>
      <c r="FH23" s="236">
        <f>RANDBETWEEN((Inputs!$E23-(Inputs!$E23-Inputs!$D23)*2)*10000,(Inputs!$E23+(Inputs!$F23-Inputs!$E23)*2)*10000)/10000</f>
        <v>1.5205</v>
      </c>
      <c r="FI23" s="236">
        <f>RANDBETWEEN((Inputs!$E23-(Inputs!$E23-Inputs!$D23)*2)*10000,(Inputs!$E23+(Inputs!$F23-Inputs!$E23)*2)*10000)/10000</f>
        <v>1.308</v>
      </c>
      <c r="FJ23" s="236">
        <f>RANDBETWEEN((Inputs!$E23-(Inputs!$E23-Inputs!$D23)*2)*10000,(Inputs!$E23+(Inputs!$F23-Inputs!$E23)*2)*10000)/10000</f>
        <v>0.4744</v>
      </c>
      <c r="FK23" s="236">
        <f>RANDBETWEEN((Inputs!$E23-(Inputs!$E23-Inputs!$D23)*2)*10000,(Inputs!$E23+(Inputs!$F23-Inputs!$E23)*2)*10000)/10000</f>
        <v>1.6943</v>
      </c>
      <c r="FL23" s="236">
        <f>RANDBETWEEN((Inputs!$E23-(Inputs!$E23-Inputs!$D23)*2)*10000,(Inputs!$E23+(Inputs!$F23-Inputs!$E23)*2)*10000)/10000</f>
        <v>0.5656</v>
      </c>
      <c r="FM23" s="236">
        <f>RANDBETWEEN((Inputs!$E23-(Inputs!$E23-Inputs!$D23)*2)*10000,(Inputs!$E23+(Inputs!$F23-Inputs!$E23)*2)*10000)/10000</f>
        <v>2.1004</v>
      </c>
      <c r="FN23" s="236">
        <f>RANDBETWEEN((Inputs!$E23-(Inputs!$E23-Inputs!$D23)*2)*10000,(Inputs!$E23+(Inputs!$F23-Inputs!$E23)*2)*10000)/10000</f>
        <v>1.943</v>
      </c>
      <c r="FO23" s="236">
        <f>RANDBETWEEN((Inputs!$E23-(Inputs!$E23-Inputs!$D23)*2)*10000,(Inputs!$E23+(Inputs!$F23-Inputs!$E23)*2)*10000)/10000</f>
        <v>1.1948</v>
      </c>
      <c r="FP23" s="236">
        <f>RANDBETWEEN((Inputs!$E23-(Inputs!$E23-Inputs!$D23)*2)*10000,(Inputs!$E23+(Inputs!$F23-Inputs!$E23)*2)*10000)/10000</f>
        <v>0.6006</v>
      </c>
      <c r="FQ23" s="236">
        <f>RANDBETWEEN((Inputs!$E23-(Inputs!$E23-Inputs!$D23)*2)*10000,(Inputs!$E23+(Inputs!$F23-Inputs!$E23)*2)*10000)/10000</f>
        <v>1.6671</v>
      </c>
      <c r="FR23" s="236">
        <f>RANDBETWEEN((Inputs!$E23-(Inputs!$E23-Inputs!$D23)*2)*10000,(Inputs!$E23+(Inputs!$F23-Inputs!$E23)*2)*10000)/10000</f>
        <v>2.1573</v>
      </c>
      <c r="FS23" s="236">
        <f>RANDBETWEEN((Inputs!$E23-(Inputs!$E23-Inputs!$D23)*2)*10000,(Inputs!$E23+(Inputs!$F23-Inputs!$E23)*2)*10000)/10000</f>
        <v>1.3367</v>
      </c>
      <c r="FT23" s="236">
        <f>RANDBETWEEN((Inputs!$E23-(Inputs!$E23-Inputs!$D23)*2)*10000,(Inputs!$E23+(Inputs!$F23-Inputs!$E23)*2)*10000)/10000</f>
        <v>0.5208</v>
      </c>
      <c r="FU23" s="236">
        <f>RANDBETWEEN((Inputs!$E23-(Inputs!$E23-Inputs!$D23)*2)*10000,(Inputs!$E23+(Inputs!$F23-Inputs!$E23)*2)*10000)/10000</f>
        <v>0.6243</v>
      </c>
      <c r="FV23" s="236">
        <f>RANDBETWEEN((Inputs!$E23-(Inputs!$E23-Inputs!$D23)*2)*10000,(Inputs!$E23+(Inputs!$F23-Inputs!$E23)*2)*10000)/10000</f>
        <v>0.8609</v>
      </c>
      <c r="FW23" s="236">
        <f>RANDBETWEEN((Inputs!$E23-(Inputs!$E23-Inputs!$D23)*2)*10000,(Inputs!$E23+(Inputs!$F23-Inputs!$E23)*2)*10000)/10000</f>
        <v>0.7744</v>
      </c>
      <c r="FX23" s="236">
        <f>RANDBETWEEN((Inputs!$E23-(Inputs!$E23-Inputs!$D23)*2)*10000,(Inputs!$E23+(Inputs!$F23-Inputs!$E23)*2)*10000)/10000</f>
        <v>0.4473</v>
      </c>
      <c r="FY23" s="236">
        <f>RANDBETWEEN((Inputs!$E23-(Inputs!$E23-Inputs!$D23)*2)*10000,(Inputs!$E23+(Inputs!$F23-Inputs!$E23)*2)*10000)/10000</f>
        <v>0.792</v>
      </c>
      <c r="FZ23" s="236">
        <f>RANDBETWEEN((Inputs!$E23-(Inputs!$E23-Inputs!$D23)*2)*10000,(Inputs!$E23+(Inputs!$F23-Inputs!$E23)*2)*10000)/10000</f>
        <v>1.5645</v>
      </c>
      <c r="GA23" s="236">
        <f>RANDBETWEEN((Inputs!$E23-(Inputs!$E23-Inputs!$D23)*2)*10000,(Inputs!$E23+(Inputs!$F23-Inputs!$E23)*2)*10000)/10000</f>
        <v>1.0944</v>
      </c>
      <c r="GB23" s="236">
        <f>RANDBETWEEN((Inputs!$E23-(Inputs!$E23-Inputs!$D23)*2)*10000,(Inputs!$E23+(Inputs!$F23-Inputs!$E23)*2)*10000)/10000</f>
        <v>0.6945</v>
      </c>
      <c r="GC23" s="236">
        <f>RANDBETWEEN((Inputs!$E23-(Inputs!$E23-Inputs!$D23)*2)*10000,(Inputs!$E23+(Inputs!$F23-Inputs!$E23)*2)*10000)/10000</f>
        <v>1.642</v>
      </c>
      <c r="GD23" s="236">
        <f>RANDBETWEEN((Inputs!$E23-(Inputs!$E23-Inputs!$D23)*2)*10000,(Inputs!$E23+(Inputs!$F23-Inputs!$E23)*2)*10000)/10000</f>
        <v>0.2543</v>
      </c>
      <c r="GE23" s="236">
        <f>RANDBETWEEN((Inputs!$E23-(Inputs!$E23-Inputs!$D23)*2)*10000,(Inputs!$E23+(Inputs!$F23-Inputs!$E23)*2)*10000)/10000</f>
        <v>1.6252</v>
      </c>
      <c r="GF23" s="236">
        <f>RANDBETWEEN((Inputs!$E23-(Inputs!$E23-Inputs!$D23)*2)*10000,(Inputs!$E23+(Inputs!$F23-Inputs!$E23)*2)*10000)/10000</f>
        <v>1.6589</v>
      </c>
      <c r="GG23" s="236">
        <f>RANDBETWEEN((Inputs!$E23-(Inputs!$E23-Inputs!$D23)*2)*10000,(Inputs!$E23+(Inputs!$F23-Inputs!$E23)*2)*10000)/10000</f>
        <v>0.2537</v>
      </c>
      <c r="GH23" s="236">
        <f>RANDBETWEEN((Inputs!$E23-(Inputs!$E23-Inputs!$D23)*2)*10000,(Inputs!$E23+(Inputs!$F23-Inputs!$E23)*2)*10000)/10000</f>
        <v>0.6019</v>
      </c>
      <c r="GI23" s="236">
        <f>RANDBETWEEN((Inputs!$E23-(Inputs!$E23-Inputs!$D23)*2)*10000,(Inputs!$E23+(Inputs!$F23-Inputs!$E23)*2)*10000)/10000</f>
        <v>2.0317</v>
      </c>
      <c r="GJ23" s="236">
        <f>RANDBETWEEN((Inputs!$E23-(Inputs!$E23-Inputs!$D23)*2)*10000,(Inputs!$E23+(Inputs!$F23-Inputs!$E23)*2)*10000)/10000</f>
        <v>0.802</v>
      </c>
      <c r="GK23" s="236">
        <f>RANDBETWEEN((Inputs!$E23-(Inputs!$E23-Inputs!$D23)*2)*10000,(Inputs!$E23+(Inputs!$F23-Inputs!$E23)*2)*10000)/10000</f>
        <v>1.4269</v>
      </c>
      <c r="GL23" s="236">
        <f>RANDBETWEEN((Inputs!$E23-(Inputs!$E23-Inputs!$D23)*2)*10000,(Inputs!$E23+(Inputs!$F23-Inputs!$E23)*2)*10000)/10000</f>
        <v>1.0694</v>
      </c>
      <c r="GM23" s="236">
        <f>RANDBETWEEN((Inputs!$E23-(Inputs!$E23-Inputs!$D23)*2)*10000,(Inputs!$E23+(Inputs!$F23-Inputs!$E23)*2)*10000)/10000</f>
        <v>1.7018</v>
      </c>
      <c r="GN23" s="236">
        <f>RANDBETWEEN((Inputs!$E23-(Inputs!$E23-Inputs!$D23)*2)*10000,(Inputs!$E23+(Inputs!$F23-Inputs!$E23)*2)*10000)/10000</f>
        <v>1.823</v>
      </c>
      <c r="GO23" s="236">
        <f>RANDBETWEEN((Inputs!$E23-(Inputs!$E23-Inputs!$D23)*2)*10000,(Inputs!$E23+(Inputs!$F23-Inputs!$E23)*2)*10000)/10000</f>
        <v>0.4762</v>
      </c>
      <c r="GP23" s="236">
        <f>RANDBETWEEN((Inputs!$E23-(Inputs!$E23-Inputs!$D23)*2)*10000,(Inputs!$E23+(Inputs!$F23-Inputs!$E23)*2)*10000)/10000</f>
        <v>1.928</v>
      </c>
      <c r="GQ23" s="236">
        <f>RANDBETWEEN((Inputs!$E23-(Inputs!$E23-Inputs!$D23)*2)*10000,(Inputs!$E23+(Inputs!$F23-Inputs!$E23)*2)*10000)/10000</f>
        <v>2.1194</v>
      </c>
      <c r="GR23" s="236">
        <f>RANDBETWEEN((Inputs!$E23-(Inputs!$E23-Inputs!$D23)*2)*10000,(Inputs!$E23+(Inputs!$F23-Inputs!$E23)*2)*10000)/10000</f>
        <v>1.6802</v>
      </c>
      <c r="GS23" s="236">
        <f>RANDBETWEEN((Inputs!$E23-(Inputs!$E23-Inputs!$D23)*2)*10000,(Inputs!$E23+(Inputs!$F23-Inputs!$E23)*2)*10000)/10000</f>
        <v>1.8725</v>
      </c>
      <c r="GT23" s="236">
        <f>RANDBETWEEN((Inputs!$E23-(Inputs!$E23-Inputs!$D23)*2)*10000,(Inputs!$E23+(Inputs!$F23-Inputs!$E23)*2)*10000)/10000</f>
        <v>1.2746</v>
      </c>
      <c r="GU23" s="236">
        <f>RANDBETWEEN((Inputs!$E23-(Inputs!$E23-Inputs!$D23)*2)*10000,(Inputs!$E23+(Inputs!$F23-Inputs!$E23)*2)*10000)/10000</f>
        <v>2.188</v>
      </c>
      <c r="GV23" s="236">
        <f>RANDBETWEEN((Inputs!$E23-(Inputs!$E23-Inputs!$D23)*2)*10000,(Inputs!$E23+(Inputs!$F23-Inputs!$E23)*2)*10000)/10000</f>
        <v>2.1854</v>
      </c>
      <c r="GW23" s="236">
        <f>RANDBETWEEN((Inputs!$E23-(Inputs!$E23-Inputs!$D23)*2)*10000,(Inputs!$E23+(Inputs!$F23-Inputs!$E23)*2)*10000)/10000</f>
        <v>0.3575</v>
      </c>
      <c r="GX23" s="236">
        <f>RANDBETWEEN((Inputs!$E23-(Inputs!$E23-Inputs!$D23)*2)*10000,(Inputs!$E23+(Inputs!$F23-Inputs!$E23)*2)*10000)/10000</f>
        <v>1.6746</v>
      </c>
      <c r="GY23" s="236">
        <f>RANDBETWEEN((Inputs!$E23-(Inputs!$E23-Inputs!$D23)*2)*10000,(Inputs!$E23+(Inputs!$F23-Inputs!$E23)*2)*10000)/10000</f>
        <v>1.6546</v>
      </c>
      <c r="GZ23" s="236">
        <f>RANDBETWEEN((Inputs!$E23-(Inputs!$E23-Inputs!$D23)*2)*10000,(Inputs!$E23+(Inputs!$F23-Inputs!$E23)*2)*10000)/10000</f>
        <v>1.2519</v>
      </c>
      <c r="HA23" s="236">
        <f>RANDBETWEEN((Inputs!$E23-(Inputs!$E23-Inputs!$D23)*2)*10000,(Inputs!$E23+(Inputs!$F23-Inputs!$E23)*2)*10000)/10000</f>
        <v>1.1456</v>
      </c>
      <c r="HB23" s="236">
        <f>RANDBETWEEN((Inputs!$E23-(Inputs!$E23-Inputs!$D23)*2)*10000,(Inputs!$E23+(Inputs!$F23-Inputs!$E23)*2)*10000)/10000</f>
        <v>0.7649</v>
      </c>
      <c r="HC23" s="236">
        <f>RANDBETWEEN((Inputs!$E23-(Inputs!$E23-Inputs!$D23)*2)*10000,(Inputs!$E23+(Inputs!$F23-Inputs!$E23)*2)*10000)/10000</f>
        <v>1.8345</v>
      </c>
      <c r="HD23" s="236">
        <f>RANDBETWEEN((Inputs!$E23-(Inputs!$E23-Inputs!$D23)*2)*10000,(Inputs!$E23+(Inputs!$F23-Inputs!$E23)*2)*10000)/10000</f>
        <v>1.0485</v>
      </c>
      <c r="HE23" s="236">
        <f>RANDBETWEEN((Inputs!$E23-(Inputs!$E23-Inputs!$D23)*2)*10000,(Inputs!$E23+(Inputs!$F23-Inputs!$E23)*2)*10000)/10000</f>
        <v>1.6905</v>
      </c>
      <c r="HF23" s="236">
        <f>RANDBETWEEN((Inputs!$E23-(Inputs!$E23-Inputs!$D23)*2)*10000,(Inputs!$E23+(Inputs!$F23-Inputs!$E23)*2)*10000)/10000</f>
        <v>0.6763</v>
      </c>
      <c r="HG23" s="236">
        <f>RANDBETWEEN((Inputs!$E23-(Inputs!$E23-Inputs!$D23)*2)*10000,(Inputs!$E23+(Inputs!$F23-Inputs!$E23)*2)*10000)/10000</f>
        <v>0.4232</v>
      </c>
      <c r="HH23" s="236">
        <f>RANDBETWEEN((Inputs!$E23-(Inputs!$E23-Inputs!$D23)*2)*10000,(Inputs!$E23+(Inputs!$F23-Inputs!$E23)*2)*10000)/10000</f>
        <v>1.4343</v>
      </c>
      <c r="HI23" s="236">
        <f>RANDBETWEEN((Inputs!$E23-(Inputs!$E23-Inputs!$D23)*2)*10000,(Inputs!$E23+(Inputs!$F23-Inputs!$E23)*2)*10000)/10000</f>
        <v>1.6952</v>
      </c>
      <c r="HJ23" s="236">
        <f>RANDBETWEEN((Inputs!$E23-(Inputs!$E23-Inputs!$D23)*2)*10000,(Inputs!$E23+(Inputs!$F23-Inputs!$E23)*2)*10000)/10000</f>
        <v>0.323</v>
      </c>
      <c r="HK23" s="236">
        <f>RANDBETWEEN((Inputs!$E23-(Inputs!$E23-Inputs!$D23)*2)*10000,(Inputs!$E23+(Inputs!$F23-Inputs!$E23)*2)*10000)/10000</f>
        <v>0.5788</v>
      </c>
      <c r="HL23" s="236">
        <f>RANDBETWEEN((Inputs!$E23-(Inputs!$E23-Inputs!$D23)*2)*10000,(Inputs!$E23+(Inputs!$F23-Inputs!$E23)*2)*10000)/10000</f>
        <v>0.7942</v>
      </c>
      <c r="HM23" s="236">
        <f>RANDBETWEEN((Inputs!$E23-(Inputs!$E23-Inputs!$D23)*2)*10000,(Inputs!$E23+(Inputs!$F23-Inputs!$E23)*2)*10000)/10000</f>
        <v>1.2886</v>
      </c>
      <c r="HN23" s="236">
        <f>RANDBETWEEN((Inputs!$E23-(Inputs!$E23-Inputs!$D23)*2)*10000,(Inputs!$E23+(Inputs!$F23-Inputs!$E23)*2)*10000)/10000</f>
        <v>1.178</v>
      </c>
      <c r="HO23" s="236">
        <f>RANDBETWEEN((Inputs!$E23-(Inputs!$E23-Inputs!$D23)*2)*10000,(Inputs!$E23+(Inputs!$F23-Inputs!$E23)*2)*10000)/10000</f>
        <v>1.1336</v>
      </c>
      <c r="HP23" s="236">
        <f>RANDBETWEEN((Inputs!$E23-(Inputs!$E23-Inputs!$D23)*2)*10000,(Inputs!$E23+(Inputs!$F23-Inputs!$E23)*2)*10000)/10000</f>
        <v>1.942</v>
      </c>
      <c r="HQ23" s="236">
        <f>RANDBETWEEN((Inputs!$E23-(Inputs!$E23-Inputs!$D23)*2)*10000,(Inputs!$E23+(Inputs!$F23-Inputs!$E23)*2)*10000)/10000</f>
        <v>1.0459</v>
      </c>
      <c r="HR23" s="236">
        <f>RANDBETWEEN((Inputs!$E23-(Inputs!$E23-Inputs!$D23)*2)*10000,(Inputs!$E23+(Inputs!$F23-Inputs!$E23)*2)*10000)/10000</f>
        <v>1.2282</v>
      </c>
      <c r="HS23" s="236">
        <f>RANDBETWEEN((Inputs!$E23-(Inputs!$E23-Inputs!$D23)*2)*10000,(Inputs!$E23+(Inputs!$F23-Inputs!$E23)*2)*10000)/10000</f>
        <v>1.6255</v>
      </c>
      <c r="HT23" s="236">
        <f>RANDBETWEEN((Inputs!$E23-(Inputs!$E23-Inputs!$D23)*2)*10000,(Inputs!$E23+(Inputs!$F23-Inputs!$E23)*2)*10000)/10000</f>
        <v>0.7903</v>
      </c>
      <c r="HU23" s="236">
        <f>RANDBETWEEN((Inputs!$E23-(Inputs!$E23-Inputs!$D23)*2)*10000,(Inputs!$E23+(Inputs!$F23-Inputs!$E23)*2)*10000)/10000</f>
        <v>1.4616</v>
      </c>
      <c r="HV23" s="236">
        <f>RANDBETWEEN((Inputs!$E23-(Inputs!$E23-Inputs!$D23)*2)*10000,(Inputs!$E23+(Inputs!$F23-Inputs!$E23)*2)*10000)/10000</f>
        <v>1.7649</v>
      </c>
      <c r="HW23" s="236">
        <f>RANDBETWEEN((Inputs!$E23-(Inputs!$E23-Inputs!$D23)*2)*10000,(Inputs!$E23+(Inputs!$F23-Inputs!$E23)*2)*10000)/10000</f>
        <v>0.6716</v>
      </c>
      <c r="HX23" s="236">
        <f>RANDBETWEEN((Inputs!$E23-(Inputs!$E23-Inputs!$D23)*2)*10000,(Inputs!$E23+(Inputs!$F23-Inputs!$E23)*2)*10000)/10000</f>
        <v>0.7434</v>
      </c>
      <c r="HY23" s="236">
        <f>RANDBETWEEN((Inputs!$E23-(Inputs!$E23-Inputs!$D23)*2)*10000,(Inputs!$E23+(Inputs!$F23-Inputs!$E23)*2)*10000)/10000</f>
        <v>2.1783</v>
      </c>
      <c r="HZ23" s="236">
        <f>RANDBETWEEN((Inputs!$E23-(Inputs!$E23-Inputs!$D23)*2)*10000,(Inputs!$E23+(Inputs!$F23-Inputs!$E23)*2)*10000)/10000</f>
        <v>0.7845</v>
      </c>
      <c r="IA23" s="236">
        <f>RANDBETWEEN((Inputs!$E23-(Inputs!$E23-Inputs!$D23)*2)*10000,(Inputs!$E23+(Inputs!$F23-Inputs!$E23)*2)*10000)/10000</f>
        <v>1.6598</v>
      </c>
      <c r="IB23" s="236">
        <f>RANDBETWEEN((Inputs!$E23-(Inputs!$E23-Inputs!$D23)*2)*10000,(Inputs!$E23+(Inputs!$F23-Inputs!$E23)*2)*10000)/10000</f>
        <v>2.0909</v>
      </c>
      <c r="IC23" s="236">
        <f>RANDBETWEEN((Inputs!$E23-(Inputs!$E23-Inputs!$D23)*2)*10000,(Inputs!$E23+(Inputs!$F23-Inputs!$E23)*2)*10000)/10000</f>
        <v>1.0735</v>
      </c>
      <c r="ID23" s="236">
        <f>RANDBETWEEN((Inputs!$E23-(Inputs!$E23-Inputs!$D23)*2)*10000,(Inputs!$E23+(Inputs!$F23-Inputs!$E23)*2)*10000)/10000</f>
        <v>1.7804</v>
      </c>
      <c r="IE23" s="236">
        <f>RANDBETWEEN((Inputs!$E23-(Inputs!$E23-Inputs!$D23)*2)*10000,(Inputs!$E23+(Inputs!$F23-Inputs!$E23)*2)*10000)/10000</f>
        <v>0.4385</v>
      </c>
      <c r="IF23" s="236">
        <f>RANDBETWEEN((Inputs!$E23-(Inputs!$E23-Inputs!$D23)*2)*10000,(Inputs!$E23+(Inputs!$F23-Inputs!$E23)*2)*10000)/10000</f>
        <v>1.7308</v>
      </c>
      <c r="IG23" s="236">
        <f>RANDBETWEEN((Inputs!$E23-(Inputs!$E23-Inputs!$D23)*2)*10000,(Inputs!$E23+(Inputs!$F23-Inputs!$E23)*2)*10000)/10000</f>
        <v>2.0326</v>
      </c>
      <c r="IH23" s="236">
        <f>RANDBETWEEN((Inputs!$E23-(Inputs!$E23-Inputs!$D23)*2)*10000,(Inputs!$E23+(Inputs!$F23-Inputs!$E23)*2)*10000)/10000</f>
        <v>1.1853</v>
      </c>
      <c r="II23" s="236">
        <f>RANDBETWEEN((Inputs!$E23-(Inputs!$E23-Inputs!$D23)*2)*10000,(Inputs!$E23+(Inputs!$F23-Inputs!$E23)*2)*10000)/10000</f>
        <v>0.7013</v>
      </c>
      <c r="IJ23" s="236">
        <f>RANDBETWEEN((Inputs!$E23-(Inputs!$E23-Inputs!$D23)*2)*10000,(Inputs!$E23+(Inputs!$F23-Inputs!$E23)*2)*10000)/10000</f>
        <v>1.1123</v>
      </c>
      <c r="IK23" s="236">
        <f>RANDBETWEEN((Inputs!$E23-(Inputs!$E23-Inputs!$D23)*2)*10000,(Inputs!$E23+(Inputs!$F23-Inputs!$E23)*2)*10000)/10000</f>
        <v>0.7835</v>
      </c>
      <c r="IL23" s="236">
        <f>RANDBETWEEN((Inputs!$E23-(Inputs!$E23-Inputs!$D23)*2)*10000,(Inputs!$E23+(Inputs!$F23-Inputs!$E23)*2)*10000)/10000</f>
        <v>1.3969</v>
      </c>
      <c r="IM23" s="236">
        <f>RANDBETWEEN((Inputs!$E23-(Inputs!$E23-Inputs!$D23)*2)*10000,(Inputs!$E23+(Inputs!$F23-Inputs!$E23)*2)*10000)/10000</f>
        <v>0.5877</v>
      </c>
      <c r="IN23" s="236">
        <f>RANDBETWEEN((Inputs!$E23-(Inputs!$E23-Inputs!$D23)*2)*10000,(Inputs!$E23+(Inputs!$F23-Inputs!$E23)*2)*10000)/10000</f>
        <v>1.1251</v>
      </c>
      <c r="IO23" s="236">
        <f>RANDBETWEEN((Inputs!$E23-(Inputs!$E23-Inputs!$D23)*2)*10000,(Inputs!$E23+(Inputs!$F23-Inputs!$E23)*2)*10000)/10000</f>
        <v>1.8293</v>
      </c>
      <c r="IP23" s="236">
        <f>RANDBETWEEN((Inputs!$E23-(Inputs!$E23-Inputs!$D23)*2)*10000,(Inputs!$E23+(Inputs!$F23-Inputs!$E23)*2)*10000)/10000</f>
        <v>0.4078</v>
      </c>
      <c r="IQ23" s="236">
        <f>RANDBETWEEN((Inputs!$E23-(Inputs!$E23-Inputs!$D23)*2)*10000,(Inputs!$E23+(Inputs!$F23-Inputs!$E23)*2)*10000)/10000</f>
        <v>0.5988</v>
      </c>
      <c r="IR23" s="236">
        <f>RANDBETWEEN((Inputs!$E23-(Inputs!$E23-Inputs!$D23)*2)*10000,(Inputs!$E23+(Inputs!$F23-Inputs!$E23)*2)*10000)/10000</f>
        <v>1.1479</v>
      </c>
      <c r="IS23" s="236">
        <f>RANDBETWEEN((Inputs!$E23-(Inputs!$E23-Inputs!$D23)*2)*10000,(Inputs!$E23+(Inputs!$F23-Inputs!$E23)*2)*10000)/10000</f>
        <v>1.4359</v>
      </c>
      <c r="IT23" s="236">
        <f>RANDBETWEEN((Inputs!$E23-(Inputs!$E23-Inputs!$D23)*2)*10000,(Inputs!$E23+(Inputs!$F23-Inputs!$E23)*2)*10000)/10000</f>
        <v>1.7158</v>
      </c>
      <c r="IU23" s="236">
        <f>RANDBETWEEN((Inputs!$E23-(Inputs!$E23-Inputs!$D23)*2)*10000,(Inputs!$E23+(Inputs!$F23-Inputs!$E23)*2)*10000)/10000</f>
        <v>0.5641</v>
      </c>
      <c r="IV23" s="236">
        <f>RANDBETWEEN((Inputs!$E23-(Inputs!$E23-Inputs!$D23)*2)*10000,(Inputs!$E23+(Inputs!$F23-Inputs!$E23)*2)*10000)/10000</f>
        <v>1.4149</v>
      </c>
      <c r="IW23" s="236">
        <f>RANDBETWEEN((Inputs!$E23-(Inputs!$E23-Inputs!$D23)*2)*10000,(Inputs!$E23+(Inputs!$F23-Inputs!$E23)*2)*10000)/10000</f>
        <v>0.6973</v>
      </c>
      <c r="IX23" s="236">
        <f>RANDBETWEEN((Inputs!$E23-(Inputs!$E23-Inputs!$D23)*2)*10000,(Inputs!$E23+(Inputs!$F23-Inputs!$E23)*2)*10000)/10000</f>
        <v>1.2592</v>
      </c>
      <c r="IY23" s="236">
        <f>RANDBETWEEN((Inputs!$E23-(Inputs!$E23-Inputs!$D23)*2)*10000,(Inputs!$E23+(Inputs!$F23-Inputs!$E23)*2)*10000)/10000</f>
        <v>1.0314</v>
      </c>
      <c r="IZ23" s="236">
        <f>RANDBETWEEN((Inputs!$E23-(Inputs!$E23-Inputs!$D23)*2)*10000,(Inputs!$E23+(Inputs!$F23-Inputs!$E23)*2)*10000)/10000</f>
        <v>2.1676</v>
      </c>
      <c r="JA23" s="236">
        <f>RANDBETWEEN((Inputs!$E23-(Inputs!$E23-Inputs!$D23)*2)*10000,(Inputs!$E23+(Inputs!$F23-Inputs!$E23)*2)*10000)/10000</f>
        <v>0.6504</v>
      </c>
      <c r="JB23" s="236">
        <f>RANDBETWEEN((Inputs!$E23-(Inputs!$E23-Inputs!$D23)*2)*10000,(Inputs!$E23+(Inputs!$F23-Inputs!$E23)*2)*10000)/10000</f>
        <v>1.8894</v>
      </c>
      <c r="JC23" s="236">
        <f>RANDBETWEEN((Inputs!$E23-(Inputs!$E23-Inputs!$D23)*2)*10000,(Inputs!$E23+(Inputs!$F23-Inputs!$E23)*2)*10000)/10000</f>
        <v>1.2752</v>
      </c>
      <c r="JD23" s="236">
        <f>RANDBETWEEN((Inputs!$E23-(Inputs!$E23-Inputs!$D23)*2)*10000,(Inputs!$E23+(Inputs!$F23-Inputs!$E23)*2)*10000)/10000</f>
        <v>1.7067</v>
      </c>
      <c r="JE23" s="236">
        <f>RANDBETWEEN((Inputs!$E23-(Inputs!$E23-Inputs!$D23)*2)*10000,(Inputs!$E23+(Inputs!$F23-Inputs!$E23)*2)*10000)/10000</f>
        <v>1.5361</v>
      </c>
      <c r="JF23" s="236">
        <f>RANDBETWEEN((Inputs!$E23-(Inputs!$E23-Inputs!$D23)*2)*10000,(Inputs!$E23+(Inputs!$F23-Inputs!$E23)*2)*10000)/10000</f>
        <v>0.3751</v>
      </c>
      <c r="JG23" s="236">
        <f>RANDBETWEEN((Inputs!$E23-(Inputs!$E23-Inputs!$D23)*2)*10000,(Inputs!$E23+(Inputs!$F23-Inputs!$E23)*2)*10000)/10000</f>
        <v>0.4089</v>
      </c>
      <c r="JH23" s="236">
        <f>RANDBETWEEN((Inputs!$E23-(Inputs!$E23-Inputs!$D23)*2)*10000,(Inputs!$E23+(Inputs!$F23-Inputs!$E23)*2)*10000)/10000</f>
        <v>0.7203</v>
      </c>
      <c r="JI23" s="236">
        <f>RANDBETWEEN((Inputs!$E23-(Inputs!$E23-Inputs!$D23)*2)*10000,(Inputs!$E23+(Inputs!$F23-Inputs!$E23)*2)*10000)/10000</f>
        <v>1.0355</v>
      </c>
      <c r="JJ23" s="236">
        <f>RANDBETWEEN((Inputs!$E23-(Inputs!$E23-Inputs!$D23)*2)*10000,(Inputs!$E23+(Inputs!$F23-Inputs!$E23)*2)*10000)/10000</f>
        <v>0.5938</v>
      </c>
      <c r="JK23" s="236">
        <f>RANDBETWEEN((Inputs!$E23-(Inputs!$E23-Inputs!$D23)*2)*10000,(Inputs!$E23+(Inputs!$F23-Inputs!$E23)*2)*10000)/10000</f>
        <v>0.7838</v>
      </c>
      <c r="JL23" s="236">
        <f>RANDBETWEEN((Inputs!$E23-(Inputs!$E23-Inputs!$D23)*2)*10000,(Inputs!$E23+(Inputs!$F23-Inputs!$E23)*2)*10000)/10000</f>
        <v>0.4889</v>
      </c>
      <c r="JM23" s="236">
        <f>RANDBETWEEN((Inputs!$E23-(Inputs!$E23-Inputs!$D23)*2)*10000,(Inputs!$E23+(Inputs!$F23-Inputs!$E23)*2)*10000)/10000</f>
        <v>1.4312</v>
      </c>
      <c r="JN23" s="236">
        <f>RANDBETWEEN((Inputs!$E23-(Inputs!$E23-Inputs!$D23)*2)*10000,(Inputs!$E23+(Inputs!$F23-Inputs!$E23)*2)*10000)/10000</f>
        <v>2.1536</v>
      </c>
      <c r="JO23" s="236">
        <f>RANDBETWEEN((Inputs!$E23-(Inputs!$E23-Inputs!$D23)*2)*10000,(Inputs!$E23+(Inputs!$F23-Inputs!$E23)*2)*10000)/10000</f>
        <v>1.6766</v>
      </c>
      <c r="JP23" s="236">
        <f>RANDBETWEEN((Inputs!$E23-(Inputs!$E23-Inputs!$D23)*2)*10000,(Inputs!$E23+(Inputs!$F23-Inputs!$E23)*2)*10000)/10000</f>
        <v>0.7447</v>
      </c>
      <c r="JQ23" s="236">
        <f>RANDBETWEEN((Inputs!$E23-(Inputs!$E23-Inputs!$D23)*2)*10000,(Inputs!$E23+(Inputs!$F23-Inputs!$E23)*2)*10000)/10000</f>
        <v>0.6209</v>
      </c>
      <c r="JR23" s="236">
        <f>RANDBETWEEN((Inputs!$E23-(Inputs!$E23-Inputs!$D23)*2)*10000,(Inputs!$E23+(Inputs!$F23-Inputs!$E23)*2)*10000)/10000</f>
        <v>1.7994</v>
      </c>
      <c r="JS23" s="236">
        <f>RANDBETWEEN((Inputs!$E23-(Inputs!$E23-Inputs!$D23)*2)*10000,(Inputs!$E23+(Inputs!$F23-Inputs!$E23)*2)*10000)/10000</f>
        <v>1.492</v>
      </c>
      <c r="JT23" s="236">
        <f>RANDBETWEEN((Inputs!$E23-(Inputs!$E23-Inputs!$D23)*2)*10000,(Inputs!$E23+(Inputs!$F23-Inputs!$E23)*2)*10000)/10000</f>
        <v>2.0184</v>
      </c>
      <c r="JU23" s="236">
        <f>RANDBETWEEN((Inputs!$E23-(Inputs!$E23-Inputs!$D23)*2)*10000,(Inputs!$E23+(Inputs!$F23-Inputs!$E23)*2)*10000)/10000</f>
        <v>0.4719</v>
      </c>
      <c r="JV23" s="236">
        <f>RANDBETWEEN((Inputs!$E23-(Inputs!$E23-Inputs!$D23)*2)*10000,(Inputs!$E23+(Inputs!$F23-Inputs!$E23)*2)*10000)/10000</f>
        <v>0.7207</v>
      </c>
      <c r="JW23" s="236">
        <f>RANDBETWEEN((Inputs!$E23-(Inputs!$E23-Inputs!$D23)*2)*10000,(Inputs!$E23+(Inputs!$F23-Inputs!$E23)*2)*10000)/10000</f>
        <v>1.8707</v>
      </c>
      <c r="JX23" s="236">
        <f>RANDBETWEEN((Inputs!$E23-(Inputs!$E23-Inputs!$D23)*2)*10000,(Inputs!$E23+(Inputs!$F23-Inputs!$E23)*2)*10000)/10000</f>
        <v>1.1512</v>
      </c>
      <c r="JY23" s="236">
        <f>RANDBETWEEN((Inputs!$E23-(Inputs!$E23-Inputs!$D23)*2)*10000,(Inputs!$E23+(Inputs!$F23-Inputs!$E23)*2)*10000)/10000</f>
        <v>1.5724</v>
      </c>
      <c r="JZ23" s="236">
        <f>RANDBETWEEN((Inputs!$E23-(Inputs!$E23-Inputs!$D23)*2)*10000,(Inputs!$E23+(Inputs!$F23-Inputs!$E23)*2)*10000)/10000</f>
        <v>1.6505</v>
      </c>
      <c r="KA23" s="236">
        <f>RANDBETWEEN((Inputs!$E23-(Inputs!$E23-Inputs!$D23)*2)*10000,(Inputs!$E23+(Inputs!$F23-Inputs!$E23)*2)*10000)/10000</f>
        <v>2.0019</v>
      </c>
      <c r="KB23" s="236">
        <f>RANDBETWEEN((Inputs!$E23-(Inputs!$E23-Inputs!$D23)*2)*10000,(Inputs!$E23+(Inputs!$F23-Inputs!$E23)*2)*10000)/10000</f>
        <v>0.3114</v>
      </c>
      <c r="KC23" s="236">
        <f>RANDBETWEEN((Inputs!$E23-(Inputs!$E23-Inputs!$D23)*2)*10000,(Inputs!$E23+(Inputs!$F23-Inputs!$E23)*2)*10000)/10000</f>
        <v>0.3055</v>
      </c>
      <c r="KD23" s="236">
        <f>RANDBETWEEN((Inputs!$E23-(Inputs!$E23-Inputs!$D23)*2)*10000,(Inputs!$E23+(Inputs!$F23-Inputs!$E23)*2)*10000)/10000</f>
        <v>1.4902</v>
      </c>
      <c r="KE23" s="236">
        <f>RANDBETWEEN((Inputs!$E23-(Inputs!$E23-Inputs!$D23)*2)*10000,(Inputs!$E23+(Inputs!$F23-Inputs!$E23)*2)*10000)/10000</f>
        <v>1.8511</v>
      </c>
      <c r="KF23" s="236">
        <f>RANDBETWEEN((Inputs!$E23-(Inputs!$E23-Inputs!$D23)*2)*10000,(Inputs!$E23+(Inputs!$F23-Inputs!$E23)*2)*10000)/10000</f>
        <v>1.3418</v>
      </c>
      <c r="KG23" s="236">
        <f>RANDBETWEEN((Inputs!$E23-(Inputs!$E23-Inputs!$D23)*2)*10000,(Inputs!$E23+(Inputs!$F23-Inputs!$E23)*2)*10000)/10000</f>
        <v>0.8962</v>
      </c>
      <c r="KH23" s="236">
        <f>RANDBETWEEN((Inputs!$E23-(Inputs!$E23-Inputs!$D23)*2)*10000,(Inputs!$E23+(Inputs!$F23-Inputs!$E23)*2)*10000)/10000</f>
        <v>0.7004</v>
      </c>
      <c r="KI23" s="236">
        <f>RANDBETWEEN((Inputs!$E23-(Inputs!$E23-Inputs!$D23)*2)*10000,(Inputs!$E23+(Inputs!$F23-Inputs!$E23)*2)*10000)/10000</f>
        <v>0.4835</v>
      </c>
      <c r="KJ23" s="236">
        <f>RANDBETWEEN((Inputs!$E23-(Inputs!$E23-Inputs!$D23)*2)*10000,(Inputs!$E23+(Inputs!$F23-Inputs!$E23)*2)*10000)/10000</f>
        <v>1.8416</v>
      </c>
      <c r="KK23" s="236">
        <f>RANDBETWEEN((Inputs!$E23-(Inputs!$E23-Inputs!$D23)*2)*10000,(Inputs!$E23+(Inputs!$F23-Inputs!$E23)*2)*10000)/10000</f>
        <v>1.667</v>
      </c>
      <c r="KL23" s="236">
        <f>RANDBETWEEN((Inputs!$E23-(Inputs!$E23-Inputs!$D23)*2)*10000,(Inputs!$E23+(Inputs!$F23-Inputs!$E23)*2)*10000)/10000</f>
        <v>0.8028</v>
      </c>
      <c r="KM23" s="236">
        <f>RANDBETWEEN((Inputs!$E23-(Inputs!$E23-Inputs!$D23)*2)*10000,(Inputs!$E23+(Inputs!$F23-Inputs!$E23)*2)*10000)/10000</f>
        <v>0.2921</v>
      </c>
      <c r="KN23" s="236">
        <f>RANDBETWEEN((Inputs!$E23-(Inputs!$E23-Inputs!$D23)*2)*10000,(Inputs!$E23+(Inputs!$F23-Inputs!$E23)*2)*10000)/10000</f>
        <v>1.3591</v>
      </c>
      <c r="KO23" s="236">
        <f>RANDBETWEEN((Inputs!$E23-(Inputs!$E23-Inputs!$D23)*2)*10000,(Inputs!$E23+(Inputs!$F23-Inputs!$E23)*2)*10000)/10000</f>
        <v>2.1476</v>
      </c>
      <c r="KP23" s="236">
        <f>RANDBETWEEN((Inputs!$E23-(Inputs!$E23-Inputs!$D23)*2)*10000,(Inputs!$E23+(Inputs!$F23-Inputs!$E23)*2)*10000)/10000</f>
        <v>1.5775</v>
      </c>
      <c r="KQ23" s="236">
        <f>RANDBETWEEN((Inputs!$E23-(Inputs!$E23-Inputs!$D23)*2)*10000,(Inputs!$E23+(Inputs!$F23-Inputs!$E23)*2)*10000)/10000</f>
        <v>1.4381</v>
      </c>
      <c r="KR23" s="236">
        <f>RANDBETWEEN((Inputs!$E23-(Inputs!$E23-Inputs!$D23)*2)*10000,(Inputs!$E23+(Inputs!$F23-Inputs!$E23)*2)*10000)/10000</f>
        <v>0.8802</v>
      </c>
      <c r="KS23" s="236">
        <f>RANDBETWEEN((Inputs!$E23-(Inputs!$E23-Inputs!$D23)*2)*10000,(Inputs!$E23+(Inputs!$F23-Inputs!$E23)*2)*10000)/10000</f>
        <v>0.7678</v>
      </c>
      <c r="KT23" s="236">
        <f>RANDBETWEEN((Inputs!$E23-(Inputs!$E23-Inputs!$D23)*2)*10000,(Inputs!$E23+(Inputs!$F23-Inputs!$E23)*2)*10000)/10000</f>
        <v>2.0985</v>
      </c>
      <c r="KU23" s="236">
        <f>RANDBETWEEN((Inputs!$E23-(Inputs!$E23-Inputs!$D23)*2)*10000,(Inputs!$E23+(Inputs!$F23-Inputs!$E23)*2)*10000)/10000</f>
        <v>1.469</v>
      </c>
      <c r="KV23" s="236">
        <f>RANDBETWEEN((Inputs!$E23-(Inputs!$E23-Inputs!$D23)*2)*10000,(Inputs!$E23+(Inputs!$F23-Inputs!$E23)*2)*10000)/10000</f>
        <v>1.4078</v>
      </c>
      <c r="KW23" s="236">
        <f>RANDBETWEEN((Inputs!$E23-(Inputs!$E23-Inputs!$D23)*2)*10000,(Inputs!$E23+(Inputs!$F23-Inputs!$E23)*2)*10000)/10000</f>
        <v>1.0227</v>
      </c>
      <c r="KX23" s="236">
        <f>RANDBETWEEN((Inputs!$E23-(Inputs!$E23-Inputs!$D23)*2)*10000,(Inputs!$E23+(Inputs!$F23-Inputs!$E23)*2)*10000)/10000</f>
        <v>1.8745</v>
      </c>
      <c r="KY23" s="236">
        <f>RANDBETWEEN((Inputs!$E23-(Inputs!$E23-Inputs!$D23)*2)*10000,(Inputs!$E23+(Inputs!$F23-Inputs!$E23)*2)*10000)/10000</f>
        <v>0.5153</v>
      </c>
      <c r="KZ23" s="236">
        <f>RANDBETWEEN((Inputs!$E23-(Inputs!$E23-Inputs!$D23)*2)*10000,(Inputs!$E23+(Inputs!$F23-Inputs!$E23)*2)*10000)/10000</f>
        <v>1.0635</v>
      </c>
      <c r="LA23" s="236">
        <f>RANDBETWEEN((Inputs!$E23-(Inputs!$E23-Inputs!$D23)*2)*10000,(Inputs!$E23+(Inputs!$F23-Inputs!$E23)*2)*10000)/10000</f>
        <v>0.6694</v>
      </c>
      <c r="LB23" s="236">
        <f>RANDBETWEEN((Inputs!$E23-(Inputs!$E23-Inputs!$D23)*2)*10000,(Inputs!$E23+(Inputs!$F23-Inputs!$E23)*2)*10000)/10000</f>
        <v>1.8744</v>
      </c>
      <c r="LC23" s="236">
        <f>RANDBETWEEN((Inputs!$E23-(Inputs!$E23-Inputs!$D23)*2)*10000,(Inputs!$E23+(Inputs!$F23-Inputs!$E23)*2)*10000)/10000</f>
        <v>1.9016</v>
      </c>
      <c r="LD23" s="236">
        <f>RANDBETWEEN((Inputs!$E23-(Inputs!$E23-Inputs!$D23)*2)*10000,(Inputs!$E23+(Inputs!$F23-Inputs!$E23)*2)*10000)/10000</f>
        <v>2.0493</v>
      </c>
      <c r="LE23" s="236">
        <f>RANDBETWEEN((Inputs!$E23-(Inputs!$E23-Inputs!$D23)*2)*10000,(Inputs!$E23+(Inputs!$F23-Inputs!$E23)*2)*10000)/10000</f>
        <v>0.5842</v>
      </c>
      <c r="LF23" s="236">
        <f>RANDBETWEEN((Inputs!$E23-(Inputs!$E23-Inputs!$D23)*2)*10000,(Inputs!$E23+(Inputs!$F23-Inputs!$E23)*2)*10000)/10000</f>
        <v>0.4168</v>
      </c>
      <c r="LG23" s="236">
        <f>RANDBETWEEN((Inputs!$E23-(Inputs!$E23-Inputs!$D23)*2)*10000,(Inputs!$E23+(Inputs!$F23-Inputs!$E23)*2)*10000)/10000</f>
        <v>1.2868</v>
      </c>
      <c r="LH23" s="236">
        <f>RANDBETWEEN((Inputs!$E23-(Inputs!$E23-Inputs!$D23)*2)*10000,(Inputs!$E23+(Inputs!$F23-Inputs!$E23)*2)*10000)/10000</f>
        <v>2.0457</v>
      </c>
      <c r="LI23" s="236">
        <f>RANDBETWEEN((Inputs!$E23-(Inputs!$E23-Inputs!$D23)*2)*10000,(Inputs!$E23+(Inputs!$F23-Inputs!$E23)*2)*10000)/10000</f>
        <v>1.107</v>
      </c>
      <c r="LJ23" s="236">
        <f>RANDBETWEEN((Inputs!$E23-(Inputs!$E23-Inputs!$D23)*2)*10000,(Inputs!$E23+(Inputs!$F23-Inputs!$E23)*2)*10000)/10000</f>
        <v>1.2391</v>
      </c>
      <c r="LK23" s="236">
        <f>RANDBETWEEN((Inputs!$E23-(Inputs!$E23-Inputs!$D23)*2)*10000,(Inputs!$E23+(Inputs!$F23-Inputs!$E23)*2)*10000)/10000</f>
        <v>2.1306</v>
      </c>
      <c r="LL23" s="236">
        <f>RANDBETWEEN((Inputs!$E23-(Inputs!$E23-Inputs!$D23)*2)*10000,(Inputs!$E23+(Inputs!$F23-Inputs!$E23)*2)*10000)/10000</f>
        <v>0.9554</v>
      </c>
      <c r="LM23" s="236">
        <f>RANDBETWEEN((Inputs!$E23-(Inputs!$E23-Inputs!$D23)*2)*10000,(Inputs!$E23+(Inputs!$F23-Inputs!$E23)*2)*10000)/10000</f>
        <v>2.1084</v>
      </c>
      <c r="LN23" s="236">
        <f>RANDBETWEEN((Inputs!$E23-(Inputs!$E23-Inputs!$D23)*2)*10000,(Inputs!$E23+(Inputs!$F23-Inputs!$E23)*2)*10000)/10000</f>
        <v>2.0919</v>
      </c>
      <c r="LO23" s="236">
        <f>RANDBETWEEN((Inputs!$E23-(Inputs!$E23-Inputs!$D23)*2)*10000,(Inputs!$E23+(Inputs!$F23-Inputs!$E23)*2)*10000)/10000</f>
        <v>0.2472</v>
      </c>
      <c r="LP23" s="236">
        <f>RANDBETWEEN((Inputs!$E23-(Inputs!$E23-Inputs!$D23)*2)*10000,(Inputs!$E23+(Inputs!$F23-Inputs!$E23)*2)*10000)/10000</f>
        <v>0.5252</v>
      </c>
      <c r="LQ23" s="236">
        <f>RANDBETWEEN((Inputs!$E23-(Inputs!$E23-Inputs!$D23)*2)*10000,(Inputs!$E23+(Inputs!$F23-Inputs!$E23)*2)*10000)/10000</f>
        <v>1.5907</v>
      </c>
      <c r="LR23" s="236">
        <f>RANDBETWEEN((Inputs!$E23-(Inputs!$E23-Inputs!$D23)*2)*10000,(Inputs!$E23+(Inputs!$F23-Inputs!$E23)*2)*10000)/10000</f>
        <v>0.926</v>
      </c>
      <c r="LS23" s="236">
        <f>RANDBETWEEN((Inputs!$E23-(Inputs!$E23-Inputs!$D23)*2)*10000,(Inputs!$E23+(Inputs!$F23-Inputs!$E23)*2)*10000)/10000</f>
        <v>1.7964</v>
      </c>
      <c r="LT23" s="236">
        <f>RANDBETWEEN((Inputs!$E23-(Inputs!$E23-Inputs!$D23)*2)*10000,(Inputs!$E23+(Inputs!$F23-Inputs!$E23)*2)*10000)/10000</f>
        <v>0.3173</v>
      </c>
      <c r="LU23" s="236">
        <f>RANDBETWEEN((Inputs!$E23-(Inputs!$E23-Inputs!$D23)*2)*10000,(Inputs!$E23+(Inputs!$F23-Inputs!$E23)*2)*10000)/10000</f>
        <v>0.7242</v>
      </c>
      <c r="LV23" s="236">
        <f>RANDBETWEEN((Inputs!$E23-(Inputs!$E23-Inputs!$D23)*2)*10000,(Inputs!$E23+(Inputs!$F23-Inputs!$E23)*2)*10000)/10000</f>
        <v>1.0036</v>
      </c>
      <c r="LW23" s="236">
        <f>RANDBETWEEN((Inputs!$E23-(Inputs!$E23-Inputs!$D23)*2)*10000,(Inputs!$E23+(Inputs!$F23-Inputs!$E23)*2)*10000)/10000</f>
        <v>0.8327</v>
      </c>
      <c r="LX23" s="236">
        <f>RANDBETWEEN((Inputs!$E23-(Inputs!$E23-Inputs!$D23)*2)*10000,(Inputs!$E23+(Inputs!$F23-Inputs!$E23)*2)*10000)/10000</f>
        <v>0.3007</v>
      </c>
      <c r="LY23" s="236">
        <f>RANDBETWEEN((Inputs!$E23-(Inputs!$E23-Inputs!$D23)*2)*10000,(Inputs!$E23+(Inputs!$F23-Inputs!$E23)*2)*10000)/10000</f>
        <v>1.9205</v>
      </c>
      <c r="LZ23" s="236">
        <f>RANDBETWEEN((Inputs!$E23-(Inputs!$E23-Inputs!$D23)*2)*10000,(Inputs!$E23+(Inputs!$F23-Inputs!$E23)*2)*10000)/10000</f>
        <v>1.1237</v>
      </c>
      <c r="MA23" s="236">
        <f>RANDBETWEEN((Inputs!$E23-(Inputs!$E23-Inputs!$D23)*2)*10000,(Inputs!$E23+(Inputs!$F23-Inputs!$E23)*2)*10000)/10000</f>
        <v>1.6545</v>
      </c>
      <c r="MB23" s="236">
        <f>RANDBETWEEN((Inputs!$E23-(Inputs!$E23-Inputs!$D23)*2)*10000,(Inputs!$E23+(Inputs!$F23-Inputs!$E23)*2)*10000)/10000</f>
        <v>2.0916</v>
      </c>
      <c r="MC23" s="236">
        <f>RANDBETWEEN((Inputs!$E23-(Inputs!$E23-Inputs!$D23)*2)*10000,(Inputs!$E23+(Inputs!$F23-Inputs!$E23)*2)*10000)/10000</f>
        <v>1.7266</v>
      </c>
      <c r="MD23" s="236">
        <f>RANDBETWEEN((Inputs!$E23-(Inputs!$E23-Inputs!$D23)*2)*10000,(Inputs!$E23+(Inputs!$F23-Inputs!$E23)*2)*10000)/10000</f>
        <v>0.9636</v>
      </c>
      <c r="ME23" s="236">
        <f>RANDBETWEEN((Inputs!$E23-(Inputs!$E23-Inputs!$D23)*2)*10000,(Inputs!$E23+(Inputs!$F23-Inputs!$E23)*2)*10000)/10000</f>
        <v>1.5885</v>
      </c>
      <c r="MF23" s="236">
        <f>RANDBETWEEN((Inputs!$E23-(Inputs!$E23-Inputs!$D23)*2)*10000,(Inputs!$E23+(Inputs!$F23-Inputs!$E23)*2)*10000)/10000</f>
        <v>0.9076</v>
      </c>
      <c r="MG23" s="236">
        <f>RANDBETWEEN((Inputs!$E23-(Inputs!$E23-Inputs!$D23)*2)*10000,(Inputs!$E23+(Inputs!$F23-Inputs!$E23)*2)*10000)/10000</f>
        <v>0.4912</v>
      </c>
      <c r="MH23" s="236">
        <f>RANDBETWEEN((Inputs!$E23-(Inputs!$E23-Inputs!$D23)*2)*10000,(Inputs!$E23+(Inputs!$F23-Inputs!$E23)*2)*10000)/10000</f>
        <v>0.4085</v>
      </c>
      <c r="MI23" s="236">
        <f>RANDBETWEEN((Inputs!$E23-(Inputs!$E23-Inputs!$D23)*2)*10000,(Inputs!$E23+(Inputs!$F23-Inputs!$E23)*2)*10000)/10000</f>
        <v>1.2131</v>
      </c>
      <c r="MJ23" s="236">
        <f>RANDBETWEEN((Inputs!$E23-(Inputs!$E23-Inputs!$D23)*2)*10000,(Inputs!$E23+(Inputs!$F23-Inputs!$E23)*2)*10000)/10000</f>
        <v>0.2588</v>
      </c>
      <c r="MK23" s="236">
        <f>RANDBETWEEN((Inputs!$E23-(Inputs!$E23-Inputs!$D23)*2)*10000,(Inputs!$E23+(Inputs!$F23-Inputs!$E23)*2)*10000)/10000</f>
        <v>1.0902</v>
      </c>
      <c r="ML23" s="236">
        <f>RANDBETWEEN((Inputs!$E23-(Inputs!$E23-Inputs!$D23)*2)*10000,(Inputs!$E23+(Inputs!$F23-Inputs!$E23)*2)*10000)/10000</f>
        <v>0.911</v>
      </c>
      <c r="MM23" s="236">
        <f>RANDBETWEEN((Inputs!$E23-(Inputs!$E23-Inputs!$D23)*2)*10000,(Inputs!$E23+(Inputs!$F23-Inputs!$E23)*2)*10000)/10000</f>
        <v>0.5727</v>
      </c>
      <c r="MN23" s="236">
        <f>RANDBETWEEN((Inputs!$E23-(Inputs!$E23-Inputs!$D23)*2)*10000,(Inputs!$E23+(Inputs!$F23-Inputs!$E23)*2)*10000)/10000</f>
        <v>1.8219</v>
      </c>
      <c r="MO23" s="236">
        <f>RANDBETWEEN((Inputs!$E23-(Inputs!$E23-Inputs!$D23)*2)*10000,(Inputs!$E23+(Inputs!$F23-Inputs!$E23)*2)*10000)/10000</f>
        <v>1.1002</v>
      </c>
      <c r="MP23" s="236">
        <f>RANDBETWEEN((Inputs!$E23-(Inputs!$E23-Inputs!$D23)*2)*10000,(Inputs!$E23+(Inputs!$F23-Inputs!$E23)*2)*10000)/10000</f>
        <v>0.3693</v>
      </c>
      <c r="MQ23" s="236">
        <f>RANDBETWEEN((Inputs!$E23-(Inputs!$E23-Inputs!$D23)*2)*10000,(Inputs!$E23+(Inputs!$F23-Inputs!$E23)*2)*10000)/10000</f>
        <v>0.8624</v>
      </c>
      <c r="MR23" s="236">
        <f>RANDBETWEEN((Inputs!$E23-(Inputs!$E23-Inputs!$D23)*2)*10000,(Inputs!$E23+(Inputs!$F23-Inputs!$E23)*2)*10000)/10000</f>
        <v>1.4186</v>
      </c>
      <c r="MS23" s="236">
        <f>RANDBETWEEN((Inputs!$E23-(Inputs!$E23-Inputs!$D23)*2)*10000,(Inputs!$E23+(Inputs!$F23-Inputs!$E23)*2)*10000)/10000</f>
        <v>2.1771</v>
      </c>
      <c r="MT23" s="236">
        <f>RANDBETWEEN((Inputs!$E23-(Inputs!$E23-Inputs!$D23)*2)*10000,(Inputs!$E23+(Inputs!$F23-Inputs!$E23)*2)*10000)/10000</f>
        <v>1.3187</v>
      </c>
      <c r="MU23" s="236">
        <f>RANDBETWEEN((Inputs!$E23-(Inputs!$E23-Inputs!$D23)*2)*10000,(Inputs!$E23+(Inputs!$F23-Inputs!$E23)*2)*10000)/10000</f>
        <v>1.4871</v>
      </c>
      <c r="MV23" s="236">
        <f>RANDBETWEEN((Inputs!$E23-(Inputs!$E23-Inputs!$D23)*2)*10000,(Inputs!$E23+(Inputs!$F23-Inputs!$E23)*2)*10000)/10000</f>
        <v>0.6413</v>
      </c>
      <c r="MW23" s="236">
        <f>RANDBETWEEN((Inputs!$E23-(Inputs!$E23-Inputs!$D23)*2)*10000,(Inputs!$E23+(Inputs!$F23-Inputs!$E23)*2)*10000)/10000</f>
        <v>2.0567</v>
      </c>
      <c r="MX23" s="236">
        <f>RANDBETWEEN((Inputs!$E23-(Inputs!$E23-Inputs!$D23)*2)*10000,(Inputs!$E23+(Inputs!$F23-Inputs!$E23)*2)*10000)/10000</f>
        <v>1.3529</v>
      </c>
      <c r="MY23" s="236">
        <f>RANDBETWEEN((Inputs!$E23-(Inputs!$E23-Inputs!$D23)*2)*10000,(Inputs!$E23+(Inputs!$F23-Inputs!$E23)*2)*10000)/10000</f>
        <v>2.1025</v>
      </c>
      <c r="MZ23" s="236">
        <f>RANDBETWEEN((Inputs!$E23-(Inputs!$E23-Inputs!$D23)*2)*10000,(Inputs!$E23+(Inputs!$F23-Inputs!$E23)*2)*10000)/10000</f>
        <v>1.1901</v>
      </c>
      <c r="NA23" s="236">
        <f>RANDBETWEEN((Inputs!$E23-(Inputs!$E23-Inputs!$D23)*2)*10000,(Inputs!$E23+(Inputs!$F23-Inputs!$E23)*2)*10000)/10000</f>
        <v>1.3361</v>
      </c>
      <c r="NB23" s="236">
        <f>RANDBETWEEN((Inputs!$E23-(Inputs!$E23-Inputs!$D23)*2)*10000,(Inputs!$E23+(Inputs!$F23-Inputs!$E23)*2)*10000)/10000</f>
        <v>1.5064</v>
      </c>
      <c r="NC23" s="236">
        <f>RANDBETWEEN((Inputs!$E23-(Inputs!$E23-Inputs!$D23)*2)*10000,(Inputs!$E23+(Inputs!$F23-Inputs!$E23)*2)*10000)/10000</f>
        <v>1.6068</v>
      </c>
      <c r="ND23" s="236">
        <f>RANDBETWEEN((Inputs!$E23-(Inputs!$E23-Inputs!$D23)*2)*10000,(Inputs!$E23+(Inputs!$F23-Inputs!$E23)*2)*10000)/10000</f>
        <v>1.5569</v>
      </c>
      <c r="NE23" s="236">
        <f>RANDBETWEEN((Inputs!$E23-(Inputs!$E23-Inputs!$D23)*2)*10000,(Inputs!$E23+(Inputs!$F23-Inputs!$E23)*2)*10000)/10000</f>
        <v>0.9461</v>
      </c>
      <c r="NF23" s="236">
        <f>RANDBETWEEN((Inputs!$E23-(Inputs!$E23-Inputs!$D23)*2)*10000,(Inputs!$E23+(Inputs!$F23-Inputs!$E23)*2)*10000)/10000</f>
        <v>0.841</v>
      </c>
      <c r="NG23" s="236">
        <f>RANDBETWEEN((Inputs!$E23-(Inputs!$E23-Inputs!$D23)*2)*10000,(Inputs!$E23+(Inputs!$F23-Inputs!$E23)*2)*10000)/10000</f>
        <v>1.9416</v>
      </c>
      <c r="NH23" s="236">
        <f>RANDBETWEEN((Inputs!$E23-(Inputs!$E23-Inputs!$D23)*2)*10000,(Inputs!$E23+(Inputs!$F23-Inputs!$E23)*2)*10000)/10000</f>
        <v>1.8849</v>
      </c>
      <c r="NI23" s="236">
        <f>RANDBETWEEN((Inputs!$E23-(Inputs!$E23-Inputs!$D23)*2)*10000,(Inputs!$E23+(Inputs!$F23-Inputs!$E23)*2)*10000)/10000</f>
        <v>1.5903</v>
      </c>
      <c r="NJ23" s="236">
        <f>RANDBETWEEN((Inputs!$E23-(Inputs!$E23-Inputs!$D23)*2)*10000,(Inputs!$E23+(Inputs!$F23-Inputs!$E23)*2)*10000)/10000</f>
        <v>1.591</v>
      </c>
      <c r="NK23" s="236">
        <f>RANDBETWEEN((Inputs!$E23-(Inputs!$E23-Inputs!$D23)*2)*10000,(Inputs!$E23+(Inputs!$F23-Inputs!$E23)*2)*10000)/10000</f>
        <v>1.1384</v>
      </c>
      <c r="NL23" s="236">
        <f>RANDBETWEEN((Inputs!$E23-(Inputs!$E23-Inputs!$D23)*2)*10000,(Inputs!$E23+(Inputs!$F23-Inputs!$E23)*2)*10000)/10000</f>
        <v>1.6991</v>
      </c>
      <c r="NM23" s="236">
        <f>RANDBETWEEN((Inputs!$E23-(Inputs!$E23-Inputs!$D23)*2)*10000,(Inputs!$E23+(Inputs!$F23-Inputs!$E23)*2)*10000)/10000</f>
        <v>1.645</v>
      </c>
      <c r="NN23" s="236">
        <f>RANDBETWEEN((Inputs!$E23-(Inputs!$E23-Inputs!$D23)*2)*10000,(Inputs!$E23+(Inputs!$F23-Inputs!$E23)*2)*10000)/10000</f>
        <v>0.5579</v>
      </c>
      <c r="NO23" s="236">
        <f>RANDBETWEEN((Inputs!$E23-(Inputs!$E23-Inputs!$D23)*2)*10000,(Inputs!$E23+(Inputs!$F23-Inputs!$E23)*2)*10000)/10000</f>
        <v>1.6514</v>
      </c>
      <c r="NP23" s="236">
        <f>RANDBETWEEN((Inputs!$E23-(Inputs!$E23-Inputs!$D23)*2)*10000,(Inputs!$E23+(Inputs!$F23-Inputs!$E23)*2)*10000)/10000</f>
        <v>1.8743</v>
      </c>
      <c r="NQ23" s="236">
        <f>RANDBETWEEN((Inputs!$E23-(Inputs!$E23-Inputs!$D23)*2)*10000,(Inputs!$E23+(Inputs!$F23-Inputs!$E23)*2)*10000)/10000</f>
        <v>1.8763</v>
      </c>
      <c r="NR23" s="236">
        <f>RANDBETWEEN((Inputs!$E23-(Inputs!$E23-Inputs!$D23)*2)*10000,(Inputs!$E23+(Inputs!$F23-Inputs!$E23)*2)*10000)/10000</f>
        <v>1.6338</v>
      </c>
      <c r="NS23" s="236">
        <f>RANDBETWEEN((Inputs!$E23-(Inputs!$E23-Inputs!$D23)*2)*10000,(Inputs!$E23+(Inputs!$F23-Inputs!$E23)*2)*10000)/10000</f>
        <v>1.2847</v>
      </c>
      <c r="NT23" s="236">
        <f>RANDBETWEEN((Inputs!$E23-(Inputs!$E23-Inputs!$D23)*2)*10000,(Inputs!$E23+(Inputs!$F23-Inputs!$E23)*2)*10000)/10000</f>
        <v>2.1862</v>
      </c>
      <c r="NU23" s="236">
        <f>RANDBETWEEN((Inputs!$E23-(Inputs!$E23-Inputs!$D23)*2)*10000,(Inputs!$E23+(Inputs!$F23-Inputs!$E23)*2)*10000)/10000</f>
        <v>0.83</v>
      </c>
      <c r="NV23" s="236">
        <f>RANDBETWEEN((Inputs!$E23-(Inputs!$E23-Inputs!$D23)*2)*10000,(Inputs!$E23+(Inputs!$F23-Inputs!$E23)*2)*10000)/10000</f>
        <v>1.3373</v>
      </c>
      <c r="NW23" s="236">
        <f>RANDBETWEEN((Inputs!$E23-(Inputs!$E23-Inputs!$D23)*2)*10000,(Inputs!$E23+(Inputs!$F23-Inputs!$E23)*2)*10000)/10000</f>
        <v>1.3402</v>
      </c>
      <c r="NX23" s="236">
        <f>RANDBETWEEN((Inputs!$E23-(Inputs!$E23-Inputs!$D23)*2)*10000,(Inputs!$E23+(Inputs!$F23-Inputs!$E23)*2)*10000)/10000</f>
        <v>1.7567</v>
      </c>
      <c r="NY23" s="236">
        <f>RANDBETWEEN((Inputs!$E23-(Inputs!$E23-Inputs!$D23)*2)*10000,(Inputs!$E23+(Inputs!$F23-Inputs!$E23)*2)*10000)/10000</f>
        <v>0.3588</v>
      </c>
      <c r="NZ23" s="236">
        <f>RANDBETWEEN((Inputs!$E23-(Inputs!$E23-Inputs!$D23)*2)*10000,(Inputs!$E23+(Inputs!$F23-Inputs!$E23)*2)*10000)/10000</f>
        <v>0.8879</v>
      </c>
      <c r="OA23" s="236">
        <f>RANDBETWEEN((Inputs!$E23-(Inputs!$E23-Inputs!$D23)*2)*10000,(Inputs!$E23+(Inputs!$F23-Inputs!$E23)*2)*10000)/10000</f>
        <v>2.0964</v>
      </c>
      <c r="OB23" s="236">
        <f>RANDBETWEEN((Inputs!$E23-(Inputs!$E23-Inputs!$D23)*2)*10000,(Inputs!$E23+(Inputs!$F23-Inputs!$E23)*2)*10000)/10000</f>
        <v>0.6303</v>
      </c>
      <c r="OC23" s="236">
        <f>RANDBETWEEN((Inputs!$E23-(Inputs!$E23-Inputs!$D23)*2)*10000,(Inputs!$E23+(Inputs!$F23-Inputs!$E23)*2)*10000)/10000</f>
        <v>0.6247</v>
      </c>
      <c r="OD23" s="236">
        <f>RANDBETWEEN((Inputs!$E23-(Inputs!$E23-Inputs!$D23)*2)*10000,(Inputs!$E23+(Inputs!$F23-Inputs!$E23)*2)*10000)/10000</f>
        <v>0.7056</v>
      </c>
      <c r="OE23" s="236">
        <f>RANDBETWEEN((Inputs!$E23-(Inputs!$E23-Inputs!$D23)*2)*10000,(Inputs!$E23+(Inputs!$F23-Inputs!$E23)*2)*10000)/10000</f>
        <v>1.5161</v>
      </c>
      <c r="OF23" s="236">
        <f>RANDBETWEEN((Inputs!$E23-(Inputs!$E23-Inputs!$D23)*2)*10000,(Inputs!$E23+(Inputs!$F23-Inputs!$E23)*2)*10000)/10000</f>
        <v>2.0471</v>
      </c>
      <c r="OG23" s="236">
        <f>RANDBETWEEN((Inputs!$E23-(Inputs!$E23-Inputs!$D23)*2)*10000,(Inputs!$E23+(Inputs!$F23-Inputs!$E23)*2)*10000)/10000</f>
        <v>1.6148</v>
      </c>
      <c r="OH23" s="236">
        <f>RANDBETWEEN((Inputs!$E23-(Inputs!$E23-Inputs!$D23)*2)*10000,(Inputs!$E23+(Inputs!$F23-Inputs!$E23)*2)*10000)/10000</f>
        <v>0.5334</v>
      </c>
      <c r="OI23" s="236">
        <f>RANDBETWEEN((Inputs!$E23-(Inputs!$E23-Inputs!$D23)*2)*10000,(Inputs!$E23+(Inputs!$F23-Inputs!$E23)*2)*10000)/10000</f>
        <v>1.8417</v>
      </c>
      <c r="OJ23" s="236">
        <f>RANDBETWEEN((Inputs!$E23-(Inputs!$E23-Inputs!$D23)*2)*10000,(Inputs!$E23+(Inputs!$F23-Inputs!$E23)*2)*10000)/10000</f>
        <v>1.1015</v>
      </c>
      <c r="OK23" s="236">
        <f>RANDBETWEEN((Inputs!$E23-(Inputs!$E23-Inputs!$D23)*2)*10000,(Inputs!$E23+(Inputs!$F23-Inputs!$E23)*2)*10000)/10000</f>
        <v>1.9862</v>
      </c>
      <c r="OL23" s="236">
        <f>RANDBETWEEN((Inputs!$E23-(Inputs!$E23-Inputs!$D23)*2)*10000,(Inputs!$E23+(Inputs!$F23-Inputs!$E23)*2)*10000)/10000</f>
        <v>0.757</v>
      </c>
      <c r="OM23" s="236">
        <f>RANDBETWEEN((Inputs!$E23-(Inputs!$E23-Inputs!$D23)*2)*10000,(Inputs!$E23+(Inputs!$F23-Inputs!$E23)*2)*10000)/10000</f>
        <v>1.8037</v>
      </c>
      <c r="ON23" s="236">
        <f>RANDBETWEEN((Inputs!$E23-(Inputs!$E23-Inputs!$D23)*2)*10000,(Inputs!$E23+(Inputs!$F23-Inputs!$E23)*2)*10000)/10000</f>
        <v>1.0693</v>
      </c>
      <c r="OO23" s="236">
        <f>RANDBETWEEN((Inputs!$E23-(Inputs!$E23-Inputs!$D23)*2)*10000,(Inputs!$E23+(Inputs!$F23-Inputs!$E23)*2)*10000)/10000</f>
        <v>0.2544</v>
      </c>
      <c r="OP23" s="236">
        <f>RANDBETWEEN((Inputs!$E23-(Inputs!$E23-Inputs!$D23)*2)*10000,(Inputs!$E23+(Inputs!$F23-Inputs!$E23)*2)*10000)/10000</f>
        <v>1.9748</v>
      </c>
      <c r="OQ23" s="236">
        <f>RANDBETWEEN((Inputs!$E23-(Inputs!$E23-Inputs!$D23)*2)*10000,(Inputs!$E23+(Inputs!$F23-Inputs!$E23)*2)*10000)/10000</f>
        <v>2.0858</v>
      </c>
      <c r="OR23" s="236">
        <f>RANDBETWEEN((Inputs!$E23-(Inputs!$E23-Inputs!$D23)*2)*10000,(Inputs!$E23+(Inputs!$F23-Inputs!$E23)*2)*10000)/10000</f>
        <v>1.2591</v>
      </c>
      <c r="OS23" s="236">
        <f>RANDBETWEEN((Inputs!$E23-(Inputs!$E23-Inputs!$D23)*2)*10000,(Inputs!$E23+(Inputs!$F23-Inputs!$E23)*2)*10000)/10000</f>
        <v>0.8652</v>
      </c>
      <c r="OT23" s="236">
        <f>RANDBETWEEN((Inputs!$E23-(Inputs!$E23-Inputs!$D23)*2)*10000,(Inputs!$E23+(Inputs!$F23-Inputs!$E23)*2)*10000)/10000</f>
        <v>0.9196</v>
      </c>
      <c r="OU23" s="236">
        <f>RANDBETWEEN((Inputs!$E23-(Inputs!$E23-Inputs!$D23)*2)*10000,(Inputs!$E23+(Inputs!$F23-Inputs!$E23)*2)*10000)/10000</f>
        <v>1.2518</v>
      </c>
      <c r="OV23" s="236">
        <f>RANDBETWEEN((Inputs!$E23-(Inputs!$E23-Inputs!$D23)*2)*10000,(Inputs!$E23+(Inputs!$F23-Inputs!$E23)*2)*10000)/10000</f>
        <v>0.2594</v>
      </c>
      <c r="OW23" s="236">
        <f>RANDBETWEEN((Inputs!$E23-(Inputs!$E23-Inputs!$D23)*2)*10000,(Inputs!$E23+(Inputs!$F23-Inputs!$E23)*2)*10000)/10000</f>
        <v>0.6661</v>
      </c>
      <c r="OX23" s="236">
        <f>RANDBETWEEN((Inputs!$E23-(Inputs!$E23-Inputs!$D23)*2)*10000,(Inputs!$E23+(Inputs!$F23-Inputs!$E23)*2)*10000)/10000</f>
        <v>1.137</v>
      </c>
      <c r="OY23" s="236">
        <f>RANDBETWEEN((Inputs!$E23-(Inputs!$E23-Inputs!$D23)*2)*10000,(Inputs!$E23+(Inputs!$F23-Inputs!$E23)*2)*10000)/10000</f>
        <v>1.5067</v>
      </c>
      <c r="OZ23" s="236">
        <f>RANDBETWEEN((Inputs!$E23-(Inputs!$E23-Inputs!$D23)*2)*10000,(Inputs!$E23+(Inputs!$F23-Inputs!$E23)*2)*10000)/10000</f>
        <v>1.5081</v>
      </c>
      <c r="PA23" s="236">
        <f>RANDBETWEEN((Inputs!$E23-(Inputs!$E23-Inputs!$D23)*2)*10000,(Inputs!$E23+(Inputs!$F23-Inputs!$E23)*2)*10000)/10000</f>
        <v>1.7903</v>
      </c>
      <c r="PB23" s="236">
        <f>RANDBETWEEN((Inputs!$E23-(Inputs!$E23-Inputs!$D23)*2)*10000,(Inputs!$E23+(Inputs!$F23-Inputs!$E23)*2)*10000)/10000</f>
        <v>1.889</v>
      </c>
      <c r="PC23" s="236">
        <f>RANDBETWEEN((Inputs!$E23-(Inputs!$E23-Inputs!$D23)*2)*10000,(Inputs!$E23+(Inputs!$F23-Inputs!$E23)*2)*10000)/10000</f>
        <v>1.2247</v>
      </c>
      <c r="PD23" s="236">
        <f>RANDBETWEEN((Inputs!$E23-(Inputs!$E23-Inputs!$D23)*2)*10000,(Inputs!$E23+(Inputs!$F23-Inputs!$E23)*2)*10000)/10000</f>
        <v>0.9506</v>
      </c>
      <c r="PE23" s="236">
        <f>RANDBETWEEN((Inputs!$E23-(Inputs!$E23-Inputs!$D23)*2)*10000,(Inputs!$E23+(Inputs!$F23-Inputs!$E23)*2)*10000)/10000</f>
        <v>1.1546</v>
      </c>
      <c r="PF23" s="236">
        <f>RANDBETWEEN((Inputs!$E23-(Inputs!$E23-Inputs!$D23)*2)*10000,(Inputs!$E23+(Inputs!$F23-Inputs!$E23)*2)*10000)/10000</f>
        <v>1.3472</v>
      </c>
      <c r="PG23" s="236">
        <f>RANDBETWEEN((Inputs!$E23-(Inputs!$E23-Inputs!$D23)*2)*10000,(Inputs!$E23+(Inputs!$F23-Inputs!$E23)*2)*10000)/10000</f>
        <v>1.3415</v>
      </c>
      <c r="PH23" s="236">
        <f>RANDBETWEEN((Inputs!$E23-(Inputs!$E23-Inputs!$D23)*2)*10000,(Inputs!$E23+(Inputs!$F23-Inputs!$E23)*2)*10000)/10000</f>
        <v>0.8128</v>
      </c>
      <c r="PI23" s="236">
        <f>RANDBETWEEN((Inputs!$E23-(Inputs!$E23-Inputs!$D23)*2)*10000,(Inputs!$E23+(Inputs!$F23-Inputs!$E23)*2)*10000)/10000</f>
        <v>1.018</v>
      </c>
      <c r="PJ23" s="236">
        <f>RANDBETWEEN((Inputs!$E23-(Inputs!$E23-Inputs!$D23)*2)*10000,(Inputs!$E23+(Inputs!$F23-Inputs!$E23)*2)*10000)/10000</f>
        <v>0.2517</v>
      </c>
      <c r="PK23" s="236">
        <f>RANDBETWEEN((Inputs!$E23-(Inputs!$E23-Inputs!$D23)*2)*10000,(Inputs!$E23+(Inputs!$F23-Inputs!$E23)*2)*10000)/10000</f>
        <v>0.5477</v>
      </c>
      <c r="PL23" s="236">
        <f>RANDBETWEEN((Inputs!$E23-(Inputs!$E23-Inputs!$D23)*2)*10000,(Inputs!$E23+(Inputs!$F23-Inputs!$E23)*2)*10000)/10000</f>
        <v>0.8329</v>
      </c>
      <c r="PM23" s="236">
        <f>RANDBETWEEN((Inputs!$E23-(Inputs!$E23-Inputs!$D23)*2)*10000,(Inputs!$E23+(Inputs!$F23-Inputs!$E23)*2)*10000)/10000</f>
        <v>1.176</v>
      </c>
      <c r="PN23" s="236">
        <f>RANDBETWEEN((Inputs!$E23-(Inputs!$E23-Inputs!$D23)*2)*10000,(Inputs!$E23+(Inputs!$F23-Inputs!$E23)*2)*10000)/10000</f>
        <v>0.9443</v>
      </c>
      <c r="PO23" s="236">
        <f>RANDBETWEEN((Inputs!$E23-(Inputs!$E23-Inputs!$D23)*2)*10000,(Inputs!$E23+(Inputs!$F23-Inputs!$E23)*2)*10000)/10000</f>
        <v>0.5698</v>
      </c>
      <c r="PP23" s="236">
        <f>RANDBETWEEN((Inputs!$E23-(Inputs!$E23-Inputs!$D23)*2)*10000,(Inputs!$E23+(Inputs!$F23-Inputs!$E23)*2)*10000)/10000</f>
        <v>1.3864</v>
      </c>
      <c r="PQ23" s="236">
        <f>RANDBETWEEN((Inputs!$E23-(Inputs!$E23-Inputs!$D23)*2)*10000,(Inputs!$E23+(Inputs!$F23-Inputs!$E23)*2)*10000)/10000</f>
        <v>2.1341</v>
      </c>
      <c r="PR23" s="236">
        <f>RANDBETWEEN((Inputs!$E23-(Inputs!$E23-Inputs!$D23)*2)*10000,(Inputs!$E23+(Inputs!$F23-Inputs!$E23)*2)*10000)/10000</f>
        <v>1.0597</v>
      </c>
      <c r="PS23" s="236">
        <f>RANDBETWEEN((Inputs!$E23-(Inputs!$E23-Inputs!$D23)*2)*10000,(Inputs!$E23+(Inputs!$F23-Inputs!$E23)*2)*10000)/10000</f>
        <v>0.6345</v>
      </c>
      <c r="PT23" s="236">
        <f>RANDBETWEEN((Inputs!$E23-(Inputs!$E23-Inputs!$D23)*2)*10000,(Inputs!$E23+(Inputs!$F23-Inputs!$E23)*2)*10000)/10000</f>
        <v>0.7362</v>
      </c>
      <c r="PU23" s="236">
        <f>RANDBETWEEN((Inputs!$E23-(Inputs!$E23-Inputs!$D23)*2)*10000,(Inputs!$E23+(Inputs!$F23-Inputs!$E23)*2)*10000)/10000</f>
        <v>0.2978</v>
      </c>
      <c r="PV23" s="236">
        <f>RANDBETWEEN((Inputs!$E23-(Inputs!$E23-Inputs!$D23)*2)*10000,(Inputs!$E23+(Inputs!$F23-Inputs!$E23)*2)*10000)/10000</f>
        <v>0.8436</v>
      </c>
      <c r="PW23" s="236">
        <f>RANDBETWEEN((Inputs!$E23-(Inputs!$E23-Inputs!$D23)*2)*10000,(Inputs!$E23+(Inputs!$F23-Inputs!$E23)*2)*10000)/10000</f>
        <v>0.7738</v>
      </c>
      <c r="PX23" s="236">
        <f>RANDBETWEEN((Inputs!$E23-(Inputs!$E23-Inputs!$D23)*2)*10000,(Inputs!$E23+(Inputs!$F23-Inputs!$E23)*2)*10000)/10000</f>
        <v>1.6509</v>
      </c>
      <c r="PY23" s="236">
        <f>RANDBETWEEN((Inputs!$E23-(Inputs!$E23-Inputs!$D23)*2)*10000,(Inputs!$E23+(Inputs!$F23-Inputs!$E23)*2)*10000)/10000</f>
        <v>1.4816</v>
      </c>
      <c r="PZ23" s="236">
        <f>RANDBETWEEN((Inputs!$E23-(Inputs!$E23-Inputs!$D23)*2)*10000,(Inputs!$E23+(Inputs!$F23-Inputs!$E23)*2)*10000)/10000</f>
        <v>1.2987</v>
      </c>
      <c r="QA23" s="236">
        <f>RANDBETWEEN((Inputs!$E23-(Inputs!$E23-Inputs!$D23)*2)*10000,(Inputs!$E23+(Inputs!$F23-Inputs!$E23)*2)*10000)/10000</f>
        <v>1.4083</v>
      </c>
      <c r="QB23" s="236">
        <f>RANDBETWEEN((Inputs!$E23-(Inputs!$E23-Inputs!$D23)*2)*10000,(Inputs!$E23+(Inputs!$F23-Inputs!$E23)*2)*10000)/10000</f>
        <v>1.3819</v>
      </c>
      <c r="QC23" s="236">
        <f>RANDBETWEEN((Inputs!$E23-(Inputs!$E23-Inputs!$D23)*2)*10000,(Inputs!$E23+(Inputs!$F23-Inputs!$E23)*2)*10000)/10000</f>
        <v>1.3212</v>
      </c>
      <c r="QD23" s="236">
        <f>RANDBETWEEN((Inputs!$E23-(Inputs!$E23-Inputs!$D23)*2)*10000,(Inputs!$E23+(Inputs!$F23-Inputs!$E23)*2)*10000)/10000</f>
        <v>0.9941</v>
      </c>
      <c r="QE23" s="236">
        <f>RANDBETWEEN((Inputs!$E23-(Inputs!$E23-Inputs!$D23)*2)*10000,(Inputs!$E23+(Inputs!$F23-Inputs!$E23)*2)*10000)/10000</f>
        <v>1.7352</v>
      </c>
      <c r="QF23" s="236">
        <f>RANDBETWEEN((Inputs!$E23-(Inputs!$E23-Inputs!$D23)*2)*10000,(Inputs!$E23+(Inputs!$F23-Inputs!$E23)*2)*10000)/10000</f>
        <v>0.6731</v>
      </c>
      <c r="QG23" s="236">
        <f>RANDBETWEEN((Inputs!$E23-(Inputs!$E23-Inputs!$D23)*2)*10000,(Inputs!$E23+(Inputs!$F23-Inputs!$E23)*2)*10000)/10000</f>
        <v>1.3811</v>
      </c>
      <c r="QH23" s="236">
        <f>RANDBETWEEN((Inputs!$E23-(Inputs!$E23-Inputs!$D23)*2)*10000,(Inputs!$E23+(Inputs!$F23-Inputs!$E23)*2)*10000)/10000</f>
        <v>2.0285</v>
      </c>
      <c r="QI23" s="236">
        <f>RANDBETWEEN((Inputs!$E23-(Inputs!$E23-Inputs!$D23)*2)*10000,(Inputs!$E23+(Inputs!$F23-Inputs!$E23)*2)*10000)/10000</f>
        <v>0.8204</v>
      </c>
      <c r="QJ23" s="236">
        <f>RANDBETWEEN((Inputs!$E23-(Inputs!$E23-Inputs!$D23)*2)*10000,(Inputs!$E23+(Inputs!$F23-Inputs!$E23)*2)*10000)/10000</f>
        <v>1.7376</v>
      </c>
      <c r="QK23" s="236">
        <f>RANDBETWEEN((Inputs!$E23-(Inputs!$E23-Inputs!$D23)*2)*10000,(Inputs!$E23+(Inputs!$F23-Inputs!$E23)*2)*10000)/10000</f>
        <v>0.961</v>
      </c>
      <c r="QL23" s="236">
        <f>RANDBETWEEN((Inputs!$E23-(Inputs!$E23-Inputs!$D23)*2)*10000,(Inputs!$E23+(Inputs!$F23-Inputs!$E23)*2)*10000)/10000</f>
        <v>0.4407</v>
      </c>
      <c r="QM23" s="236">
        <f>RANDBETWEEN((Inputs!$E23-(Inputs!$E23-Inputs!$D23)*2)*10000,(Inputs!$E23+(Inputs!$F23-Inputs!$E23)*2)*10000)/10000</f>
        <v>0.8178</v>
      </c>
      <c r="QN23" s="236">
        <f>RANDBETWEEN((Inputs!$E23-(Inputs!$E23-Inputs!$D23)*2)*10000,(Inputs!$E23+(Inputs!$F23-Inputs!$E23)*2)*10000)/10000</f>
        <v>0.3616</v>
      </c>
      <c r="QO23" s="236">
        <f>RANDBETWEEN((Inputs!$E23-(Inputs!$E23-Inputs!$D23)*2)*10000,(Inputs!$E23+(Inputs!$F23-Inputs!$E23)*2)*10000)/10000</f>
        <v>1.313</v>
      </c>
      <c r="QP23" s="236">
        <f>RANDBETWEEN((Inputs!$E23-(Inputs!$E23-Inputs!$D23)*2)*10000,(Inputs!$E23+(Inputs!$F23-Inputs!$E23)*2)*10000)/10000</f>
        <v>1.1531</v>
      </c>
      <c r="QQ23" s="236">
        <f>RANDBETWEEN((Inputs!$E23-(Inputs!$E23-Inputs!$D23)*2)*10000,(Inputs!$E23+(Inputs!$F23-Inputs!$E23)*2)*10000)/10000</f>
        <v>1.4214</v>
      </c>
      <c r="QR23" s="236">
        <f>RANDBETWEEN((Inputs!$E23-(Inputs!$E23-Inputs!$D23)*2)*10000,(Inputs!$E23+(Inputs!$F23-Inputs!$E23)*2)*10000)/10000</f>
        <v>1.2605</v>
      </c>
      <c r="QS23" s="236">
        <f>RANDBETWEEN((Inputs!$E23-(Inputs!$E23-Inputs!$D23)*2)*10000,(Inputs!$E23+(Inputs!$F23-Inputs!$E23)*2)*10000)/10000</f>
        <v>1.1909</v>
      </c>
      <c r="QT23" s="236">
        <f>RANDBETWEEN((Inputs!$E23-(Inputs!$E23-Inputs!$D23)*2)*10000,(Inputs!$E23+(Inputs!$F23-Inputs!$E23)*2)*10000)/10000</f>
        <v>0.4467</v>
      </c>
      <c r="QU23" s="236">
        <f>RANDBETWEEN((Inputs!$E23-(Inputs!$E23-Inputs!$D23)*2)*10000,(Inputs!$E23+(Inputs!$F23-Inputs!$E23)*2)*10000)/10000</f>
        <v>1.8062</v>
      </c>
      <c r="QV23" s="236">
        <f>RANDBETWEEN((Inputs!$E23-(Inputs!$E23-Inputs!$D23)*2)*10000,(Inputs!$E23+(Inputs!$F23-Inputs!$E23)*2)*10000)/10000</f>
        <v>2.0506</v>
      </c>
      <c r="QW23" s="236">
        <f>RANDBETWEEN((Inputs!$E23-(Inputs!$E23-Inputs!$D23)*2)*10000,(Inputs!$E23+(Inputs!$F23-Inputs!$E23)*2)*10000)/10000</f>
        <v>0.4194</v>
      </c>
      <c r="QX23" s="236">
        <f>RANDBETWEEN((Inputs!$E23-(Inputs!$E23-Inputs!$D23)*2)*10000,(Inputs!$E23+(Inputs!$F23-Inputs!$E23)*2)*10000)/10000</f>
        <v>1.9586</v>
      </c>
      <c r="QY23" s="236">
        <f>RANDBETWEEN((Inputs!$E23-(Inputs!$E23-Inputs!$D23)*2)*10000,(Inputs!$E23+(Inputs!$F23-Inputs!$E23)*2)*10000)/10000</f>
        <v>0.3652</v>
      </c>
      <c r="QZ23" s="236">
        <f>RANDBETWEEN((Inputs!$E23-(Inputs!$E23-Inputs!$D23)*2)*10000,(Inputs!$E23+(Inputs!$F23-Inputs!$E23)*2)*10000)/10000</f>
        <v>0.9279</v>
      </c>
      <c r="RA23" s="236">
        <f>RANDBETWEEN((Inputs!$E23-(Inputs!$E23-Inputs!$D23)*2)*10000,(Inputs!$E23+(Inputs!$F23-Inputs!$E23)*2)*10000)/10000</f>
        <v>2.0098</v>
      </c>
      <c r="RB23" s="236">
        <f>RANDBETWEEN((Inputs!$E23-(Inputs!$E23-Inputs!$D23)*2)*10000,(Inputs!$E23+(Inputs!$F23-Inputs!$E23)*2)*10000)/10000</f>
        <v>0.7757</v>
      </c>
      <c r="RC23" s="236">
        <f>RANDBETWEEN((Inputs!$E23-(Inputs!$E23-Inputs!$D23)*2)*10000,(Inputs!$E23+(Inputs!$F23-Inputs!$E23)*2)*10000)/10000</f>
        <v>1.9511</v>
      </c>
      <c r="RD23" s="236">
        <f>RANDBETWEEN((Inputs!$E23-(Inputs!$E23-Inputs!$D23)*2)*10000,(Inputs!$E23+(Inputs!$F23-Inputs!$E23)*2)*10000)/10000</f>
        <v>0.4913</v>
      </c>
      <c r="RE23" s="236">
        <f>RANDBETWEEN((Inputs!$E23-(Inputs!$E23-Inputs!$D23)*2)*10000,(Inputs!$E23+(Inputs!$F23-Inputs!$E23)*2)*10000)/10000</f>
        <v>1.8547</v>
      </c>
      <c r="RF23" s="236">
        <f>RANDBETWEEN((Inputs!$E23-(Inputs!$E23-Inputs!$D23)*2)*10000,(Inputs!$E23+(Inputs!$F23-Inputs!$E23)*2)*10000)/10000</f>
        <v>2.1724</v>
      </c>
      <c r="RG23" s="236">
        <f>RANDBETWEEN((Inputs!$E23-(Inputs!$E23-Inputs!$D23)*2)*10000,(Inputs!$E23+(Inputs!$F23-Inputs!$E23)*2)*10000)/10000</f>
        <v>0.7537</v>
      </c>
      <c r="RH23" s="236">
        <f>RANDBETWEEN((Inputs!$E23-(Inputs!$E23-Inputs!$D23)*2)*10000,(Inputs!$E23+(Inputs!$F23-Inputs!$E23)*2)*10000)/10000</f>
        <v>0.4207</v>
      </c>
      <c r="RI23" s="236">
        <f>RANDBETWEEN((Inputs!$E23-(Inputs!$E23-Inputs!$D23)*2)*10000,(Inputs!$E23+(Inputs!$F23-Inputs!$E23)*2)*10000)/10000</f>
        <v>1.846</v>
      </c>
      <c r="RJ23" s="236">
        <f>RANDBETWEEN((Inputs!$E23-(Inputs!$E23-Inputs!$D23)*2)*10000,(Inputs!$E23+(Inputs!$F23-Inputs!$E23)*2)*10000)/10000</f>
        <v>1.3877</v>
      </c>
      <c r="RK23" s="236">
        <f>RANDBETWEEN((Inputs!$E23-(Inputs!$E23-Inputs!$D23)*2)*10000,(Inputs!$E23+(Inputs!$F23-Inputs!$E23)*2)*10000)/10000</f>
        <v>1.2827</v>
      </c>
      <c r="RL23" s="236">
        <f>RANDBETWEEN((Inputs!$E23-(Inputs!$E23-Inputs!$D23)*2)*10000,(Inputs!$E23+(Inputs!$F23-Inputs!$E23)*2)*10000)/10000</f>
        <v>0.424</v>
      </c>
      <c r="RM23" s="236">
        <f>RANDBETWEEN((Inputs!$E23-(Inputs!$E23-Inputs!$D23)*2)*10000,(Inputs!$E23+(Inputs!$F23-Inputs!$E23)*2)*10000)/10000</f>
        <v>2.1387</v>
      </c>
      <c r="RN23" s="236">
        <f>RANDBETWEEN((Inputs!$E23-(Inputs!$E23-Inputs!$D23)*2)*10000,(Inputs!$E23+(Inputs!$F23-Inputs!$E23)*2)*10000)/10000</f>
        <v>1.6366</v>
      </c>
      <c r="RO23" s="236">
        <f>RANDBETWEEN((Inputs!$E23-(Inputs!$E23-Inputs!$D23)*2)*10000,(Inputs!$E23+(Inputs!$F23-Inputs!$E23)*2)*10000)/10000</f>
        <v>2.0011</v>
      </c>
      <c r="RP23" s="236">
        <f>RANDBETWEEN((Inputs!$E23-(Inputs!$E23-Inputs!$D23)*2)*10000,(Inputs!$E23+(Inputs!$F23-Inputs!$E23)*2)*10000)/10000</f>
        <v>1.1234</v>
      </c>
      <c r="RQ23" s="236">
        <f>RANDBETWEEN((Inputs!$E23-(Inputs!$E23-Inputs!$D23)*2)*10000,(Inputs!$E23+(Inputs!$F23-Inputs!$E23)*2)*10000)/10000</f>
        <v>0.8076</v>
      </c>
      <c r="RR23" s="236">
        <f>RANDBETWEEN((Inputs!$E23-(Inputs!$E23-Inputs!$D23)*2)*10000,(Inputs!$E23+(Inputs!$F23-Inputs!$E23)*2)*10000)/10000</f>
        <v>0.6325</v>
      </c>
      <c r="RS23" s="236">
        <f>RANDBETWEEN((Inputs!$E23-(Inputs!$E23-Inputs!$D23)*2)*10000,(Inputs!$E23+(Inputs!$F23-Inputs!$E23)*2)*10000)/10000</f>
        <v>1.9596</v>
      </c>
      <c r="RT23" s="236">
        <f>RANDBETWEEN((Inputs!$E23-(Inputs!$E23-Inputs!$D23)*2)*10000,(Inputs!$E23+(Inputs!$F23-Inputs!$E23)*2)*10000)/10000</f>
        <v>0.6718</v>
      </c>
      <c r="RU23" s="236">
        <f>RANDBETWEEN((Inputs!$E23-(Inputs!$E23-Inputs!$D23)*2)*10000,(Inputs!$E23+(Inputs!$F23-Inputs!$E23)*2)*10000)/10000</f>
        <v>0.3393</v>
      </c>
      <c r="RV23" s="236">
        <f>RANDBETWEEN((Inputs!$E23-(Inputs!$E23-Inputs!$D23)*2)*10000,(Inputs!$E23+(Inputs!$F23-Inputs!$E23)*2)*10000)/10000</f>
        <v>2.2069</v>
      </c>
      <c r="RW23" s="236">
        <f>RANDBETWEEN((Inputs!$E23-(Inputs!$E23-Inputs!$D23)*2)*10000,(Inputs!$E23+(Inputs!$F23-Inputs!$E23)*2)*10000)/10000</f>
        <v>2.2017</v>
      </c>
      <c r="RX23" s="236">
        <f>RANDBETWEEN((Inputs!$E23-(Inputs!$E23-Inputs!$D23)*2)*10000,(Inputs!$E23+(Inputs!$F23-Inputs!$E23)*2)*10000)/10000</f>
        <v>1.4766</v>
      </c>
      <c r="RY23" s="236">
        <f>RANDBETWEEN((Inputs!$E23-(Inputs!$E23-Inputs!$D23)*2)*10000,(Inputs!$E23+(Inputs!$F23-Inputs!$E23)*2)*10000)/10000</f>
        <v>0.5117</v>
      </c>
      <c r="RZ23" s="236">
        <f>RANDBETWEEN((Inputs!$E23-(Inputs!$E23-Inputs!$D23)*2)*10000,(Inputs!$E23+(Inputs!$F23-Inputs!$E23)*2)*10000)/10000</f>
        <v>1.2105</v>
      </c>
      <c r="SA23" s="236">
        <f>RANDBETWEEN((Inputs!$E23-(Inputs!$E23-Inputs!$D23)*2)*10000,(Inputs!$E23+(Inputs!$F23-Inputs!$E23)*2)*10000)/10000</f>
        <v>1.3531</v>
      </c>
      <c r="SB23" s="236">
        <f>RANDBETWEEN((Inputs!$E23-(Inputs!$E23-Inputs!$D23)*2)*10000,(Inputs!$E23+(Inputs!$F23-Inputs!$E23)*2)*10000)/10000</f>
        <v>1.4456</v>
      </c>
      <c r="SC23" s="236">
        <f>RANDBETWEEN((Inputs!$E23-(Inputs!$E23-Inputs!$D23)*2)*10000,(Inputs!$E23+(Inputs!$F23-Inputs!$E23)*2)*10000)/10000</f>
        <v>1.3785</v>
      </c>
      <c r="SD23" s="236">
        <f>RANDBETWEEN((Inputs!$E23-(Inputs!$E23-Inputs!$D23)*2)*10000,(Inputs!$E23+(Inputs!$F23-Inputs!$E23)*2)*10000)/10000</f>
        <v>1.5488</v>
      </c>
      <c r="SE23" s="236">
        <f>RANDBETWEEN((Inputs!$E23-(Inputs!$E23-Inputs!$D23)*2)*10000,(Inputs!$E23+(Inputs!$F23-Inputs!$E23)*2)*10000)/10000</f>
        <v>0.6977</v>
      </c>
      <c r="SF23" s="236">
        <f>RANDBETWEEN((Inputs!$E23-(Inputs!$E23-Inputs!$D23)*2)*10000,(Inputs!$E23+(Inputs!$F23-Inputs!$E23)*2)*10000)/10000</f>
        <v>1.2394</v>
      </c>
      <c r="SG23" s="236">
        <f>RANDBETWEEN((Inputs!$E23-(Inputs!$E23-Inputs!$D23)*2)*10000,(Inputs!$E23+(Inputs!$F23-Inputs!$E23)*2)*10000)/10000</f>
        <v>0.6236</v>
      </c>
      <c r="SH23" s="236">
        <f>RANDBETWEEN((Inputs!$E23-(Inputs!$E23-Inputs!$D23)*2)*10000,(Inputs!$E23+(Inputs!$F23-Inputs!$E23)*2)*10000)/10000</f>
        <v>2.1871</v>
      </c>
      <c r="SI23" s="236">
        <f>RANDBETWEEN((Inputs!$E23-(Inputs!$E23-Inputs!$D23)*2)*10000,(Inputs!$E23+(Inputs!$F23-Inputs!$E23)*2)*10000)/10000</f>
        <v>0.7773</v>
      </c>
      <c r="SJ23" s="236">
        <f>RANDBETWEEN((Inputs!$E23-(Inputs!$E23-Inputs!$D23)*2)*10000,(Inputs!$E23+(Inputs!$F23-Inputs!$E23)*2)*10000)/10000</f>
        <v>0.4742</v>
      </c>
      <c r="SK23" s="236">
        <f>RANDBETWEEN((Inputs!$E23-(Inputs!$E23-Inputs!$D23)*2)*10000,(Inputs!$E23+(Inputs!$F23-Inputs!$E23)*2)*10000)/10000</f>
        <v>2.0221</v>
      </c>
      <c r="SL23" s="236">
        <f>RANDBETWEEN((Inputs!$E23-(Inputs!$E23-Inputs!$D23)*2)*10000,(Inputs!$E23+(Inputs!$F23-Inputs!$E23)*2)*10000)/10000</f>
        <v>0.7082</v>
      </c>
    </row>
    <row r="24">
      <c r="A24" s="53" t="s">
        <v>100</v>
      </c>
      <c r="B24" s="74">
        <f>B22+(B22*B23)</f>
        <v>4662.660804</v>
      </c>
      <c r="C24" s="268"/>
      <c r="D24" s="269"/>
      <c r="E24" s="270"/>
      <c r="F24" s="74"/>
      <c r="G24" s="74">
        <f t="shared" ref="G24:SL24" si="17">G22+(G22*G23)</f>
        <v>4051.952905</v>
      </c>
      <c r="H24" s="74">
        <f t="shared" si="17"/>
        <v>3197.766392</v>
      </c>
      <c r="I24" s="74">
        <f t="shared" si="17"/>
        <v>3099.345075</v>
      </c>
      <c r="J24" s="74">
        <f t="shared" si="17"/>
        <v>7049.364863</v>
      </c>
      <c r="K24" s="74">
        <f t="shared" si="17"/>
        <v>3613.45449</v>
      </c>
      <c r="L24" s="74">
        <f t="shared" si="17"/>
        <v>3582.046822</v>
      </c>
      <c r="M24" s="74">
        <f t="shared" si="17"/>
        <v>5247.299768</v>
      </c>
      <c r="N24" s="74">
        <f t="shared" si="17"/>
        <v>7221.679918</v>
      </c>
      <c r="O24" s="74">
        <f t="shared" si="17"/>
        <v>10514.19248</v>
      </c>
      <c r="P24" s="74">
        <f t="shared" si="17"/>
        <v>4090.632157</v>
      </c>
      <c r="Q24" s="74">
        <f t="shared" si="17"/>
        <v>8346.740713</v>
      </c>
      <c r="R24" s="74">
        <f t="shared" si="17"/>
        <v>7707.908741</v>
      </c>
      <c r="S24" s="74">
        <f t="shared" si="17"/>
        <v>4592.995288</v>
      </c>
      <c r="T24" s="74">
        <f t="shared" si="17"/>
        <v>2736.738621</v>
      </c>
      <c r="U24" s="74">
        <f t="shared" si="17"/>
        <v>9102.262718</v>
      </c>
      <c r="V24" s="74">
        <f t="shared" si="17"/>
        <v>2797.644268</v>
      </c>
      <c r="W24" s="74">
        <f t="shared" si="17"/>
        <v>2351.216645</v>
      </c>
      <c r="X24" s="74">
        <f t="shared" si="17"/>
        <v>5696.255671</v>
      </c>
      <c r="Y24" s="74">
        <f t="shared" si="17"/>
        <v>9247.786675</v>
      </c>
      <c r="Z24" s="74">
        <f t="shared" si="17"/>
        <v>4319.468265</v>
      </c>
      <c r="AA24" s="74">
        <f t="shared" si="17"/>
        <v>4924.43363</v>
      </c>
      <c r="AB24" s="74">
        <f t="shared" si="17"/>
        <v>5813.769256</v>
      </c>
      <c r="AC24" s="74">
        <f t="shared" si="17"/>
        <v>2166.076158</v>
      </c>
      <c r="AD24" s="74">
        <f t="shared" si="17"/>
        <v>2017.560396</v>
      </c>
      <c r="AE24" s="74">
        <f t="shared" si="17"/>
        <v>4736.705788</v>
      </c>
      <c r="AF24" s="74">
        <f t="shared" si="17"/>
        <v>4739.352703</v>
      </c>
      <c r="AG24" s="74">
        <f t="shared" si="17"/>
        <v>5237.607287</v>
      </c>
      <c r="AH24" s="74">
        <f t="shared" si="17"/>
        <v>3720.361028</v>
      </c>
      <c r="AI24" s="74">
        <f t="shared" si="17"/>
        <v>6386.824167</v>
      </c>
      <c r="AJ24" s="74">
        <f t="shared" si="17"/>
        <v>2881.133154</v>
      </c>
      <c r="AK24" s="74">
        <f t="shared" si="17"/>
        <v>5555.528</v>
      </c>
      <c r="AL24" s="74">
        <f t="shared" si="17"/>
        <v>5165.71519</v>
      </c>
      <c r="AM24" s="74">
        <f t="shared" si="17"/>
        <v>4679.103493</v>
      </c>
      <c r="AN24" s="74">
        <f t="shared" si="17"/>
        <v>3365.880578</v>
      </c>
      <c r="AO24" s="74">
        <f t="shared" si="17"/>
        <v>3106.424433</v>
      </c>
      <c r="AP24" s="74">
        <f t="shared" si="17"/>
        <v>3587.817155</v>
      </c>
      <c r="AQ24" s="74">
        <f t="shared" si="17"/>
        <v>2429.911825</v>
      </c>
      <c r="AR24" s="74">
        <f t="shared" si="17"/>
        <v>9618.443767</v>
      </c>
      <c r="AS24" s="74">
        <f t="shared" si="17"/>
        <v>4396.267371</v>
      </c>
      <c r="AT24" s="74">
        <f t="shared" si="17"/>
        <v>3078.642858</v>
      </c>
      <c r="AU24" s="74">
        <f t="shared" si="17"/>
        <v>4736.911674</v>
      </c>
      <c r="AV24" s="74">
        <f t="shared" si="17"/>
        <v>3436.875124</v>
      </c>
      <c r="AW24" s="74">
        <f t="shared" si="17"/>
        <v>3908.865104</v>
      </c>
      <c r="AX24" s="74">
        <f t="shared" si="17"/>
        <v>2438.222647</v>
      </c>
      <c r="AY24" s="74">
        <f t="shared" si="17"/>
        <v>10760.89683</v>
      </c>
      <c r="AZ24" s="74">
        <f t="shared" si="17"/>
        <v>2411.721456</v>
      </c>
      <c r="BA24" s="74">
        <f t="shared" si="17"/>
        <v>6054.409118</v>
      </c>
      <c r="BB24" s="74">
        <f t="shared" si="17"/>
        <v>6431.732659</v>
      </c>
      <c r="BC24" s="74">
        <f t="shared" si="17"/>
        <v>3875.871369</v>
      </c>
      <c r="BD24" s="74">
        <f t="shared" si="17"/>
        <v>4573.44687</v>
      </c>
      <c r="BE24" s="74">
        <f t="shared" si="17"/>
        <v>3568.006511</v>
      </c>
      <c r="BF24" s="74">
        <f t="shared" si="17"/>
        <v>3323.796325</v>
      </c>
      <c r="BG24" s="74">
        <f t="shared" si="17"/>
        <v>8373.670493</v>
      </c>
      <c r="BH24" s="74">
        <f t="shared" si="17"/>
        <v>1355.475836</v>
      </c>
      <c r="BI24" s="74">
        <f t="shared" si="17"/>
        <v>5784.133244</v>
      </c>
      <c r="BJ24" s="74">
        <f t="shared" si="17"/>
        <v>1618.570113</v>
      </c>
      <c r="BK24" s="74">
        <f t="shared" si="17"/>
        <v>3502.088264</v>
      </c>
      <c r="BL24" s="74">
        <f t="shared" si="17"/>
        <v>3061.835865</v>
      </c>
      <c r="BM24" s="74">
        <f t="shared" si="17"/>
        <v>3541.433866</v>
      </c>
      <c r="BN24" s="74">
        <f t="shared" si="17"/>
        <v>7146.270799</v>
      </c>
      <c r="BO24" s="74">
        <f t="shared" si="17"/>
        <v>1932.396528</v>
      </c>
      <c r="BP24" s="74">
        <f t="shared" si="17"/>
        <v>4668.315622</v>
      </c>
      <c r="BQ24" s="74">
        <f t="shared" si="17"/>
        <v>2596.529751</v>
      </c>
      <c r="BR24" s="74">
        <f t="shared" si="17"/>
        <v>6223.691832</v>
      </c>
      <c r="BS24" s="74">
        <f t="shared" si="17"/>
        <v>1857.035022</v>
      </c>
      <c r="BT24" s="74">
        <f t="shared" si="17"/>
        <v>3236.090204</v>
      </c>
      <c r="BU24" s="74">
        <f t="shared" si="17"/>
        <v>9620.699428</v>
      </c>
      <c r="BV24" s="74">
        <f t="shared" si="17"/>
        <v>6331.589541</v>
      </c>
      <c r="BW24" s="74">
        <f t="shared" si="17"/>
        <v>4842.465477</v>
      </c>
      <c r="BX24" s="74">
        <f t="shared" si="17"/>
        <v>4877.410318</v>
      </c>
      <c r="BY24" s="74">
        <f t="shared" si="17"/>
        <v>3557.008277</v>
      </c>
      <c r="BZ24" s="74">
        <f t="shared" si="17"/>
        <v>3844.243573</v>
      </c>
      <c r="CA24" s="74">
        <f t="shared" si="17"/>
        <v>3530.272002</v>
      </c>
      <c r="CB24" s="74">
        <f t="shared" si="17"/>
        <v>3090.853167</v>
      </c>
      <c r="CC24" s="74">
        <f t="shared" si="17"/>
        <v>2586.934857</v>
      </c>
      <c r="CD24" s="74">
        <f t="shared" si="17"/>
        <v>4058.709303</v>
      </c>
      <c r="CE24" s="74">
        <f t="shared" si="17"/>
        <v>3609.49348</v>
      </c>
      <c r="CF24" s="74">
        <f t="shared" si="17"/>
        <v>5035.532882</v>
      </c>
      <c r="CG24" s="74">
        <f t="shared" si="17"/>
        <v>2515.881846</v>
      </c>
      <c r="CH24" s="74">
        <f t="shared" si="17"/>
        <v>2271.820992</v>
      </c>
      <c r="CI24" s="74">
        <f t="shared" si="17"/>
        <v>5388.608067</v>
      </c>
      <c r="CJ24" s="74">
        <f t="shared" si="17"/>
        <v>9283.365684</v>
      </c>
      <c r="CK24" s="74">
        <f t="shared" si="17"/>
        <v>5762.261823</v>
      </c>
      <c r="CL24" s="74">
        <f t="shared" si="17"/>
        <v>4436.702233</v>
      </c>
      <c r="CM24" s="74">
        <f t="shared" si="17"/>
        <v>4194.174997</v>
      </c>
      <c r="CN24" s="74">
        <f t="shared" si="17"/>
        <v>7225.503626</v>
      </c>
      <c r="CO24" s="74">
        <f t="shared" si="17"/>
        <v>3138.56991</v>
      </c>
      <c r="CP24" s="74">
        <f t="shared" si="17"/>
        <v>2888.720406</v>
      </c>
      <c r="CQ24" s="74">
        <f t="shared" si="17"/>
        <v>5677.223674</v>
      </c>
      <c r="CR24" s="74">
        <f t="shared" si="17"/>
        <v>7652.29844</v>
      </c>
      <c r="CS24" s="74">
        <f t="shared" si="17"/>
        <v>3397.244935</v>
      </c>
      <c r="CT24" s="74">
        <f t="shared" si="17"/>
        <v>4471.093076</v>
      </c>
      <c r="CU24" s="74">
        <f t="shared" si="17"/>
        <v>5339.017479</v>
      </c>
      <c r="CV24" s="74">
        <f t="shared" si="17"/>
        <v>4047.496934</v>
      </c>
      <c r="CW24" s="74">
        <f t="shared" si="17"/>
        <v>4398.160825</v>
      </c>
      <c r="CX24" s="74">
        <f t="shared" si="17"/>
        <v>3825.58771</v>
      </c>
      <c r="CY24" s="74">
        <f t="shared" si="17"/>
        <v>6183.896756</v>
      </c>
      <c r="CZ24" s="74">
        <f t="shared" si="17"/>
        <v>8006.336312</v>
      </c>
      <c r="DA24" s="74">
        <f t="shared" si="17"/>
        <v>6071.680921</v>
      </c>
      <c r="DB24" s="74">
        <f t="shared" si="17"/>
        <v>3268.969437</v>
      </c>
      <c r="DC24" s="74">
        <f t="shared" si="17"/>
        <v>2583.713336</v>
      </c>
      <c r="DD24" s="74">
        <f t="shared" si="17"/>
        <v>3719.829953</v>
      </c>
      <c r="DE24" s="74">
        <f t="shared" si="17"/>
        <v>2494.978519</v>
      </c>
      <c r="DF24" s="74">
        <f t="shared" si="17"/>
        <v>4545.8801</v>
      </c>
      <c r="DG24" s="74">
        <f t="shared" si="17"/>
        <v>3561.769469</v>
      </c>
      <c r="DH24" s="74">
        <f t="shared" si="17"/>
        <v>6666.964587</v>
      </c>
      <c r="DI24" s="74">
        <f t="shared" si="17"/>
        <v>2444.302217</v>
      </c>
      <c r="DJ24" s="74">
        <f t="shared" si="17"/>
        <v>5004.944382</v>
      </c>
      <c r="DK24" s="74">
        <f t="shared" si="17"/>
        <v>4479.049724</v>
      </c>
      <c r="DL24" s="74">
        <f t="shared" si="17"/>
        <v>2153.09716</v>
      </c>
      <c r="DM24" s="74">
        <f t="shared" si="17"/>
        <v>4931.897193</v>
      </c>
      <c r="DN24" s="74">
        <f t="shared" si="17"/>
        <v>2506.807848</v>
      </c>
      <c r="DO24" s="74">
        <f t="shared" si="17"/>
        <v>2311.456624</v>
      </c>
      <c r="DP24" s="74">
        <f t="shared" si="17"/>
        <v>2919.504324</v>
      </c>
      <c r="DQ24" s="74">
        <f t="shared" si="17"/>
        <v>6893.006527</v>
      </c>
      <c r="DR24" s="74">
        <f t="shared" si="17"/>
        <v>7232.104354</v>
      </c>
      <c r="DS24" s="74">
        <f t="shared" si="17"/>
        <v>7949.606371</v>
      </c>
      <c r="DT24" s="74">
        <f t="shared" si="17"/>
        <v>6038.637177</v>
      </c>
      <c r="DU24" s="74">
        <f t="shared" si="17"/>
        <v>3637.761975</v>
      </c>
      <c r="DV24" s="74">
        <f t="shared" si="17"/>
        <v>5968.151507</v>
      </c>
      <c r="DW24" s="74">
        <f t="shared" si="17"/>
        <v>5405.46098</v>
      </c>
      <c r="DX24" s="74">
        <f t="shared" si="17"/>
        <v>4689.526909</v>
      </c>
      <c r="DY24" s="74">
        <f t="shared" si="17"/>
        <v>4944.031967</v>
      </c>
      <c r="DZ24" s="74">
        <f t="shared" si="17"/>
        <v>3278.097324</v>
      </c>
      <c r="EA24" s="74">
        <f t="shared" si="17"/>
        <v>3612.781789</v>
      </c>
      <c r="EB24" s="74">
        <f t="shared" si="17"/>
        <v>4608.277185</v>
      </c>
      <c r="EC24" s="74">
        <f t="shared" si="17"/>
        <v>5003.595017</v>
      </c>
      <c r="ED24" s="74">
        <f t="shared" si="17"/>
        <v>3662.969936</v>
      </c>
      <c r="EE24" s="74">
        <f t="shared" si="17"/>
        <v>5100.692898</v>
      </c>
      <c r="EF24" s="74">
        <f t="shared" si="17"/>
        <v>7028.944598</v>
      </c>
      <c r="EG24" s="74">
        <f t="shared" si="17"/>
        <v>4094.754868</v>
      </c>
      <c r="EH24" s="74">
        <f t="shared" si="17"/>
        <v>3004.597182</v>
      </c>
      <c r="EI24" s="74">
        <f t="shared" si="17"/>
        <v>4622.467769</v>
      </c>
      <c r="EJ24" s="74">
        <f t="shared" si="17"/>
        <v>1969.091918</v>
      </c>
      <c r="EK24" s="74">
        <f t="shared" si="17"/>
        <v>7563.455291</v>
      </c>
      <c r="EL24" s="74">
        <f t="shared" si="17"/>
        <v>5867.740787</v>
      </c>
      <c r="EM24" s="74">
        <f t="shared" si="17"/>
        <v>1181.04724</v>
      </c>
      <c r="EN24" s="74">
        <f t="shared" si="17"/>
        <v>4815.799254</v>
      </c>
      <c r="EO24" s="74">
        <f t="shared" si="17"/>
        <v>6721.269568</v>
      </c>
      <c r="EP24" s="74">
        <f t="shared" si="17"/>
        <v>2670.104952</v>
      </c>
      <c r="EQ24" s="74">
        <f t="shared" si="17"/>
        <v>6242.320703</v>
      </c>
      <c r="ER24" s="74">
        <f t="shared" si="17"/>
        <v>4114.474689</v>
      </c>
      <c r="ES24" s="74">
        <f t="shared" si="17"/>
        <v>3980.44321</v>
      </c>
      <c r="ET24" s="74">
        <f t="shared" si="17"/>
        <v>4231.172232</v>
      </c>
      <c r="EU24" s="74">
        <f t="shared" si="17"/>
        <v>6258.630818</v>
      </c>
      <c r="EV24" s="74">
        <f t="shared" si="17"/>
        <v>4026.312387</v>
      </c>
      <c r="EW24" s="74">
        <f t="shared" si="17"/>
        <v>4691.783278</v>
      </c>
      <c r="EX24" s="74">
        <f t="shared" si="17"/>
        <v>3585.945027</v>
      </c>
      <c r="EY24" s="74">
        <f t="shared" si="17"/>
        <v>5061.953776</v>
      </c>
      <c r="EZ24" s="74">
        <f t="shared" si="17"/>
        <v>4221.410848</v>
      </c>
      <c r="FA24" s="74">
        <f t="shared" si="17"/>
        <v>4655.899296</v>
      </c>
      <c r="FB24" s="74">
        <f t="shared" si="17"/>
        <v>6699.023048</v>
      </c>
      <c r="FC24" s="74">
        <f t="shared" si="17"/>
        <v>5520.477528</v>
      </c>
      <c r="FD24" s="74">
        <f t="shared" si="17"/>
        <v>2156.779314</v>
      </c>
      <c r="FE24" s="74">
        <f t="shared" si="17"/>
        <v>2010.623165</v>
      </c>
      <c r="FF24" s="74">
        <f t="shared" si="17"/>
        <v>2161.318463</v>
      </c>
      <c r="FG24" s="74">
        <f t="shared" si="17"/>
        <v>2230.932354</v>
      </c>
      <c r="FH24" s="74">
        <f t="shared" si="17"/>
        <v>5841.154414</v>
      </c>
      <c r="FI24" s="74">
        <f t="shared" si="17"/>
        <v>3512.544817</v>
      </c>
      <c r="FJ24" s="74">
        <f t="shared" si="17"/>
        <v>1294.989355</v>
      </c>
      <c r="FK24" s="74">
        <f t="shared" si="17"/>
        <v>7027.829036</v>
      </c>
      <c r="FL24" s="74">
        <f t="shared" si="17"/>
        <v>6312.236504</v>
      </c>
      <c r="FM24" s="74">
        <f t="shared" si="17"/>
        <v>7509.104653</v>
      </c>
      <c r="FN24" s="74">
        <f t="shared" si="17"/>
        <v>6312.62915</v>
      </c>
      <c r="FO24" s="74">
        <f t="shared" si="17"/>
        <v>5544.405686</v>
      </c>
      <c r="FP24" s="74">
        <f t="shared" si="17"/>
        <v>3814.911834</v>
      </c>
      <c r="FQ24" s="74">
        <f t="shared" si="17"/>
        <v>7199.734701</v>
      </c>
      <c r="FR24" s="74">
        <f t="shared" si="17"/>
        <v>4105.527574</v>
      </c>
      <c r="FS24" s="74">
        <f t="shared" si="17"/>
        <v>5449.834653</v>
      </c>
      <c r="FT24" s="74">
        <f t="shared" si="17"/>
        <v>4758.593806</v>
      </c>
      <c r="FU24" s="74">
        <f t="shared" si="17"/>
        <v>3388.187491</v>
      </c>
      <c r="FV24" s="74">
        <f t="shared" si="17"/>
        <v>2946.64034</v>
      </c>
      <c r="FW24" s="74">
        <f t="shared" si="17"/>
        <v>4760.166062</v>
      </c>
      <c r="FX24" s="74">
        <f t="shared" si="17"/>
        <v>3142.3982</v>
      </c>
      <c r="FY24" s="74">
        <f t="shared" si="17"/>
        <v>4870.78655</v>
      </c>
      <c r="FZ24" s="74">
        <f t="shared" si="17"/>
        <v>5138.998954</v>
      </c>
      <c r="GA24" s="74">
        <f t="shared" si="17"/>
        <v>3854.147027</v>
      </c>
      <c r="GB24" s="74">
        <f t="shared" si="17"/>
        <v>1812.300356</v>
      </c>
      <c r="GC24" s="74">
        <f t="shared" si="17"/>
        <v>4842.005795</v>
      </c>
      <c r="GD24" s="74">
        <f t="shared" si="17"/>
        <v>3030.495785</v>
      </c>
      <c r="GE24" s="74">
        <f t="shared" si="17"/>
        <v>2286.546541</v>
      </c>
      <c r="GF24" s="74">
        <f t="shared" si="17"/>
        <v>4532.052907</v>
      </c>
      <c r="GG24" s="74">
        <f t="shared" si="17"/>
        <v>2782.644962</v>
      </c>
      <c r="GH24" s="74">
        <f t="shared" si="17"/>
        <v>4062.687597</v>
      </c>
      <c r="GI24" s="74">
        <f t="shared" si="17"/>
        <v>2996.362172</v>
      </c>
      <c r="GJ24" s="74">
        <f t="shared" si="17"/>
        <v>4518.556921</v>
      </c>
      <c r="GK24" s="74">
        <f t="shared" si="17"/>
        <v>5269.39162</v>
      </c>
      <c r="GL24" s="74">
        <f t="shared" si="17"/>
        <v>3319.009632</v>
      </c>
      <c r="GM24" s="74">
        <f t="shared" si="17"/>
        <v>3812.536723</v>
      </c>
      <c r="GN24" s="74">
        <f t="shared" si="17"/>
        <v>8247.373153</v>
      </c>
      <c r="GO24" s="74">
        <f t="shared" si="17"/>
        <v>1496.366819</v>
      </c>
      <c r="GP24" s="74">
        <f t="shared" si="17"/>
        <v>3472.056888</v>
      </c>
      <c r="GQ24" s="74">
        <f t="shared" si="17"/>
        <v>5524.791824</v>
      </c>
      <c r="GR24" s="74">
        <f t="shared" si="17"/>
        <v>6151.351307</v>
      </c>
      <c r="GS24" s="74">
        <f t="shared" si="17"/>
        <v>8350.323857</v>
      </c>
      <c r="GT24" s="74">
        <f t="shared" si="17"/>
        <v>2548.779451</v>
      </c>
      <c r="GU24" s="74">
        <f t="shared" si="17"/>
        <v>3917.209492</v>
      </c>
      <c r="GV24" s="74">
        <f t="shared" si="17"/>
        <v>3690.309623</v>
      </c>
      <c r="GW24" s="74">
        <f t="shared" si="17"/>
        <v>2110.313313</v>
      </c>
      <c r="GX24" s="74">
        <f t="shared" si="17"/>
        <v>5674.471527</v>
      </c>
      <c r="GY24" s="74">
        <f t="shared" si="17"/>
        <v>2759.478699</v>
      </c>
      <c r="GZ24" s="74">
        <f t="shared" si="17"/>
        <v>6459.180732</v>
      </c>
      <c r="HA24" s="74">
        <f t="shared" si="17"/>
        <v>4733.295041</v>
      </c>
      <c r="HB24" s="74">
        <f t="shared" si="17"/>
        <v>2997.987976</v>
      </c>
      <c r="HC24" s="74">
        <f t="shared" si="17"/>
        <v>7793.914509</v>
      </c>
      <c r="HD24" s="74">
        <f t="shared" si="17"/>
        <v>4907.713787</v>
      </c>
      <c r="HE24" s="74">
        <f t="shared" si="17"/>
        <v>8721.174673</v>
      </c>
      <c r="HF24" s="74">
        <f t="shared" si="17"/>
        <v>1957.484688</v>
      </c>
      <c r="HG24" s="74">
        <f t="shared" si="17"/>
        <v>3062.267344</v>
      </c>
      <c r="HH24" s="74">
        <f t="shared" si="17"/>
        <v>4369.513736</v>
      </c>
      <c r="HI24" s="74">
        <f t="shared" si="17"/>
        <v>5470.63407</v>
      </c>
      <c r="HJ24" s="74">
        <f t="shared" si="17"/>
        <v>3451.126202</v>
      </c>
      <c r="HK24" s="74">
        <f t="shared" si="17"/>
        <v>3159.613508</v>
      </c>
      <c r="HL24" s="74">
        <f t="shared" si="17"/>
        <v>5249.638086</v>
      </c>
      <c r="HM24" s="74">
        <f t="shared" si="17"/>
        <v>6778.914469</v>
      </c>
      <c r="HN24" s="74">
        <f t="shared" si="17"/>
        <v>3485.045209</v>
      </c>
      <c r="HO24" s="74">
        <f t="shared" si="17"/>
        <v>2359.699039</v>
      </c>
      <c r="HP24" s="74">
        <f t="shared" si="17"/>
        <v>5613.617292</v>
      </c>
      <c r="HQ24" s="74">
        <f t="shared" si="17"/>
        <v>3042.895827</v>
      </c>
      <c r="HR24" s="74">
        <f t="shared" si="17"/>
        <v>8353.992464</v>
      </c>
      <c r="HS24" s="74">
        <f t="shared" si="17"/>
        <v>7795.169438</v>
      </c>
      <c r="HT24" s="74">
        <f t="shared" si="17"/>
        <v>5072.187209</v>
      </c>
      <c r="HU24" s="74">
        <f t="shared" si="17"/>
        <v>7243.241302</v>
      </c>
      <c r="HV24" s="74">
        <f t="shared" si="17"/>
        <v>6545.689383</v>
      </c>
      <c r="HW24" s="74">
        <f t="shared" si="17"/>
        <v>2376.944652</v>
      </c>
      <c r="HX24" s="74">
        <f t="shared" si="17"/>
        <v>2899.537066</v>
      </c>
      <c r="HY24" s="74">
        <f t="shared" si="17"/>
        <v>10881.93061</v>
      </c>
      <c r="HZ24" s="74">
        <f t="shared" si="17"/>
        <v>2384.525669</v>
      </c>
      <c r="IA24" s="74">
        <f t="shared" si="17"/>
        <v>5071.250285</v>
      </c>
      <c r="IB24" s="74">
        <f t="shared" si="17"/>
        <v>7785.153852</v>
      </c>
      <c r="IC24" s="74">
        <f t="shared" si="17"/>
        <v>2758.250258</v>
      </c>
      <c r="ID24" s="74">
        <f t="shared" si="17"/>
        <v>4334.504118</v>
      </c>
      <c r="IE24" s="74">
        <f t="shared" si="17"/>
        <v>1966.296805</v>
      </c>
      <c r="IF24" s="74">
        <f t="shared" si="17"/>
        <v>3813.773788</v>
      </c>
      <c r="IG24" s="74">
        <f t="shared" si="17"/>
        <v>11147.77276</v>
      </c>
      <c r="IH24" s="74">
        <f t="shared" si="17"/>
        <v>4288.62228</v>
      </c>
      <c r="II24" s="74">
        <f t="shared" si="17"/>
        <v>3812.727623</v>
      </c>
      <c r="IJ24" s="74">
        <f t="shared" si="17"/>
        <v>2654.783828</v>
      </c>
      <c r="IK24" s="74">
        <f t="shared" si="17"/>
        <v>2521.075281</v>
      </c>
      <c r="IL24" s="74">
        <f t="shared" si="17"/>
        <v>5305.187489</v>
      </c>
      <c r="IM24" s="74">
        <f t="shared" si="17"/>
        <v>4104.793195</v>
      </c>
      <c r="IN24" s="74">
        <f t="shared" si="17"/>
        <v>2339.170415</v>
      </c>
      <c r="IO24" s="74">
        <f t="shared" si="17"/>
        <v>3441.582777</v>
      </c>
      <c r="IP24" s="74">
        <f t="shared" si="17"/>
        <v>2710.535605</v>
      </c>
      <c r="IQ24" s="74">
        <f t="shared" si="17"/>
        <v>2612.102697</v>
      </c>
      <c r="IR24" s="74">
        <f t="shared" si="17"/>
        <v>7094.396304</v>
      </c>
      <c r="IS24" s="74">
        <f t="shared" si="17"/>
        <v>5064.350269</v>
      </c>
      <c r="IT24" s="74">
        <f t="shared" si="17"/>
        <v>6880.148939</v>
      </c>
      <c r="IU24" s="74">
        <f t="shared" si="17"/>
        <v>3392.781535</v>
      </c>
      <c r="IV24" s="74">
        <f t="shared" si="17"/>
        <v>6376.254574</v>
      </c>
      <c r="IW24" s="74">
        <f t="shared" si="17"/>
        <v>3399.108194</v>
      </c>
      <c r="IX24" s="74">
        <f t="shared" si="17"/>
        <v>4058.636329</v>
      </c>
      <c r="IY24" s="74">
        <f t="shared" si="17"/>
        <v>4108.870252</v>
      </c>
      <c r="IZ24" s="74">
        <f t="shared" si="17"/>
        <v>7249.816163</v>
      </c>
      <c r="JA24" s="74">
        <f t="shared" si="17"/>
        <v>5221.180859</v>
      </c>
      <c r="JB24" s="74">
        <f t="shared" si="17"/>
        <v>4886.280574</v>
      </c>
      <c r="JC24" s="74">
        <f t="shared" si="17"/>
        <v>7152.774351</v>
      </c>
      <c r="JD24" s="74">
        <f t="shared" si="17"/>
        <v>6239.874032</v>
      </c>
      <c r="JE24" s="74">
        <f t="shared" si="17"/>
        <v>2449.009094</v>
      </c>
      <c r="JF24" s="74">
        <f t="shared" si="17"/>
        <v>1954.169054</v>
      </c>
      <c r="JG24" s="74">
        <f t="shared" si="17"/>
        <v>3883.713077</v>
      </c>
      <c r="JH24" s="74">
        <f t="shared" si="17"/>
        <v>4015.230043</v>
      </c>
      <c r="JI24" s="74">
        <f t="shared" si="17"/>
        <v>5673.576028</v>
      </c>
      <c r="JJ24" s="74">
        <f t="shared" si="17"/>
        <v>5302.746258</v>
      </c>
      <c r="JK24" s="74">
        <f t="shared" si="17"/>
        <v>5928.612329</v>
      </c>
      <c r="JL24" s="74">
        <f t="shared" si="17"/>
        <v>2624.591289</v>
      </c>
      <c r="JM24" s="74">
        <f t="shared" si="17"/>
        <v>3055.894858</v>
      </c>
      <c r="JN24" s="74">
        <f t="shared" si="17"/>
        <v>4195.076295</v>
      </c>
      <c r="JO24" s="74">
        <f t="shared" si="17"/>
        <v>8421.482081</v>
      </c>
      <c r="JP24" s="74">
        <f t="shared" si="17"/>
        <v>4196.815484</v>
      </c>
      <c r="JQ24" s="74">
        <f t="shared" si="17"/>
        <v>1584.806798</v>
      </c>
      <c r="JR24" s="74">
        <f t="shared" si="17"/>
        <v>5458.893894</v>
      </c>
      <c r="JS24" s="74">
        <f t="shared" si="17"/>
        <v>3120.468412</v>
      </c>
      <c r="JT24" s="74">
        <f t="shared" si="17"/>
        <v>7993.667868</v>
      </c>
      <c r="JU24" s="74">
        <f t="shared" si="17"/>
        <v>2988.007941</v>
      </c>
      <c r="JV24" s="74">
        <f t="shared" si="17"/>
        <v>4808.717145</v>
      </c>
      <c r="JW24" s="74">
        <f t="shared" si="17"/>
        <v>3432.119379</v>
      </c>
      <c r="JX24" s="74">
        <f t="shared" si="17"/>
        <v>2400.356445</v>
      </c>
      <c r="JY24" s="74">
        <f t="shared" si="17"/>
        <v>8201.705621</v>
      </c>
      <c r="JZ24" s="74">
        <f t="shared" si="17"/>
        <v>7297.353433</v>
      </c>
      <c r="KA24" s="74">
        <f t="shared" si="17"/>
        <v>7917.269187</v>
      </c>
      <c r="KB24" s="74">
        <f t="shared" si="17"/>
        <v>3254.857884</v>
      </c>
      <c r="KC24" s="74">
        <f t="shared" si="17"/>
        <v>1816.549757</v>
      </c>
      <c r="KD24" s="74">
        <f t="shared" si="17"/>
        <v>3808.765332</v>
      </c>
      <c r="KE24" s="74">
        <f t="shared" si="17"/>
        <v>7444.402389</v>
      </c>
      <c r="KF24" s="74">
        <f t="shared" si="17"/>
        <v>6367.822224</v>
      </c>
      <c r="KG24" s="74">
        <f t="shared" si="17"/>
        <v>2617.857907</v>
      </c>
      <c r="KH24" s="74">
        <f t="shared" si="17"/>
        <v>2355.828695</v>
      </c>
      <c r="KI24" s="74">
        <f t="shared" si="17"/>
        <v>3044.133726</v>
      </c>
      <c r="KJ24" s="74">
        <f t="shared" si="17"/>
        <v>7697.177596</v>
      </c>
      <c r="KK24" s="74">
        <f t="shared" si="17"/>
        <v>5038.62385</v>
      </c>
      <c r="KL24" s="74">
        <f t="shared" si="17"/>
        <v>2716.933839</v>
      </c>
      <c r="KM24" s="74">
        <f t="shared" si="17"/>
        <v>4012.875095</v>
      </c>
      <c r="KN24" s="74">
        <f t="shared" si="17"/>
        <v>5173.469103</v>
      </c>
      <c r="KO24" s="74">
        <f t="shared" si="17"/>
        <v>7502.050339</v>
      </c>
      <c r="KP24" s="74">
        <f t="shared" si="17"/>
        <v>3432.199186</v>
      </c>
      <c r="KQ24" s="74">
        <f t="shared" si="17"/>
        <v>6945.428899</v>
      </c>
      <c r="KR24" s="74">
        <f t="shared" si="17"/>
        <v>2245.716794</v>
      </c>
      <c r="KS24" s="74">
        <f t="shared" si="17"/>
        <v>3016.305886</v>
      </c>
      <c r="KT24" s="74">
        <f t="shared" si="17"/>
        <v>6330.932442</v>
      </c>
      <c r="KU24" s="74">
        <f t="shared" si="17"/>
        <v>4808.879263</v>
      </c>
      <c r="KV24" s="74">
        <f t="shared" si="17"/>
        <v>3845.912896</v>
      </c>
      <c r="KW24" s="74">
        <f t="shared" si="17"/>
        <v>4795.663229</v>
      </c>
      <c r="KX24" s="74">
        <f t="shared" si="17"/>
        <v>7584.763346</v>
      </c>
      <c r="KY24" s="74">
        <f t="shared" si="17"/>
        <v>2830.650901</v>
      </c>
      <c r="KZ24" s="74">
        <f t="shared" si="17"/>
        <v>5654.970754</v>
      </c>
      <c r="LA24" s="74">
        <f t="shared" si="17"/>
        <v>4258.88879</v>
      </c>
      <c r="LB24" s="74">
        <f t="shared" si="17"/>
        <v>6298.940723</v>
      </c>
      <c r="LC24" s="74">
        <f t="shared" si="17"/>
        <v>5318.216871</v>
      </c>
      <c r="LD24" s="74">
        <f t="shared" si="17"/>
        <v>4113.895902</v>
      </c>
      <c r="LE24" s="74">
        <f t="shared" si="17"/>
        <v>5857.901136</v>
      </c>
      <c r="LF24" s="74">
        <f t="shared" si="17"/>
        <v>2318.315282</v>
      </c>
      <c r="LG24" s="74">
        <f t="shared" si="17"/>
        <v>5703.981766</v>
      </c>
      <c r="LH24" s="74">
        <f t="shared" si="17"/>
        <v>4947.380614</v>
      </c>
      <c r="LI24" s="74">
        <f t="shared" si="17"/>
        <v>7448.405984</v>
      </c>
      <c r="LJ24" s="74">
        <f t="shared" si="17"/>
        <v>3020.65608</v>
      </c>
      <c r="LK24" s="74">
        <f t="shared" si="17"/>
        <v>4655.685319</v>
      </c>
      <c r="LL24" s="74">
        <f t="shared" si="17"/>
        <v>5437.972844</v>
      </c>
      <c r="LM24" s="74">
        <f t="shared" si="17"/>
        <v>6304.880044</v>
      </c>
      <c r="LN24" s="74">
        <f t="shared" si="17"/>
        <v>6204.061597</v>
      </c>
      <c r="LO24" s="74">
        <f t="shared" si="17"/>
        <v>3154.916529</v>
      </c>
      <c r="LP24" s="74">
        <f t="shared" si="17"/>
        <v>2836.64712</v>
      </c>
      <c r="LQ24" s="74">
        <f t="shared" si="17"/>
        <v>3205.99147</v>
      </c>
      <c r="LR24" s="74">
        <f t="shared" si="17"/>
        <v>4926.244572</v>
      </c>
      <c r="LS24" s="74">
        <f t="shared" si="17"/>
        <v>5913.328963</v>
      </c>
      <c r="LT24" s="74">
        <f t="shared" si="17"/>
        <v>4079.711218</v>
      </c>
      <c r="LU24" s="74">
        <f t="shared" si="17"/>
        <v>3153.877452</v>
      </c>
      <c r="LV24" s="74">
        <f t="shared" si="17"/>
        <v>4232.948419</v>
      </c>
      <c r="LW24" s="74">
        <f t="shared" si="17"/>
        <v>1872.734734</v>
      </c>
      <c r="LX24" s="74">
        <f t="shared" si="17"/>
        <v>1580.544865</v>
      </c>
      <c r="LY24" s="74">
        <f t="shared" si="17"/>
        <v>5083.403906</v>
      </c>
      <c r="LZ24" s="74">
        <f t="shared" si="17"/>
        <v>4046.851231</v>
      </c>
      <c r="MA24" s="74">
        <f t="shared" si="17"/>
        <v>4330.324728</v>
      </c>
      <c r="MB24" s="74">
        <f t="shared" si="17"/>
        <v>11522.33213</v>
      </c>
      <c r="MC24" s="74">
        <f t="shared" si="17"/>
        <v>6413.098238</v>
      </c>
      <c r="MD24" s="74">
        <f t="shared" si="17"/>
        <v>5073.886298</v>
      </c>
      <c r="ME24" s="74">
        <f t="shared" si="17"/>
        <v>2579.02529</v>
      </c>
      <c r="MF24" s="74">
        <f t="shared" si="17"/>
        <v>1820.690315</v>
      </c>
      <c r="MG24" s="74">
        <f t="shared" si="17"/>
        <v>2705.795873</v>
      </c>
      <c r="MH24" s="74">
        <f t="shared" si="17"/>
        <v>2058.246982</v>
      </c>
      <c r="MI24" s="74">
        <f t="shared" si="17"/>
        <v>5109.608719</v>
      </c>
      <c r="MJ24" s="74">
        <f t="shared" si="17"/>
        <v>2744.638322</v>
      </c>
      <c r="MK24" s="74">
        <f t="shared" si="17"/>
        <v>2335.875162</v>
      </c>
      <c r="ML24" s="74">
        <f t="shared" si="17"/>
        <v>3478.082569</v>
      </c>
      <c r="MM24" s="74">
        <f t="shared" si="17"/>
        <v>3242.056618</v>
      </c>
      <c r="MN24" s="74">
        <f t="shared" si="17"/>
        <v>10270.42884</v>
      </c>
      <c r="MO24" s="74">
        <f t="shared" si="17"/>
        <v>5440.192073</v>
      </c>
      <c r="MP24" s="74">
        <f t="shared" si="17"/>
        <v>4972.411853</v>
      </c>
      <c r="MQ24" s="74">
        <f t="shared" si="17"/>
        <v>3731.481121</v>
      </c>
      <c r="MR24" s="74">
        <f t="shared" si="17"/>
        <v>3709.293069</v>
      </c>
      <c r="MS24" s="74">
        <f t="shared" si="17"/>
        <v>6234.940337</v>
      </c>
      <c r="MT24" s="74">
        <f t="shared" si="17"/>
        <v>4773.56017</v>
      </c>
      <c r="MU24" s="74">
        <f t="shared" si="17"/>
        <v>7550.409846</v>
      </c>
      <c r="MV24" s="74">
        <f t="shared" si="17"/>
        <v>4120.312396</v>
      </c>
      <c r="MW24" s="74">
        <f t="shared" si="17"/>
        <v>2891.791971</v>
      </c>
      <c r="MX24" s="74">
        <f t="shared" si="17"/>
        <v>3533.937732</v>
      </c>
      <c r="MY24" s="74">
        <f t="shared" si="17"/>
        <v>4910.920602</v>
      </c>
      <c r="MZ24" s="74">
        <f t="shared" si="17"/>
        <v>3153.505283</v>
      </c>
      <c r="NA24" s="74">
        <f t="shared" si="17"/>
        <v>9406.8734</v>
      </c>
      <c r="NB24" s="74">
        <f t="shared" si="17"/>
        <v>7201.946838</v>
      </c>
      <c r="NC24" s="74">
        <f t="shared" si="17"/>
        <v>7493.501072</v>
      </c>
      <c r="ND24" s="74">
        <f t="shared" si="17"/>
        <v>3366.610876</v>
      </c>
      <c r="NE24" s="74">
        <f t="shared" si="17"/>
        <v>4518.041961</v>
      </c>
      <c r="NF24" s="74">
        <f t="shared" si="17"/>
        <v>2573.801147</v>
      </c>
      <c r="NG24" s="74">
        <f t="shared" si="17"/>
        <v>7663.746541</v>
      </c>
      <c r="NH24" s="74">
        <f t="shared" si="17"/>
        <v>3588.935579</v>
      </c>
      <c r="NI24" s="74">
        <f t="shared" si="17"/>
        <v>5958.814928</v>
      </c>
      <c r="NJ24" s="74">
        <f t="shared" si="17"/>
        <v>3989.89535</v>
      </c>
      <c r="NK24" s="74">
        <f t="shared" si="17"/>
        <v>7567.301379</v>
      </c>
      <c r="NL24" s="74">
        <f t="shared" si="17"/>
        <v>5102.080022</v>
      </c>
      <c r="NM24" s="74">
        <f t="shared" si="17"/>
        <v>8273.498197</v>
      </c>
      <c r="NN24" s="74">
        <f t="shared" si="17"/>
        <v>1834.170182</v>
      </c>
      <c r="NO24" s="74">
        <f t="shared" si="17"/>
        <v>8247.605556</v>
      </c>
      <c r="NP24" s="74">
        <f t="shared" si="17"/>
        <v>8799.10301</v>
      </c>
      <c r="NQ24" s="74">
        <f t="shared" si="17"/>
        <v>3482.464647</v>
      </c>
      <c r="NR24" s="74">
        <f t="shared" si="17"/>
        <v>4314.789242</v>
      </c>
      <c r="NS24" s="74">
        <f t="shared" si="17"/>
        <v>5044.412511</v>
      </c>
      <c r="NT24" s="74">
        <f t="shared" si="17"/>
        <v>12881.37416</v>
      </c>
      <c r="NU24" s="74">
        <f t="shared" si="17"/>
        <v>5124.478117</v>
      </c>
      <c r="NV24" s="74">
        <f t="shared" si="17"/>
        <v>5270.805998</v>
      </c>
      <c r="NW24" s="74">
        <f t="shared" si="17"/>
        <v>6564.05783</v>
      </c>
      <c r="NX24" s="74">
        <f t="shared" si="17"/>
        <v>4501.507614</v>
      </c>
      <c r="NY24" s="74">
        <f t="shared" si="17"/>
        <v>3367.302096</v>
      </c>
      <c r="NZ24" s="74">
        <f t="shared" si="17"/>
        <v>3483.612051</v>
      </c>
      <c r="OA24" s="74">
        <f t="shared" si="17"/>
        <v>7536.515147</v>
      </c>
      <c r="OB24" s="74">
        <f t="shared" si="17"/>
        <v>3348.265627</v>
      </c>
      <c r="OC24" s="74">
        <f t="shared" si="17"/>
        <v>4516.868126</v>
      </c>
      <c r="OD24" s="74">
        <f t="shared" si="17"/>
        <v>3712.972046</v>
      </c>
      <c r="OE24" s="74">
        <f t="shared" si="17"/>
        <v>3086.437167</v>
      </c>
      <c r="OF24" s="74">
        <f t="shared" si="17"/>
        <v>7646.111297</v>
      </c>
      <c r="OG24" s="74">
        <f t="shared" si="17"/>
        <v>2069.573058</v>
      </c>
      <c r="OH24" s="74">
        <f t="shared" si="17"/>
        <v>4463.884998</v>
      </c>
      <c r="OI24" s="74">
        <f t="shared" si="17"/>
        <v>3898.906441</v>
      </c>
      <c r="OJ24" s="74">
        <f t="shared" si="17"/>
        <v>2999.386517</v>
      </c>
      <c r="OK24" s="74">
        <f t="shared" si="17"/>
        <v>4046.460133</v>
      </c>
      <c r="OL24" s="74">
        <f t="shared" si="17"/>
        <v>1392.058274</v>
      </c>
      <c r="OM24" s="74">
        <f t="shared" si="17"/>
        <v>3459.222149</v>
      </c>
      <c r="ON24" s="74">
        <f t="shared" si="17"/>
        <v>6153.620543</v>
      </c>
      <c r="OO24" s="74">
        <f t="shared" si="17"/>
        <v>1827.04891</v>
      </c>
      <c r="OP24" s="74">
        <f t="shared" si="17"/>
        <v>4128.646808</v>
      </c>
      <c r="OQ24" s="74">
        <f t="shared" si="17"/>
        <v>7470.971395</v>
      </c>
      <c r="OR24" s="74">
        <f t="shared" si="17"/>
        <v>5677.47955</v>
      </c>
      <c r="OS24" s="74">
        <f t="shared" si="17"/>
        <v>3529.499921</v>
      </c>
      <c r="OT24" s="74">
        <f t="shared" si="17"/>
        <v>5121.73916</v>
      </c>
      <c r="OU24" s="74">
        <f t="shared" si="17"/>
        <v>4737.436832</v>
      </c>
      <c r="OV24" s="74">
        <f t="shared" si="17"/>
        <v>4058.243828</v>
      </c>
      <c r="OW24" s="74">
        <f t="shared" si="17"/>
        <v>1907.912939</v>
      </c>
      <c r="OX24" s="74">
        <f t="shared" si="17"/>
        <v>4620.65181</v>
      </c>
      <c r="OY24" s="74">
        <f t="shared" si="17"/>
        <v>3106.250674</v>
      </c>
      <c r="OZ24" s="74">
        <f t="shared" si="17"/>
        <v>6717.595431</v>
      </c>
      <c r="PA24" s="74">
        <f t="shared" si="17"/>
        <v>3738.391268</v>
      </c>
      <c r="PB24" s="74">
        <f t="shared" si="17"/>
        <v>7252.534845</v>
      </c>
      <c r="PC24" s="74">
        <f t="shared" si="17"/>
        <v>6121.325703</v>
      </c>
      <c r="PD24" s="74">
        <f t="shared" si="17"/>
        <v>1818.087407</v>
      </c>
      <c r="PE24" s="74">
        <f t="shared" si="17"/>
        <v>4512.949459</v>
      </c>
      <c r="PF24" s="74">
        <f t="shared" si="17"/>
        <v>7803.291876</v>
      </c>
      <c r="PG24" s="74">
        <f t="shared" si="17"/>
        <v>4236.372579</v>
      </c>
      <c r="PH24" s="74">
        <f t="shared" si="17"/>
        <v>5075.740714</v>
      </c>
      <c r="PI24" s="74">
        <f t="shared" si="17"/>
        <v>5099.441494</v>
      </c>
      <c r="PJ24" s="74">
        <f t="shared" si="17"/>
        <v>2130.580308</v>
      </c>
      <c r="PK24" s="74">
        <f t="shared" si="17"/>
        <v>4544.767487</v>
      </c>
      <c r="PL24" s="74">
        <f t="shared" si="17"/>
        <v>4005.821672</v>
      </c>
      <c r="PM24" s="74">
        <f t="shared" si="17"/>
        <v>3921.22155</v>
      </c>
      <c r="PN24" s="74">
        <f t="shared" si="17"/>
        <v>1863.690264</v>
      </c>
      <c r="PO24" s="74">
        <f t="shared" si="17"/>
        <v>1846.449871</v>
      </c>
      <c r="PP24" s="74">
        <f t="shared" si="17"/>
        <v>3177.735221</v>
      </c>
      <c r="PQ24" s="74">
        <f t="shared" si="17"/>
        <v>9750.9659</v>
      </c>
      <c r="PR24" s="74">
        <f t="shared" si="17"/>
        <v>3992.538884</v>
      </c>
      <c r="PS24" s="74">
        <f t="shared" si="17"/>
        <v>3570.37812</v>
      </c>
      <c r="PT24" s="74">
        <f t="shared" si="17"/>
        <v>4497.145888</v>
      </c>
      <c r="PU24" s="74">
        <f t="shared" si="17"/>
        <v>1628.065432</v>
      </c>
      <c r="PV24" s="74">
        <f t="shared" si="17"/>
        <v>3412.215354</v>
      </c>
      <c r="PW24" s="74">
        <f t="shared" si="17"/>
        <v>4534.022678</v>
      </c>
      <c r="PX24" s="74">
        <f t="shared" si="17"/>
        <v>4271.108427</v>
      </c>
      <c r="PY24" s="74">
        <f t="shared" si="17"/>
        <v>9270.589278</v>
      </c>
      <c r="PZ24" s="74">
        <f t="shared" si="17"/>
        <v>5205.570721</v>
      </c>
      <c r="QA24" s="74">
        <f t="shared" si="17"/>
        <v>4741.732199</v>
      </c>
      <c r="QB24" s="74">
        <f t="shared" si="17"/>
        <v>4859.499904</v>
      </c>
      <c r="QC24" s="74">
        <f t="shared" si="17"/>
        <v>5359.482057</v>
      </c>
      <c r="QD24" s="74">
        <f t="shared" si="17"/>
        <v>3983.289486</v>
      </c>
      <c r="QE24" s="74">
        <f t="shared" si="17"/>
        <v>8095.929811</v>
      </c>
      <c r="QF24" s="74">
        <f t="shared" si="17"/>
        <v>1910.885227</v>
      </c>
      <c r="QG24" s="74">
        <f t="shared" si="17"/>
        <v>7283.155606</v>
      </c>
      <c r="QH24" s="74">
        <f t="shared" si="17"/>
        <v>4775.60469</v>
      </c>
      <c r="QI24" s="74">
        <f t="shared" si="17"/>
        <v>4986.842477</v>
      </c>
      <c r="QJ24" s="74">
        <f t="shared" si="17"/>
        <v>7127.285762</v>
      </c>
      <c r="QK24" s="74">
        <f t="shared" si="17"/>
        <v>2900.438874</v>
      </c>
      <c r="QL24" s="74">
        <f t="shared" si="17"/>
        <v>2684.836276</v>
      </c>
      <c r="QM24" s="74">
        <f t="shared" si="17"/>
        <v>4990.023681</v>
      </c>
      <c r="QN24" s="74">
        <f t="shared" si="17"/>
        <v>3285.907188</v>
      </c>
      <c r="QO24" s="74">
        <f t="shared" si="17"/>
        <v>2993.430305</v>
      </c>
      <c r="QP24" s="74">
        <f t="shared" si="17"/>
        <v>5284.684935</v>
      </c>
      <c r="QQ24" s="74">
        <f t="shared" si="17"/>
        <v>5238.87252</v>
      </c>
      <c r="QR24" s="74">
        <f t="shared" si="17"/>
        <v>7604.284859</v>
      </c>
      <c r="QS24" s="74">
        <f t="shared" si="17"/>
        <v>4296.852022</v>
      </c>
      <c r="QT24" s="74">
        <f t="shared" si="17"/>
        <v>2860.351512</v>
      </c>
      <c r="QU24" s="74">
        <f t="shared" si="17"/>
        <v>3516.842342</v>
      </c>
      <c r="QV24" s="74">
        <f t="shared" si="17"/>
        <v>9048.743818</v>
      </c>
      <c r="QW24" s="74">
        <f t="shared" si="17"/>
        <v>3569.555809</v>
      </c>
      <c r="QX24" s="74">
        <f t="shared" si="17"/>
        <v>2740.427993</v>
      </c>
      <c r="QY24" s="74">
        <f t="shared" si="17"/>
        <v>2371.396668</v>
      </c>
      <c r="QZ24" s="74">
        <f t="shared" si="17"/>
        <v>6405.870718</v>
      </c>
      <c r="RA24" s="74">
        <f t="shared" si="17"/>
        <v>5494.555607</v>
      </c>
      <c r="RB24" s="74">
        <f t="shared" si="17"/>
        <v>3325.123007</v>
      </c>
      <c r="RC24" s="74">
        <f t="shared" si="17"/>
        <v>3211.941438</v>
      </c>
      <c r="RD24" s="74">
        <f t="shared" si="17"/>
        <v>1537.544968</v>
      </c>
      <c r="RE24" s="74">
        <f t="shared" si="17"/>
        <v>4591.972313</v>
      </c>
      <c r="RF24" s="74">
        <f t="shared" si="17"/>
        <v>5281.551614</v>
      </c>
      <c r="RG24" s="74">
        <f t="shared" si="17"/>
        <v>3356.079161</v>
      </c>
      <c r="RH24" s="74">
        <f t="shared" si="17"/>
        <v>1918.801651</v>
      </c>
      <c r="RI24" s="74">
        <f t="shared" si="17"/>
        <v>9833.816547</v>
      </c>
      <c r="RJ24" s="74">
        <f t="shared" si="17"/>
        <v>7803.996982</v>
      </c>
      <c r="RK24" s="74">
        <f t="shared" si="17"/>
        <v>4068.934675</v>
      </c>
      <c r="RL24" s="74">
        <f t="shared" si="17"/>
        <v>3165.425772</v>
      </c>
      <c r="RM24" s="74">
        <f t="shared" si="17"/>
        <v>7105.399741</v>
      </c>
      <c r="RN24" s="74">
        <f t="shared" si="17"/>
        <v>9489.435501</v>
      </c>
      <c r="RO24" s="74">
        <f t="shared" si="17"/>
        <v>6578.733661</v>
      </c>
      <c r="RP24" s="74">
        <f t="shared" si="17"/>
        <v>7025.056994</v>
      </c>
      <c r="RQ24" s="74">
        <f t="shared" si="17"/>
        <v>4929.264937</v>
      </c>
      <c r="RR24" s="74">
        <f t="shared" si="17"/>
        <v>4563.28806</v>
      </c>
      <c r="RS24" s="74">
        <f t="shared" si="17"/>
        <v>10098.41784</v>
      </c>
      <c r="RT24" s="74">
        <f t="shared" si="17"/>
        <v>3652.73268</v>
      </c>
      <c r="RU24" s="74">
        <f t="shared" si="17"/>
        <v>3032.025148</v>
      </c>
      <c r="RV24" s="74">
        <f t="shared" si="17"/>
        <v>4149.295348</v>
      </c>
      <c r="RW24" s="74">
        <f t="shared" si="17"/>
        <v>5171.581072</v>
      </c>
      <c r="RX24" s="74">
        <f t="shared" si="17"/>
        <v>2608.222571</v>
      </c>
      <c r="RY24" s="74">
        <f t="shared" si="17"/>
        <v>2360.22494</v>
      </c>
      <c r="RZ24" s="74">
        <f t="shared" si="17"/>
        <v>6574.95001</v>
      </c>
      <c r="SA24" s="74">
        <f t="shared" si="17"/>
        <v>3348.56162</v>
      </c>
      <c r="SB24" s="74">
        <f t="shared" si="17"/>
        <v>6741.804042</v>
      </c>
      <c r="SC24" s="74">
        <f t="shared" si="17"/>
        <v>6010.838032</v>
      </c>
      <c r="SD24" s="74">
        <f t="shared" si="17"/>
        <v>4393.053491</v>
      </c>
      <c r="SE24" s="74">
        <f t="shared" si="17"/>
        <v>4132.577796</v>
      </c>
      <c r="SF24" s="74">
        <f t="shared" si="17"/>
        <v>6149.176226</v>
      </c>
      <c r="SG24" s="74">
        <f t="shared" si="17"/>
        <v>2553.839444</v>
      </c>
      <c r="SH24" s="74">
        <f t="shared" si="17"/>
        <v>4860.816263</v>
      </c>
      <c r="SI24" s="74">
        <f t="shared" si="17"/>
        <v>4900.536681</v>
      </c>
      <c r="SJ24" s="74">
        <f t="shared" si="17"/>
        <v>2281.088866</v>
      </c>
      <c r="SK24" s="74">
        <f t="shared" si="17"/>
        <v>6971.032751</v>
      </c>
      <c r="SL24" s="74">
        <f t="shared" si="17"/>
        <v>2223.590253</v>
      </c>
    </row>
    <row r="25">
      <c r="A25" s="53" t="s">
        <v>101</v>
      </c>
      <c r="B25" s="75">
        <f t="array" ref="B25">INDEX('New CEA'!$B25:$F25,MATCH($B$2,'New CEA'!B$2:F$2,0))</f>
        <v>0.9</v>
      </c>
      <c r="C25" s="273"/>
      <c r="D25" s="274"/>
      <c r="E25" s="275"/>
      <c r="F25" s="75"/>
      <c r="G25" s="75">
        <f t="shared" ref="G25:SL25" si="18">$B25</f>
        <v>0.9</v>
      </c>
      <c r="H25" s="75">
        <f t="shared" si="18"/>
        <v>0.9</v>
      </c>
      <c r="I25" s="75">
        <f t="shared" si="18"/>
        <v>0.9</v>
      </c>
      <c r="J25" s="75">
        <f t="shared" si="18"/>
        <v>0.9</v>
      </c>
      <c r="K25" s="75">
        <f t="shared" si="18"/>
        <v>0.9</v>
      </c>
      <c r="L25" s="75">
        <f t="shared" si="18"/>
        <v>0.9</v>
      </c>
      <c r="M25" s="75">
        <f t="shared" si="18"/>
        <v>0.9</v>
      </c>
      <c r="N25" s="75">
        <f t="shared" si="18"/>
        <v>0.9</v>
      </c>
      <c r="O25" s="75">
        <f t="shared" si="18"/>
        <v>0.9</v>
      </c>
      <c r="P25" s="75">
        <f t="shared" si="18"/>
        <v>0.9</v>
      </c>
      <c r="Q25" s="75">
        <f t="shared" si="18"/>
        <v>0.9</v>
      </c>
      <c r="R25" s="75">
        <f t="shared" si="18"/>
        <v>0.9</v>
      </c>
      <c r="S25" s="75">
        <f t="shared" si="18"/>
        <v>0.9</v>
      </c>
      <c r="T25" s="75">
        <f t="shared" si="18"/>
        <v>0.9</v>
      </c>
      <c r="U25" s="75">
        <f t="shared" si="18"/>
        <v>0.9</v>
      </c>
      <c r="V25" s="75">
        <f t="shared" si="18"/>
        <v>0.9</v>
      </c>
      <c r="W25" s="75">
        <f t="shared" si="18"/>
        <v>0.9</v>
      </c>
      <c r="X25" s="75">
        <f t="shared" si="18"/>
        <v>0.9</v>
      </c>
      <c r="Y25" s="75">
        <f t="shared" si="18"/>
        <v>0.9</v>
      </c>
      <c r="Z25" s="75">
        <f t="shared" si="18"/>
        <v>0.9</v>
      </c>
      <c r="AA25" s="75">
        <f t="shared" si="18"/>
        <v>0.9</v>
      </c>
      <c r="AB25" s="75">
        <f t="shared" si="18"/>
        <v>0.9</v>
      </c>
      <c r="AC25" s="75">
        <f t="shared" si="18"/>
        <v>0.9</v>
      </c>
      <c r="AD25" s="75">
        <f t="shared" si="18"/>
        <v>0.9</v>
      </c>
      <c r="AE25" s="75">
        <f t="shared" si="18"/>
        <v>0.9</v>
      </c>
      <c r="AF25" s="75">
        <f t="shared" si="18"/>
        <v>0.9</v>
      </c>
      <c r="AG25" s="75">
        <f t="shared" si="18"/>
        <v>0.9</v>
      </c>
      <c r="AH25" s="75">
        <f t="shared" si="18"/>
        <v>0.9</v>
      </c>
      <c r="AI25" s="75">
        <f t="shared" si="18"/>
        <v>0.9</v>
      </c>
      <c r="AJ25" s="75">
        <f t="shared" si="18"/>
        <v>0.9</v>
      </c>
      <c r="AK25" s="75">
        <f t="shared" si="18"/>
        <v>0.9</v>
      </c>
      <c r="AL25" s="75">
        <f t="shared" si="18"/>
        <v>0.9</v>
      </c>
      <c r="AM25" s="75">
        <f t="shared" si="18"/>
        <v>0.9</v>
      </c>
      <c r="AN25" s="75">
        <f t="shared" si="18"/>
        <v>0.9</v>
      </c>
      <c r="AO25" s="75">
        <f t="shared" si="18"/>
        <v>0.9</v>
      </c>
      <c r="AP25" s="75">
        <f t="shared" si="18"/>
        <v>0.9</v>
      </c>
      <c r="AQ25" s="75">
        <f t="shared" si="18"/>
        <v>0.9</v>
      </c>
      <c r="AR25" s="75">
        <f t="shared" si="18"/>
        <v>0.9</v>
      </c>
      <c r="AS25" s="75">
        <f t="shared" si="18"/>
        <v>0.9</v>
      </c>
      <c r="AT25" s="75">
        <f t="shared" si="18"/>
        <v>0.9</v>
      </c>
      <c r="AU25" s="75">
        <f t="shared" si="18"/>
        <v>0.9</v>
      </c>
      <c r="AV25" s="75">
        <f t="shared" si="18"/>
        <v>0.9</v>
      </c>
      <c r="AW25" s="75">
        <f t="shared" si="18"/>
        <v>0.9</v>
      </c>
      <c r="AX25" s="75">
        <f t="shared" si="18"/>
        <v>0.9</v>
      </c>
      <c r="AY25" s="75">
        <f t="shared" si="18"/>
        <v>0.9</v>
      </c>
      <c r="AZ25" s="75">
        <f t="shared" si="18"/>
        <v>0.9</v>
      </c>
      <c r="BA25" s="75">
        <f t="shared" si="18"/>
        <v>0.9</v>
      </c>
      <c r="BB25" s="75">
        <f t="shared" si="18"/>
        <v>0.9</v>
      </c>
      <c r="BC25" s="75">
        <f t="shared" si="18"/>
        <v>0.9</v>
      </c>
      <c r="BD25" s="75">
        <f t="shared" si="18"/>
        <v>0.9</v>
      </c>
      <c r="BE25" s="75">
        <f t="shared" si="18"/>
        <v>0.9</v>
      </c>
      <c r="BF25" s="75">
        <f t="shared" si="18"/>
        <v>0.9</v>
      </c>
      <c r="BG25" s="75">
        <f t="shared" si="18"/>
        <v>0.9</v>
      </c>
      <c r="BH25" s="75">
        <f t="shared" si="18"/>
        <v>0.9</v>
      </c>
      <c r="BI25" s="75">
        <f t="shared" si="18"/>
        <v>0.9</v>
      </c>
      <c r="BJ25" s="75">
        <f t="shared" si="18"/>
        <v>0.9</v>
      </c>
      <c r="BK25" s="75">
        <f t="shared" si="18"/>
        <v>0.9</v>
      </c>
      <c r="BL25" s="75">
        <f t="shared" si="18"/>
        <v>0.9</v>
      </c>
      <c r="BM25" s="75">
        <f t="shared" si="18"/>
        <v>0.9</v>
      </c>
      <c r="BN25" s="75">
        <f t="shared" si="18"/>
        <v>0.9</v>
      </c>
      <c r="BO25" s="75">
        <f t="shared" si="18"/>
        <v>0.9</v>
      </c>
      <c r="BP25" s="75">
        <f t="shared" si="18"/>
        <v>0.9</v>
      </c>
      <c r="BQ25" s="75">
        <f t="shared" si="18"/>
        <v>0.9</v>
      </c>
      <c r="BR25" s="75">
        <f t="shared" si="18"/>
        <v>0.9</v>
      </c>
      <c r="BS25" s="75">
        <f t="shared" si="18"/>
        <v>0.9</v>
      </c>
      <c r="BT25" s="75">
        <f t="shared" si="18"/>
        <v>0.9</v>
      </c>
      <c r="BU25" s="75">
        <f t="shared" si="18"/>
        <v>0.9</v>
      </c>
      <c r="BV25" s="75">
        <f t="shared" si="18"/>
        <v>0.9</v>
      </c>
      <c r="BW25" s="75">
        <f t="shared" si="18"/>
        <v>0.9</v>
      </c>
      <c r="BX25" s="75">
        <f t="shared" si="18"/>
        <v>0.9</v>
      </c>
      <c r="BY25" s="75">
        <f t="shared" si="18"/>
        <v>0.9</v>
      </c>
      <c r="BZ25" s="75">
        <f t="shared" si="18"/>
        <v>0.9</v>
      </c>
      <c r="CA25" s="75">
        <f t="shared" si="18"/>
        <v>0.9</v>
      </c>
      <c r="CB25" s="75">
        <f t="shared" si="18"/>
        <v>0.9</v>
      </c>
      <c r="CC25" s="75">
        <f t="shared" si="18"/>
        <v>0.9</v>
      </c>
      <c r="CD25" s="75">
        <f t="shared" si="18"/>
        <v>0.9</v>
      </c>
      <c r="CE25" s="75">
        <f t="shared" si="18"/>
        <v>0.9</v>
      </c>
      <c r="CF25" s="75">
        <f t="shared" si="18"/>
        <v>0.9</v>
      </c>
      <c r="CG25" s="75">
        <f t="shared" si="18"/>
        <v>0.9</v>
      </c>
      <c r="CH25" s="75">
        <f t="shared" si="18"/>
        <v>0.9</v>
      </c>
      <c r="CI25" s="75">
        <f t="shared" si="18"/>
        <v>0.9</v>
      </c>
      <c r="CJ25" s="75">
        <f t="shared" si="18"/>
        <v>0.9</v>
      </c>
      <c r="CK25" s="75">
        <f t="shared" si="18"/>
        <v>0.9</v>
      </c>
      <c r="CL25" s="75">
        <f t="shared" si="18"/>
        <v>0.9</v>
      </c>
      <c r="CM25" s="75">
        <f t="shared" si="18"/>
        <v>0.9</v>
      </c>
      <c r="CN25" s="75">
        <f t="shared" si="18"/>
        <v>0.9</v>
      </c>
      <c r="CO25" s="75">
        <f t="shared" si="18"/>
        <v>0.9</v>
      </c>
      <c r="CP25" s="75">
        <f t="shared" si="18"/>
        <v>0.9</v>
      </c>
      <c r="CQ25" s="75">
        <f t="shared" si="18"/>
        <v>0.9</v>
      </c>
      <c r="CR25" s="75">
        <f t="shared" si="18"/>
        <v>0.9</v>
      </c>
      <c r="CS25" s="75">
        <f t="shared" si="18"/>
        <v>0.9</v>
      </c>
      <c r="CT25" s="75">
        <f t="shared" si="18"/>
        <v>0.9</v>
      </c>
      <c r="CU25" s="75">
        <f t="shared" si="18"/>
        <v>0.9</v>
      </c>
      <c r="CV25" s="75">
        <f t="shared" si="18"/>
        <v>0.9</v>
      </c>
      <c r="CW25" s="75">
        <f t="shared" si="18"/>
        <v>0.9</v>
      </c>
      <c r="CX25" s="75">
        <f t="shared" si="18"/>
        <v>0.9</v>
      </c>
      <c r="CY25" s="75">
        <f t="shared" si="18"/>
        <v>0.9</v>
      </c>
      <c r="CZ25" s="75">
        <f t="shared" si="18"/>
        <v>0.9</v>
      </c>
      <c r="DA25" s="75">
        <f t="shared" si="18"/>
        <v>0.9</v>
      </c>
      <c r="DB25" s="75">
        <f t="shared" si="18"/>
        <v>0.9</v>
      </c>
      <c r="DC25" s="75">
        <f t="shared" si="18"/>
        <v>0.9</v>
      </c>
      <c r="DD25" s="75">
        <f t="shared" si="18"/>
        <v>0.9</v>
      </c>
      <c r="DE25" s="75">
        <f t="shared" si="18"/>
        <v>0.9</v>
      </c>
      <c r="DF25" s="75">
        <f t="shared" si="18"/>
        <v>0.9</v>
      </c>
      <c r="DG25" s="75">
        <f t="shared" si="18"/>
        <v>0.9</v>
      </c>
      <c r="DH25" s="75">
        <f t="shared" si="18"/>
        <v>0.9</v>
      </c>
      <c r="DI25" s="75">
        <f t="shared" si="18"/>
        <v>0.9</v>
      </c>
      <c r="DJ25" s="75">
        <f t="shared" si="18"/>
        <v>0.9</v>
      </c>
      <c r="DK25" s="75">
        <f t="shared" si="18"/>
        <v>0.9</v>
      </c>
      <c r="DL25" s="75">
        <f t="shared" si="18"/>
        <v>0.9</v>
      </c>
      <c r="DM25" s="75">
        <f t="shared" si="18"/>
        <v>0.9</v>
      </c>
      <c r="DN25" s="75">
        <f t="shared" si="18"/>
        <v>0.9</v>
      </c>
      <c r="DO25" s="75">
        <f t="shared" si="18"/>
        <v>0.9</v>
      </c>
      <c r="DP25" s="75">
        <f t="shared" si="18"/>
        <v>0.9</v>
      </c>
      <c r="DQ25" s="75">
        <f t="shared" si="18"/>
        <v>0.9</v>
      </c>
      <c r="DR25" s="75">
        <f t="shared" si="18"/>
        <v>0.9</v>
      </c>
      <c r="DS25" s="75">
        <f t="shared" si="18"/>
        <v>0.9</v>
      </c>
      <c r="DT25" s="75">
        <f t="shared" si="18"/>
        <v>0.9</v>
      </c>
      <c r="DU25" s="75">
        <f t="shared" si="18"/>
        <v>0.9</v>
      </c>
      <c r="DV25" s="75">
        <f t="shared" si="18"/>
        <v>0.9</v>
      </c>
      <c r="DW25" s="75">
        <f t="shared" si="18"/>
        <v>0.9</v>
      </c>
      <c r="DX25" s="75">
        <f t="shared" si="18"/>
        <v>0.9</v>
      </c>
      <c r="DY25" s="75">
        <f t="shared" si="18"/>
        <v>0.9</v>
      </c>
      <c r="DZ25" s="75">
        <f t="shared" si="18"/>
        <v>0.9</v>
      </c>
      <c r="EA25" s="75">
        <f t="shared" si="18"/>
        <v>0.9</v>
      </c>
      <c r="EB25" s="75">
        <f t="shared" si="18"/>
        <v>0.9</v>
      </c>
      <c r="EC25" s="75">
        <f t="shared" si="18"/>
        <v>0.9</v>
      </c>
      <c r="ED25" s="75">
        <f t="shared" si="18"/>
        <v>0.9</v>
      </c>
      <c r="EE25" s="75">
        <f t="shared" si="18"/>
        <v>0.9</v>
      </c>
      <c r="EF25" s="75">
        <f t="shared" si="18"/>
        <v>0.9</v>
      </c>
      <c r="EG25" s="75">
        <f t="shared" si="18"/>
        <v>0.9</v>
      </c>
      <c r="EH25" s="75">
        <f t="shared" si="18"/>
        <v>0.9</v>
      </c>
      <c r="EI25" s="75">
        <f t="shared" si="18"/>
        <v>0.9</v>
      </c>
      <c r="EJ25" s="75">
        <f t="shared" si="18"/>
        <v>0.9</v>
      </c>
      <c r="EK25" s="75">
        <f t="shared" si="18"/>
        <v>0.9</v>
      </c>
      <c r="EL25" s="75">
        <f t="shared" si="18"/>
        <v>0.9</v>
      </c>
      <c r="EM25" s="75">
        <f t="shared" si="18"/>
        <v>0.9</v>
      </c>
      <c r="EN25" s="75">
        <f t="shared" si="18"/>
        <v>0.9</v>
      </c>
      <c r="EO25" s="75">
        <f t="shared" si="18"/>
        <v>0.9</v>
      </c>
      <c r="EP25" s="75">
        <f t="shared" si="18"/>
        <v>0.9</v>
      </c>
      <c r="EQ25" s="75">
        <f t="shared" si="18"/>
        <v>0.9</v>
      </c>
      <c r="ER25" s="75">
        <f t="shared" si="18"/>
        <v>0.9</v>
      </c>
      <c r="ES25" s="75">
        <f t="shared" si="18"/>
        <v>0.9</v>
      </c>
      <c r="ET25" s="75">
        <f t="shared" si="18"/>
        <v>0.9</v>
      </c>
      <c r="EU25" s="75">
        <f t="shared" si="18"/>
        <v>0.9</v>
      </c>
      <c r="EV25" s="75">
        <f t="shared" si="18"/>
        <v>0.9</v>
      </c>
      <c r="EW25" s="75">
        <f t="shared" si="18"/>
        <v>0.9</v>
      </c>
      <c r="EX25" s="75">
        <f t="shared" si="18"/>
        <v>0.9</v>
      </c>
      <c r="EY25" s="75">
        <f t="shared" si="18"/>
        <v>0.9</v>
      </c>
      <c r="EZ25" s="75">
        <f t="shared" si="18"/>
        <v>0.9</v>
      </c>
      <c r="FA25" s="75">
        <f t="shared" si="18"/>
        <v>0.9</v>
      </c>
      <c r="FB25" s="75">
        <f t="shared" si="18"/>
        <v>0.9</v>
      </c>
      <c r="FC25" s="75">
        <f t="shared" si="18"/>
        <v>0.9</v>
      </c>
      <c r="FD25" s="75">
        <f t="shared" si="18"/>
        <v>0.9</v>
      </c>
      <c r="FE25" s="75">
        <f t="shared" si="18"/>
        <v>0.9</v>
      </c>
      <c r="FF25" s="75">
        <f t="shared" si="18"/>
        <v>0.9</v>
      </c>
      <c r="FG25" s="75">
        <f t="shared" si="18"/>
        <v>0.9</v>
      </c>
      <c r="FH25" s="75">
        <f t="shared" si="18"/>
        <v>0.9</v>
      </c>
      <c r="FI25" s="75">
        <f t="shared" si="18"/>
        <v>0.9</v>
      </c>
      <c r="FJ25" s="75">
        <f t="shared" si="18"/>
        <v>0.9</v>
      </c>
      <c r="FK25" s="75">
        <f t="shared" si="18"/>
        <v>0.9</v>
      </c>
      <c r="FL25" s="75">
        <f t="shared" si="18"/>
        <v>0.9</v>
      </c>
      <c r="FM25" s="75">
        <f t="shared" si="18"/>
        <v>0.9</v>
      </c>
      <c r="FN25" s="75">
        <f t="shared" si="18"/>
        <v>0.9</v>
      </c>
      <c r="FO25" s="75">
        <f t="shared" si="18"/>
        <v>0.9</v>
      </c>
      <c r="FP25" s="75">
        <f t="shared" si="18"/>
        <v>0.9</v>
      </c>
      <c r="FQ25" s="75">
        <f t="shared" si="18"/>
        <v>0.9</v>
      </c>
      <c r="FR25" s="75">
        <f t="shared" si="18"/>
        <v>0.9</v>
      </c>
      <c r="FS25" s="75">
        <f t="shared" si="18"/>
        <v>0.9</v>
      </c>
      <c r="FT25" s="75">
        <f t="shared" si="18"/>
        <v>0.9</v>
      </c>
      <c r="FU25" s="75">
        <f t="shared" si="18"/>
        <v>0.9</v>
      </c>
      <c r="FV25" s="75">
        <f t="shared" si="18"/>
        <v>0.9</v>
      </c>
      <c r="FW25" s="75">
        <f t="shared" si="18"/>
        <v>0.9</v>
      </c>
      <c r="FX25" s="75">
        <f t="shared" si="18"/>
        <v>0.9</v>
      </c>
      <c r="FY25" s="75">
        <f t="shared" si="18"/>
        <v>0.9</v>
      </c>
      <c r="FZ25" s="75">
        <f t="shared" si="18"/>
        <v>0.9</v>
      </c>
      <c r="GA25" s="75">
        <f t="shared" si="18"/>
        <v>0.9</v>
      </c>
      <c r="GB25" s="75">
        <f t="shared" si="18"/>
        <v>0.9</v>
      </c>
      <c r="GC25" s="75">
        <f t="shared" si="18"/>
        <v>0.9</v>
      </c>
      <c r="GD25" s="75">
        <f t="shared" si="18"/>
        <v>0.9</v>
      </c>
      <c r="GE25" s="75">
        <f t="shared" si="18"/>
        <v>0.9</v>
      </c>
      <c r="GF25" s="75">
        <f t="shared" si="18"/>
        <v>0.9</v>
      </c>
      <c r="GG25" s="75">
        <f t="shared" si="18"/>
        <v>0.9</v>
      </c>
      <c r="GH25" s="75">
        <f t="shared" si="18"/>
        <v>0.9</v>
      </c>
      <c r="GI25" s="75">
        <f t="shared" si="18"/>
        <v>0.9</v>
      </c>
      <c r="GJ25" s="75">
        <f t="shared" si="18"/>
        <v>0.9</v>
      </c>
      <c r="GK25" s="75">
        <f t="shared" si="18"/>
        <v>0.9</v>
      </c>
      <c r="GL25" s="75">
        <f t="shared" si="18"/>
        <v>0.9</v>
      </c>
      <c r="GM25" s="75">
        <f t="shared" si="18"/>
        <v>0.9</v>
      </c>
      <c r="GN25" s="75">
        <f t="shared" si="18"/>
        <v>0.9</v>
      </c>
      <c r="GO25" s="75">
        <f t="shared" si="18"/>
        <v>0.9</v>
      </c>
      <c r="GP25" s="75">
        <f t="shared" si="18"/>
        <v>0.9</v>
      </c>
      <c r="GQ25" s="75">
        <f t="shared" si="18"/>
        <v>0.9</v>
      </c>
      <c r="GR25" s="75">
        <f t="shared" si="18"/>
        <v>0.9</v>
      </c>
      <c r="GS25" s="75">
        <f t="shared" si="18"/>
        <v>0.9</v>
      </c>
      <c r="GT25" s="75">
        <f t="shared" si="18"/>
        <v>0.9</v>
      </c>
      <c r="GU25" s="75">
        <f t="shared" si="18"/>
        <v>0.9</v>
      </c>
      <c r="GV25" s="75">
        <f t="shared" si="18"/>
        <v>0.9</v>
      </c>
      <c r="GW25" s="75">
        <f t="shared" si="18"/>
        <v>0.9</v>
      </c>
      <c r="GX25" s="75">
        <f t="shared" si="18"/>
        <v>0.9</v>
      </c>
      <c r="GY25" s="75">
        <f t="shared" si="18"/>
        <v>0.9</v>
      </c>
      <c r="GZ25" s="75">
        <f t="shared" si="18"/>
        <v>0.9</v>
      </c>
      <c r="HA25" s="75">
        <f t="shared" si="18"/>
        <v>0.9</v>
      </c>
      <c r="HB25" s="75">
        <f t="shared" si="18"/>
        <v>0.9</v>
      </c>
      <c r="HC25" s="75">
        <f t="shared" si="18"/>
        <v>0.9</v>
      </c>
      <c r="HD25" s="75">
        <f t="shared" si="18"/>
        <v>0.9</v>
      </c>
      <c r="HE25" s="75">
        <f t="shared" si="18"/>
        <v>0.9</v>
      </c>
      <c r="HF25" s="75">
        <f t="shared" si="18"/>
        <v>0.9</v>
      </c>
      <c r="HG25" s="75">
        <f t="shared" si="18"/>
        <v>0.9</v>
      </c>
      <c r="HH25" s="75">
        <f t="shared" si="18"/>
        <v>0.9</v>
      </c>
      <c r="HI25" s="75">
        <f t="shared" si="18"/>
        <v>0.9</v>
      </c>
      <c r="HJ25" s="75">
        <f t="shared" si="18"/>
        <v>0.9</v>
      </c>
      <c r="HK25" s="75">
        <f t="shared" si="18"/>
        <v>0.9</v>
      </c>
      <c r="HL25" s="75">
        <f t="shared" si="18"/>
        <v>0.9</v>
      </c>
      <c r="HM25" s="75">
        <f t="shared" si="18"/>
        <v>0.9</v>
      </c>
      <c r="HN25" s="75">
        <f t="shared" si="18"/>
        <v>0.9</v>
      </c>
      <c r="HO25" s="75">
        <f t="shared" si="18"/>
        <v>0.9</v>
      </c>
      <c r="HP25" s="75">
        <f t="shared" si="18"/>
        <v>0.9</v>
      </c>
      <c r="HQ25" s="75">
        <f t="shared" si="18"/>
        <v>0.9</v>
      </c>
      <c r="HR25" s="75">
        <f t="shared" si="18"/>
        <v>0.9</v>
      </c>
      <c r="HS25" s="75">
        <f t="shared" si="18"/>
        <v>0.9</v>
      </c>
      <c r="HT25" s="75">
        <f t="shared" si="18"/>
        <v>0.9</v>
      </c>
      <c r="HU25" s="75">
        <f t="shared" si="18"/>
        <v>0.9</v>
      </c>
      <c r="HV25" s="75">
        <f t="shared" si="18"/>
        <v>0.9</v>
      </c>
      <c r="HW25" s="75">
        <f t="shared" si="18"/>
        <v>0.9</v>
      </c>
      <c r="HX25" s="75">
        <f t="shared" si="18"/>
        <v>0.9</v>
      </c>
      <c r="HY25" s="75">
        <f t="shared" si="18"/>
        <v>0.9</v>
      </c>
      <c r="HZ25" s="75">
        <f t="shared" si="18"/>
        <v>0.9</v>
      </c>
      <c r="IA25" s="75">
        <f t="shared" si="18"/>
        <v>0.9</v>
      </c>
      <c r="IB25" s="75">
        <f t="shared" si="18"/>
        <v>0.9</v>
      </c>
      <c r="IC25" s="75">
        <f t="shared" si="18"/>
        <v>0.9</v>
      </c>
      <c r="ID25" s="75">
        <f t="shared" si="18"/>
        <v>0.9</v>
      </c>
      <c r="IE25" s="75">
        <f t="shared" si="18"/>
        <v>0.9</v>
      </c>
      <c r="IF25" s="75">
        <f t="shared" si="18"/>
        <v>0.9</v>
      </c>
      <c r="IG25" s="75">
        <f t="shared" si="18"/>
        <v>0.9</v>
      </c>
      <c r="IH25" s="75">
        <f t="shared" si="18"/>
        <v>0.9</v>
      </c>
      <c r="II25" s="75">
        <f t="shared" si="18"/>
        <v>0.9</v>
      </c>
      <c r="IJ25" s="75">
        <f t="shared" si="18"/>
        <v>0.9</v>
      </c>
      <c r="IK25" s="75">
        <f t="shared" si="18"/>
        <v>0.9</v>
      </c>
      <c r="IL25" s="75">
        <f t="shared" si="18"/>
        <v>0.9</v>
      </c>
      <c r="IM25" s="75">
        <f t="shared" si="18"/>
        <v>0.9</v>
      </c>
      <c r="IN25" s="75">
        <f t="shared" si="18"/>
        <v>0.9</v>
      </c>
      <c r="IO25" s="75">
        <f t="shared" si="18"/>
        <v>0.9</v>
      </c>
      <c r="IP25" s="75">
        <f t="shared" si="18"/>
        <v>0.9</v>
      </c>
      <c r="IQ25" s="75">
        <f t="shared" si="18"/>
        <v>0.9</v>
      </c>
      <c r="IR25" s="75">
        <f t="shared" si="18"/>
        <v>0.9</v>
      </c>
      <c r="IS25" s="75">
        <f t="shared" si="18"/>
        <v>0.9</v>
      </c>
      <c r="IT25" s="75">
        <f t="shared" si="18"/>
        <v>0.9</v>
      </c>
      <c r="IU25" s="75">
        <f t="shared" si="18"/>
        <v>0.9</v>
      </c>
      <c r="IV25" s="75">
        <f t="shared" si="18"/>
        <v>0.9</v>
      </c>
      <c r="IW25" s="75">
        <f t="shared" si="18"/>
        <v>0.9</v>
      </c>
      <c r="IX25" s="75">
        <f t="shared" si="18"/>
        <v>0.9</v>
      </c>
      <c r="IY25" s="75">
        <f t="shared" si="18"/>
        <v>0.9</v>
      </c>
      <c r="IZ25" s="75">
        <f t="shared" si="18"/>
        <v>0.9</v>
      </c>
      <c r="JA25" s="75">
        <f t="shared" si="18"/>
        <v>0.9</v>
      </c>
      <c r="JB25" s="75">
        <f t="shared" si="18"/>
        <v>0.9</v>
      </c>
      <c r="JC25" s="75">
        <f t="shared" si="18"/>
        <v>0.9</v>
      </c>
      <c r="JD25" s="75">
        <f t="shared" si="18"/>
        <v>0.9</v>
      </c>
      <c r="JE25" s="75">
        <f t="shared" si="18"/>
        <v>0.9</v>
      </c>
      <c r="JF25" s="75">
        <f t="shared" si="18"/>
        <v>0.9</v>
      </c>
      <c r="JG25" s="75">
        <f t="shared" si="18"/>
        <v>0.9</v>
      </c>
      <c r="JH25" s="75">
        <f t="shared" si="18"/>
        <v>0.9</v>
      </c>
      <c r="JI25" s="75">
        <f t="shared" si="18"/>
        <v>0.9</v>
      </c>
      <c r="JJ25" s="75">
        <f t="shared" si="18"/>
        <v>0.9</v>
      </c>
      <c r="JK25" s="75">
        <f t="shared" si="18"/>
        <v>0.9</v>
      </c>
      <c r="JL25" s="75">
        <f t="shared" si="18"/>
        <v>0.9</v>
      </c>
      <c r="JM25" s="75">
        <f t="shared" si="18"/>
        <v>0.9</v>
      </c>
      <c r="JN25" s="75">
        <f t="shared" si="18"/>
        <v>0.9</v>
      </c>
      <c r="JO25" s="75">
        <f t="shared" si="18"/>
        <v>0.9</v>
      </c>
      <c r="JP25" s="75">
        <f t="shared" si="18"/>
        <v>0.9</v>
      </c>
      <c r="JQ25" s="75">
        <f t="shared" si="18"/>
        <v>0.9</v>
      </c>
      <c r="JR25" s="75">
        <f t="shared" si="18"/>
        <v>0.9</v>
      </c>
      <c r="JS25" s="75">
        <f t="shared" si="18"/>
        <v>0.9</v>
      </c>
      <c r="JT25" s="75">
        <f t="shared" si="18"/>
        <v>0.9</v>
      </c>
      <c r="JU25" s="75">
        <f t="shared" si="18"/>
        <v>0.9</v>
      </c>
      <c r="JV25" s="75">
        <f t="shared" si="18"/>
        <v>0.9</v>
      </c>
      <c r="JW25" s="75">
        <f t="shared" si="18"/>
        <v>0.9</v>
      </c>
      <c r="JX25" s="75">
        <f t="shared" si="18"/>
        <v>0.9</v>
      </c>
      <c r="JY25" s="75">
        <f t="shared" si="18"/>
        <v>0.9</v>
      </c>
      <c r="JZ25" s="75">
        <f t="shared" si="18"/>
        <v>0.9</v>
      </c>
      <c r="KA25" s="75">
        <f t="shared" si="18"/>
        <v>0.9</v>
      </c>
      <c r="KB25" s="75">
        <f t="shared" si="18"/>
        <v>0.9</v>
      </c>
      <c r="KC25" s="75">
        <f t="shared" si="18"/>
        <v>0.9</v>
      </c>
      <c r="KD25" s="75">
        <f t="shared" si="18"/>
        <v>0.9</v>
      </c>
      <c r="KE25" s="75">
        <f t="shared" si="18"/>
        <v>0.9</v>
      </c>
      <c r="KF25" s="75">
        <f t="shared" si="18"/>
        <v>0.9</v>
      </c>
      <c r="KG25" s="75">
        <f t="shared" si="18"/>
        <v>0.9</v>
      </c>
      <c r="KH25" s="75">
        <f t="shared" si="18"/>
        <v>0.9</v>
      </c>
      <c r="KI25" s="75">
        <f t="shared" si="18"/>
        <v>0.9</v>
      </c>
      <c r="KJ25" s="75">
        <f t="shared" si="18"/>
        <v>0.9</v>
      </c>
      <c r="KK25" s="75">
        <f t="shared" si="18"/>
        <v>0.9</v>
      </c>
      <c r="KL25" s="75">
        <f t="shared" si="18"/>
        <v>0.9</v>
      </c>
      <c r="KM25" s="75">
        <f t="shared" si="18"/>
        <v>0.9</v>
      </c>
      <c r="KN25" s="75">
        <f t="shared" si="18"/>
        <v>0.9</v>
      </c>
      <c r="KO25" s="75">
        <f t="shared" si="18"/>
        <v>0.9</v>
      </c>
      <c r="KP25" s="75">
        <f t="shared" si="18"/>
        <v>0.9</v>
      </c>
      <c r="KQ25" s="75">
        <f t="shared" si="18"/>
        <v>0.9</v>
      </c>
      <c r="KR25" s="75">
        <f t="shared" si="18"/>
        <v>0.9</v>
      </c>
      <c r="KS25" s="75">
        <f t="shared" si="18"/>
        <v>0.9</v>
      </c>
      <c r="KT25" s="75">
        <f t="shared" si="18"/>
        <v>0.9</v>
      </c>
      <c r="KU25" s="75">
        <f t="shared" si="18"/>
        <v>0.9</v>
      </c>
      <c r="KV25" s="75">
        <f t="shared" si="18"/>
        <v>0.9</v>
      </c>
      <c r="KW25" s="75">
        <f t="shared" si="18"/>
        <v>0.9</v>
      </c>
      <c r="KX25" s="75">
        <f t="shared" si="18"/>
        <v>0.9</v>
      </c>
      <c r="KY25" s="75">
        <f t="shared" si="18"/>
        <v>0.9</v>
      </c>
      <c r="KZ25" s="75">
        <f t="shared" si="18"/>
        <v>0.9</v>
      </c>
      <c r="LA25" s="75">
        <f t="shared" si="18"/>
        <v>0.9</v>
      </c>
      <c r="LB25" s="75">
        <f t="shared" si="18"/>
        <v>0.9</v>
      </c>
      <c r="LC25" s="75">
        <f t="shared" si="18"/>
        <v>0.9</v>
      </c>
      <c r="LD25" s="75">
        <f t="shared" si="18"/>
        <v>0.9</v>
      </c>
      <c r="LE25" s="75">
        <f t="shared" si="18"/>
        <v>0.9</v>
      </c>
      <c r="LF25" s="75">
        <f t="shared" si="18"/>
        <v>0.9</v>
      </c>
      <c r="LG25" s="75">
        <f t="shared" si="18"/>
        <v>0.9</v>
      </c>
      <c r="LH25" s="75">
        <f t="shared" si="18"/>
        <v>0.9</v>
      </c>
      <c r="LI25" s="75">
        <f t="shared" si="18"/>
        <v>0.9</v>
      </c>
      <c r="LJ25" s="75">
        <f t="shared" si="18"/>
        <v>0.9</v>
      </c>
      <c r="LK25" s="75">
        <f t="shared" si="18"/>
        <v>0.9</v>
      </c>
      <c r="LL25" s="75">
        <f t="shared" si="18"/>
        <v>0.9</v>
      </c>
      <c r="LM25" s="75">
        <f t="shared" si="18"/>
        <v>0.9</v>
      </c>
      <c r="LN25" s="75">
        <f t="shared" si="18"/>
        <v>0.9</v>
      </c>
      <c r="LO25" s="75">
        <f t="shared" si="18"/>
        <v>0.9</v>
      </c>
      <c r="LP25" s="75">
        <f t="shared" si="18"/>
        <v>0.9</v>
      </c>
      <c r="LQ25" s="75">
        <f t="shared" si="18"/>
        <v>0.9</v>
      </c>
      <c r="LR25" s="75">
        <f t="shared" si="18"/>
        <v>0.9</v>
      </c>
      <c r="LS25" s="75">
        <f t="shared" si="18"/>
        <v>0.9</v>
      </c>
      <c r="LT25" s="75">
        <f t="shared" si="18"/>
        <v>0.9</v>
      </c>
      <c r="LU25" s="75">
        <f t="shared" si="18"/>
        <v>0.9</v>
      </c>
      <c r="LV25" s="75">
        <f t="shared" si="18"/>
        <v>0.9</v>
      </c>
      <c r="LW25" s="75">
        <f t="shared" si="18"/>
        <v>0.9</v>
      </c>
      <c r="LX25" s="75">
        <f t="shared" si="18"/>
        <v>0.9</v>
      </c>
      <c r="LY25" s="75">
        <f t="shared" si="18"/>
        <v>0.9</v>
      </c>
      <c r="LZ25" s="75">
        <f t="shared" si="18"/>
        <v>0.9</v>
      </c>
      <c r="MA25" s="75">
        <f t="shared" si="18"/>
        <v>0.9</v>
      </c>
      <c r="MB25" s="75">
        <f t="shared" si="18"/>
        <v>0.9</v>
      </c>
      <c r="MC25" s="75">
        <f t="shared" si="18"/>
        <v>0.9</v>
      </c>
      <c r="MD25" s="75">
        <f t="shared" si="18"/>
        <v>0.9</v>
      </c>
      <c r="ME25" s="75">
        <f t="shared" si="18"/>
        <v>0.9</v>
      </c>
      <c r="MF25" s="75">
        <f t="shared" si="18"/>
        <v>0.9</v>
      </c>
      <c r="MG25" s="75">
        <f t="shared" si="18"/>
        <v>0.9</v>
      </c>
      <c r="MH25" s="75">
        <f t="shared" si="18"/>
        <v>0.9</v>
      </c>
      <c r="MI25" s="75">
        <f t="shared" si="18"/>
        <v>0.9</v>
      </c>
      <c r="MJ25" s="75">
        <f t="shared" si="18"/>
        <v>0.9</v>
      </c>
      <c r="MK25" s="75">
        <f t="shared" si="18"/>
        <v>0.9</v>
      </c>
      <c r="ML25" s="75">
        <f t="shared" si="18"/>
        <v>0.9</v>
      </c>
      <c r="MM25" s="75">
        <f t="shared" si="18"/>
        <v>0.9</v>
      </c>
      <c r="MN25" s="75">
        <f t="shared" si="18"/>
        <v>0.9</v>
      </c>
      <c r="MO25" s="75">
        <f t="shared" si="18"/>
        <v>0.9</v>
      </c>
      <c r="MP25" s="75">
        <f t="shared" si="18"/>
        <v>0.9</v>
      </c>
      <c r="MQ25" s="75">
        <f t="shared" si="18"/>
        <v>0.9</v>
      </c>
      <c r="MR25" s="75">
        <f t="shared" si="18"/>
        <v>0.9</v>
      </c>
      <c r="MS25" s="75">
        <f t="shared" si="18"/>
        <v>0.9</v>
      </c>
      <c r="MT25" s="75">
        <f t="shared" si="18"/>
        <v>0.9</v>
      </c>
      <c r="MU25" s="75">
        <f t="shared" si="18"/>
        <v>0.9</v>
      </c>
      <c r="MV25" s="75">
        <f t="shared" si="18"/>
        <v>0.9</v>
      </c>
      <c r="MW25" s="75">
        <f t="shared" si="18"/>
        <v>0.9</v>
      </c>
      <c r="MX25" s="75">
        <f t="shared" si="18"/>
        <v>0.9</v>
      </c>
      <c r="MY25" s="75">
        <f t="shared" si="18"/>
        <v>0.9</v>
      </c>
      <c r="MZ25" s="75">
        <f t="shared" si="18"/>
        <v>0.9</v>
      </c>
      <c r="NA25" s="75">
        <f t="shared" si="18"/>
        <v>0.9</v>
      </c>
      <c r="NB25" s="75">
        <f t="shared" si="18"/>
        <v>0.9</v>
      </c>
      <c r="NC25" s="75">
        <f t="shared" si="18"/>
        <v>0.9</v>
      </c>
      <c r="ND25" s="75">
        <f t="shared" si="18"/>
        <v>0.9</v>
      </c>
      <c r="NE25" s="75">
        <f t="shared" si="18"/>
        <v>0.9</v>
      </c>
      <c r="NF25" s="75">
        <f t="shared" si="18"/>
        <v>0.9</v>
      </c>
      <c r="NG25" s="75">
        <f t="shared" si="18"/>
        <v>0.9</v>
      </c>
      <c r="NH25" s="75">
        <f t="shared" si="18"/>
        <v>0.9</v>
      </c>
      <c r="NI25" s="75">
        <f t="shared" si="18"/>
        <v>0.9</v>
      </c>
      <c r="NJ25" s="75">
        <f t="shared" si="18"/>
        <v>0.9</v>
      </c>
      <c r="NK25" s="75">
        <f t="shared" si="18"/>
        <v>0.9</v>
      </c>
      <c r="NL25" s="75">
        <f t="shared" si="18"/>
        <v>0.9</v>
      </c>
      <c r="NM25" s="75">
        <f t="shared" si="18"/>
        <v>0.9</v>
      </c>
      <c r="NN25" s="75">
        <f t="shared" si="18"/>
        <v>0.9</v>
      </c>
      <c r="NO25" s="75">
        <f t="shared" si="18"/>
        <v>0.9</v>
      </c>
      <c r="NP25" s="75">
        <f t="shared" si="18"/>
        <v>0.9</v>
      </c>
      <c r="NQ25" s="75">
        <f t="shared" si="18"/>
        <v>0.9</v>
      </c>
      <c r="NR25" s="75">
        <f t="shared" si="18"/>
        <v>0.9</v>
      </c>
      <c r="NS25" s="75">
        <f t="shared" si="18"/>
        <v>0.9</v>
      </c>
      <c r="NT25" s="75">
        <f t="shared" si="18"/>
        <v>0.9</v>
      </c>
      <c r="NU25" s="75">
        <f t="shared" si="18"/>
        <v>0.9</v>
      </c>
      <c r="NV25" s="75">
        <f t="shared" si="18"/>
        <v>0.9</v>
      </c>
      <c r="NW25" s="75">
        <f t="shared" si="18"/>
        <v>0.9</v>
      </c>
      <c r="NX25" s="75">
        <f t="shared" si="18"/>
        <v>0.9</v>
      </c>
      <c r="NY25" s="75">
        <f t="shared" si="18"/>
        <v>0.9</v>
      </c>
      <c r="NZ25" s="75">
        <f t="shared" si="18"/>
        <v>0.9</v>
      </c>
      <c r="OA25" s="75">
        <f t="shared" si="18"/>
        <v>0.9</v>
      </c>
      <c r="OB25" s="75">
        <f t="shared" si="18"/>
        <v>0.9</v>
      </c>
      <c r="OC25" s="75">
        <f t="shared" si="18"/>
        <v>0.9</v>
      </c>
      <c r="OD25" s="75">
        <f t="shared" si="18"/>
        <v>0.9</v>
      </c>
      <c r="OE25" s="75">
        <f t="shared" si="18"/>
        <v>0.9</v>
      </c>
      <c r="OF25" s="75">
        <f t="shared" si="18"/>
        <v>0.9</v>
      </c>
      <c r="OG25" s="75">
        <f t="shared" si="18"/>
        <v>0.9</v>
      </c>
      <c r="OH25" s="75">
        <f t="shared" si="18"/>
        <v>0.9</v>
      </c>
      <c r="OI25" s="75">
        <f t="shared" si="18"/>
        <v>0.9</v>
      </c>
      <c r="OJ25" s="75">
        <f t="shared" si="18"/>
        <v>0.9</v>
      </c>
      <c r="OK25" s="75">
        <f t="shared" si="18"/>
        <v>0.9</v>
      </c>
      <c r="OL25" s="75">
        <f t="shared" si="18"/>
        <v>0.9</v>
      </c>
      <c r="OM25" s="75">
        <f t="shared" si="18"/>
        <v>0.9</v>
      </c>
      <c r="ON25" s="75">
        <f t="shared" si="18"/>
        <v>0.9</v>
      </c>
      <c r="OO25" s="75">
        <f t="shared" si="18"/>
        <v>0.9</v>
      </c>
      <c r="OP25" s="75">
        <f t="shared" si="18"/>
        <v>0.9</v>
      </c>
      <c r="OQ25" s="75">
        <f t="shared" si="18"/>
        <v>0.9</v>
      </c>
      <c r="OR25" s="75">
        <f t="shared" si="18"/>
        <v>0.9</v>
      </c>
      <c r="OS25" s="75">
        <f t="shared" si="18"/>
        <v>0.9</v>
      </c>
      <c r="OT25" s="75">
        <f t="shared" si="18"/>
        <v>0.9</v>
      </c>
      <c r="OU25" s="75">
        <f t="shared" si="18"/>
        <v>0.9</v>
      </c>
      <c r="OV25" s="75">
        <f t="shared" si="18"/>
        <v>0.9</v>
      </c>
      <c r="OW25" s="75">
        <f t="shared" si="18"/>
        <v>0.9</v>
      </c>
      <c r="OX25" s="75">
        <f t="shared" si="18"/>
        <v>0.9</v>
      </c>
      <c r="OY25" s="75">
        <f t="shared" si="18"/>
        <v>0.9</v>
      </c>
      <c r="OZ25" s="75">
        <f t="shared" si="18"/>
        <v>0.9</v>
      </c>
      <c r="PA25" s="75">
        <f t="shared" si="18"/>
        <v>0.9</v>
      </c>
      <c r="PB25" s="75">
        <f t="shared" si="18"/>
        <v>0.9</v>
      </c>
      <c r="PC25" s="75">
        <f t="shared" si="18"/>
        <v>0.9</v>
      </c>
      <c r="PD25" s="75">
        <f t="shared" si="18"/>
        <v>0.9</v>
      </c>
      <c r="PE25" s="75">
        <f t="shared" si="18"/>
        <v>0.9</v>
      </c>
      <c r="PF25" s="75">
        <f t="shared" si="18"/>
        <v>0.9</v>
      </c>
      <c r="PG25" s="75">
        <f t="shared" si="18"/>
        <v>0.9</v>
      </c>
      <c r="PH25" s="75">
        <f t="shared" si="18"/>
        <v>0.9</v>
      </c>
      <c r="PI25" s="75">
        <f t="shared" si="18"/>
        <v>0.9</v>
      </c>
      <c r="PJ25" s="75">
        <f t="shared" si="18"/>
        <v>0.9</v>
      </c>
      <c r="PK25" s="75">
        <f t="shared" si="18"/>
        <v>0.9</v>
      </c>
      <c r="PL25" s="75">
        <f t="shared" si="18"/>
        <v>0.9</v>
      </c>
      <c r="PM25" s="75">
        <f t="shared" si="18"/>
        <v>0.9</v>
      </c>
      <c r="PN25" s="75">
        <f t="shared" si="18"/>
        <v>0.9</v>
      </c>
      <c r="PO25" s="75">
        <f t="shared" si="18"/>
        <v>0.9</v>
      </c>
      <c r="PP25" s="75">
        <f t="shared" si="18"/>
        <v>0.9</v>
      </c>
      <c r="PQ25" s="75">
        <f t="shared" si="18"/>
        <v>0.9</v>
      </c>
      <c r="PR25" s="75">
        <f t="shared" si="18"/>
        <v>0.9</v>
      </c>
      <c r="PS25" s="75">
        <f t="shared" si="18"/>
        <v>0.9</v>
      </c>
      <c r="PT25" s="75">
        <f t="shared" si="18"/>
        <v>0.9</v>
      </c>
      <c r="PU25" s="75">
        <f t="shared" si="18"/>
        <v>0.9</v>
      </c>
      <c r="PV25" s="75">
        <f t="shared" si="18"/>
        <v>0.9</v>
      </c>
      <c r="PW25" s="75">
        <f t="shared" si="18"/>
        <v>0.9</v>
      </c>
      <c r="PX25" s="75">
        <f t="shared" si="18"/>
        <v>0.9</v>
      </c>
      <c r="PY25" s="75">
        <f t="shared" si="18"/>
        <v>0.9</v>
      </c>
      <c r="PZ25" s="75">
        <f t="shared" si="18"/>
        <v>0.9</v>
      </c>
      <c r="QA25" s="75">
        <f t="shared" si="18"/>
        <v>0.9</v>
      </c>
      <c r="QB25" s="75">
        <f t="shared" si="18"/>
        <v>0.9</v>
      </c>
      <c r="QC25" s="75">
        <f t="shared" si="18"/>
        <v>0.9</v>
      </c>
      <c r="QD25" s="75">
        <f t="shared" si="18"/>
        <v>0.9</v>
      </c>
      <c r="QE25" s="75">
        <f t="shared" si="18"/>
        <v>0.9</v>
      </c>
      <c r="QF25" s="75">
        <f t="shared" si="18"/>
        <v>0.9</v>
      </c>
      <c r="QG25" s="75">
        <f t="shared" si="18"/>
        <v>0.9</v>
      </c>
      <c r="QH25" s="75">
        <f t="shared" si="18"/>
        <v>0.9</v>
      </c>
      <c r="QI25" s="75">
        <f t="shared" si="18"/>
        <v>0.9</v>
      </c>
      <c r="QJ25" s="75">
        <f t="shared" si="18"/>
        <v>0.9</v>
      </c>
      <c r="QK25" s="75">
        <f t="shared" si="18"/>
        <v>0.9</v>
      </c>
      <c r="QL25" s="75">
        <f t="shared" si="18"/>
        <v>0.9</v>
      </c>
      <c r="QM25" s="75">
        <f t="shared" si="18"/>
        <v>0.9</v>
      </c>
      <c r="QN25" s="75">
        <f t="shared" si="18"/>
        <v>0.9</v>
      </c>
      <c r="QO25" s="75">
        <f t="shared" si="18"/>
        <v>0.9</v>
      </c>
      <c r="QP25" s="75">
        <f t="shared" si="18"/>
        <v>0.9</v>
      </c>
      <c r="QQ25" s="75">
        <f t="shared" si="18"/>
        <v>0.9</v>
      </c>
      <c r="QR25" s="75">
        <f t="shared" si="18"/>
        <v>0.9</v>
      </c>
      <c r="QS25" s="75">
        <f t="shared" si="18"/>
        <v>0.9</v>
      </c>
      <c r="QT25" s="75">
        <f t="shared" si="18"/>
        <v>0.9</v>
      </c>
      <c r="QU25" s="75">
        <f t="shared" si="18"/>
        <v>0.9</v>
      </c>
      <c r="QV25" s="75">
        <f t="shared" si="18"/>
        <v>0.9</v>
      </c>
      <c r="QW25" s="75">
        <f t="shared" si="18"/>
        <v>0.9</v>
      </c>
      <c r="QX25" s="75">
        <f t="shared" si="18"/>
        <v>0.9</v>
      </c>
      <c r="QY25" s="75">
        <f t="shared" si="18"/>
        <v>0.9</v>
      </c>
      <c r="QZ25" s="75">
        <f t="shared" si="18"/>
        <v>0.9</v>
      </c>
      <c r="RA25" s="75">
        <f t="shared" si="18"/>
        <v>0.9</v>
      </c>
      <c r="RB25" s="75">
        <f t="shared" si="18"/>
        <v>0.9</v>
      </c>
      <c r="RC25" s="75">
        <f t="shared" si="18"/>
        <v>0.9</v>
      </c>
      <c r="RD25" s="75">
        <f t="shared" si="18"/>
        <v>0.9</v>
      </c>
      <c r="RE25" s="75">
        <f t="shared" si="18"/>
        <v>0.9</v>
      </c>
      <c r="RF25" s="75">
        <f t="shared" si="18"/>
        <v>0.9</v>
      </c>
      <c r="RG25" s="75">
        <f t="shared" si="18"/>
        <v>0.9</v>
      </c>
      <c r="RH25" s="75">
        <f t="shared" si="18"/>
        <v>0.9</v>
      </c>
      <c r="RI25" s="75">
        <f t="shared" si="18"/>
        <v>0.9</v>
      </c>
      <c r="RJ25" s="75">
        <f t="shared" si="18"/>
        <v>0.9</v>
      </c>
      <c r="RK25" s="75">
        <f t="shared" si="18"/>
        <v>0.9</v>
      </c>
      <c r="RL25" s="75">
        <f t="shared" si="18"/>
        <v>0.9</v>
      </c>
      <c r="RM25" s="75">
        <f t="shared" si="18"/>
        <v>0.9</v>
      </c>
      <c r="RN25" s="75">
        <f t="shared" si="18"/>
        <v>0.9</v>
      </c>
      <c r="RO25" s="75">
        <f t="shared" si="18"/>
        <v>0.9</v>
      </c>
      <c r="RP25" s="75">
        <f t="shared" si="18"/>
        <v>0.9</v>
      </c>
      <c r="RQ25" s="75">
        <f t="shared" si="18"/>
        <v>0.9</v>
      </c>
      <c r="RR25" s="75">
        <f t="shared" si="18"/>
        <v>0.9</v>
      </c>
      <c r="RS25" s="75">
        <f t="shared" si="18"/>
        <v>0.9</v>
      </c>
      <c r="RT25" s="75">
        <f t="shared" si="18"/>
        <v>0.9</v>
      </c>
      <c r="RU25" s="75">
        <f t="shared" si="18"/>
        <v>0.9</v>
      </c>
      <c r="RV25" s="75">
        <f t="shared" si="18"/>
        <v>0.9</v>
      </c>
      <c r="RW25" s="75">
        <f t="shared" si="18"/>
        <v>0.9</v>
      </c>
      <c r="RX25" s="75">
        <f t="shared" si="18"/>
        <v>0.9</v>
      </c>
      <c r="RY25" s="75">
        <f t="shared" si="18"/>
        <v>0.9</v>
      </c>
      <c r="RZ25" s="75">
        <f t="shared" si="18"/>
        <v>0.9</v>
      </c>
      <c r="SA25" s="75">
        <f t="shared" si="18"/>
        <v>0.9</v>
      </c>
      <c r="SB25" s="75">
        <f t="shared" si="18"/>
        <v>0.9</v>
      </c>
      <c r="SC25" s="75">
        <f t="shared" si="18"/>
        <v>0.9</v>
      </c>
      <c r="SD25" s="75">
        <f t="shared" si="18"/>
        <v>0.9</v>
      </c>
      <c r="SE25" s="75">
        <f t="shared" si="18"/>
        <v>0.9</v>
      </c>
      <c r="SF25" s="75">
        <f t="shared" si="18"/>
        <v>0.9</v>
      </c>
      <c r="SG25" s="75">
        <f t="shared" si="18"/>
        <v>0.9</v>
      </c>
      <c r="SH25" s="75">
        <f t="shared" si="18"/>
        <v>0.9</v>
      </c>
      <c r="SI25" s="75">
        <f t="shared" si="18"/>
        <v>0.9</v>
      </c>
      <c r="SJ25" s="75">
        <f t="shared" si="18"/>
        <v>0.9</v>
      </c>
      <c r="SK25" s="75">
        <f t="shared" si="18"/>
        <v>0.9</v>
      </c>
      <c r="SL25" s="75">
        <f t="shared" si="18"/>
        <v>0.9</v>
      </c>
    </row>
    <row r="26">
      <c r="A26" s="53" t="s">
        <v>102</v>
      </c>
      <c r="B26" s="74">
        <f>B24*B25</f>
        <v>4196.394723</v>
      </c>
      <c r="C26" s="268"/>
      <c r="D26" s="269"/>
      <c r="E26" s="270"/>
      <c r="F26" s="74"/>
      <c r="G26" s="74">
        <f t="shared" ref="G26:SL26" si="19">G24*G25</f>
        <v>3646.757614</v>
      </c>
      <c r="H26" s="74">
        <f t="shared" si="19"/>
        <v>2877.989753</v>
      </c>
      <c r="I26" s="74">
        <f t="shared" si="19"/>
        <v>2789.410567</v>
      </c>
      <c r="J26" s="74">
        <f t="shared" si="19"/>
        <v>6344.428377</v>
      </c>
      <c r="K26" s="74">
        <f t="shared" si="19"/>
        <v>3252.109041</v>
      </c>
      <c r="L26" s="74">
        <f t="shared" si="19"/>
        <v>3223.84214</v>
      </c>
      <c r="M26" s="74">
        <f t="shared" si="19"/>
        <v>4722.569791</v>
      </c>
      <c r="N26" s="74">
        <f t="shared" si="19"/>
        <v>6499.511926</v>
      </c>
      <c r="O26" s="74">
        <f t="shared" si="19"/>
        <v>9462.773236</v>
      </c>
      <c r="P26" s="74">
        <f t="shared" si="19"/>
        <v>3681.568941</v>
      </c>
      <c r="Q26" s="74">
        <f t="shared" si="19"/>
        <v>7512.066641</v>
      </c>
      <c r="R26" s="74">
        <f t="shared" si="19"/>
        <v>6937.117867</v>
      </c>
      <c r="S26" s="74">
        <f t="shared" si="19"/>
        <v>4133.695759</v>
      </c>
      <c r="T26" s="74">
        <f t="shared" si="19"/>
        <v>2463.064759</v>
      </c>
      <c r="U26" s="74">
        <f t="shared" si="19"/>
        <v>8192.036447</v>
      </c>
      <c r="V26" s="74">
        <f t="shared" si="19"/>
        <v>2517.879841</v>
      </c>
      <c r="W26" s="74">
        <f t="shared" si="19"/>
        <v>2116.094981</v>
      </c>
      <c r="X26" s="74">
        <f t="shared" si="19"/>
        <v>5126.630104</v>
      </c>
      <c r="Y26" s="74">
        <f t="shared" si="19"/>
        <v>8323.008008</v>
      </c>
      <c r="Z26" s="74">
        <f t="shared" si="19"/>
        <v>3887.521439</v>
      </c>
      <c r="AA26" s="74">
        <f t="shared" si="19"/>
        <v>4431.990267</v>
      </c>
      <c r="AB26" s="74">
        <f t="shared" si="19"/>
        <v>5232.39233</v>
      </c>
      <c r="AC26" s="74">
        <f t="shared" si="19"/>
        <v>1949.468543</v>
      </c>
      <c r="AD26" s="74">
        <f t="shared" si="19"/>
        <v>1815.804356</v>
      </c>
      <c r="AE26" s="74">
        <f t="shared" si="19"/>
        <v>4263.03521</v>
      </c>
      <c r="AF26" s="74">
        <f t="shared" si="19"/>
        <v>4265.417432</v>
      </c>
      <c r="AG26" s="74">
        <f t="shared" si="19"/>
        <v>4713.846558</v>
      </c>
      <c r="AH26" s="74">
        <f t="shared" si="19"/>
        <v>3348.324925</v>
      </c>
      <c r="AI26" s="74">
        <f t="shared" si="19"/>
        <v>5748.14175</v>
      </c>
      <c r="AJ26" s="74">
        <f t="shared" si="19"/>
        <v>2593.019839</v>
      </c>
      <c r="AK26" s="74">
        <f t="shared" si="19"/>
        <v>4999.9752</v>
      </c>
      <c r="AL26" s="74">
        <f t="shared" si="19"/>
        <v>4649.143671</v>
      </c>
      <c r="AM26" s="74">
        <f t="shared" si="19"/>
        <v>4211.193144</v>
      </c>
      <c r="AN26" s="74">
        <f t="shared" si="19"/>
        <v>3029.29252</v>
      </c>
      <c r="AO26" s="74">
        <f t="shared" si="19"/>
        <v>2795.78199</v>
      </c>
      <c r="AP26" s="74">
        <f t="shared" si="19"/>
        <v>3229.035439</v>
      </c>
      <c r="AQ26" s="74">
        <f t="shared" si="19"/>
        <v>2186.920642</v>
      </c>
      <c r="AR26" s="74">
        <f t="shared" si="19"/>
        <v>8656.59939</v>
      </c>
      <c r="AS26" s="74">
        <f t="shared" si="19"/>
        <v>3956.640634</v>
      </c>
      <c r="AT26" s="74">
        <f t="shared" si="19"/>
        <v>2770.778572</v>
      </c>
      <c r="AU26" s="74">
        <f t="shared" si="19"/>
        <v>4263.220507</v>
      </c>
      <c r="AV26" s="74">
        <f t="shared" si="19"/>
        <v>3093.187611</v>
      </c>
      <c r="AW26" s="74">
        <f t="shared" si="19"/>
        <v>3517.978594</v>
      </c>
      <c r="AX26" s="74">
        <f t="shared" si="19"/>
        <v>2194.400382</v>
      </c>
      <c r="AY26" s="74">
        <f t="shared" si="19"/>
        <v>9684.807144</v>
      </c>
      <c r="AZ26" s="74">
        <f t="shared" si="19"/>
        <v>2170.54931</v>
      </c>
      <c r="BA26" s="74">
        <f t="shared" si="19"/>
        <v>5448.968206</v>
      </c>
      <c r="BB26" s="74">
        <f t="shared" si="19"/>
        <v>5788.559393</v>
      </c>
      <c r="BC26" s="74">
        <f t="shared" si="19"/>
        <v>3488.284232</v>
      </c>
      <c r="BD26" s="74">
        <f t="shared" si="19"/>
        <v>4116.102183</v>
      </c>
      <c r="BE26" s="74">
        <f t="shared" si="19"/>
        <v>3211.20586</v>
      </c>
      <c r="BF26" s="74">
        <f t="shared" si="19"/>
        <v>2991.416692</v>
      </c>
      <c r="BG26" s="74">
        <f t="shared" si="19"/>
        <v>7536.303444</v>
      </c>
      <c r="BH26" s="74">
        <f t="shared" si="19"/>
        <v>1219.928252</v>
      </c>
      <c r="BI26" s="74">
        <f t="shared" si="19"/>
        <v>5205.719919</v>
      </c>
      <c r="BJ26" s="74">
        <f t="shared" si="19"/>
        <v>1456.713102</v>
      </c>
      <c r="BK26" s="74">
        <f t="shared" si="19"/>
        <v>3151.879438</v>
      </c>
      <c r="BL26" s="74">
        <f t="shared" si="19"/>
        <v>2755.652278</v>
      </c>
      <c r="BM26" s="74">
        <f t="shared" si="19"/>
        <v>3187.290479</v>
      </c>
      <c r="BN26" s="74">
        <f t="shared" si="19"/>
        <v>6431.643719</v>
      </c>
      <c r="BO26" s="74">
        <f t="shared" si="19"/>
        <v>1739.156875</v>
      </c>
      <c r="BP26" s="74">
        <f t="shared" si="19"/>
        <v>4201.48406</v>
      </c>
      <c r="BQ26" s="74">
        <f t="shared" si="19"/>
        <v>2336.876776</v>
      </c>
      <c r="BR26" s="74">
        <f t="shared" si="19"/>
        <v>5601.322648</v>
      </c>
      <c r="BS26" s="74">
        <f t="shared" si="19"/>
        <v>1671.331519</v>
      </c>
      <c r="BT26" s="74">
        <f t="shared" si="19"/>
        <v>2912.481184</v>
      </c>
      <c r="BU26" s="74">
        <f t="shared" si="19"/>
        <v>8658.629485</v>
      </c>
      <c r="BV26" s="74">
        <f t="shared" si="19"/>
        <v>5698.430587</v>
      </c>
      <c r="BW26" s="74">
        <f t="shared" si="19"/>
        <v>4358.218929</v>
      </c>
      <c r="BX26" s="74">
        <f t="shared" si="19"/>
        <v>4389.669286</v>
      </c>
      <c r="BY26" s="74">
        <f t="shared" si="19"/>
        <v>3201.30745</v>
      </c>
      <c r="BZ26" s="74">
        <f t="shared" si="19"/>
        <v>3459.819215</v>
      </c>
      <c r="CA26" s="74">
        <f t="shared" si="19"/>
        <v>3177.244802</v>
      </c>
      <c r="CB26" s="74">
        <f t="shared" si="19"/>
        <v>2781.76785</v>
      </c>
      <c r="CC26" s="74">
        <f t="shared" si="19"/>
        <v>2328.241371</v>
      </c>
      <c r="CD26" s="74">
        <f t="shared" si="19"/>
        <v>3652.838373</v>
      </c>
      <c r="CE26" s="74">
        <f t="shared" si="19"/>
        <v>3248.544132</v>
      </c>
      <c r="CF26" s="74">
        <f t="shared" si="19"/>
        <v>4531.979594</v>
      </c>
      <c r="CG26" s="74">
        <f t="shared" si="19"/>
        <v>2264.293661</v>
      </c>
      <c r="CH26" s="74">
        <f t="shared" si="19"/>
        <v>2044.638893</v>
      </c>
      <c r="CI26" s="74">
        <f t="shared" si="19"/>
        <v>4849.747261</v>
      </c>
      <c r="CJ26" s="74">
        <f t="shared" si="19"/>
        <v>8355.029116</v>
      </c>
      <c r="CK26" s="74">
        <f t="shared" si="19"/>
        <v>5186.035641</v>
      </c>
      <c r="CL26" s="74">
        <f t="shared" si="19"/>
        <v>3993.032009</v>
      </c>
      <c r="CM26" s="74">
        <f t="shared" si="19"/>
        <v>3774.757498</v>
      </c>
      <c r="CN26" s="74">
        <f t="shared" si="19"/>
        <v>6502.953264</v>
      </c>
      <c r="CO26" s="74">
        <f t="shared" si="19"/>
        <v>2824.712919</v>
      </c>
      <c r="CP26" s="74">
        <f t="shared" si="19"/>
        <v>2599.848366</v>
      </c>
      <c r="CQ26" s="74">
        <f t="shared" si="19"/>
        <v>5109.501306</v>
      </c>
      <c r="CR26" s="74">
        <f t="shared" si="19"/>
        <v>6887.068596</v>
      </c>
      <c r="CS26" s="74">
        <f t="shared" si="19"/>
        <v>3057.520441</v>
      </c>
      <c r="CT26" s="74">
        <f t="shared" si="19"/>
        <v>4023.983768</v>
      </c>
      <c r="CU26" s="74">
        <f t="shared" si="19"/>
        <v>4805.115731</v>
      </c>
      <c r="CV26" s="74">
        <f t="shared" si="19"/>
        <v>3642.747241</v>
      </c>
      <c r="CW26" s="74">
        <f t="shared" si="19"/>
        <v>3958.344743</v>
      </c>
      <c r="CX26" s="74">
        <f t="shared" si="19"/>
        <v>3443.028939</v>
      </c>
      <c r="CY26" s="74">
        <f t="shared" si="19"/>
        <v>5565.50708</v>
      </c>
      <c r="CZ26" s="74">
        <f t="shared" si="19"/>
        <v>7205.702681</v>
      </c>
      <c r="DA26" s="74">
        <f t="shared" si="19"/>
        <v>5464.512829</v>
      </c>
      <c r="DB26" s="74">
        <f t="shared" si="19"/>
        <v>2942.072493</v>
      </c>
      <c r="DC26" s="74">
        <f t="shared" si="19"/>
        <v>2325.342002</v>
      </c>
      <c r="DD26" s="74">
        <f t="shared" si="19"/>
        <v>3347.846957</v>
      </c>
      <c r="DE26" s="74">
        <f t="shared" si="19"/>
        <v>2245.480667</v>
      </c>
      <c r="DF26" s="74">
        <f t="shared" si="19"/>
        <v>4091.29209</v>
      </c>
      <c r="DG26" s="74">
        <f t="shared" si="19"/>
        <v>3205.592522</v>
      </c>
      <c r="DH26" s="74">
        <f t="shared" si="19"/>
        <v>6000.268129</v>
      </c>
      <c r="DI26" s="74">
        <f t="shared" si="19"/>
        <v>2199.871995</v>
      </c>
      <c r="DJ26" s="74">
        <f t="shared" si="19"/>
        <v>4504.449944</v>
      </c>
      <c r="DK26" s="74">
        <f t="shared" si="19"/>
        <v>4031.144752</v>
      </c>
      <c r="DL26" s="74">
        <f t="shared" si="19"/>
        <v>1937.787444</v>
      </c>
      <c r="DM26" s="74">
        <f t="shared" si="19"/>
        <v>4438.707474</v>
      </c>
      <c r="DN26" s="74">
        <f t="shared" si="19"/>
        <v>2256.127063</v>
      </c>
      <c r="DO26" s="74">
        <f t="shared" si="19"/>
        <v>2080.310962</v>
      </c>
      <c r="DP26" s="74">
        <f t="shared" si="19"/>
        <v>2627.553891</v>
      </c>
      <c r="DQ26" s="74">
        <f t="shared" si="19"/>
        <v>6203.705874</v>
      </c>
      <c r="DR26" s="74">
        <f t="shared" si="19"/>
        <v>6508.893918</v>
      </c>
      <c r="DS26" s="74">
        <f t="shared" si="19"/>
        <v>7154.645734</v>
      </c>
      <c r="DT26" s="74">
        <f t="shared" si="19"/>
        <v>5434.773459</v>
      </c>
      <c r="DU26" s="74">
        <f t="shared" si="19"/>
        <v>3273.985777</v>
      </c>
      <c r="DV26" s="74">
        <f t="shared" si="19"/>
        <v>5371.336357</v>
      </c>
      <c r="DW26" s="74">
        <f t="shared" si="19"/>
        <v>4864.914882</v>
      </c>
      <c r="DX26" s="74">
        <f t="shared" si="19"/>
        <v>4220.574218</v>
      </c>
      <c r="DY26" s="74">
        <f t="shared" si="19"/>
        <v>4449.628771</v>
      </c>
      <c r="DZ26" s="74">
        <f t="shared" si="19"/>
        <v>2950.287592</v>
      </c>
      <c r="EA26" s="74">
        <f t="shared" si="19"/>
        <v>3251.50361</v>
      </c>
      <c r="EB26" s="74">
        <f t="shared" si="19"/>
        <v>4147.449466</v>
      </c>
      <c r="EC26" s="74">
        <f t="shared" si="19"/>
        <v>4503.235516</v>
      </c>
      <c r="ED26" s="74">
        <f t="shared" si="19"/>
        <v>3296.672942</v>
      </c>
      <c r="EE26" s="74">
        <f t="shared" si="19"/>
        <v>4590.623608</v>
      </c>
      <c r="EF26" s="74">
        <f t="shared" si="19"/>
        <v>6326.050139</v>
      </c>
      <c r="EG26" s="74">
        <f t="shared" si="19"/>
        <v>3685.279381</v>
      </c>
      <c r="EH26" s="74">
        <f t="shared" si="19"/>
        <v>2704.137464</v>
      </c>
      <c r="EI26" s="74">
        <f t="shared" si="19"/>
        <v>4160.220992</v>
      </c>
      <c r="EJ26" s="74">
        <f t="shared" si="19"/>
        <v>1772.182726</v>
      </c>
      <c r="EK26" s="74">
        <f t="shared" si="19"/>
        <v>6807.109762</v>
      </c>
      <c r="EL26" s="74">
        <f t="shared" si="19"/>
        <v>5280.966708</v>
      </c>
      <c r="EM26" s="74">
        <f t="shared" si="19"/>
        <v>1062.942516</v>
      </c>
      <c r="EN26" s="74">
        <f t="shared" si="19"/>
        <v>4334.219329</v>
      </c>
      <c r="EO26" s="74">
        <f t="shared" si="19"/>
        <v>6049.142611</v>
      </c>
      <c r="EP26" s="74">
        <f t="shared" si="19"/>
        <v>2403.094457</v>
      </c>
      <c r="EQ26" s="74">
        <f t="shared" si="19"/>
        <v>5618.088632</v>
      </c>
      <c r="ER26" s="74">
        <f t="shared" si="19"/>
        <v>3703.02722</v>
      </c>
      <c r="ES26" s="74">
        <f t="shared" si="19"/>
        <v>3582.398889</v>
      </c>
      <c r="ET26" s="74">
        <f t="shared" si="19"/>
        <v>3808.055009</v>
      </c>
      <c r="EU26" s="74">
        <f t="shared" si="19"/>
        <v>5632.767736</v>
      </c>
      <c r="EV26" s="74">
        <f t="shared" si="19"/>
        <v>3623.681149</v>
      </c>
      <c r="EW26" s="74">
        <f t="shared" si="19"/>
        <v>4222.60495</v>
      </c>
      <c r="EX26" s="74">
        <f t="shared" si="19"/>
        <v>3227.350524</v>
      </c>
      <c r="EY26" s="74">
        <f t="shared" si="19"/>
        <v>4555.758399</v>
      </c>
      <c r="EZ26" s="74">
        <f t="shared" si="19"/>
        <v>3799.269763</v>
      </c>
      <c r="FA26" s="74">
        <f t="shared" si="19"/>
        <v>4190.309366</v>
      </c>
      <c r="FB26" s="74">
        <f t="shared" si="19"/>
        <v>6029.120744</v>
      </c>
      <c r="FC26" s="74">
        <f t="shared" si="19"/>
        <v>4968.429775</v>
      </c>
      <c r="FD26" s="74">
        <f t="shared" si="19"/>
        <v>1941.101383</v>
      </c>
      <c r="FE26" s="74">
        <f t="shared" si="19"/>
        <v>1809.560848</v>
      </c>
      <c r="FF26" s="74">
        <f t="shared" si="19"/>
        <v>1945.186617</v>
      </c>
      <c r="FG26" s="74">
        <f t="shared" si="19"/>
        <v>2007.839118</v>
      </c>
      <c r="FH26" s="74">
        <f t="shared" si="19"/>
        <v>5257.038973</v>
      </c>
      <c r="FI26" s="74">
        <f t="shared" si="19"/>
        <v>3161.290335</v>
      </c>
      <c r="FJ26" s="74">
        <f t="shared" si="19"/>
        <v>1165.490419</v>
      </c>
      <c r="FK26" s="74">
        <f t="shared" si="19"/>
        <v>6325.046132</v>
      </c>
      <c r="FL26" s="74">
        <f t="shared" si="19"/>
        <v>5681.012854</v>
      </c>
      <c r="FM26" s="74">
        <f t="shared" si="19"/>
        <v>6758.194187</v>
      </c>
      <c r="FN26" s="74">
        <f t="shared" si="19"/>
        <v>5681.366235</v>
      </c>
      <c r="FO26" s="74">
        <f t="shared" si="19"/>
        <v>4989.965117</v>
      </c>
      <c r="FP26" s="74">
        <f t="shared" si="19"/>
        <v>3433.420651</v>
      </c>
      <c r="FQ26" s="74">
        <f t="shared" si="19"/>
        <v>6479.761231</v>
      </c>
      <c r="FR26" s="74">
        <f t="shared" si="19"/>
        <v>3694.974817</v>
      </c>
      <c r="FS26" s="74">
        <f t="shared" si="19"/>
        <v>4904.851188</v>
      </c>
      <c r="FT26" s="74">
        <f t="shared" si="19"/>
        <v>4282.734426</v>
      </c>
      <c r="FU26" s="74">
        <f t="shared" si="19"/>
        <v>3049.368742</v>
      </c>
      <c r="FV26" s="74">
        <f t="shared" si="19"/>
        <v>2651.976306</v>
      </c>
      <c r="FW26" s="74">
        <f t="shared" si="19"/>
        <v>4284.149456</v>
      </c>
      <c r="FX26" s="74">
        <f t="shared" si="19"/>
        <v>2828.15838</v>
      </c>
      <c r="FY26" s="74">
        <f t="shared" si="19"/>
        <v>4383.707895</v>
      </c>
      <c r="FZ26" s="74">
        <f t="shared" si="19"/>
        <v>4625.099059</v>
      </c>
      <c r="GA26" s="74">
        <f t="shared" si="19"/>
        <v>3468.732324</v>
      </c>
      <c r="GB26" s="74">
        <f t="shared" si="19"/>
        <v>1631.07032</v>
      </c>
      <c r="GC26" s="74">
        <f t="shared" si="19"/>
        <v>4357.805215</v>
      </c>
      <c r="GD26" s="74">
        <f t="shared" si="19"/>
        <v>2727.446207</v>
      </c>
      <c r="GE26" s="74">
        <f t="shared" si="19"/>
        <v>2057.891887</v>
      </c>
      <c r="GF26" s="74">
        <f t="shared" si="19"/>
        <v>4078.847616</v>
      </c>
      <c r="GG26" s="74">
        <f t="shared" si="19"/>
        <v>2504.380466</v>
      </c>
      <c r="GH26" s="74">
        <f t="shared" si="19"/>
        <v>3656.418837</v>
      </c>
      <c r="GI26" s="74">
        <f t="shared" si="19"/>
        <v>2696.725955</v>
      </c>
      <c r="GJ26" s="74">
        <f t="shared" si="19"/>
        <v>4066.701229</v>
      </c>
      <c r="GK26" s="74">
        <f t="shared" si="19"/>
        <v>4742.452458</v>
      </c>
      <c r="GL26" s="74">
        <f t="shared" si="19"/>
        <v>2987.108669</v>
      </c>
      <c r="GM26" s="74">
        <f t="shared" si="19"/>
        <v>3431.28305</v>
      </c>
      <c r="GN26" s="74">
        <f t="shared" si="19"/>
        <v>7422.635837</v>
      </c>
      <c r="GO26" s="74">
        <f t="shared" si="19"/>
        <v>1346.730137</v>
      </c>
      <c r="GP26" s="74">
        <f t="shared" si="19"/>
        <v>3124.851199</v>
      </c>
      <c r="GQ26" s="74">
        <f t="shared" si="19"/>
        <v>4972.312642</v>
      </c>
      <c r="GR26" s="74">
        <f t="shared" si="19"/>
        <v>5536.216176</v>
      </c>
      <c r="GS26" s="74">
        <f t="shared" si="19"/>
        <v>7515.291471</v>
      </c>
      <c r="GT26" s="74">
        <f t="shared" si="19"/>
        <v>2293.901506</v>
      </c>
      <c r="GU26" s="74">
        <f t="shared" si="19"/>
        <v>3525.488543</v>
      </c>
      <c r="GV26" s="74">
        <f t="shared" si="19"/>
        <v>3321.27866</v>
      </c>
      <c r="GW26" s="74">
        <f t="shared" si="19"/>
        <v>1899.281981</v>
      </c>
      <c r="GX26" s="74">
        <f t="shared" si="19"/>
        <v>5107.024374</v>
      </c>
      <c r="GY26" s="74">
        <f t="shared" si="19"/>
        <v>2483.530829</v>
      </c>
      <c r="GZ26" s="74">
        <f t="shared" si="19"/>
        <v>5813.262659</v>
      </c>
      <c r="HA26" s="74">
        <f t="shared" si="19"/>
        <v>4259.965537</v>
      </c>
      <c r="HB26" s="74">
        <f t="shared" si="19"/>
        <v>2698.189178</v>
      </c>
      <c r="HC26" s="74">
        <f t="shared" si="19"/>
        <v>7014.523058</v>
      </c>
      <c r="HD26" s="74">
        <f t="shared" si="19"/>
        <v>4416.942409</v>
      </c>
      <c r="HE26" s="74">
        <f t="shared" si="19"/>
        <v>7849.057205</v>
      </c>
      <c r="HF26" s="74">
        <f t="shared" si="19"/>
        <v>1761.736219</v>
      </c>
      <c r="HG26" s="74">
        <f t="shared" si="19"/>
        <v>2756.040609</v>
      </c>
      <c r="HH26" s="74">
        <f t="shared" si="19"/>
        <v>3932.562363</v>
      </c>
      <c r="HI26" s="74">
        <f t="shared" si="19"/>
        <v>4923.570663</v>
      </c>
      <c r="HJ26" s="74">
        <f t="shared" si="19"/>
        <v>3106.013581</v>
      </c>
      <c r="HK26" s="74">
        <f t="shared" si="19"/>
        <v>2843.652157</v>
      </c>
      <c r="HL26" s="74">
        <f t="shared" si="19"/>
        <v>4724.674277</v>
      </c>
      <c r="HM26" s="74">
        <f t="shared" si="19"/>
        <v>6101.023022</v>
      </c>
      <c r="HN26" s="74">
        <f t="shared" si="19"/>
        <v>3136.540688</v>
      </c>
      <c r="HO26" s="74">
        <f t="shared" si="19"/>
        <v>2123.729135</v>
      </c>
      <c r="HP26" s="74">
        <f t="shared" si="19"/>
        <v>5052.255563</v>
      </c>
      <c r="HQ26" s="74">
        <f t="shared" si="19"/>
        <v>2738.606244</v>
      </c>
      <c r="HR26" s="74">
        <f t="shared" si="19"/>
        <v>7518.593218</v>
      </c>
      <c r="HS26" s="74">
        <f t="shared" si="19"/>
        <v>7015.652494</v>
      </c>
      <c r="HT26" s="74">
        <f t="shared" si="19"/>
        <v>4564.968488</v>
      </c>
      <c r="HU26" s="74">
        <f t="shared" si="19"/>
        <v>6518.917172</v>
      </c>
      <c r="HV26" s="74">
        <f t="shared" si="19"/>
        <v>5891.120445</v>
      </c>
      <c r="HW26" s="74">
        <f t="shared" si="19"/>
        <v>2139.250187</v>
      </c>
      <c r="HX26" s="74">
        <f t="shared" si="19"/>
        <v>2609.583359</v>
      </c>
      <c r="HY26" s="74">
        <f t="shared" si="19"/>
        <v>9793.737548</v>
      </c>
      <c r="HZ26" s="74">
        <f t="shared" si="19"/>
        <v>2146.073102</v>
      </c>
      <c r="IA26" s="74">
        <f t="shared" si="19"/>
        <v>4564.125257</v>
      </c>
      <c r="IB26" s="74">
        <f t="shared" si="19"/>
        <v>7006.638467</v>
      </c>
      <c r="IC26" s="74">
        <f t="shared" si="19"/>
        <v>2482.425232</v>
      </c>
      <c r="ID26" s="74">
        <f t="shared" si="19"/>
        <v>3901.053706</v>
      </c>
      <c r="IE26" s="74">
        <f t="shared" si="19"/>
        <v>1769.667125</v>
      </c>
      <c r="IF26" s="74">
        <f t="shared" si="19"/>
        <v>3432.396409</v>
      </c>
      <c r="IG26" s="74">
        <f t="shared" si="19"/>
        <v>10032.99549</v>
      </c>
      <c r="IH26" s="74">
        <f t="shared" si="19"/>
        <v>3859.760052</v>
      </c>
      <c r="II26" s="74">
        <f t="shared" si="19"/>
        <v>3431.454861</v>
      </c>
      <c r="IJ26" s="74">
        <f t="shared" si="19"/>
        <v>2389.305446</v>
      </c>
      <c r="IK26" s="74">
        <f t="shared" si="19"/>
        <v>2268.967753</v>
      </c>
      <c r="IL26" s="74">
        <f t="shared" si="19"/>
        <v>4774.66874</v>
      </c>
      <c r="IM26" s="74">
        <f t="shared" si="19"/>
        <v>3694.313875</v>
      </c>
      <c r="IN26" s="74">
        <f t="shared" si="19"/>
        <v>2105.253374</v>
      </c>
      <c r="IO26" s="74">
        <f t="shared" si="19"/>
        <v>3097.424499</v>
      </c>
      <c r="IP26" s="74">
        <f t="shared" si="19"/>
        <v>2439.482044</v>
      </c>
      <c r="IQ26" s="74">
        <f t="shared" si="19"/>
        <v>2350.892427</v>
      </c>
      <c r="IR26" s="74">
        <f t="shared" si="19"/>
        <v>6384.956674</v>
      </c>
      <c r="IS26" s="74">
        <f t="shared" si="19"/>
        <v>4557.915243</v>
      </c>
      <c r="IT26" s="74">
        <f t="shared" si="19"/>
        <v>6192.134045</v>
      </c>
      <c r="IU26" s="74">
        <f t="shared" si="19"/>
        <v>3053.503381</v>
      </c>
      <c r="IV26" s="74">
        <f t="shared" si="19"/>
        <v>5738.629116</v>
      </c>
      <c r="IW26" s="74">
        <f t="shared" si="19"/>
        <v>3059.197375</v>
      </c>
      <c r="IX26" s="74">
        <f t="shared" si="19"/>
        <v>3652.772696</v>
      </c>
      <c r="IY26" s="74">
        <f t="shared" si="19"/>
        <v>3697.983227</v>
      </c>
      <c r="IZ26" s="74">
        <f t="shared" si="19"/>
        <v>6524.834546</v>
      </c>
      <c r="JA26" s="74">
        <f t="shared" si="19"/>
        <v>4699.062773</v>
      </c>
      <c r="JB26" s="74">
        <f t="shared" si="19"/>
        <v>4397.652517</v>
      </c>
      <c r="JC26" s="74">
        <f t="shared" si="19"/>
        <v>6437.496916</v>
      </c>
      <c r="JD26" s="74">
        <f t="shared" si="19"/>
        <v>5615.886629</v>
      </c>
      <c r="JE26" s="74">
        <f t="shared" si="19"/>
        <v>2204.108184</v>
      </c>
      <c r="JF26" s="74">
        <f t="shared" si="19"/>
        <v>1758.752149</v>
      </c>
      <c r="JG26" s="74">
        <f t="shared" si="19"/>
        <v>3495.34177</v>
      </c>
      <c r="JH26" s="74">
        <f t="shared" si="19"/>
        <v>3613.707038</v>
      </c>
      <c r="JI26" s="74">
        <f t="shared" si="19"/>
        <v>5106.218425</v>
      </c>
      <c r="JJ26" s="74">
        <f t="shared" si="19"/>
        <v>4772.471632</v>
      </c>
      <c r="JK26" s="74">
        <f t="shared" si="19"/>
        <v>5335.751096</v>
      </c>
      <c r="JL26" s="74">
        <f t="shared" si="19"/>
        <v>2362.13216</v>
      </c>
      <c r="JM26" s="74">
        <f t="shared" si="19"/>
        <v>2750.305372</v>
      </c>
      <c r="JN26" s="74">
        <f t="shared" si="19"/>
        <v>3775.568666</v>
      </c>
      <c r="JO26" s="74">
        <f t="shared" si="19"/>
        <v>7579.333873</v>
      </c>
      <c r="JP26" s="74">
        <f t="shared" si="19"/>
        <v>3777.133935</v>
      </c>
      <c r="JQ26" s="74">
        <f t="shared" si="19"/>
        <v>1426.326118</v>
      </c>
      <c r="JR26" s="74">
        <f t="shared" si="19"/>
        <v>4913.004505</v>
      </c>
      <c r="JS26" s="74">
        <f t="shared" si="19"/>
        <v>2808.42157</v>
      </c>
      <c r="JT26" s="74">
        <f t="shared" si="19"/>
        <v>7194.301081</v>
      </c>
      <c r="JU26" s="74">
        <f t="shared" si="19"/>
        <v>2689.207147</v>
      </c>
      <c r="JV26" s="74">
        <f t="shared" si="19"/>
        <v>4327.845431</v>
      </c>
      <c r="JW26" s="74">
        <f t="shared" si="19"/>
        <v>3088.907441</v>
      </c>
      <c r="JX26" s="74">
        <f t="shared" si="19"/>
        <v>2160.3208</v>
      </c>
      <c r="JY26" s="74">
        <f t="shared" si="19"/>
        <v>7381.535059</v>
      </c>
      <c r="JZ26" s="74">
        <f t="shared" si="19"/>
        <v>6567.61809</v>
      </c>
      <c r="KA26" s="74">
        <f t="shared" si="19"/>
        <v>7125.542269</v>
      </c>
      <c r="KB26" s="74">
        <f t="shared" si="19"/>
        <v>2929.372096</v>
      </c>
      <c r="KC26" s="74">
        <f t="shared" si="19"/>
        <v>1634.894781</v>
      </c>
      <c r="KD26" s="74">
        <f t="shared" si="19"/>
        <v>3427.888799</v>
      </c>
      <c r="KE26" s="74">
        <f t="shared" si="19"/>
        <v>6699.96215</v>
      </c>
      <c r="KF26" s="74">
        <f t="shared" si="19"/>
        <v>5731.040001</v>
      </c>
      <c r="KG26" s="74">
        <f t="shared" si="19"/>
        <v>2356.072116</v>
      </c>
      <c r="KH26" s="74">
        <f t="shared" si="19"/>
        <v>2120.245825</v>
      </c>
      <c r="KI26" s="74">
        <f t="shared" si="19"/>
        <v>2739.720353</v>
      </c>
      <c r="KJ26" s="74">
        <f t="shared" si="19"/>
        <v>6927.459836</v>
      </c>
      <c r="KK26" s="74">
        <f t="shared" si="19"/>
        <v>4534.761465</v>
      </c>
      <c r="KL26" s="74">
        <f t="shared" si="19"/>
        <v>2445.240455</v>
      </c>
      <c r="KM26" s="74">
        <f t="shared" si="19"/>
        <v>3611.587586</v>
      </c>
      <c r="KN26" s="74">
        <f t="shared" si="19"/>
        <v>4656.122193</v>
      </c>
      <c r="KO26" s="74">
        <f t="shared" si="19"/>
        <v>6751.845306</v>
      </c>
      <c r="KP26" s="74">
        <f t="shared" si="19"/>
        <v>3088.979268</v>
      </c>
      <c r="KQ26" s="74">
        <f t="shared" si="19"/>
        <v>6250.886009</v>
      </c>
      <c r="KR26" s="74">
        <f t="shared" si="19"/>
        <v>2021.145115</v>
      </c>
      <c r="KS26" s="74">
        <f t="shared" si="19"/>
        <v>2714.675298</v>
      </c>
      <c r="KT26" s="74">
        <f t="shared" si="19"/>
        <v>5697.839198</v>
      </c>
      <c r="KU26" s="74">
        <f t="shared" si="19"/>
        <v>4327.991337</v>
      </c>
      <c r="KV26" s="74">
        <f t="shared" si="19"/>
        <v>3461.321607</v>
      </c>
      <c r="KW26" s="74">
        <f t="shared" si="19"/>
        <v>4316.096906</v>
      </c>
      <c r="KX26" s="74">
        <f t="shared" si="19"/>
        <v>6826.287011</v>
      </c>
      <c r="KY26" s="74">
        <f t="shared" si="19"/>
        <v>2547.585811</v>
      </c>
      <c r="KZ26" s="74">
        <f t="shared" si="19"/>
        <v>5089.473679</v>
      </c>
      <c r="LA26" s="74">
        <f t="shared" si="19"/>
        <v>3832.999911</v>
      </c>
      <c r="LB26" s="74">
        <f t="shared" si="19"/>
        <v>5669.046651</v>
      </c>
      <c r="LC26" s="74">
        <f t="shared" si="19"/>
        <v>4786.395184</v>
      </c>
      <c r="LD26" s="74">
        <f t="shared" si="19"/>
        <v>3702.506312</v>
      </c>
      <c r="LE26" s="74">
        <f t="shared" si="19"/>
        <v>5272.111023</v>
      </c>
      <c r="LF26" s="74">
        <f t="shared" si="19"/>
        <v>2086.483753</v>
      </c>
      <c r="LG26" s="74">
        <f t="shared" si="19"/>
        <v>5133.583589</v>
      </c>
      <c r="LH26" s="74">
        <f t="shared" si="19"/>
        <v>4452.642553</v>
      </c>
      <c r="LI26" s="74">
        <f t="shared" si="19"/>
        <v>6703.565385</v>
      </c>
      <c r="LJ26" s="74">
        <f t="shared" si="19"/>
        <v>2718.590472</v>
      </c>
      <c r="LK26" s="74">
        <f t="shared" si="19"/>
        <v>4190.116787</v>
      </c>
      <c r="LL26" s="74">
        <f t="shared" si="19"/>
        <v>4894.17556</v>
      </c>
      <c r="LM26" s="74">
        <f t="shared" si="19"/>
        <v>5674.39204</v>
      </c>
      <c r="LN26" s="74">
        <f t="shared" si="19"/>
        <v>5583.655437</v>
      </c>
      <c r="LO26" s="74">
        <f t="shared" si="19"/>
        <v>2839.424876</v>
      </c>
      <c r="LP26" s="74">
        <f t="shared" si="19"/>
        <v>2552.982408</v>
      </c>
      <c r="LQ26" s="74">
        <f t="shared" si="19"/>
        <v>2885.392323</v>
      </c>
      <c r="LR26" s="74">
        <f t="shared" si="19"/>
        <v>4433.620115</v>
      </c>
      <c r="LS26" s="74">
        <f t="shared" si="19"/>
        <v>5321.996067</v>
      </c>
      <c r="LT26" s="74">
        <f t="shared" si="19"/>
        <v>3671.740096</v>
      </c>
      <c r="LU26" s="74">
        <f t="shared" si="19"/>
        <v>2838.489707</v>
      </c>
      <c r="LV26" s="74">
        <f t="shared" si="19"/>
        <v>3809.653577</v>
      </c>
      <c r="LW26" s="74">
        <f t="shared" si="19"/>
        <v>1685.46126</v>
      </c>
      <c r="LX26" s="74">
        <f t="shared" si="19"/>
        <v>1422.490378</v>
      </c>
      <c r="LY26" s="74">
        <f t="shared" si="19"/>
        <v>4575.063516</v>
      </c>
      <c r="LZ26" s="74">
        <f t="shared" si="19"/>
        <v>3642.166108</v>
      </c>
      <c r="MA26" s="74">
        <f t="shared" si="19"/>
        <v>3897.292256</v>
      </c>
      <c r="MB26" s="74">
        <f t="shared" si="19"/>
        <v>10370.09892</v>
      </c>
      <c r="MC26" s="74">
        <f t="shared" si="19"/>
        <v>5771.788414</v>
      </c>
      <c r="MD26" s="74">
        <f t="shared" si="19"/>
        <v>4566.497669</v>
      </c>
      <c r="ME26" s="74">
        <f t="shared" si="19"/>
        <v>2321.122761</v>
      </c>
      <c r="MF26" s="74">
        <f t="shared" si="19"/>
        <v>1638.621283</v>
      </c>
      <c r="MG26" s="74">
        <f t="shared" si="19"/>
        <v>2435.216286</v>
      </c>
      <c r="MH26" s="74">
        <f t="shared" si="19"/>
        <v>1852.422284</v>
      </c>
      <c r="MI26" s="74">
        <f t="shared" si="19"/>
        <v>4598.647847</v>
      </c>
      <c r="MJ26" s="74">
        <f t="shared" si="19"/>
        <v>2470.17449</v>
      </c>
      <c r="MK26" s="74">
        <f t="shared" si="19"/>
        <v>2102.287645</v>
      </c>
      <c r="ML26" s="74">
        <f t="shared" si="19"/>
        <v>3130.274312</v>
      </c>
      <c r="MM26" s="74">
        <f t="shared" si="19"/>
        <v>2917.850956</v>
      </c>
      <c r="MN26" s="74">
        <f t="shared" si="19"/>
        <v>9243.385954</v>
      </c>
      <c r="MO26" s="74">
        <f t="shared" si="19"/>
        <v>4896.172866</v>
      </c>
      <c r="MP26" s="74">
        <f t="shared" si="19"/>
        <v>4475.170668</v>
      </c>
      <c r="MQ26" s="74">
        <f t="shared" si="19"/>
        <v>3358.333009</v>
      </c>
      <c r="MR26" s="74">
        <f t="shared" si="19"/>
        <v>3338.363763</v>
      </c>
      <c r="MS26" s="74">
        <f t="shared" si="19"/>
        <v>5611.446303</v>
      </c>
      <c r="MT26" s="74">
        <f t="shared" si="19"/>
        <v>4296.204153</v>
      </c>
      <c r="MU26" s="74">
        <f t="shared" si="19"/>
        <v>6795.368862</v>
      </c>
      <c r="MV26" s="74">
        <f t="shared" si="19"/>
        <v>3708.281156</v>
      </c>
      <c r="MW26" s="74">
        <f t="shared" si="19"/>
        <v>2602.612774</v>
      </c>
      <c r="MX26" s="74">
        <f t="shared" si="19"/>
        <v>3180.543958</v>
      </c>
      <c r="MY26" s="74">
        <f t="shared" si="19"/>
        <v>4419.828542</v>
      </c>
      <c r="MZ26" s="74">
        <f t="shared" si="19"/>
        <v>2838.154755</v>
      </c>
      <c r="NA26" s="74">
        <f t="shared" si="19"/>
        <v>8466.18606</v>
      </c>
      <c r="NB26" s="74">
        <f t="shared" si="19"/>
        <v>6481.752154</v>
      </c>
      <c r="NC26" s="74">
        <f t="shared" si="19"/>
        <v>6744.150965</v>
      </c>
      <c r="ND26" s="74">
        <f t="shared" si="19"/>
        <v>3029.949788</v>
      </c>
      <c r="NE26" s="74">
        <f t="shared" si="19"/>
        <v>4066.237765</v>
      </c>
      <c r="NF26" s="74">
        <f t="shared" si="19"/>
        <v>2316.421032</v>
      </c>
      <c r="NG26" s="74">
        <f t="shared" si="19"/>
        <v>6897.371887</v>
      </c>
      <c r="NH26" s="74">
        <f t="shared" si="19"/>
        <v>3230.042021</v>
      </c>
      <c r="NI26" s="74">
        <f t="shared" si="19"/>
        <v>5362.933435</v>
      </c>
      <c r="NJ26" s="74">
        <f t="shared" si="19"/>
        <v>3590.905815</v>
      </c>
      <c r="NK26" s="74">
        <f t="shared" si="19"/>
        <v>6810.571241</v>
      </c>
      <c r="NL26" s="74">
        <f t="shared" si="19"/>
        <v>4591.87202</v>
      </c>
      <c r="NM26" s="74">
        <f t="shared" si="19"/>
        <v>7446.148377</v>
      </c>
      <c r="NN26" s="74">
        <f t="shared" si="19"/>
        <v>1650.753164</v>
      </c>
      <c r="NO26" s="74">
        <f t="shared" si="19"/>
        <v>7422.845</v>
      </c>
      <c r="NP26" s="74">
        <f t="shared" si="19"/>
        <v>7919.192709</v>
      </c>
      <c r="NQ26" s="74">
        <f t="shared" si="19"/>
        <v>3134.218182</v>
      </c>
      <c r="NR26" s="74">
        <f t="shared" si="19"/>
        <v>3883.310318</v>
      </c>
      <c r="NS26" s="74">
        <f t="shared" si="19"/>
        <v>4539.97126</v>
      </c>
      <c r="NT26" s="74">
        <f t="shared" si="19"/>
        <v>11593.23674</v>
      </c>
      <c r="NU26" s="74">
        <f t="shared" si="19"/>
        <v>4612.030306</v>
      </c>
      <c r="NV26" s="74">
        <f t="shared" si="19"/>
        <v>4743.725399</v>
      </c>
      <c r="NW26" s="74">
        <f t="shared" si="19"/>
        <v>5907.652047</v>
      </c>
      <c r="NX26" s="74">
        <f t="shared" si="19"/>
        <v>4051.356853</v>
      </c>
      <c r="NY26" s="74">
        <f t="shared" si="19"/>
        <v>3030.571886</v>
      </c>
      <c r="NZ26" s="74">
        <f t="shared" si="19"/>
        <v>3135.250846</v>
      </c>
      <c r="OA26" s="74">
        <f t="shared" si="19"/>
        <v>6782.863633</v>
      </c>
      <c r="OB26" s="74">
        <f t="shared" si="19"/>
        <v>3013.439065</v>
      </c>
      <c r="OC26" s="74">
        <f t="shared" si="19"/>
        <v>4065.181313</v>
      </c>
      <c r="OD26" s="74">
        <f t="shared" si="19"/>
        <v>3341.674841</v>
      </c>
      <c r="OE26" s="74">
        <f t="shared" si="19"/>
        <v>2777.79345</v>
      </c>
      <c r="OF26" s="74">
        <f t="shared" si="19"/>
        <v>6881.500168</v>
      </c>
      <c r="OG26" s="74">
        <f t="shared" si="19"/>
        <v>1862.615752</v>
      </c>
      <c r="OH26" s="74">
        <f t="shared" si="19"/>
        <v>4017.496498</v>
      </c>
      <c r="OI26" s="74">
        <f t="shared" si="19"/>
        <v>3509.015797</v>
      </c>
      <c r="OJ26" s="74">
        <f t="shared" si="19"/>
        <v>2699.447865</v>
      </c>
      <c r="OK26" s="74">
        <f t="shared" si="19"/>
        <v>3641.81412</v>
      </c>
      <c r="OL26" s="74">
        <f t="shared" si="19"/>
        <v>1252.852447</v>
      </c>
      <c r="OM26" s="74">
        <f t="shared" si="19"/>
        <v>3113.299934</v>
      </c>
      <c r="ON26" s="74">
        <f t="shared" si="19"/>
        <v>5538.258488</v>
      </c>
      <c r="OO26" s="74">
        <f t="shared" si="19"/>
        <v>1644.344019</v>
      </c>
      <c r="OP26" s="74">
        <f t="shared" si="19"/>
        <v>3715.782127</v>
      </c>
      <c r="OQ26" s="74">
        <f t="shared" si="19"/>
        <v>6723.874256</v>
      </c>
      <c r="OR26" s="74">
        <f t="shared" si="19"/>
        <v>5109.731595</v>
      </c>
      <c r="OS26" s="74">
        <f t="shared" si="19"/>
        <v>3176.549929</v>
      </c>
      <c r="OT26" s="74">
        <f t="shared" si="19"/>
        <v>4609.565244</v>
      </c>
      <c r="OU26" s="74">
        <f t="shared" si="19"/>
        <v>4263.693149</v>
      </c>
      <c r="OV26" s="74">
        <f t="shared" si="19"/>
        <v>3652.419445</v>
      </c>
      <c r="OW26" s="74">
        <f t="shared" si="19"/>
        <v>1717.121645</v>
      </c>
      <c r="OX26" s="74">
        <f t="shared" si="19"/>
        <v>4158.586629</v>
      </c>
      <c r="OY26" s="74">
        <f t="shared" si="19"/>
        <v>2795.625606</v>
      </c>
      <c r="OZ26" s="74">
        <f t="shared" si="19"/>
        <v>6045.835888</v>
      </c>
      <c r="PA26" s="74">
        <f t="shared" si="19"/>
        <v>3364.552142</v>
      </c>
      <c r="PB26" s="74">
        <f t="shared" si="19"/>
        <v>6527.281361</v>
      </c>
      <c r="PC26" s="74">
        <f t="shared" si="19"/>
        <v>5509.193133</v>
      </c>
      <c r="PD26" s="74">
        <f t="shared" si="19"/>
        <v>1636.278667</v>
      </c>
      <c r="PE26" s="74">
        <f t="shared" si="19"/>
        <v>4061.654514</v>
      </c>
      <c r="PF26" s="74">
        <f t="shared" si="19"/>
        <v>7022.962689</v>
      </c>
      <c r="PG26" s="74">
        <f t="shared" si="19"/>
        <v>3812.735321</v>
      </c>
      <c r="PH26" s="74">
        <f t="shared" si="19"/>
        <v>4568.166643</v>
      </c>
      <c r="PI26" s="74">
        <f t="shared" si="19"/>
        <v>4589.497345</v>
      </c>
      <c r="PJ26" s="74">
        <f t="shared" si="19"/>
        <v>1917.522277</v>
      </c>
      <c r="PK26" s="74">
        <f t="shared" si="19"/>
        <v>4090.290739</v>
      </c>
      <c r="PL26" s="74">
        <f t="shared" si="19"/>
        <v>3605.239505</v>
      </c>
      <c r="PM26" s="74">
        <f t="shared" si="19"/>
        <v>3529.099395</v>
      </c>
      <c r="PN26" s="74">
        <f t="shared" si="19"/>
        <v>1677.321237</v>
      </c>
      <c r="PO26" s="74">
        <f t="shared" si="19"/>
        <v>1661.804884</v>
      </c>
      <c r="PP26" s="74">
        <f t="shared" si="19"/>
        <v>2859.961699</v>
      </c>
      <c r="PQ26" s="74">
        <f t="shared" si="19"/>
        <v>8775.86931</v>
      </c>
      <c r="PR26" s="74">
        <f t="shared" si="19"/>
        <v>3593.284995</v>
      </c>
      <c r="PS26" s="74">
        <f t="shared" si="19"/>
        <v>3213.340308</v>
      </c>
      <c r="PT26" s="74">
        <f t="shared" si="19"/>
        <v>4047.431299</v>
      </c>
      <c r="PU26" s="74">
        <f t="shared" si="19"/>
        <v>1465.258889</v>
      </c>
      <c r="PV26" s="74">
        <f t="shared" si="19"/>
        <v>3070.993819</v>
      </c>
      <c r="PW26" s="74">
        <f t="shared" si="19"/>
        <v>4080.620411</v>
      </c>
      <c r="PX26" s="74">
        <f t="shared" si="19"/>
        <v>3843.997584</v>
      </c>
      <c r="PY26" s="74">
        <f t="shared" si="19"/>
        <v>8343.53035</v>
      </c>
      <c r="PZ26" s="74">
        <f t="shared" si="19"/>
        <v>4685.013649</v>
      </c>
      <c r="QA26" s="74">
        <f t="shared" si="19"/>
        <v>4267.558979</v>
      </c>
      <c r="QB26" s="74">
        <f t="shared" si="19"/>
        <v>4373.549914</v>
      </c>
      <c r="QC26" s="74">
        <f t="shared" si="19"/>
        <v>4823.533851</v>
      </c>
      <c r="QD26" s="74">
        <f t="shared" si="19"/>
        <v>3584.960538</v>
      </c>
      <c r="QE26" s="74">
        <f t="shared" si="19"/>
        <v>7286.33683</v>
      </c>
      <c r="QF26" s="74">
        <f t="shared" si="19"/>
        <v>1719.796704</v>
      </c>
      <c r="QG26" s="74">
        <f t="shared" si="19"/>
        <v>6554.840046</v>
      </c>
      <c r="QH26" s="74">
        <f t="shared" si="19"/>
        <v>4298.044221</v>
      </c>
      <c r="QI26" s="74">
        <f t="shared" si="19"/>
        <v>4488.158229</v>
      </c>
      <c r="QJ26" s="74">
        <f t="shared" si="19"/>
        <v>6414.557186</v>
      </c>
      <c r="QK26" s="74">
        <f t="shared" si="19"/>
        <v>2610.394986</v>
      </c>
      <c r="QL26" s="74">
        <f t="shared" si="19"/>
        <v>2416.352648</v>
      </c>
      <c r="QM26" s="74">
        <f t="shared" si="19"/>
        <v>4491.021313</v>
      </c>
      <c r="QN26" s="74">
        <f t="shared" si="19"/>
        <v>2957.316469</v>
      </c>
      <c r="QO26" s="74">
        <f t="shared" si="19"/>
        <v>2694.087275</v>
      </c>
      <c r="QP26" s="74">
        <f t="shared" si="19"/>
        <v>4756.216441</v>
      </c>
      <c r="QQ26" s="74">
        <f t="shared" si="19"/>
        <v>4714.985268</v>
      </c>
      <c r="QR26" s="74">
        <f t="shared" si="19"/>
        <v>6843.856373</v>
      </c>
      <c r="QS26" s="74">
        <f t="shared" si="19"/>
        <v>3867.166819</v>
      </c>
      <c r="QT26" s="74">
        <f t="shared" si="19"/>
        <v>2574.316361</v>
      </c>
      <c r="QU26" s="74">
        <f t="shared" si="19"/>
        <v>3165.158108</v>
      </c>
      <c r="QV26" s="74">
        <f t="shared" si="19"/>
        <v>8143.869436</v>
      </c>
      <c r="QW26" s="74">
        <f t="shared" si="19"/>
        <v>3212.600228</v>
      </c>
      <c r="QX26" s="74">
        <f t="shared" si="19"/>
        <v>2466.385194</v>
      </c>
      <c r="QY26" s="74">
        <f t="shared" si="19"/>
        <v>2134.257001</v>
      </c>
      <c r="QZ26" s="74">
        <f t="shared" si="19"/>
        <v>5765.283646</v>
      </c>
      <c r="RA26" s="74">
        <f t="shared" si="19"/>
        <v>4945.100046</v>
      </c>
      <c r="RB26" s="74">
        <f t="shared" si="19"/>
        <v>2992.610706</v>
      </c>
      <c r="RC26" s="74">
        <f t="shared" si="19"/>
        <v>2890.747294</v>
      </c>
      <c r="RD26" s="74">
        <f t="shared" si="19"/>
        <v>1383.790471</v>
      </c>
      <c r="RE26" s="74">
        <f t="shared" si="19"/>
        <v>4132.775082</v>
      </c>
      <c r="RF26" s="74">
        <f t="shared" si="19"/>
        <v>4753.396453</v>
      </c>
      <c r="RG26" s="74">
        <f t="shared" si="19"/>
        <v>3020.471245</v>
      </c>
      <c r="RH26" s="74">
        <f t="shared" si="19"/>
        <v>1726.921486</v>
      </c>
      <c r="RI26" s="74">
        <f t="shared" si="19"/>
        <v>8850.434892</v>
      </c>
      <c r="RJ26" s="74">
        <f t="shared" si="19"/>
        <v>7023.597283</v>
      </c>
      <c r="RK26" s="74">
        <f t="shared" si="19"/>
        <v>3662.041207</v>
      </c>
      <c r="RL26" s="74">
        <f t="shared" si="19"/>
        <v>2848.883195</v>
      </c>
      <c r="RM26" s="74">
        <f t="shared" si="19"/>
        <v>6394.859767</v>
      </c>
      <c r="RN26" s="74">
        <f t="shared" si="19"/>
        <v>8540.491951</v>
      </c>
      <c r="RO26" s="74">
        <f t="shared" si="19"/>
        <v>5920.860295</v>
      </c>
      <c r="RP26" s="74">
        <f t="shared" si="19"/>
        <v>6322.551295</v>
      </c>
      <c r="RQ26" s="74">
        <f t="shared" si="19"/>
        <v>4436.338444</v>
      </c>
      <c r="RR26" s="74">
        <f t="shared" si="19"/>
        <v>4106.959254</v>
      </c>
      <c r="RS26" s="74">
        <f t="shared" si="19"/>
        <v>9088.57606</v>
      </c>
      <c r="RT26" s="74">
        <f t="shared" si="19"/>
        <v>3287.459412</v>
      </c>
      <c r="RU26" s="74">
        <f t="shared" si="19"/>
        <v>2728.822633</v>
      </c>
      <c r="RV26" s="74">
        <f t="shared" si="19"/>
        <v>3734.365813</v>
      </c>
      <c r="RW26" s="74">
        <f t="shared" si="19"/>
        <v>4654.422965</v>
      </c>
      <c r="RX26" s="74">
        <f t="shared" si="19"/>
        <v>2347.400314</v>
      </c>
      <c r="RY26" s="74">
        <f t="shared" si="19"/>
        <v>2124.202446</v>
      </c>
      <c r="RZ26" s="74">
        <f t="shared" si="19"/>
        <v>5917.455009</v>
      </c>
      <c r="SA26" s="74">
        <f t="shared" si="19"/>
        <v>3013.705458</v>
      </c>
      <c r="SB26" s="74">
        <f t="shared" si="19"/>
        <v>6067.623638</v>
      </c>
      <c r="SC26" s="74">
        <f t="shared" si="19"/>
        <v>5409.754229</v>
      </c>
      <c r="SD26" s="74">
        <f t="shared" si="19"/>
        <v>3953.748142</v>
      </c>
      <c r="SE26" s="74">
        <f t="shared" si="19"/>
        <v>3719.320016</v>
      </c>
      <c r="SF26" s="74">
        <f t="shared" si="19"/>
        <v>5534.258604</v>
      </c>
      <c r="SG26" s="74">
        <f t="shared" si="19"/>
        <v>2298.455499</v>
      </c>
      <c r="SH26" s="74">
        <f t="shared" si="19"/>
        <v>4374.734637</v>
      </c>
      <c r="SI26" s="74">
        <f t="shared" si="19"/>
        <v>4410.483012</v>
      </c>
      <c r="SJ26" s="74">
        <f t="shared" si="19"/>
        <v>2052.979979</v>
      </c>
      <c r="SK26" s="74">
        <f t="shared" si="19"/>
        <v>6273.929476</v>
      </c>
      <c r="SL26" s="74">
        <f t="shared" si="19"/>
        <v>2001.231227</v>
      </c>
    </row>
    <row r="27">
      <c r="A27" s="53" t="s">
        <v>103</v>
      </c>
      <c r="B27" s="76">
        <f>B26/B4</f>
        <v>0.004196394723</v>
      </c>
      <c r="C27" s="276"/>
      <c r="D27" s="277"/>
      <c r="E27" s="278"/>
      <c r="F27" s="76"/>
      <c r="G27" s="76">
        <f t="shared" ref="G27:SL27" si="20">G26/G4</f>
        <v>0.003646757614</v>
      </c>
      <c r="H27" s="76">
        <f t="shared" si="20"/>
        <v>0.002877989753</v>
      </c>
      <c r="I27" s="76">
        <f t="shared" si="20"/>
        <v>0.002789410567</v>
      </c>
      <c r="J27" s="76">
        <f t="shared" si="20"/>
        <v>0.006344428377</v>
      </c>
      <c r="K27" s="76">
        <f t="shared" si="20"/>
        <v>0.003252109041</v>
      </c>
      <c r="L27" s="76">
        <f t="shared" si="20"/>
        <v>0.00322384214</v>
      </c>
      <c r="M27" s="76">
        <f t="shared" si="20"/>
        <v>0.004722569791</v>
      </c>
      <c r="N27" s="76">
        <f t="shared" si="20"/>
        <v>0.006499511926</v>
      </c>
      <c r="O27" s="76">
        <f t="shared" si="20"/>
        <v>0.009462773236</v>
      </c>
      <c r="P27" s="76">
        <f t="shared" si="20"/>
        <v>0.003681568941</v>
      </c>
      <c r="Q27" s="76">
        <f t="shared" si="20"/>
        <v>0.007512066641</v>
      </c>
      <c r="R27" s="76">
        <f t="shared" si="20"/>
        <v>0.006937117867</v>
      </c>
      <c r="S27" s="76">
        <f t="shared" si="20"/>
        <v>0.004133695759</v>
      </c>
      <c r="T27" s="76">
        <f t="shared" si="20"/>
        <v>0.002463064759</v>
      </c>
      <c r="U27" s="76">
        <f t="shared" si="20"/>
        <v>0.008192036447</v>
      </c>
      <c r="V27" s="76">
        <f t="shared" si="20"/>
        <v>0.002517879841</v>
      </c>
      <c r="W27" s="76">
        <f t="shared" si="20"/>
        <v>0.002116094981</v>
      </c>
      <c r="X27" s="76">
        <f t="shared" si="20"/>
        <v>0.005126630104</v>
      </c>
      <c r="Y27" s="76">
        <f t="shared" si="20"/>
        <v>0.008323008008</v>
      </c>
      <c r="Z27" s="76">
        <f t="shared" si="20"/>
        <v>0.003887521439</v>
      </c>
      <c r="AA27" s="76">
        <f t="shared" si="20"/>
        <v>0.004431990267</v>
      </c>
      <c r="AB27" s="76">
        <f t="shared" si="20"/>
        <v>0.00523239233</v>
      </c>
      <c r="AC27" s="76">
        <f t="shared" si="20"/>
        <v>0.001949468543</v>
      </c>
      <c r="AD27" s="76">
        <f t="shared" si="20"/>
        <v>0.001815804356</v>
      </c>
      <c r="AE27" s="76">
        <f t="shared" si="20"/>
        <v>0.00426303521</v>
      </c>
      <c r="AF27" s="76">
        <f t="shared" si="20"/>
        <v>0.004265417432</v>
      </c>
      <c r="AG27" s="76">
        <f t="shared" si="20"/>
        <v>0.004713846558</v>
      </c>
      <c r="AH27" s="76">
        <f t="shared" si="20"/>
        <v>0.003348324925</v>
      </c>
      <c r="AI27" s="76">
        <f t="shared" si="20"/>
        <v>0.00574814175</v>
      </c>
      <c r="AJ27" s="76">
        <f t="shared" si="20"/>
        <v>0.002593019839</v>
      </c>
      <c r="AK27" s="76">
        <f t="shared" si="20"/>
        <v>0.0049999752</v>
      </c>
      <c r="AL27" s="76">
        <f t="shared" si="20"/>
        <v>0.004649143671</v>
      </c>
      <c r="AM27" s="76">
        <f t="shared" si="20"/>
        <v>0.004211193144</v>
      </c>
      <c r="AN27" s="76">
        <f t="shared" si="20"/>
        <v>0.00302929252</v>
      </c>
      <c r="AO27" s="76">
        <f t="shared" si="20"/>
        <v>0.00279578199</v>
      </c>
      <c r="AP27" s="76">
        <f t="shared" si="20"/>
        <v>0.003229035439</v>
      </c>
      <c r="AQ27" s="76">
        <f t="shared" si="20"/>
        <v>0.002186920642</v>
      </c>
      <c r="AR27" s="76">
        <f t="shared" si="20"/>
        <v>0.00865659939</v>
      </c>
      <c r="AS27" s="76">
        <f t="shared" si="20"/>
        <v>0.003956640634</v>
      </c>
      <c r="AT27" s="76">
        <f t="shared" si="20"/>
        <v>0.002770778572</v>
      </c>
      <c r="AU27" s="76">
        <f t="shared" si="20"/>
        <v>0.004263220507</v>
      </c>
      <c r="AV27" s="76">
        <f t="shared" si="20"/>
        <v>0.003093187611</v>
      </c>
      <c r="AW27" s="76">
        <f t="shared" si="20"/>
        <v>0.003517978594</v>
      </c>
      <c r="AX27" s="76">
        <f t="shared" si="20"/>
        <v>0.002194400382</v>
      </c>
      <c r="AY27" s="76">
        <f t="shared" si="20"/>
        <v>0.009684807144</v>
      </c>
      <c r="AZ27" s="76">
        <f t="shared" si="20"/>
        <v>0.00217054931</v>
      </c>
      <c r="BA27" s="76">
        <f t="shared" si="20"/>
        <v>0.005448968206</v>
      </c>
      <c r="BB27" s="76">
        <f t="shared" si="20"/>
        <v>0.005788559393</v>
      </c>
      <c r="BC27" s="76">
        <f t="shared" si="20"/>
        <v>0.003488284232</v>
      </c>
      <c r="BD27" s="76">
        <f t="shared" si="20"/>
        <v>0.004116102183</v>
      </c>
      <c r="BE27" s="76">
        <f t="shared" si="20"/>
        <v>0.00321120586</v>
      </c>
      <c r="BF27" s="76">
        <f t="shared" si="20"/>
        <v>0.002991416692</v>
      </c>
      <c r="BG27" s="76">
        <f t="shared" si="20"/>
        <v>0.007536303444</v>
      </c>
      <c r="BH27" s="76">
        <f t="shared" si="20"/>
        <v>0.001219928252</v>
      </c>
      <c r="BI27" s="76">
        <f t="shared" si="20"/>
        <v>0.005205719919</v>
      </c>
      <c r="BJ27" s="76">
        <f t="shared" si="20"/>
        <v>0.001456713102</v>
      </c>
      <c r="BK27" s="76">
        <f t="shared" si="20"/>
        <v>0.003151879438</v>
      </c>
      <c r="BL27" s="76">
        <f t="shared" si="20"/>
        <v>0.002755652278</v>
      </c>
      <c r="BM27" s="76">
        <f t="shared" si="20"/>
        <v>0.003187290479</v>
      </c>
      <c r="BN27" s="76">
        <f t="shared" si="20"/>
        <v>0.006431643719</v>
      </c>
      <c r="BO27" s="76">
        <f t="shared" si="20"/>
        <v>0.001739156875</v>
      </c>
      <c r="BP27" s="76">
        <f t="shared" si="20"/>
        <v>0.00420148406</v>
      </c>
      <c r="BQ27" s="76">
        <f t="shared" si="20"/>
        <v>0.002336876776</v>
      </c>
      <c r="BR27" s="76">
        <f t="shared" si="20"/>
        <v>0.005601322648</v>
      </c>
      <c r="BS27" s="76">
        <f t="shared" si="20"/>
        <v>0.001671331519</v>
      </c>
      <c r="BT27" s="76">
        <f t="shared" si="20"/>
        <v>0.002912481184</v>
      </c>
      <c r="BU27" s="76">
        <f t="shared" si="20"/>
        <v>0.008658629485</v>
      </c>
      <c r="BV27" s="76">
        <f t="shared" si="20"/>
        <v>0.005698430587</v>
      </c>
      <c r="BW27" s="76">
        <f t="shared" si="20"/>
        <v>0.004358218929</v>
      </c>
      <c r="BX27" s="76">
        <f t="shared" si="20"/>
        <v>0.004389669286</v>
      </c>
      <c r="BY27" s="76">
        <f t="shared" si="20"/>
        <v>0.00320130745</v>
      </c>
      <c r="BZ27" s="76">
        <f t="shared" si="20"/>
        <v>0.003459819215</v>
      </c>
      <c r="CA27" s="76">
        <f t="shared" si="20"/>
        <v>0.003177244802</v>
      </c>
      <c r="CB27" s="76">
        <f t="shared" si="20"/>
        <v>0.00278176785</v>
      </c>
      <c r="CC27" s="76">
        <f t="shared" si="20"/>
        <v>0.002328241371</v>
      </c>
      <c r="CD27" s="76">
        <f t="shared" si="20"/>
        <v>0.003652838373</v>
      </c>
      <c r="CE27" s="76">
        <f t="shared" si="20"/>
        <v>0.003248544132</v>
      </c>
      <c r="CF27" s="76">
        <f t="shared" si="20"/>
        <v>0.004531979594</v>
      </c>
      <c r="CG27" s="76">
        <f t="shared" si="20"/>
        <v>0.002264293661</v>
      </c>
      <c r="CH27" s="76">
        <f t="shared" si="20"/>
        <v>0.002044638893</v>
      </c>
      <c r="CI27" s="76">
        <f t="shared" si="20"/>
        <v>0.004849747261</v>
      </c>
      <c r="CJ27" s="76">
        <f t="shared" si="20"/>
        <v>0.008355029116</v>
      </c>
      <c r="CK27" s="76">
        <f t="shared" si="20"/>
        <v>0.005186035641</v>
      </c>
      <c r="CL27" s="76">
        <f t="shared" si="20"/>
        <v>0.003993032009</v>
      </c>
      <c r="CM27" s="76">
        <f t="shared" si="20"/>
        <v>0.003774757498</v>
      </c>
      <c r="CN27" s="76">
        <f t="shared" si="20"/>
        <v>0.006502953264</v>
      </c>
      <c r="CO27" s="76">
        <f t="shared" si="20"/>
        <v>0.002824712919</v>
      </c>
      <c r="CP27" s="76">
        <f t="shared" si="20"/>
        <v>0.002599848366</v>
      </c>
      <c r="CQ27" s="76">
        <f t="shared" si="20"/>
        <v>0.005109501306</v>
      </c>
      <c r="CR27" s="76">
        <f t="shared" si="20"/>
        <v>0.006887068596</v>
      </c>
      <c r="CS27" s="76">
        <f t="shared" si="20"/>
        <v>0.003057520441</v>
      </c>
      <c r="CT27" s="76">
        <f t="shared" si="20"/>
        <v>0.004023983768</v>
      </c>
      <c r="CU27" s="76">
        <f t="shared" si="20"/>
        <v>0.004805115731</v>
      </c>
      <c r="CV27" s="76">
        <f t="shared" si="20"/>
        <v>0.003642747241</v>
      </c>
      <c r="CW27" s="76">
        <f t="shared" si="20"/>
        <v>0.003958344743</v>
      </c>
      <c r="CX27" s="76">
        <f t="shared" si="20"/>
        <v>0.003443028939</v>
      </c>
      <c r="CY27" s="76">
        <f t="shared" si="20"/>
        <v>0.00556550708</v>
      </c>
      <c r="CZ27" s="76">
        <f t="shared" si="20"/>
        <v>0.007205702681</v>
      </c>
      <c r="DA27" s="76">
        <f t="shared" si="20"/>
        <v>0.005464512829</v>
      </c>
      <c r="DB27" s="76">
        <f t="shared" si="20"/>
        <v>0.002942072493</v>
      </c>
      <c r="DC27" s="76">
        <f t="shared" si="20"/>
        <v>0.002325342002</v>
      </c>
      <c r="DD27" s="76">
        <f t="shared" si="20"/>
        <v>0.003347846957</v>
      </c>
      <c r="DE27" s="76">
        <f t="shared" si="20"/>
        <v>0.002245480667</v>
      </c>
      <c r="DF27" s="76">
        <f t="shared" si="20"/>
        <v>0.00409129209</v>
      </c>
      <c r="DG27" s="76">
        <f t="shared" si="20"/>
        <v>0.003205592522</v>
      </c>
      <c r="DH27" s="76">
        <f t="shared" si="20"/>
        <v>0.006000268129</v>
      </c>
      <c r="DI27" s="76">
        <f t="shared" si="20"/>
        <v>0.002199871995</v>
      </c>
      <c r="DJ27" s="76">
        <f t="shared" si="20"/>
        <v>0.004504449944</v>
      </c>
      <c r="DK27" s="76">
        <f t="shared" si="20"/>
        <v>0.004031144752</v>
      </c>
      <c r="DL27" s="76">
        <f t="shared" si="20"/>
        <v>0.001937787444</v>
      </c>
      <c r="DM27" s="76">
        <f t="shared" si="20"/>
        <v>0.004438707474</v>
      </c>
      <c r="DN27" s="76">
        <f t="shared" si="20"/>
        <v>0.002256127063</v>
      </c>
      <c r="DO27" s="76">
        <f t="shared" si="20"/>
        <v>0.002080310962</v>
      </c>
      <c r="DP27" s="76">
        <f t="shared" si="20"/>
        <v>0.002627553891</v>
      </c>
      <c r="DQ27" s="76">
        <f t="shared" si="20"/>
        <v>0.006203705874</v>
      </c>
      <c r="DR27" s="76">
        <f t="shared" si="20"/>
        <v>0.006508893918</v>
      </c>
      <c r="DS27" s="76">
        <f t="shared" si="20"/>
        <v>0.007154645734</v>
      </c>
      <c r="DT27" s="76">
        <f t="shared" si="20"/>
        <v>0.005434773459</v>
      </c>
      <c r="DU27" s="76">
        <f t="shared" si="20"/>
        <v>0.003273985777</v>
      </c>
      <c r="DV27" s="76">
        <f t="shared" si="20"/>
        <v>0.005371336357</v>
      </c>
      <c r="DW27" s="76">
        <f t="shared" si="20"/>
        <v>0.004864914882</v>
      </c>
      <c r="DX27" s="76">
        <f t="shared" si="20"/>
        <v>0.004220574218</v>
      </c>
      <c r="DY27" s="76">
        <f t="shared" si="20"/>
        <v>0.004449628771</v>
      </c>
      <c r="DZ27" s="76">
        <f t="shared" si="20"/>
        <v>0.002950287592</v>
      </c>
      <c r="EA27" s="76">
        <f t="shared" si="20"/>
        <v>0.00325150361</v>
      </c>
      <c r="EB27" s="76">
        <f t="shared" si="20"/>
        <v>0.004147449466</v>
      </c>
      <c r="EC27" s="76">
        <f t="shared" si="20"/>
        <v>0.004503235516</v>
      </c>
      <c r="ED27" s="76">
        <f t="shared" si="20"/>
        <v>0.003296672942</v>
      </c>
      <c r="EE27" s="76">
        <f t="shared" si="20"/>
        <v>0.004590623608</v>
      </c>
      <c r="EF27" s="76">
        <f t="shared" si="20"/>
        <v>0.006326050139</v>
      </c>
      <c r="EG27" s="76">
        <f t="shared" si="20"/>
        <v>0.003685279381</v>
      </c>
      <c r="EH27" s="76">
        <f t="shared" si="20"/>
        <v>0.002704137464</v>
      </c>
      <c r="EI27" s="76">
        <f t="shared" si="20"/>
        <v>0.004160220992</v>
      </c>
      <c r="EJ27" s="76">
        <f t="shared" si="20"/>
        <v>0.001772182726</v>
      </c>
      <c r="EK27" s="76">
        <f t="shared" si="20"/>
        <v>0.006807109762</v>
      </c>
      <c r="EL27" s="76">
        <f t="shared" si="20"/>
        <v>0.005280966708</v>
      </c>
      <c r="EM27" s="76">
        <f t="shared" si="20"/>
        <v>0.001062942516</v>
      </c>
      <c r="EN27" s="76">
        <f t="shared" si="20"/>
        <v>0.004334219329</v>
      </c>
      <c r="EO27" s="76">
        <f t="shared" si="20"/>
        <v>0.006049142611</v>
      </c>
      <c r="EP27" s="76">
        <f t="shared" si="20"/>
        <v>0.002403094457</v>
      </c>
      <c r="EQ27" s="76">
        <f t="shared" si="20"/>
        <v>0.005618088632</v>
      </c>
      <c r="ER27" s="76">
        <f t="shared" si="20"/>
        <v>0.00370302722</v>
      </c>
      <c r="ES27" s="76">
        <f t="shared" si="20"/>
        <v>0.003582398889</v>
      </c>
      <c r="ET27" s="76">
        <f t="shared" si="20"/>
        <v>0.003808055009</v>
      </c>
      <c r="EU27" s="76">
        <f t="shared" si="20"/>
        <v>0.005632767736</v>
      </c>
      <c r="EV27" s="76">
        <f t="shared" si="20"/>
        <v>0.003623681149</v>
      </c>
      <c r="EW27" s="76">
        <f t="shared" si="20"/>
        <v>0.00422260495</v>
      </c>
      <c r="EX27" s="76">
        <f t="shared" si="20"/>
        <v>0.003227350524</v>
      </c>
      <c r="EY27" s="76">
        <f t="shared" si="20"/>
        <v>0.004555758399</v>
      </c>
      <c r="EZ27" s="76">
        <f t="shared" si="20"/>
        <v>0.003799269763</v>
      </c>
      <c r="FA27" s="76">
        <f t="shared" si="20"/>
        <v>0.004190309366</v>
      </c>
      <c r="FB27" s="76">
        <f t="shared" si="20"/>
        <v>0.006029120744</v>
      </c>
      <c r="FC27" s="76">
        <f t="shared" si="20"/>
        <v>0.004968429775</v>
      </c>
      <c r="FD27" s="76">
        <f t="shared" si="20"/>
        <v>0.001941101383</v>
      </c>
      <c r="FE27" s="76">
        <f t="shared" si="20"/>
        <v>0.001809560848</v>
      </c>
      <c r="FF27" s="76">
        <f t="shared" si="20"/>
        <v>0.001945186617</v>
      </c>
      <c r="FG27" s="76">
        <f t="shared" si="20"/>
        <v>0.002007839118</v>
      </c>
      <c r="FH27" s="76">
        <f t="shared" si="20"/>
        <v>0.005257038973</v>
      </c>
      <c r="FI27" s="76">
        <f t="shared" si="20"/>
        <v>0.003161290335</v>
      </c>
      <c r="FJ27" s="76">
        <f t="shared" si="20"/>
        <v>0.001165490419</v>
      </c>
      <c r="FK27" s="76">
        <f t="shared" si="20"/>
        <v>0.006325046132</v>
      </c>
      <c r="FL27" s="76">
        <f t="shared" si="20"/>
        <v>0.005681012854</v>
      </c>
      <c r="FM27" s="76">
        <f t="shared" si="20"/>
        <v>0.006758194187</v>
      </c>
      <c r="FN27" s="76">
        <f t="shared" si="20"/>
        <v>0.005681366235</v>
      </c>
      <c r="FO27" s="76">
        <f t="shared" si="20"/>
        <v>0.004989965117</v>
      </c>
      <c r="FP27" s="76">
        <f t="shared" si="20"/>
        <v>0.003433420651</v>
      </c>
      <c r="FQ27" s="76">
        <f t="shared" si="20"/>
        <v>0.006479761231</v>
      </c>
      <c r="FR27" s="76">
        <f t="shared" si="20"/>
        <v>0.003694974817</v>
      </c>
      <c r="FS27" s="76">
        <f t="shared" si="20"/>
        <v>0.004904851188</v>
      </c>
      <c r="FT27" s="76">
        <f t="shared" si="20"/>
        <v>0.004282734426</v>
      </c>
      <c r="FU27" s="76">
        <f t="shared" si="20"/>
        <v>0.003049368742</v>
      </c>
      <c r="FV27" s="76">
        <f t="shared" si="20"/>
        <v>0.002651976306</v>
      </c>
      <c r="FW27" s="76">
        <f t="shared" si="20"/>
        <v>0.004284149456</v>
      </c>
      <c r="FX27" s="76">
        <f t="shared" si="20"/>
        <v>0.00282815838</v>
      </c>
      <c r="FY27" s="76">
        <f t="shared" si="20"/>
        <v>0.004383707895</v>
      </c>
      <c r="FZ27" s="76">
        <f t="shared" si="20"/>
        <v>0.004625099059</v>
      </c>
      <c r="GA27" s="76">
        <f t="shared" si="20"/>
        <v>0.003468732324</v>
      </c>
      <c r="GB27" s="76">
        <f t="shared" si="20"/>
        <v>0.00163107032</v>
      </c>
      <c r="GC27" s="76">
        <f t="shared" si="20"/>
        <v>0.004357805215</v>
      </c>
      <c r="GD27" s="76">
        <f t="shared" si="20"/>
        <v>0.002727446207</v>
      </c>
      <c r="GE27" s="76">
        <f t="shared" si="20"/>
        <v>0.002057891887</v>
      </c>
      <c r="GF27" s="76">
        <f t="shared" si="20"/>
        <v>0.004078847616</v>
      </c>
      <c r="GG27" s="76">
        <f t="shared" si="20"/>
        <v>0.002504380466</v>
      </c>
      <c r="GH27" s="76">
        <f t="shared" si="20"/>
        <v>0.003656418837</v>
      </c>
      <c r="GI27" s="76">
        <f t="shared" si="20"/>
        <v>0.002696725955</v>
      </c>
      <c r="GJ27" s="76">
        <f t="shared" si="20"/>
        <v>0.004066701229</v>
      </c>
      <c r="GK27" s="76">
        <f t="shared" si="20"/>
        <v>0.004742452458</v>
      </c>
      <c r="GL27" s="76">
        <f t="shared" si="20"/>
        <v>0.002987108669</v>
      </c>
      <c r="GM27" s="76">
        <f t="shared" si="20"/>
        <v>0.00343128305</v>
      </c>
      <c r="GN27" s="76">
        <f t="shared" si="20"/>
        <v>0.007422635837</v>
      </c>
      <c r="GO27" s="76">
        <f t="shared" si="20"/>
        <v>0.001346730137</v>
      </c>
      <c r="GP27" s="76">
        <f t="shared" si="20"/>
        <v>0.003124851199</v>
      </c>
      <c r="GQ27" s="76">
        <f t="shared" si="20"/>
        <v>0.004972312642</v>
      </c>
      <c r="GR27" s="76">
        <f t="shared" si="20"/>
        <v>0.005536216176</v>
      </c>
      <c r="GS27" s="76">
        <f t="shared" si="20"/>
        <v>0.007515291471</v>
      </c>
      <c r="GT27" s="76">
        <f t="shared" si="20"/>
        <v>0.002293901506</v>
      </c>
      <c r="GU27" s="76">
        <f t="shared" si="20"/>
        <v>0.003525488543</v>
      </c>
      <c r="GV27" s="76">
        <f t="shared" si="20"/>
        <v>0.00332127866</v>
      </c>
      <c r="GW27" s="76">
        <f t="shared" si="20"/>
        <v>0.001899281981</v>
      </c>
      <c r="GX27" s="76">
        <f t="shared" si="20"/>
        <v>0.005107024374</v>
      </c>
      <c r="GY27" s="76">
        <f t="shared" si="20"/>
        <v>0.002483530829</v>
      </c>
      <c r="GZ27" s="76">
        <f t="shared" si="20"/>
        <v>0.005813262659</v>
      </c>
      <c r="HA27" s="76">
        <f t="shared" si="20"/>
        <v>0.004259965537</v>
      </c>
      <c r="HB27" s="76">
        <f t="shared" si="20"/>
        <v>0.002698189178</v>
      </c>
      <c r="HC27" s="76">
        <f t="shared" si="20"/>
        <v>0.007014523058</v>
      </c>
      <c r="HD27" s="76">
        <f t="shared" si="20"/>
        <v>0.004416942409</v>
      </c>
      <c r="HE27" s="76">
        <f t="shared" si="20"/>
        <v>0.007849057205</v>
      </c>
      <c r="HF27" s="76">
        <f t="shared" si="20"/>
        <v>0.001761736219</v>
      </c>
      <c r="HG27" s="76">
        <f t="shared" si="20"/>
        <v>0.002756040609</v>
      </c>
      <c r="HH27" s="76">
        <f t="shared" si="20"/>
        <v>0.003932562363</v>
      </c>
      <c r="HI27" s="76">
        <f t="shared" si="20"/>
        <v>0.004923570663</v>
      </c>
      <c r="HJ27" s="76">
        <f t="shared" si="20"/>
        <v>0.003106013581</v>
      </c>
      <c r="HK27" s="76">
        <f t="shared" si="20"/>
        <v>0.002843652157</v>
      </c>
      <c r="HL27" s="76">
        <f t="shared" si="20"/>
        <v>0.004724674277</v>
      </c>
      <c r="HM27" s="76">
        <f t="shared" si="20"/>
        <v>0.006101023022</v>
      </c>
      <c r="HN27" s="76">
        <f t="shared" si="20"/>
        <v>0.003136540688</v>
      </c>
      <c r="HO27" s="76">
        <f t="shared" si="20"/>
        <v>0.002123729135</v>
      </c>
      <c r="HP27" s="76">
        <f t="shared" si="20"/>
        <v>0.005052255563</v>
      </c>
      <c r="HQ27" s="76">
        <f t="shared" si="20"/>
        <v>0.002738606244</v>
      </c>
      <c r="HR27" s="76">
        <f t="shared" si="20"/>
        <v>0.007518593218</v>
      </c>
      <c r="HS27" s="76">
        <f t="shared" si="20"/>
        <v>0.007015652494</v>
      </c>
      <c r="HT27" s="76">
        <f t="shared" si="20"/>
        <v>0.004564968488</v>
      </c>
      <c r="HU27" s="76">
        <f t="shared" si="20"/>
        <v>0.006518917172</v>
      </c>
      <c r="HV27" s="76">
        <f t="shared" si="20"/>
        <v>0.005891120445</v>
      </c>
      <c r="HW27" s="76">
        <f t="shared" si="20"/>
        <v>0.002139250187</v>
      </c>
      <c r="HX27" s="76">
        <f t="shared" si="20"/>
        <v>0.002609583359</v>
      </c>
      <c r="HY27" s="76">
        <f t="shared" si="20"/>
        <v>0.009793737548</v>
      </c>
      <c r="HZ27" s="76">
        <f t="shared" si="20"/>
        <v>0.002146073102</v>
      </c>
      <c r="IA27" s="76">
        <f t="shared" si="20"/>
        <v>0.004564125257</v>
      </c>
      <c r="IB27" s="76">
        <f t="shared" si="20"/>
        <v>0.007006638467</v>
      </c>
      <c r="IC27" s="76">
        <f t="shared" si="20"/>
        <v>0.002482425232</v>
      </c>
      <c r="ID27" s="76">
        <f t="shared" si="20"/>
        <v>0.003901053706</v>
      </c>
      <c r="IE27" s="76">
        <f t="shared" si="20"/>
        <v>0.001769667125</v>
      </c>
      <c r="IF27" s="76">
        <f t="shared" si="20"/>
        <v>0.003432396409</v>
      </c>
      <c r="IG27" s="76">
        <f t="shared" si="20"/>
        <v>0.01003299549</v>
      </c>
      <c r="IH27" s="76">
        <f t="shared" si="20"/>
        <v>0.003859760052</v>
      </c>
      <c r="II27" s="76">
        <f t="shared" si="20"/>
        <v>0.003431454861</v>
      </c>
      <c r="IJ27" s="76">
        <f t="shared" si="20"/>
        <v>0.002389305446</v>
      </c>
      <c r="IK27" s="76">
        <f t="shared" si="20"/>
        <v>0.002268967753</v>
      </c>
      <c r="IL27" s="76">
        <f t="shared" si="20"/>
        <v>0.00477466874</v>
      </c>
      <c r="IM27" s="76">
        <f t="shared" si="20"/>
        <v>0.003694313875</v>
      </c>
      <c r="IN27" s="76">
        <f t="shared" si="20"/>
        <v>0.002105253374</v>
      </c>
      <c r="IO27" s="76">
        <f t="shared" si="20"/>
        <v>0.003097424499</v>
      </c>
      <c r="IP27" s="76">
        <f t="shared" si="20"/>
        <v>0.002439482044</v>
      </c>
      <c r="IQ27" s="76">
        <f t="shared" si="20"/>
        <v>0.002350892427</v>
      </c>
      <c r="IR27" s="76">
        <f t="shared" si="20"/>
        <v>0.006384956674</v>
      </c>
      <c r="IS27" s="76">
        <f t="shared" si="20"/>
        <v>0.004557915243</v>
      </c>
      <c r="IT27" s="76">
        <f t="shared" si="20"/>
        <v>0.006192134045</v>
      </c>
      <c r="IU27" s="76">
        <f t="shared" si="20"/>
        <v>0.003053503381</v>
      </c>
      <c r="IV27" s="76">
        <f t="shared" si="20"/>
        <v>0.005738629116</v>
      </c>
      <c r="IW27" s="76">
        <f t="shared" si="20"/>
        <v>0.003059197375</v>
      </c>
      <c r="IX27" s="76">
        <f t="shared" si="20"/>
        <v>0.003652772696</v>
      </c>
      <c r="IY27" s="76">
        <f t="shared" si="20"/>
        <v>0.003697983227</v>
      </c>
      <c r="IZ27" s="76">
        <f t="shared" si="20"/>
        <v>0.006524834546</v>
      </c>
      <c r="JA27" s="76">
        <f t="shared" si="20"/>
        <v>0.004699062773</v>
      </c>
      <c r="JB27" s="76">
        <f t="shared" si="20"/>
        <v>0.004397652517</v>
      </c>
      <c r="JC27" s="76">
        <f t="shared" si="20"/>
        <v>0.006437496916</v>
      </c>
      <c r="JD27" s="76">
        <f t="shared" si="20"/>
        <v>0.005615886629</v>
      </c>
      <c r="JE27" s="76">
        <f t="shared" si="20"/>
        <v>0.002204108184</v>
      </c>
      <c r="JF27" s="76">
        <f t="shared" si="20"/>
        <v>0.001758752149</v>
      </c>
      <c r="JG27" s="76">
        <f t="shared" si="20"/>
        <v>0.00349534177</v>
      </c>
      <c r="JH27" s="76">
        <f t="shared" si="20"/>
        <v>0.003613707038</v>
      </c>
      <c r="JI27" s="76">
        <f t="shared" si="20"/>
        <v>0.005106218425</v>
      </c>
      <c r="JJ27" s="76">
        <f t="shared" si="20"/>
        <v>0.004772471632</v>
      </c>
      <c r="JK27" s="76">
        <f t="shared" si="20"/>
        <v>0.005335751096</v>
      </c>
      <c r="JL27" s="76">
        <f t="shared" si="20"/>
        <v>0.00236213216</v>
      </c>
      <c r="JM27" s="76">
        <f t="shared" si="20"/>
        <v>0.002750305372</v>
      </c>
      <c r="JN27" s="76">
        <f t="shared" si="20"/>
        <v>0.003775568666</v>
      </c>
      <c r="JO27" s="76">
        <f t="shared" si="20"/>
        <v>0.007579333873</v>
      </c>
      <c r="JP27" s="76">
        <f t="shared" si="20"/>
        <v>0.003777133935</v>
      </c>
      <c r="JQ27" s="76">
        <f t="shared" si="20"/>
        <v>0.001426326118</v>
      </c>
      <c r="JR27" s="76">
        <f t="shared" si="20"/>
        <v>0.004913004505</v>
      </c>
      <c r="JS27" s="76">
        <f t="shared" si="20"/>
        <v>0.00280842157</v>
      </c>
      <c r="JT27" s="76">
        <f t="shared" si="20"/>
        <v>0.007194301081</v>
      </c>
      <c r="JU27" s="76">
        <f t="shared" si="20"/>
        <v>0.002689207147</v>
      </c>
      <c r="JV27" s="76">
        <f t="shared" si="20"/>
        <v>0.004327845431</v>
      </c>
      <c r="JW27" s="76">
        <f t="shared" si="20"/>
        <v>0.003088907441</v>
      </c>
      <c r="JX27" s="76">
        <f t="shared" si="20"/>
        <v>0.0021603208</v>
      </c>
      <c r="JY27" s="76">
        <f t="shared" si="20"/>
        <v>0.007381535059</v>
      </c>
      <c r="JZ27" s="76">
        <f t="shared" si="20"/>
        <v>0.00656761809</v>
      </c>
      <c r="KA27" s="76">
        <f t="shared" si="20"/>
        <v>0.007125542269</v>
      </c>
      <c r="KB27" s="76">
        <f t="shared" si="20"/>
        <v>0.002929372096</v>
      </c>
      <c r="KC27" s="76">
        <f t="shared" si="20"/>
        <v>0.001634894781</v>
      </c>
      <c r="KD27" s="76">
        <f t="shared" si="20"/>
        <v>0.003427888799</v>
      </c>
      <c r="KE27" s="76">
        <f t="shared" si="20"/>
        <v>0.00669996215</v>
      </c>
      <c r="KF27" s="76">
        <f t="shared" si="20"/>
        <v>0.005731040001</v>
      </c>
      <c r="KG27" s="76">
        <f t="shared" si="20"/>
        <v>0.002356072116</v>
      </c>
      <c r="KH27" s="76">
        <f t="shared" si="20"/>
        <v>0.002120245825</v>
      </c>
      <c r="KI27" s="76">
        <f t="shared" si="20"/>
        <v>0.002739720353</v>
      </c>
      <c r="KJ27" s="76">
        <f t="shared" si="20"/>
        <v>0.006927459836</v>
      </c>
      <c r="KK27" s="76">
        <f t="shared" si="20"/>
        <v>0.004534761465</v>
      </c>
      <c r="KL27" s="76">
        <f t="shared" si="20"/>
        <v>0.002445240455</v>
      </c>
      <c r="KM27" s="76">
        <f t="shared" si="20"/>
        <v>0.003611587586</v>
      </c>
      <c r="KN27" s="76">
        <f t="shared" si="20"/>
        <v>0.004656122193</v>
      </c>
      <c r="KO27" s="76">
        <f t="shared" si="20"/>
        <v>0.006751845306</v>
      </c>
      <c r="KP27" s="76">
        <f t="shared" si="20"/>
        <v>0.003088979268</v>
      </c>
      <c r="KQ27" s="76">
        <f t="shared" si="20"/>
        <v>0.006250886009</v>
      </c>
      <c r="KR27" s="76">
        <f t="shared" si="20"/>
        <v>0.002021145115</v>
      </c>
      <c r="KS27" s="76">
        <f t="shared" si="20"/>
        <v>0.002714675298</v>
      </c>
      <c r="KT27" s="76">
        <f t="shared" si="20"/>
        <v>0.005697839198</v>
      </c>
      <c r="KU27" s="76">
        <f t="shared" si="20"/>
        <v>0.004327991337</v>
      </c>
      <c r="KV27" s="76">
        <f t="shared" si="20"/>
        <v>0.003461321607</v>
      </c>
      <c r="KW27" s="76">
        <f t="shared" si="20"/>
        <v>0.004316096906</v>
      </c>
      <c r="KX27" s="76">
        <f t="shared" si="20"/>
        <v>0.006826287011</v>
      </c>
      <c r="KY27" s="76">
        <f t="shared" si="20"/>
        <v>0.002547585811</v>
      </c>
      <c r="KZ27" s="76">
        <f t="shared" si="20"/>
        <v>0.005089473679</v>
      </c>
      <c r="LA27" s="76">
        <f t="shared" si="20"/>
        <v>0.003832999911</v>
      </c>
      <c r="LB27" s="76">
        <f t="shared" si="20"/>
        <v>0.005669046651</v>
      </c>
      <c r="LC27" s="76">
        <f t="shared" si="20"/>
        <v>0.004786395184</v>
      </c>
      <c r="LD27" s="76">
        <f t="shared" si="20"/>
        <v>0.003702506312</v>
      </c>
      <c r="LE27" s="76">
        <f t="shared" si="20"/>
        <v>0.005272111023</v>
      </c>
      <c r="LF27" s="76">
        <f t="shared" si="20"/>
        <v>0.002086483753</v>
      </c>
      <c r="LG27" s="76">
        <f t="shared" si="20"/>
        <v>0.005133583589</v>
      </c>
      <c r="LH27" s="76">
        <f t="shared" si="20"/>
        <v>0.004452642553</v>
      </c>
      <c r="LI27" s="76">
        <f t="shared" si="20"/>
        <v>0.006703565385</v>
      </c>
      <c r="LJ27" s="76">
        <f t="shared" si="20"/>
        <v>0.002718590472</v>
      </c>
      <c r="LK27" s="76">
        <f t="shared" si="20"/>
        <v>0.004190116787</v>
      </c>
      <c r="LL27" s="76">
        <f t="shared" si="20"/>
        <v>0.00489417556</v>
      </c>
      <c r="LM27" s="76">
        <f t="shared" si="20"/>
        <v>0.00567439204</v>
      </c>
      <c r="LN27" s="76">
        <f t="shared" si="20"/>
        <v>0.005583655437</v>
      </c>
      <c r="LO27" s="76">
        <f t="shared" si="20"/>
        <v>0.002839424876</v>
      </c>
      <c r="LP27" s="76">
        <f t="shared" si="20"/>
        <v>0.002552982408</v>
      </c>
      <c r="LQ27" s="76">
        <f t="shared" si="20"/>
        <v>0.002885392323</v>
      </c>
      <c r="LR27" s="76">
        <f t="shared" si="20"/>
        <v>0.004433620115</v>
      </c>
      <c r="LS27" s="76">
        <f t="shared" si="20"/>
        <v>0.005321996067</v>
      </c>
      <c r="LT27" s="76">
        <f t="shared" si="20"/>
        <v>0.003671740096</v>
      </c>
      <c r="LU27" s="76">
        <f t="shared" si="20"/>
        <v>0.002838489707</v>
      </c>
      <c r="LV27" s="76">
        <f t="shared" si="20"/>
        <v>0.003809653577</v>
      </c>
      <c r="LW27" s="76">
        <f t="shared" si="20"/>
        <v>0.00168546126</v>
      </c>
      <c r="LX27" s="76">
        <f t="shared" si="20"/>
        <v>0.001422490378</v>
      </c>
      <c r="LY27" s="76">
        <f t="shared" si="20"/>
        <v>0.004575063516</v>
      </c>
      <c r="LZ27" s="76">
        <f t="shared" si="20"/>
        <v>0.003642166108</v>
      </c>
      <c r="MA27" s="76">
        <f t="shared" si="20"/>
        <v>0.003897292256</v>
      </c>
      <c r="MB27" s="76">
        <f t="shared" si="20"/>
        <v>0.01037009892</v>
      </c>
      <c r="MC27" s="76">
        <f t="shared" si="20"/>
        <v>0.005771788414</v>
      </c>
      <c r="MD27" s="76">
        <f t="shared" si="20"/>
        <v>0.004566497669</v>
      </c>
      <c r="ME27" s="76">
        <f t="shared" si="20"/>
        <v>0.002321122761</v>
      </c>
      <c r="MF27" s="76">
        <f t="shared" si="20"/>
        <v>0.001638621283</v>
      </c>
      <c r="MG27" s="76">
        <f t="shared" si="20"/>
        <v>0.002435216286</v>
      </c>
      <c r="MH27" s="76">
        <f t="shared" si="20"/>
        <v>0.001852422284</v>
      </c>
      <c r="MI27" s="76">
        <f t="shared" si="20"/>
        <v>0.004598647847</v>
      </c>
      <c r="MJ27" s="76">
        <f t="shared" si="20"/>
        <v>0.00247017449</v>
      </c>
      <c r="MK27" s="76">
        <f t="shared" si="20"/>
        <v>0.002102287645</v>
      </c>
      <c r="ML27" s="76">
        <f t="shared" si="20"/>
        <v>0.003130274312</v>
      </c>
      <c r="MM27" s="76">
        <f t="shared" si="20"/>
        <v>0.002917850956</v>
      </c>
      <c r="MN27" s="76">
        <f t="shared" si="20"/>
        <v>0.009243385954</v>
      </c>
      <c r="MO27" s="76">
        <f t="shared" si="20"/>
        <v>0.004896172866</v>
      </c>
      <c r="MP27" s="76">
        <f t="shared" si="20"/>
        <v>0.004475170668</v>
      </c>
      <c r="MQ27" s="76">
        <f t="shared" si="20"/>
        <v>0.003358333009</v>
      </c>
      <c r="MR27" s="76">
        <f t="shared" si="20"/>
        <v>0.003338363763</v>
      </c>
      <c r="MS27" s="76">
        <f t="shared" si="20"/>
        <v>0.005611446303</v>
      </c>
      <c r="MT27" s="76">
        <f t="shared" si="20"/>
        <v>0.004296204153</v>
      </c>
      <c r="MU27" s="76">
        <f t="shared" si="20"/>
        <v>0.006795368862</v>
      </c>
      <c r="MV27" s="76">
        <f t="shared" si="20"/>
        <v>0.003708281156</v>
      </c>
      <c r="MW27" s="76">
        <f t="shared" si="20"/>
        <v>0.002602612774</v>
      </c>
      <c r="MX27" s="76">
        <f t="shared" si="20"/>
        <v>0.003180543958</v>
      </c>
      <c r="MY27" s="76">
        <f t="shared" si="20"/>
        <v>0.004419828542</v>
      </c>
      <c r="MZ27" s="76">
        <f t="shared" si="20"/>
        <v>0.002838154755</v>
      </c>
      <c r="NA27" s="76">
        <f t="shared" si="20"/>
        <v>0.00846618606</v>
      </c>
      <c r="NB27" s="76">
        <f t="shared" si="20"/>
        <v>0.006481752154</v>
      </c>
      <c r="NC27" s="76">
        <f t="shared" si="20"/>
        <v>0.006744150965</v>
      </c>
      <c r="ND27" s="76">
        <f t="shared" si="20"/>
        <v>0.003029949788</v>
      </c>
      <c r="NE27" s="76">
        <f t="shared" si="20"/>
        <v>0.004066237765</v>
      </c>
      <c r="NF27" s="76">
        <f t="shared" si="20"/>
        <v>0.002316421032</v>
      </c>
      <c r="NG27" s="76">
        <f t="shared" si="20"/>
        <v>0.006897371887</v>
      </c>
      <c r="NH27" s="76">
        <f t="shared" si="20"/>
        <v>0.003230042021</v>
      </c>
      <c r="NI27" s="76">
        <f t="shared" si="20"/>
        <v>0.005362933435</v>
      </c>
      <c r="NJ27" s="76">
        <f t="shared" si="20"/>
        <v>0.003590905815</v>
      </c>
      <c r="NK27" s="76">
        <f t="shared" si="20"/>
        <v>0.006810571241</v>
      </c>
      <c r="NL27" s="76">
        <f t="shared" si="20"/>
        <v>0.00459187202</v>
      </c>
      <c r="NM27" s="76">
        <f t="shared" si="20"/>
        <v>0.007446148377</v>
      </c>
      <c r="NN27" s="76">
        <f t="shared" si="20"/>
        <v>0.001650753164</v>
      </c>
      <c r="NO27" s="76">
        <f t="shared" si="20"/>
        <v>0.007422845</v>
      </c>
      <c r="NP27" s="76">
        <f t="shared" si="20"/>
        <v>0.007919192709</v>
      </c>
      <c r="NQ27" s="76">
        <f t="shared" si="20"/>
        <v>0.003134218182</v>
      </c>
      <c r="NR27" s="76">
        <f t="shared" si="20"/>
        <v>0.003883310318</v>
      </c>
      <c r="NS27" s="76">
        <f t="shared" si="20"/>
        <v>0.00453997126</v>
      </c>
      <c r="NT27" s="76">
        <f t="shared" si="20"/>
        <v>0.01159323674</v>
      </c>
      <c r="NU27" s="76">
        <f t="shared" si="20"/>
        <v>0.004612030306</v>
      </c>
      <c r="NV27" s="76">
        <f t="shared" si="20"/>
        <v>0.004743725399</v>
      </c>
      <c r="NW27" s="76">
        <f t="shared" si="20"/>
        <v>0.005907652047</v>
      </c>
      <c r="NX27" s="76">
        <f t="shared" si="20"/>
        <v>0.004051356853</v>
      </c>
      <c r="NY27" s="76">
        <f t="shared" si="20"/>
        <v>0.003030571886</v>
      </c>
      <c r="NZ27" s="76">
        <f t="shared" si="20"/>
        <v>0.003135250846</v>
      </c>
      <c r="OA27" s="76">
        <f t="shared" si="20"/>
        <v>0.006782863633</v>
      </c>
      <c r="OB27" s="76">
        <f t="shared" si="20"/>
        <v>0.003013439065</v>
      </c>
      <c r="OC27" s="76">
        <f t="shared" si="20"/>
        <v>0.004065181313</v>
      </c>
      <c r="OD27" s="76">
        <f t="shared" si="20"/>
        <v>0.003341674841</v>
      </c>
      <c r="OE27" s="76">
        <f t="shared" si="20"/>
        <v>0.00277779345</v>
      </c>
      <c r="OF27" s="76">
        <f t="shared" si="20"/>
        <v>0.006881500168</v>
      </c>
      <c r="OG27" s="76">
        <f t="shared" si="20"/>
        <v>0.001862615752</v>
      </c>
      <c r="OH27" s="76">
        <f t="shared" si="20"/>
        <v>0.004017496498</v>
      </c>
      <c r="OI27" s="76">
        <f t="shared" si="20"/>
        <v>0.003509015797</v>
      </c>
      <c r="OJ27" s="76">
        <f t="shared" si="20"/>
        <v>0.002699447865</v>
      </c>
      <c r="OK27" s="76">
        <f t="shared" si="20"/>
        <v>0.00364181412</v>
      </c>
      <c r="OL27" s="76">
        <f t="shared" si="20"/>
        <v>0.001252852447</v>
      </c>
      <c r="OM27" s="76">
        <f t="shared" si="20"/>
        <v>0.003113299934</v>
      </c>
      <c r="ON27" s="76">
        <f t="shared" si="20"/>
        <v>0.005538258488</v>
      </c>
      <c r="OO27" s="76">
        <f t="shared" si="20"/>
        <v>0.001644344019</v>
      </c>
      <c r="OP27" s="76">
        <f t="shared" si="20"/>
        <v>0.003715782127</v>
      </c>
      <c r="OQ27" s="76">
        <f t="shared" si="20"/>
        <v>0.006723874256</v>
      </c>
      <c r="OR27" s="76">
        <f t="shared" si="20"/>
        <v>0.005109731595</v>
      </c>
      <c r="OS27" s="76">
        <f t="shared" si="20"/>
        <v>0.003176549929</v>
      </c>
      <c r="OT27" s="76">
        <f t="shared" si="20"/>
        <v>0.004609565244</v>
      </c>
      <c r="OU27" s="76">
        <f t="shared" si="20"/>
        <v>0.004263693149</v>
      </c>
      <c r="OV27" s="76">
        <f t="shared" si="20"/>
        <v>0.003652419445</v>
      </c>
      <c r="OW27" s="76">
        <f t="shared" si="20"/>
        <v>0.001717121645</v>
      </c>
      <c r="OX27" s="76">
        <f t="shared" si="20"/>
        <v>0.004158586629</v>
      </c>
      <c r="OY27" s="76">
        <f t="shared" si="20"/>
        <v>0.002795625606</v>
      </c>
      <c r="OZ27" s="76">
        <f t="shared" si="20"/>
        <v>0.006045835888</v>
      </c>
      <c r="PA27" s="76">
        <f t="shared" si="20"/>
        <v>0.003364552142</v>
      </c>
      <c r="PB27" s="76">
        <f t="shared" si="20"/>
        <v>0.006527281361</v>
      </c>
      <c r="PC27" s="76">
        <f t="shared" si="20"/>
        <v>0.005509193133</v>
      </c>
      <c r="PD27" s="76">
        <f t="shared" si="20"/>
        <v>0.001636278667</v>
      </c>
      <c r="PE27" s="76">
        <f t="shared" si="20"/>
        <v>0.004061654514</v>
      </c>
      <c r="PF27" s="76">
        <f t="shared" si="20"/>
        <v>0.007022962689</v>
      </c>
      <c r="PG27" s="76">
        <f t="shared" si="20"/>
        <v>0.003812735321</v>
      </c>
      <c r="PH27" s="76">
        <f t="shared" si="20"/>
        <v>0.004568166643</v>
      </c>
      <c r="PI27" s="76">
        <f t="shared" si="20"/>
        <v>0.004589497345</v>
      </c>
      <c r="PJ27" s="76">
        <f t="shared" si="20"/>
        <v>0.001917522277</v>
      </c>
      <c r="PK27" s="76">
        <f t="shared" si="20"/>
        <v>0.004090290739</v>
      </c>
      <c r="PL27" s="76">
        <f t="shared" si="20"/>
        <v>0.003605239505</v>
      </c>
      <c r="PM27" s="76">
        <f t="shared" si="20"/>
        <v>0.003529099395</v>
      </c>
      <c r="PN27" s="76">
        <f t="shared" si="20"/>
        <v>0.001677321237</v>
      </c>
      <c r="PO27" s="76">
        <f t="shared" si="20"/>
        <v>0.001661804884</v>
      </c>
      <c r="PP27" s="76">
        <f t="shared" si="20"/>
        <v>0.002859961699</v>
      </c>
      <c r="PQ27" s="76">
        <f t="shared" si="20"/>
        <v>0.00877586931</v>
      </c>
      <c r="PR27" s="76">
        <f t="shared" si="20"/>
        <v>0.003593284995</v>
      </c>
      <c r="PS27" s="76">
        <f t="shared" si="20"/>
        <v>0.003213340308</v>
      </c>
      <c r="PT27" s="76">
        <f t="shared" si="20"/>
        <v>0.004047431299</v>
      </c>
      <c r="PU27" s="76">
        <f t="shared" si="20"/>
        <v>0.001465258889</v>
      </c>
      <c r="PV27" s="76">
        <f t="shared" si="20"/>
        <v>0.003070993819</v>
      </c>
      <c r="PW27" s="76">
        <f t="shared" si="20"/>
        <v>0.004080620411</v>
      </c>
      <c r="PX27" s="76">
        <f t="shared" si="20"/>
        <v>0.003843997584</v>
      </c>
      <c r="PY27" s="76">
        <f t="shared" si="20"/>
        <v>0.00834353035</v>
      </c>
      <c r="PZ27" s="76">
        <f t="shared" si="20"/>
        <v>0.004685013649</v>
      </c>
      <c r="QA27" s="76">
        <f t="shared" si="20"/>
        <v>0.004267558979</v>
      </c>
      <c r="QB27" s="76">
        <f t="shared" si="20"/>
        <v>0.004373549914</v>
      </c>
      <c r="QC27" s="76">
        <f t="shared" si="20"/>
        <v>0.004823533851</v>
      </c>
      <c r="QD27" s="76">
        <f t="shared" si="20"/>
        <v>0.003584960538</v>
      </c>
      <c r="QE27" s="76">
        <f t="shared" si="20"/>
        <v>0.00728633683</v>
      </c>
      <c r="QF27" s="76">
        <f t="shared" si="20"/>
        <v>0.001719796704</v>
      </c>
      <c r="QG27" s="76">
        <f t="shared" si="20"/>
        <v>0.006554840046</v>
      </c>
      <c r="QH27" s="76">
        <f t="shared" si="20"/>
        <v>0.004298044221</v>
      </c>
      <c r="QI27" s="76">
        <f t="shared" si="20"/>
        <v>0.004488158229</v>
      </c>
      <c r="QJ27" s="76">
        <f t="shared" si="20"/>
        <v>0.006414557186</v>
      </c>
      <c r="QK27" s="76">
        <f t="shared" si="20"/>
        <v>0.002610394986</v>
      </c>
      <c r="QL27" s="76">
        <f t="shared" si="20"/>
        <v>0.002416352648</v>
      </c>
      <c r="QM27" s="76">
        <f t="shared" si="20"/>
        <v>0.004491021313</v>
      </c>
      <c r="QN27" s="76">
        <f t="shared" si="20"/>
        <v>0.002957316469</v>
      </c>
      <c r="QO27" s="76">
        <f t="shared" si="20"/>
        <v>0.002694087275</v>
      </c>
      <c r="QP27" s="76">
        <f t="shared" si="20"/>
        <v>0.004756216441</v>
      </c>
      <c r="QQ27" s="76">
        <f t="shared" si="20"/>
        <v>0.004714985268</v>
      </c>
      <c r="QR27" s="76">
        <f t="shared" si="20"/>
        <v>0.006843856373</v>
      </c>
      <c r="QS27" s="76">
        <f t="shared" si="20"/>
        <v>0.003867166819</v>
      </c>
      <c r="QT27" s="76">
        <f t="shared" si="20"/>
        <v>0.002574316361</v>
      </c>
      <c r="QU27" s="76">
        <f t="shared" si="20"/>
        <v>0.003165158108</v>
      </c>
      <c r="QV27" s="76">
        <f t="shared" si="20"/>
        <v>0.008143869436</v>
      </c>
      <c r="QW27" s="76">
        <f t="shared" si="20"/>
        <v>0.003212600228</v>
      </c>
      <c r="QX27" s="76">
        <f t="shared" si="20"/>
        <v>0.002466385194</v>
      </c>
      <c r="QY27" s="76">
        <f t="shared" si="20"/>
        <v>0.002134257001</v>
      </c>
      <c r="QZ27" s="76">
        <f t="shared" si="20"/>
        <v>0.005765283646</v>
      </c>
      <c r="RA27" s="76">
        <f t="shared" si="20"/>
        <v>0.004945100046</v>
      </c>
      <c r="RB27" s="76">
        <f t="shared" si="20"/>
        <v>0.002992610706</v>
      </c>
      <c r="RC27" s="76">
        <f t="shared" si="20"/>
        <v>0.002890747294</v>
      </c>
      <c r="RD27" s="76">
        <f t="shared" si="20"/>
        <v>0.001383790471</v>
      </c>
      <c r="RE27" s="76">
        <f t="shared" si="20"/>
        <v>0.004132775082</v>
      </c>
      <c r="RF27" s="76">
        <f t="shared" si="20"/>
        <v>0.004753396453</v>
      </c>
      <c r="RG27" s="76">
        <f t="shared" si="20"/>
        <v>0.003020471245</v>
      </c>
      <c r="RH27" s="76">
        <f t="shared" si="20"/>
        <v>0.001726921486</v>
      </c>
      <c r="RI27" s="76">
        <f t="shared" si="20"/>
        <v>0.008850434892</v>
      </c>
      <c r="RJ27" s="76">
        <f t="shared" si="20"/>
        <v>0.007023597283</v>
      </c>
      <c r="RK27" s="76">
        <f t="shared" si="20"/>
        <v>0.003662041207</v>
      </c>
      <c r="RL27" s="76">
        <f t="shared" si="20"/>
        <v>0.002848883195</v>
      </c>
      <c r="RM27" s="76">
        <f t="shared" si="20"/>
        <v>0.006394859767</v>
      </c>
      <c r="RN27" s="76">
        <f t="shared" si="20"/>
        <v>0.008540491951</v>
      </c>
      <c r="RO27" s="76">
        <f t="shared" si="20"/>
        <v>0.005920860295</v>
      </c>
      <c r="RP27" s="76">
        <f t="shared" si="20"/>
        <v>0.006322551295</v>
      </c>
      <c r="RQ27" s="76">
        <f t="shared" si="20"/>
        <v>0.004436338444</v>
      </c>
      <c r="RR27" s="76">
        <f t="shared" si="20"/>
        <v>0.004106959254</v>
      </c>
      <c r="RS27" s="76">
        <f t="shared" si="20"/>
        <v>0.00908857606</v>
      </c>
      <c r="RT27" s="76">
        <f t="shared" si="20"/>
        <v>0.003287459412</v>
      </c>
      <c r="RU27" s="76">
        <f t="shared" si="20"/>
        <v>0.002728822633</v>
      </c>
      <c r="RV27" s="76">
        <f t="shared" si="20"/>
        <v>0.003734365813</v>
      </c>
      <c r="RW27" s="76">
        <f t="shared" si="20"/>
        <v>0.004654422965</v>
      </c>
      <c r="RX27" s="76">
        <f t="shared" si="20"/>
        <v>0.002347400314</v>
      </c>
      <c r="RY27" s="76">
        <f t="shared" si="20"/>
        <v>0.002124202446</v>
      </c>
      <c r="RZ27" s="76">
        <f t="shared" si="20"/>
        <v>0.005917455009</v>
      </c>
      <c r="SA27" s="76">
        <f t="shared" si="20"/>
        <v>0.003013705458</v>
      </c>
      <c r="SB27" s="76">
        <f t="shared" si="20"/>
        <v>0.006067623638</v>
      </c>
      <c r="SC27" s="76">
        <f t="shared" si="20"/>
        <v>0.005409754229</v>
      </c>
      <c r="SD27" s="76">
        <f t="shared" si="20"/>
        <v>0.003953748142</v>
      </c>
      <c r="SE27" s="76">
        <f t="shared" si="20"/>
        <v>0.003719320016</v>
      </c>
      <c r="SF27" s="76">
        <f t="shared" si="20"/>
        <v>0.005534258604</v>
      </c>
      <c r="SG27" s="76">
        <f t="shared" si="20"/>
        <v>0.002298455499</v>
      </c>
      <c r="SH27" s="76">
        <f t="shared" si="20"/>
        <v>0.004374734637</v>
      </c>
      <c r="SI27" s="76">
        <f t="shared" si="20"/>
        <v>0.004410483012</v>
      </c>
      <c r="SJ27" s="76">
        <f t="shared" si="20"/>
        <v>0.002052979979</v>
      </c>
      <c r="SK27" s="76">
        <f t="shared" si="20"/>
        <v>0.006273929476</v>
      </c>
      <c r="SL27" s="76">
        <f t="shared" si="20"/>
        <v>0.002001231227</v>
      </c>
    </row>
    <row r="28">
      <c r="A28" s="53" t="s">
        <v>104</v>
      </c>
      <c r="B28" s="218">
        <f t="array" ref="B28">INDEX('New CEA'!$B28:$F28,MATCH($B$2,'New CEA'!B$2:F$2,0))</f>
        <v>0.003355</v>
      </c>
      <c r="C28" s="276"/>
      <c r="D28" s="277"/>
      <c r="E28" s="278"/>
      <c r="F28" s="76"/>
      <c r="G28" s="76">
        <f t="shared" ref="G28:SL28" si="21">$B28</f>
        <v>0.003355</v>
      </c>
      <c r="H28" s="76">
        <f t="shared" si="21"/>
        <v>0.003355</v>
      </c>
      <c r="I28" s="76">
        <f t="shared" si="21"/>
        <v>0.003355</v>
      </c>
      <c r="J28" s="76">
        <f t="shared" si="21"/>
        <v>0.003355</v>
      </c>
      <c r="K28" s="76">
        <f t="shared" si="21"/>
        <v>0.003355</v>
      </c>
      <c r="L28" s="76">
        <f t="shared" si="21"/>
        <v>0.003355</v>
      </c>
      <c r="M28" s="76">
        <f t="shared" si="21"/>
        <v>0.003355</v>
      </c>
      <c r="N28" s="76">
        <f t="shared" si="21"/>
        <v>0.003355</v>
      </c>
      <c r="O28" s="76">
        <f t="shared" si="21"/>
        <v>0.003355</v>
      </c>
      <c r="P28" s="76">
        <f t="shared" si="21"/>
        <v>0.003355</v>
      </c>
      <c r="Q28" s="76">
        <f t="shared" si="21"/>
        <v>0.003355</v>
      </c>
      <c r="R28" s="76">
        <f t="shared" si="21"/>
        <v>0.003355</v>
      </c>
      <c r="S28" s="76">
        <f t="shared" si="21"/>
        <v>0.003355</v>
      </c>
      <c r="T28" s="76">
        <f t="shared" si="21"/>
        <v>0.003355</v>
      </c>
      <c r="U28" s="76">
        <f t="shared" si="21"/>
        <v>0.003355</v>
      </c>
      <c r="V28" s="76">
        <f t="shared" si="21"/>
        <v>0.003355</v>
      </c>
      <c r="W28" s="76">
        <f t="shared" si="21"/>
        <v>0.003355</v>
      </c>
      <c r="X28" s="76">
        <f t="shared" si="21"/>
        <v>0.003355</v>
      </c>
      <c r="Y28" s="76">
        <f t="shared" si="21"/>
        <v>0.003355</v>
      </c>
      <c r="Z28" s="76">
        <f t="shared" si="21"/>
        <v>0.003355</v>
      </c>
      <c r="AA28" s="76">
        <f t="shared" si="21"/>
        <v>0.003355</v>
      </c>
      <c r="AB28" s="76">
        <f t="shared" si="21"/>
        <v>0.003355</v>
      </c>
      <c r="AC28" s="76">
        <f t="shared" si="21"/>
        <v>0.003355</v>
      </c>
      <c r="AD28" s="76">
        <f t="shared" si="21"/>
        <v>0.003355</v>
      </c>
      <c r="AE28" s="76">
        <f t="shared" si="21"/>
        <v>0.003355</v>
      </c>
      <c r="AF28" s="76">
        <f t="shared" si="21"/>
        <v>0.003355</v>
      </c>
      <c r="AG28" s="76">
        <f t="shared" si="21"/>
        <v>0.003355</v>
      </c>
      <c r="AH28" s="76">
        <f t="shared" si="21"/>
        <v>0.003355</v>
      </c>
      <c r="AI28" s="76">
        <f t="shared" si="21"/>
        <v>0.003355</v>
      </c>
      <c r="AJ28" s="76">
        <f t="shared" si="21"/>
        <v>0.003355</v>
      </c>
      <c r="AK28" s="76">
        <f t="shared" si="21"/>
        <v>0.003355</v>
      </c>
      <c r="AL28" s="76">
        <f t="shared" si="21"/>
        <v>0.003355</v>
      </c>
      <c r="AM28" s="76">
        <f t="shared" si="21"/>
        <v>0.003355</v>
      </c>
      <c r="AN28" s="76">
        <f t="shared" si="21"/>
        <v>0.003355</v>
      </c>
      <c r="AO28" s="76">
        <f t="shared" si="21"/>
        <v>0.003355</v>
      </c>
      <c r="AP28" s="76">
        <f t="shared" si="21"/>
        <v>0.003355</v>
      </c>
      <c r="AQ28" s="76">
        <f t="shared" si="21"/>
        <v>0.003355</v>
      </c>
      <c r="AR28" s="76">
        <f t="shared" si="21"/>
        <v>0.003355</v>
      </c>
      <c r="AS28" s="76">
        <f t="shared" si="21"/>
        <v>0.003355</v>
      </c>
      <c r="AT28" s="76">
        <f t="shared" si="21"/>
        <v>0.003355</v>
      </c>
      <c r="AU28" s="76">
        <f t="shared" si="21"/>
        <v>0.003355</v>
      </c>
      <c r="AV28" s="76">
        <f t="shared" si="21"/>
        <v>0.003355</v>
      </c>
      <c r="AW28" s="76">
        <f t="shared" si="21"/>
        <v>0.003355</v>
      </c>
      <c r="AX28" s="76">
        <f t="shared" si="21"/>
        <v>0.003355</v>
      </c>
      <c r="AY28" s="76">
        <f t="shared" si="21"/>
        <v>0.003355</v>
      </c>
      <c r="AZ28" s="76">
        <f t="shared" si="21"/>
        <v>0.003355</v>
      </c>
      <c r="BA28" s="76">
        <f t="shared" si="21"/>
        <v>0.003355</v>
      </c>
      <c r="BB28" s="76">
        <f t="shared" si="21"/>
        <v>0.003355</v>
      </c>
      <c r="BC28" s="76">
        <f t="shared" si="21"/>
        <v>0.003355</v>
      </c>
      <c r="BD28" s="76">
        <f t="shared" si="21"/>
        <v>0.003355</v>
      </c>
      <c r="BE28" s="76">
        <f t="shared" si="21"/>
        <v>0.003355</v>
      </c>
      <c r="BF28" s="76">
        <f t="shared" si="21"/>
        <v>0.003355</v>
      </c>
      <c r="BG28" s="76">
        <f t="shared" si="21"/>
        <v>0.003355</v>
      </c>
      <c r="BH28" s="76">
        <f t="shared" si="21"/>
        <v>0.003355</v>
      </c>
      <c r="BI28" s="76">
        <f t="shared" si="21"/>
        <v>0.003355</v>
      </c>
      <c r="BJ28" s="76">
        <f t="shared" si="21"/>
        <v>0.003355</v>
      </c>
      <c r="BK28" s="76">
        <f t="shared" si="21"/>
        <v>0.003355</v>
      </c>
      <c r="BL28" s="76">
        <f t="shared" si="21"/>
        <v>0.003355</v>
      </c>
      <c r="BM28" s="76">
        <f t="shared" si="21"/>
        <v>0.003355</v>
      </c>
      <c r="BN28" s="76">
        <f t="shared" si="21"/>
        <v>0.003355</v>
      </c>
      <c r="BO28" s="76">
        <f t="shared" si="21"/>
        <v>0.003355</v>
      </c>
      <c r="BP28" s="76">
        <f t="shared" si="21"/>
        <v>0.003355</v>
      </c>
      <c r="BQ28" s="76">
        <f t="shared" si="21"/>
        <v>0.003355</v>
      </c>
      <c r="BR28" s="76">
        <f t="shared" si="21"/>
        <v>0.003355</v>
      </c>
      <c r="BS28" s="76">
        <f t="shared" si="21"/>
        <v>0.003355</v>
      </c>
      <c r="BT28" s="76">
        <f t="shared" si="21"/>
        <v>0.003355</v>
      </c>
      <c r="BU28" s="76">
        <f t="shared" si="21"/>
        <v>0.003355</v>
      </c>
      <c r="BV28" s="76">
        <f t="shared" si="21"/>
        <v>0.003355</v>
      </c>
      <c r="BW28" s="76">
        <f t="shared" si="21"/>
        <v>0.003355</v>
      </c>
      <c r="BX28" s="76">
        <f t="shared" si="21"/>
        <v>0.003355</v>
      </c>
      <c r="BY28" s="76">
        <f t="shared" si="21"/>
        <v>0.003355</v>
      </c>
      <c r="BZ28" s="76">
        <f t="shared" si="21"/>
        <v>0.003355</v>
      </c>
      <c r="CA28" s="76">
        <f t="shared" si="21"/>
        <v>0.003355</v>
      </c>
      <c r="CB28" s="76">
        <f t="shared" si="21"/>
        <v>0.003355</v>
      </c>
      <c r="CC28" s="76">
        <f t="shared" si="21"/>
        <v>0.003355</v>
      </c>
      <c r="CD28" s="76">
        <f t="shared" si="21"/>
        <v>0.003355</v>
      </c>
      <c r="CE28" s="76">
        <f t="shared" si="21"/>
        <v>0.003355</v>
      </c>
      <c r="CF28" s="76">
        <f t="shared" si="21"/>
        <v>0.003355</v>
      </c>
      <c r="CG28" s="76">
        <f t="shared" si="21"/>
        <v>0.003355</v>
      </c>
      <c r="CH28" s="76">
        <f t="shared" si="21"/>
        <v>0.003355</v>
      </c>
      <c r="CI28" s="76">
        <f t="shared" si="21"/>
        <v>0.003355</v>
      </c>
      <c r="CJ28" s="76">
        <f t="shared" si="21"/>
        <v>0.003355</v>
      </c>
      <c r="CK28" s="76">
        <f t="shared" si="21"/>
        <v>0.003355</v>
      </c>
      <c r="CL28" s="76">
        <f t="shared" si="21"/>
        <v>0.003355</v>
      </c>
      <c r="CM28" s="76">
        <f t="shared" si="21"/>
        <v>0.003355</v>
      </c>
      <c r="CN28" s="76">
        <f t="shared" si="21"/>
        <v>0.003355</v>
      </c>
      <c r="CO28" s="76">
        <f t="shared" si="21"/>
        <v>0.003355</v>
      </c>
      <c r="CP28" s="76">
        <f t="shared" si="21"/>
        <v>0.003355</v>
      </c>
      <c r="CQ28" s="76">
        <f t="shared" si="21"/>
        <v>0.003355</v>
      </c>
      <c r="CR28" s="76">
        <f t="shared" si="21"/>
        <v>0.003355</v>
      </c>
      <c r="CS28" s="76">
        <f t="shared" si="21"/>
        <v>0.003355</v>
      </c>
      <c r="CT28" s="76">
        <f t="shared" si="21"/>
        <v>0.003355</v>
      </c>
      <c r="CU28" s="76">
        <f t="shared" si="21"/>
        <v>0.003355</v>
      </c>
      <c r="CV28" s="76">
        <f t="shared" si="21"/>
        <v>0.003355</v>
      </c>
      <c r="CW28" s="76">
        <f t="shared" si="21"/>
        <v>0.003355</v>
      </c>
      <c r="CX28" s="76">
        <f t="shared" si="21"/>
        <v>0.003355</v>
      </c>
      <c r="CY28" s="76">
        <f t="shared" si="21"/>
        <v>0.003355</v>
      </c>
      <c r="CZ28" s="76">
        <f t="shared" si="21"/>
        <v>0.003355</v>
      </c>
      <c r="DA28" s="76">
        <f t="shared" si="21"/>
        <v>0.003355</v>
      </c>
      <c r="DB28" s="76">
        <f t="shared" si="21"/>
        <v>0.003355</v>
      </c>
      <c r="DC28" s="76">
        <f t="shared" si="21"/>
        <v>0.003355</v>
      </c>
      <c r="DD28" s="76">
        <f t="shared" si="21"/>
        <v>0.003355</v>
      </c>
      <c r="DE28" s="76">
        <f t="shared" si="21"/>
        <v>0.003355</v>
      </c>
      <c r="DF28" s="76">
        <f t="shared" si="21"/>
        <v>0.003355</v>
      </c>
      <c r="DG28" s="76">
        <f t="shared" si="21"/>
        <v>0.003355</v>
      </c>
      <c r="DH28" s="76">
        <f t="shared" si="21"/>
        <v>0.003355</v>
      </c>
      <c r="DI28" s="76">
        <f t="shared" si="21"/>
        <v>0.003355</v>
      </c>
      <c r="DJ28" s="76">
        <f t="shared" si="21"/>
        <v>0.003355</v>
      </c>
      <c r="DK28" s="76">
        <f t="shared" si="21"/>
        <v>0.003355</v>
      </c>
      <c r="DL28" s="76">
        <f t="shared" si="21"/>
        <v>0.003355</v>
      </c>
      <c r="DM28" s="76">
        <f t="shared" si="21"/>
        <v>0.003355</v>
      </c>
      <c r="DN28" s="76">
        <f t="shared" si="21"/>
        <v>0.003355</v>
      </c>
      <c r="DO28" s="76">
        <f t="shared" si="21"/>
        <v>0.003355</v>
      </c>
      <c r="DP28" s="76">
        <f t="shared" si="21"/>
        <v>0.003355</v>
      </c>
      <c r="DQ28" s="76">
        <f t="shared" si="21"/>
        <v>0.003355</v>
      </c>
      <c r="DR28" s="76">
        <f t="shared" si="21"/>
        <v>0.003355</v>
      </c>
      <c r="DS28" s="76">
        <f t="shared" si="21"/>
        <v>0.003355</v>
      </c>
      <c r="DT28" s="76">
        <f t="shared" si="21"/>
        <v>0.003355</v>
      </c>
      <c r="DU28" s="76">
        <f t="shared" si="21"/>
        <v>0.003355</v>
      </c>
      <c r="DV28" s="76">
        <f t="shared" si="21"/>
        <v>0.003355</v>
      </c>
      <c r="DW28" s="76">
        <f t="shared" si="21"/>
        <v>0.003355</v>
      </c>
      <c r="DX28" s="76">
        <f t="shared" si="21"/>
        <v>0.003355</v>
      </c>
      <c r="DY28" s="76">
        <f t="shared" si="21"/>
        <v>0.003355</v>
      </c>
      <c r="DZ28" s="76">
        <f t="shared" si="21"/>
        <v>0.003355</v>
      </c>
      <c r="EA28" s="76">
        <f t="shared" si="21"/>
        <v>0.003355</v>
      </c>
      <c r="EB28" s="76">
        <f t="shared" si="21"/>
        <v>0.003355</v>
      </c>
      <c r="EC28" s="76">
        <f t="shared" si="21"/>
        <v>0.003355</v>
      </c>
      <c r="ED28" s="76">
        <f t="shared" si="21"/>
        <v>0.003355</v>
      </c>
      <c r="EE28" s="76">
        <f t="shared" si="21"/>
        <v>0.003355</v>
      </c>
      <c r="EF28" s="76">
        <f t="shared" si="21"/>
        <v>0.003355</v>
      </c>
      <c r="EG28" s="76">
        <f t="shared" si="21"/>
        <v>0.003355</v>
      </c>
      <c r="EH28" s="76">
        <f t="shared" si="21"/>
        <v>0.003355</v>
      </c>
      <c r="EI28" s="76">
        <f t="shared" si="21"/>
        <v>0.003355</v>
      </c>
      <c r="EJ28" s="76">
        <f t="shared" si="21"/>
        <v>0.003355</v>
      </c>
      <c r="EK28" s="76">
        <f t="shared" si="21"/>
        <v>0.003355</v>
      </c>
      <c r="EL28" s="76">
        <f t="shared" si="21"/>
        <v>0.003355</v>
      </c>
      <c r="EM28" s="76">
        <f t="shared" si="21"/>
        <v>0.003355</v>
      </c>
      <c r="EN28" s="76">
        <f t="shared" si="21"/>
        <v>0.003355</v>
      </c>
      <c r="EO28" s="76">
        <f t="shared" si="21"/>
        <v>0.003355</v>
      </c>
      <c r="EP28" s="76">
        <f t="shared" si="21"/>
        <v>0.003355</v>
      </c>
      <c r="EQ28" s="76">
        <f t="shared" si="21"/>
        <v>0.003355</v>
      </c>
      <c r="ER28" s="76">
        <f t="shared" si="21"/>
        <v>0.003355</v>
      </c>
      <c r="ES28" s="76">
        <f t="shared" si="21"/>
        <v>0.003355</v>
      </c>
      <c r="ET28" s="76">
        <f t="shared" si="21"/>
        <v>0.003355</v>
      </c>
      <c r="EU28" s="76">
        <f t="shared" si="21"/>
        <v>0.003355</v>
      </c>
      <c r="EV28" s="76">
        <f t="shared" si="21"/>
        <v>0.003355</v>
      </c>
      <c r="EW28" s="76">
        <f t="shared" si="21"/>
        <v>0.003355</v>
      </c>
      <c r="EX28" s="76">
        <f t="shared" si="21"/>
        <v>0.003355</v>
      </c>
      <c r="EY28" s="76">
        <f t="shared" si="21"/>
        <v>0.003355</v>
      </c>
      <c r="EZ28" s="76">
        <f t="shared" si="21"/>
        <v>0.003355</v>
      </c>
      <c r="FA28" s="76">
        <f t="shared" si="21"/>
        <v>0.003355</v>
      </c>
      <c r="FB28" s="76">
        <f t="shared" si="21"/>
        <v>0.003355</v>
      </c>
      <c r="FC28" s="76">
        <f t="shared" si="21"/>
        <v>0.003355</v>
      </c>
      <c r="FD28" s="76">
        <f t="shared" si="21"/>
        <v>0.003355</v>
      </c>
      <c r="FE28" s="76">
        <f t="shared" si="21"/>
        <v>0.003355</v>
      </c>
      <c r="FF28" s="76">
        <f t="shared" si="21"/>
        <v>0.003355</v>
      </c>
      <c r="FG28" s="76">
        <f t="shared" si="21"/>
        <v>0.003355</v>
      </c>
      <c r="FH28" s="76">
        <f t="shared" si="21"/>
        <v>0.003355</v>
      </c>
      <c r="FI28" s="76">
        <f t="shared" si="21"/>
        <v>0.003355</v>
      </c>
      <c r="FJ28" s="76">
        <f t="shared" si="21"/>
        <v>0.003355</v>
      </c>
      <c r="FK28" s="76">
        <f t="shared" si="21"/>
        <v>0.003355</v>
      </c>
      <c r="FL28" s="76">
        <f t="shared" si="21"/>
        <v>0.003355</v>
      </c>
      <c r="FM28" s="76">
        <f t="shared" si="21"/>
        <v>0.003355</v>
      </c>
      <c r="FN28" s="76">
        <f t="shared" si="21"/>
        <v>0.003355</v>
      </c>
      <c r="FO28" s="76">
        <f t="shared" si="21"/>
        <v>0.003355</v>
      </c>
      <c r="FP28" s="76">
        <f t="shared" si="21"/>
        <v>0.003355</v>
      </c>
      <c r="FQ28" s="76">
        <f t="shared" si="21"/>
        <v>0.003355</v>
      </c>
      <c r="FR28" s="76">
        <f t="shared" si="21"/>
        <v>0.003355</v>
      </c>
      <c r="FS28" s="76">
        <f t="shared" si="21"/>
        <v>0.003355</v>
      </c>
      <c r="FT28" s="76">
        <f t="shared" si="21"/>
        <v>0.003355</v>
      </c>
      <c r="FU28" s="76">
        <f t="shared" si="21"/>
        <v>0.003355</v>
      </c>
      <c r="FV28" s="76">
        <f t="shared" si="21"/>
        <v>0.003355</v>
      </c>
      <c r="FW28" s="76">
        <f t="shared" si="21"/>
        <v>0.003355</v>
      </c>
      <c r="FX28" s="76">
        <f t="shared" si="21"/>
        <v>0.003355</v>
      </c>
      <c r="FY28" s="76">
        <f t="shared" si="21"/>
        <v>0.003355</v>
      </c>
      <c r="FZ28" s="76">
        <f t="shared" si="21"/>
        <v>0.003355</v>
      </c>
      <c r="GA28" s="76">
        <f t="shared" si="21"/>
        <v>0.003355</v>
      </c>
      <c r="GB28" s="76">
        <f t="shared" si="21"/>
        <v>0.003355</v>
      </c>
      <c r="GC28" s="76">
        <f t="shared" si="21"/>
        <v>0.003355</v>
      </c>
      <c r="GD28" s="76">
        <f t="shared" si="21"/>
        <v>0.003355</v>
      </c>
      <c r="GE28" s="76">
        <f t="shared" si="21"/>
        <v>0.003355</v>
      </c>
      <c r="GF28" s="76">
        <f t="shared" si="21"/>
        <v>0.003355</v>
      </c>
      <c r="GG28" s="76">
        <f t="shared" si="21"/>
        <v>0.003355</v>
      </c>
      <c r="GH28" s="76">
        <f t="shared" si="21"/>
        <v>0.003355</v>
      </c>
      <c r="GI28" s="76">
        <f t="shared" si="21"/>
        <v>0.003355</v>
      </c>
      <c r="GJ28" s="76">
        <f t="shared" si="21"/>
        <v>0.003355</v>
      </c>
      <c r="GK28" s="76">
        <f t="shared" si="21"/>
        <v>0.003355</v>
      </c>
      <c r="GL28" s="76">
        <f t="shared" si="21"/>
        <v>0.003355</v>
      </c>
      <c r="GM28" s="76">
        <f t="shared" si="21"/>
        <v>0.003355</v>
      </c>
      <c r="GN28" s="76">
        <f t="shared" si="21"/>
        <v>0.003355</v>
      </c>
      <c r="GO28" s="76">
        <f t="shared" si="21"/>
        <v>0.003355</v>
      </c>
      <c r="GP28" s="76">
        <f t="shared" si="21"/>
        <v>0.003355</v>
      </c>
      <c r="GQ28" s="76">
        <f t="shared" si="21"/>
        <v>0.003355</v>
      </c>
      <c r="GR28" s="76">
        <f t="shared" si="21"/>
        <v>0.003355</v>
      </c>
      <c r="GS28" s="76">
        <f t="shared" si="21"/>
        <v>0.003355</v>
      </c>
      <c r="GT28" s="76">
        <f t="shared" si="21"/>
        <v>0.003355</v>
      </c>
      <c r="GU28" s="76">
        <f t="shared" si="21"/>
        <v>0.003355</v>
      </c>
      <c r="GV28" s="76">
        <f t="shared" si="21"/>
        <v>0.003355</v>
      </c>
      <c r="GW28" s="76">
        <f t="shared" si="21"/>
        <v>0.003355</v>
      </c>
      <c r="GX28" s="76">
        <f t="shared" si="21"/>
        <v>0.003355</v>
      </c>
      <c r="GY28" s="76">
        <f t="shared" si="21"/>
        <v>0.003355</v>
      </c>
      <c r="GZ28" s="76">
        <f t="shared" si="21"/>
        <v>0.003355</v>
      </c>
      <c r="HA28" s="76">
        <f t="shared" si="21"/>
        <v>0.003355</v>
      </c>
      <c r="HB28" s="76">
        <f t="shared" si="21"/>
        <v>0.003355</v>
      </c>
      <c r="HC28" s="76">
        <f t="shared" si="21"/>
        <v>0.003355</v>
      </c>
      <c r="HD28" s="76">
        <f t="shared" si="21"/>
        <v>0.003355</v>
      </c>
      <c r="HE28" s="76">
        <f t="shared" si="21"/>
        <v>0.003355</v>
      </c>
      <c r="HF28" s="76">
        <f t="shared" si="21"/>
        <v>0.003355</v>
      </c>
      <c r="HG28" s="76">
        <f t="shared" si="21"/>
        <v>0.003355</v>
      </c>
      <c r="HH28" s="76">
        <f t="shared" si="21"/>
        <v>0.003355</v>
      </c>
      <c r="HI28" s="76">
        <f t="shared" si="21"/>
        <v>0.003355</v>
      </c>
      <c r="HJ28" s="76">
        <f t="shared" si="21"/>
        <v>0.003355</v>
      </c>
      <c r="HK28" s="76">
        <f t="shared" si="21"/>
        <v>0.003355</v>
      </c>
      <c r="HL28" s="76">
        <f t="shared" si="21"/>
        <v>0.003355</v>
      </c>
      <c r="HM28" s="76">
        <f t="shared" si="21"/>
        <v>0.003355</v>
      </c>
      <c r="HN28" s="76">
        <f t="shared" si="21"/>
        <v>0.003355</v>
      </c>
      <c r="HO28" s="76">
        <f t="shared" si="21"/>
        <v>0.003355</v>
      </c>
      <c r="HP28" s="76">
        <f t="shared" si="21"/>
        <v>0.003355</v>
      </c>
      <c r="HQ28" s="76">
        <f t="shared" si="21"/>
        <v>0.003355</v>
      </c>
      <c r="HR28" s="76">
        <f t="shared" si="21"/>
        <v>0.003355</v>
      </c>
      <c r="HS28" s="76">
        <f t="shared" si="21"/>
        <v>0.003355</v>
      </c>
      <c r="HT28" s="76">
        <f t="shared" si="21"/>
        <v>0.003355</v>
      </c>
      <c r="HU28" s="76">
        <f t="shared" si="21"/>
        <v>0.003355</v>
      </c>
      <c r="HV28" s="76">
        <f t="shared" si="21"/>
        <v>0.003355</v>
      </c>
      <c r="HW28" s="76">
        <f t="shared" si="21"/>
        <v>0.003355</v>
      </c>
      <c r="HX28" s="76">
        <f t="shared" si="21"/>
        <v>0.003355</v>
      </c>
      <c r="HY28" s="76">
        <f t="shared" si="21"/>
        <v>0.003355</v>
      </c>
      <c r="HZ28" s="76">
        <f t="shared" si="21"/>
        <v>0.003355</v>
      </c>
      <c r="IA28" s="76">
        <f t="shared" si="21"/>
        <v>0.003355</v>
      </c>
      <c r="IB28" s="76">
        <f t="shared" si="21"/>
        <v>0.003355</v>
      </c>
      <c r="IC28" s="76">
        <f t="shared" si="21"/>
        <v>0.003355</v>
      </c>
      <c r="ID28" s="76">
        <f t="shared" si="21"/>
        <v>0.003355</v>
      </c>
      <c r="IE28" s="76">
        <f t="shared" si="21"/>
        <v>0.003355</v>
      </c>
      <c r="IF28" s="76">
        <f t="shared" si="21"/>
        <v>0.003355</v>
      </c>
      <c r="IG28" s="76">
        <f t="shared" si="21"/>
        <v>0.003355</v>
      </c>
      <c r="IH28" s="76">
        <f t="shared" si="21"/>
        <v>0.003355</v>
      </c>
      <c r="II28" s="76">
        <f t="shared" si="21"/>
        <v>0.003355</v>
      </c>
      <c r="IJ28" s="76">
        <f t="shared" si="21"/>
        <v>0.003355</v>
      </c>
      <c r="IK28" s="76">
        <f t="shared" si="21"/>
        <v>0.003355</v>
      </c>
      <c r="IL28" s="76">
        <f t="shared" si="21"/>
        <v>0.003355</v>
      </c>
      <c r="IM28" s="76">
        <f t="shared" si="21"/>
        <v>0.003355</v>
      </c>
      <c r="IN28" s="76">
        <f t="shared" si="21"/>
        <v>0.003355</v>
      </c>
      <c r="IO28" s="76">
        <f t="shared" si="21"/>
        <v>0.003355</v>
      </c>
      <c r="IP28" s="76">
        <f t="shared" si="21"/>
        <v>0.003355</v>
      </c>
      <c r="IQ28" s="76">
        <f t="shared" si="21"/>
        <v>0.003355</v>
      </c>
      <c r="IR28" s="76">
        <f t="shared" si="21"/>
        <v>0.003355</v>
      </c>
      <c r="IS28" s="76">
        <f t="shared" si="21"/>
        <v>0.003355</v>
      </c>
      <c r="IT28" s="76">
        <f t="shared" si="21"/>
        <v>0.003355</v>
      </c>
      <c r="IU28" s="76">
        <f t="shared" si="21"/>
        <v>0.003355</v>
      </c>
      <c r="IV28" s="76">
        <f t="shared" si="21"/>
        <v>0.003355</v>
      </c>
      <c r="IW28" s="76">
        <f t="shared" si="21"/>
        <v>0.003355</v>
      </c>
      <c r="IX28" s="76">
        <f t="shared" si="21"/>
        <v>0.003355</v>
      </c>
      <c r="IY28" s="76">
        <f t="shared" si="21"/>
        <v>0.003355</v>
      </c>
      <c r="IZ28" s="76">
        <f t="shared" si="21"/>
        <v>0.003355</v>
      </c>
      <c r="JA28" s="76">
        <f t="shared" si="21"/>
        <v>0.003355</v>
      </c>
      <c r="JB28" s="76">
        <f t="shared" si="21"/>
        <v>0.003355</v>
      </c>
      <c r="JC28" s="76">
        <f t="shared" si="21"/>
        <v>0.003355</v>
      </c>
      <c r="JD28" s="76">
        <f t="shared" si="21"/>
        <v>0.003355</v>
      </c>
      <c r="JE28" s="76">
        <f t="shared" si="21"/>
        <v>0.003355</v>
      </c>
      <c r="JF28" s="76">
        <f t="shared" si="21"/>
        <v>0.003355</v>
      </c>
      <c r="JG28" s="76">
        <f t="shared" si="21"/>
        <v>0.003355</v>
      </c>
      <c r="JH28" s="76">
        <f t="shared" si="21"/>
        <v>0.003355</v>
      </c>
      <c r="JI28" s="76">
        <f t="shared" si="21"/>
        <v>0.003355</v>
      </c>
      <c r="JJ28" s="76">
        <f t="shared" si="21"/>
        <v>0.003355</v>
      </c>
      <c r="JK28" s="76">
        <f t="shared" si="21"/>
        <v>0.003355</v>
      </c>
      <c r="JL28" s="76">
        <f t="shared" si="21"/>
        <v>0.003355</v>
      </c>
      <c r="JM28" s="76">
        <f t="shared" si="21"/>
        <v>0.003355</v>
      </c>
      <c r="JN28" s="76">
        <f t="shared" si="21"/>
        <v>0.003355</v>
      </c>
      <c r="JO28" s="76">
        <f t="shared" si="21"/>
        <v>0.003355</v>
      </c>
      <c r="JP28" s="76">
        <f t="shared" si="21"/>
        <v>0.003355</v>
      </c>
      <c r="JQ28" s="76">
        <f t="shared" si="21"/>
        <v>0.003355</v>
      </c>
      <c r="JR28" s="76">
        <f t="shared" si="21"/>
        <v>0.003355</v>
      </c>
      <c r="JS28" s="76">
        <f t="shared" si="21"/>
        <v>0.003355</v>
      </c>
      <c r="JT28" s="76">
        <f t="shared" si="21"/>
        <v>0.003355</v>
      </c>
      <c r="JU28" s="76">
        <f t="shared" si="21"/>
        <v>0.003355</v>
      </c>
      <c r="JV28" s="76">
        <f t="shared" si="21"/>
        <v>0.003355</v>
      </c>
      <c r="JW28" s="76">
        <f t="shared" si="21"/>
        <v>0.003355</v>
      </c>
      <c r="JX28" s="76">
        <f t="shared" si="21"/>
        <v>0.003355</v>
      </c>
      <c r="JY28" s="76">
        <f t="shared" si="21"/>
        <v>0.003355</v>
      </c>
      <c r="JZ28" s="76">
        <f t="shared" si="21"/>
        <v>0.003355</v>
      </c>
      <c r="KA28" s="76">
        <f t="shared" si="21"/>
        <v>0.003355</v>
      </c>
      <c r="KB28" s="76">
        <f t="shared" si="21"/>
        <v>0.003355</v>
      </c>
      <c r="KC28" s="76">
        <f t="shared" si="21"/>
        <v>0.003355</v>
      </c>
      <c r="KD28" s="76">
        <f t="shared" si="21"/>
        <v>0.003355</v>
      </c>
      <c r="KE28" s="76">
        <f t="shared" si="21"/>
        <v>0.003355</v>
      </c>
      <c r="KF28" s="76">
        <f t="shared" si="21"/>
        <v>0.003355</v>
      </c>
      <c r="KG28" s="76">
        <f t="shared" si="21"/>
        <v>0.003355</v>
      </c>
      <c r="KH28" s="76">
        <f t="shared" si="21"/>
        <v>0.003355</v>
      </c>
      <c r="KI28" s="76">
        <f t="shared" si="21"/>
        <v>0.003355</v>
      </c>
      <c r="KJ28" s="76">
        <f t="shared" si="21"/>
        <v>0.003355</v>
      </c>
      <c r="KK28" s="76">
        <f t="shared" si="21"/>
        <v>0.003355</v>
      </c>
      <c r="KL28" s="76">
        <f t="shared" si="21"/>
        <v>0.003355</v>
      </c>
      <c r="KM28" s="76">
        <f t="shared" si="21"/>
        <v>0.003355</v>
      </c>
      <c r="KN28" s="76">
        <f t="shared" si="21"/>
        <v>0.003355</v>
      </c>
      <c r="KO28" s="76">
        <f t="shared" si="21"/>
        <v>0.003355</v>
      </c>
      <c r="KP28" s="76">
        <f t="shared" si="21"/>
        <v>0.003355</v>
      </c>
      <c r="KQ28" s="76">
        <f t="shared" si="21"/>
        <v>0.003355</v>
      </c>
      <c r="KR28" s="76">
        <f t="shared" si="21"/>
        <v>0.003355</v>
      </c>
      <c r="KS28" s="76">
        <f t="shared" si="21"/>
        <v>0.003355</v>
      </c>
      <c r="KT28" s="76">
        <f t="shared" si="21"/>
        <v>0.003355</v>
      </c>
      <c r="KU28" s="76">
        <f t="shared" si="21"/>
        <v>0.003355</v>
      </c>
      <c r="KV28" s="76">
        <f t="shared" si="21"/>
        <v>0.003355</v>
      </c>
      <c r="KW28" s="76">
        <f t="shared" si="21"/>
        <v>0.003355</v>
      </c>
      <c r="KX28" s="76">
        <f t="shared" si="21"/>
        <v>0.003355</v>
      </c>
      <c r="KY28" s="76">
        <f t="shared" si="21"/>
        <v>0.003355</v>
      </c>
      <c r="KZ28" s="76">
        <f t="shared" si="21"/>
        <v>0.003355</v>
      </c>
      <c r="LA28" s="76">
        <f t="shared" si="21"/>
        <v>0.003355</v>
      </c>
      <c r="LB28" s="76">
        <f t="shared" si="21"/>
        <v>0.003355</v>
      </c>
      <c r="LC28" s="76">
        <f t="shared" si="21"/>
        <v>0.003355</v>
      </c>
      <c r="LD28" s="76">
        <f t="shared" si="21"/>
        <v>0.003355</v>
      </c>
      <c r="LE28" s="76">
        <f t="shared" si="21"/>
        <v>0.003355</v>
      </c>
      <c r="LF28" s="76">
        <f t="shared" si="21"/>
        <v>0.003355</v>
      </c>
      <c r="LG28" s="76">
        <f t="shared" si="21"/>
        <v>0.003355</v>
      </c>
      <c r="LH28" s="76">
        <f t="shared" si="21"/>
        <v>0.003355</v>
      </c>
      <c r="LI28" s="76">
        <f t="shared" si="21"/>
        <v>0.003355</v>
      </c>
      <c r="LJ28" s="76">
        <f t="shared" si="21"/>
        <v>0.003355</v>
      </c>
      <c r="LK28" s="76">
        <f t="shared" si="21"/>
        <v>0.003355</v>
      </c>
      <c r="LL28" s="76">
        <f t="shared" si="21"/>
        <v>0.003355</v>
      </c>
      <c r="LM28" s="76">
        <f t="shared" si="21"/>
        <v>0.003355</v>
      </c>
      <c r="LN28" s="76">
        <f t="shared" si="21"/>
        <v>0.003355</v>
      </c>
      <c r="LO28" s="76">
        <f t="shared" si="21"/>
        <v>0.003355</v>
      </c>
      <c r="LP28" s="76">
        <f t="shared" si="21"/>
        <v>0.003355</v>
      </c>
      <c r="LQ28" s="76">
        <f t="shared" si="21"/>
        <v>0.003355</v>
      </c>
      <c r="LR28" s="76">
        <f t="shared" si="21"/>
        <v>0.003355</v>
      </c>
      <c r="LS28" s="76">
        <f t="shared" si="21"/>
        <v>0.003355</v>
      </c>
      <c r="LT28" s="76">
        <f t="shared" si="21"/>
        <v>0.003355</v>
      </c>
      <c r="LU28" s="76">
        <f t="shared" si="21"/>
        <v>0.003355</v>
      </c>
      <c r="LV28" s="76">
        <f t="shared" si="21"/>
        <v>0.003355</v>
      </c>
      <c r="LW28" s="76">
        <f t="shared" si="21"/>
        <v>0.003355</v>
      </c>
      <c r="LX28" s="76">
        <f t="shared" si="21"/>
        <v>0.003355</v>
      </c>
      <c r="LY28" s="76">
        <f t="shared" si="21"/>
        <v>0.003355</v>
      </c>
      <c r="LZ28" s="76">
        <f t="shared" si="21"/>
        <v>0.003355</v>
      </c>
      <c r="MA28" s="76">
        <f t="shared" si="21"/>
        <v>0.003355</v>
      </c>
      <c r="MB28" s="76">
        <f t="shared" si="21"/>
        <v>0.003355</v>
      </c>
      <c r="MC28" s="76">
        <f t="shared" si="21"/>
        <v>0.003355</v>
      </c>
      <c r="MD28" s="76">
        <f t="shared" si="21"/>
        <v>0.003355</v>
      </c>
      <c r="ME28" s="76">
        <f t="shared" si="21"/>
        <v>0.003355</v>
      </c>
      <c r="MF28" s="76">
        <f t="shared" si="21"/>
        <v>0.003355</v>
      </c>
      <c r="MG28" s="76">
        <f t="shared" si="21"/>
        <v>0.003355</v>
      </c>
      <c r="MH28" s="76">
        <f t="shared" si="21"/>
        <v>0.003355</v>
      </c>
      <c r="MI28" s="76">
        <f t="shared" si="21"/>
        <v>0.003355</v>
      </c>
      <c r="MJ28" s="76">
        <f t="shared" si="21"/>
        <v>0.003355</v>
      </c>
      <c r="MK28" s="76">
        <f t="shared" si="21"/>
        <v>0.003355</v>
      </c>
      <c r="ML28" s="76">
        <f t="shared" si="21"/>
        <v>0.003355</v>
      </c>
      <c r="MM28" s="76">
        <f t="shared" si="21"/>
        <v>0.003355</v>
      </c>
      <c r="MN28" s="76">
        <f t="shared" si="21"/>
        <v>0.003355</v>
      </c>
      <c r="MO28" s="76">
        <f t="shared" si="21"/>
        <v>0.003355</v>
      </c>
      <c r="MP28" s="76">
        <f t="shared" si="21"/>
        <v>0.003355</v>
      </c>
      <c r="MQ28" s="76">
        <f t="shared" si="21"/>
        <v>0.003355</v>
      </c>
      <c r="MR28" s="76">
        <f t="shared" si="21"/>
        <v>0.003355</v>
      </c>
      <c r="MS28" s="76">
        <f t="shared" si="21"/>
        <v>0.003355</v>
      </c>
      <c r="MT28" s="76">
        <f t="shared" si="21"/>
        <v>0.003355</v>
      </c>
      <c r="MU28" s="76">
        <f t="shared" si="21"/>
        <v>0.003355</v>
      </c>
      <c r="MV28" s="76">
        <f t="shared" si="21"/>
        <v>0.003355</v>
      </c>
      <c r="MW28" s="76">
        <f t="shared" si="21"/>
        <v>0.003355</v>
      </c>
      <c r="MX28" s="76">
        <f t="shared" si="21"/>
        <v>0.003355</v>
      </c>
      <c r="MY28" s="76">
        <f t="shared" si="21"/>
        <v>0.003355</v>
      </c>
      <c r="MZ28" s="76">
        <f t="shared" si="21"/>
        <v>0.003355</v>
      </c>
      <c r="NA28" s="76">
        <f t="shared" si="21"/>
        <v>0.003355</v>
      </c>
      <c r="NB28" s="76">
        <f t="shared" si="21"/>
        <v>0.003355</v>
      </c>
      <c r="NC28" s="76">
        <f t="shared" si="21"/>
        <v>0.003355</v>
      </c>
      <c r="ND28" s="76">
        <f t="shared" si="21"/>
        <v>0.003355</v>
      </c>
      <c r="NE28" s="76">
        <f t="shared" si="21"/>
        <v>0.003355</v>
      </c>
      <c r="NF28" s="76">
        <f t="shared" si="21"/>
        <v>0.003355</v>
      </c>
      <c r="NG28" s="76">
        <f t="shared" si="21"/>
        <v>0.003355</v>
      </c>
      <c r="NH28" s="76">
        <f t="shared" si="21"/>
        <v>0.003355</v>
      </c>
      <c r="NI28" s="76">
        <f t="shared" si="21"/>
        <v>0.003355</v>
      </c>
      <c r="NJ28" s="76">
        <f t="shared" si="21"/>
        <v>0.003355</v>
      </c>
      <c r="NK28" s="76">
        <f t="shared" si="21"/>
        <v>0.003355</v>
      </c>
      <c r="NL28" s="76">
        <f t="shared" si="21"/>
        <v>0.003355</v>
      </c>
      <c r="NM28" s="76">
        <f t="shared" si="21"/>
        <v>0.003355</v>
      </c>
      <c r="NN28" s="76">
        <f t="shared" si="21"/>
        <v>0.003355</v>
      </c>
      <c r="NO28" s="76">
        <f t="shared" si="21"/>
        <v>0.003355</v>
      </c>
      <c r="NP28" s="76">
        <f t="shared" si="21"/>
        <v>0.003355</v>
      </c>
      <c r="NQ28" s="76">
        <f t="shared" si="21"/>
        <v>0.003355</v>
      </c>
      <c r="NR28" s="76">
        <f t="shared" si="21"/>
        <v>0.003355</v>
      </c>
      <c r="NS28" s="76">
        <f t="shared" si="21"/>
        <v>0.003355</v>
      </c>
      <c r="NT28" s="76">
        <f t="shared" si="21"/>
        <v>0.003355</v>
      </c>
      <c r="NU28" s="76">
        <f t="shared" si="21"/>
        <v>0.003355</v>
      </c>
      <c r="NV28" s="76">
        <f t="shared" si="21"/>
        <v>0.003355</v>
      </c>
      <c r="NW28" s="76">
        <f t="shared" si="21"/>
        <v>0.003355</v>
      </c>
      <c r="NX28" s="76">
        <f t="shared" si="21"/>
        <v>0.003355</v>
      </c>
      <c r="NY28" s="76">
        <f t="shared" si="21"/>
        <v>0.003355</v>
      </c>
      <c r="NZ28" s="76">
        <f t="shared" si="21"/>
        <v>0.003355</v>
      </c>
      <c r="OA28" s="76">
        <f t="shared" si="21"/>
        <v>0.003355</v>
      </c>
      <c r="OB28" s="76">
        <f t="shared" si="21"/>
        <v>0.003355</v>
      </c>
      <c r="OC28" s="76">
        <f t="shared" si="21"/>
        <v>0.003355</v>
      </c>
      <c r="OD28" s="76">
        <f t="shared" si="21"/>
        <v>0.003355</v>
      </c>
      <c r="OE28" s="76">
        <f t="shared" si="21"/>
        <v>0.003355</v>
      </c>
      <c r="OF28" s="76">
        <f t="shared" si="21"/>
        <v>0.003355</v>
      </c>
      <c r="OG28" s="76">
        <f t="shared" si="21"/>
        <v>0.003355</v>
      </c>
      <c r="OH28" s="76">
        <f t="shared" si="21"/>
        <v>0.003355</v>
      </c>
      <c r="OI28" s="76">
        <f t="shared" si="21"/>
        <v>0.003355</v>
      </c>
      <c r="OJ28" s="76">
        <f t="shared" si="21"/>
        <v>0.003355</v>
      </c>
      <c r="OK28" s="76">
        <f t="shared" si="21"/>
        <v>0.003355</v>
      </c>
      <c r="OL28" s="76">
        <f t="shared" si="21"/>
        <v>0.003355</v>
      </c>
      <c r="OM28" s="76">
        <f t="shared" si="21"/>
        <v>0.003355</v>
      </c>
      <c r="ON28" s="76">
        <f t="shared" si="21"/>
        <v>0.003355</v>
      </c>
      <c r="OO28" s="76">
        <f t="shared" si="21"/>
        <v>0.003355</v>
      </c>
      <c r="OP28" s="76">
        <f t="shared" si="21"/>
        <v>0.003355</v>
      </c>
      <c r="OQ28" s="76">
        <f t="shared" si="21"/>
        <v>0.003355</v>
      </c>
      <c r="OR28" s="76">
        <f t="shared" si="21"/>
        <v>0.003355</v>
      </c>
      <c r="OS28" s="76">
        <f t="shared" si="21"/>
        <v>0.003355</v>
      </c>
      <c r="OT28" s="76">
        <f t="shared" si="21"/>
        <v>0.003355</v>
      </c>
      <c r="OU28" s="76">
        <f t="shared" si="21"/>
        <v>0.003355</v>
      </c>
      <c r="OV28" s="76">
        <f t="shared" si="21"/>
        <v>0.003355</v>
      </c>
      <c r="OW28" s="76">
        <f t="shared" si="21"/>
        <v>0.003355</v>
      </c>
      <c r="OX28" s="76">
        <f t="shared" si="21"/>
        <v>0.003355</v>
      </c>
      <c r="OY28" s="76">
        <f t="shared" si="21"/>
        <v>0.003355</v>
      </c>
      <c r="OZ28" s="76">
        <f t="shared" si="21"/>
        <v>0.003355</v>
      </c>
      <c r="PA28" s="76">
        <f t="shared" si="21"/>
        <v>0.003355</v>
      </c>
      <c r="PB28" s="76">
        <f t="shared" si="21"/>
        <v>0.003355</v>
      </c>
      <c r="PC28" s="76">
        <f t="shared" si="21"/>
        <v>0.003355</v>
      </c>
      <c r="PD28" s="76">
        <f t="shared" si="21"/>
        <v>0.003355</v>
      </c>
      <c r="PE28" s="76">
        <f t="shared" si="21"/>
        <v>0.003355</v>
      </c>
      <c r="PF28" s="76">
        <f t="shared" si="21"/>
        <v>0.003355</v>
      </c>
      <c r="PG28" s="76">
        <f t="shared" si="21"/>
        <v>0.003355</v>
      </c>
      <c r="PH28" s="76">
        <f t="shared" si="21"/>
        <v>0.003355</v>
      </c>
      <c r="PI28" s="76">
        <f t="shared" si="21"/>
        <v>0.003355</v>
      </c>
      <c r="PJ28" s="76">
        <f t="shared" si="21"/>
        <v>0.003355</v>
      </c>
      <c r="PK28" s="76">
        <f t="shared" si="21"/>
        <v>0.003355</v>
      </c>
      <c r="PL28" s="76">
        <f t="shared" si="21"/>
        <v>0.003355</v>
      </c>
      <c r="PM28" s="76">
        <f t="shared" si="21"/>
        <v>0.003355</v>
      </c>
      <c r="PN28" s="76">
        <f t="shared" si="21"/>
        <v>0.003355</v>
      </c>
      <c r="PO28" s="76">
        <f t="shared" si="21"/>
        <v>0.003355</v>
      </c>
      <c r="PP28" s="76">
        <f t="shared" si="21"/>
        <v>0.003355</v>
      </c>
      <c r="PQ28" s="76">
        <f t="shared" si="21"/>
        <v>0.003355</v>
      </c>
      <c r="PR28" s="76">
        <f t="shared" si="21"/>
        <v>0.003355</v>
      </c>
      <c r="PS28" s="76">
        <f t="shared" si="21"/>
        <v>0.003355</v>
      </c>
      <c r="PT28" s="76">
        <f t="shared" si="21"/>
        <v>0.003355</v>
      </c>
      <c r="PU28" s="76">
        <f t="shared" si="21"/>
        <v>0.003355</v>
      </c>
      <c r="PV28" s="76">
        <f t="shared" si="21"/>
        <v>0.003355</v>
      </c>
      <c r="PW28" s="76">
        <f t="shared" si="21"/>
        <v>0.003355</v>
      </c>
      <c r="PX28" s="76">
        <f t="shared" si="21"/>
        <v>0.003355</v>
      </c>
      <c r="PY28" s="76">
        <f t="shared" si="21"/>
        <v>0.003355</v>
      </c>
      <c r="PZ28" s="76">
        <f t="shared" si="21"/>
        <v>0.003355</v>
      </c>
      <c r="QA28" s="76">
        <f t="shared" si="21"/>
        <v>0.003355</v>
      </c>
      <c r="QB28" s="76">
        <f t="shared" si="21"/>
        <v>0.003355</v>
      </c>
      <c r="QC28" s="76">
        <f t="shared" si="21"/>
        <v>0.003355</v>
      </c>
      <c r="QD28" s="76">
        <f t="shared" si="21"/>
        <v>0.003355</v>
      </c>
      <c r="QE28" s="76">
        <f t="shared" si="21"/>
        <v>0.003355</v>
      </c>
      <c r="QF28" s="76">
        <f t="shared" si="21"/>
        <v>0.003355</v>
      </c>
      <c r="QG28" s="76">
        <f t="shared" si="21"/>
        <v>0.003355</v>
      </c>
      <c r="QH28" s="76">
        <f t="shared" si="21"/>
        <v>0.003355</v>
      </c>
      <c r="QI28" s="76">
        <f t="shared" si="21"/>
        <v>0.003355</v>
      </c>
      <c r="QJ28" s="76">
        <f t="shared" si="21"/>
        <v>0.003355</v>
      </c>
      <c r="QK28" s="76">
        <f t="shared" si="21"/>
        <v>0.003355</v>
      </c>
      <c r="QL28" s="76">
        <f t="shared" si="21"/>
        <v>0.003355</v>
      </c>
      <c r="QM28" s="76">
        <f t="shared" si="21"/>
        <v>0.003355</v>
      </c>
      <c r="QN28" s="76">
        <f t="shared" si="21"/>
        <v>0.003355</v>
      </c>
      <c r="QO28" s="76">
        <f t="shared" si="21"/>
        <v>0.003355</v>
      </c>
      <c r="QP28" s="76">
        <f t="shared" si="21"/>
        <v>0.003355</v>
      </c>
      <c r="QQ28" s="76">
        <f t="shared" si="21"/>
        <v>0.003355</v>
      </c>
      <c r="QR28" s="76">
        <f t="shared" si="21"/>
        <v>0.003355</v>
      </c>
      <c r="QS28" s="76">
        <f t="shared" si="21"/>
        <v>0.003355</v>
      </c>
      <c r="QT28" s="76">
        <f t="shared" si="21"/>
        <v>0.003355</v>
      </c>
      <c r="QU28" s="76">
        <f t="shared" si="21"/>
        <v>0.003355</v>
      </c>
      <c r="QV28" s="76">
        <f t="shared" si="21"/>
        <v>0.003355</v>
      </c>
      <c r="QW28" s="76">
        <f t="shared" si="21"/>
        <v>0.003355</v>
      </c>
      <c r="QX28" s="76">
        <f t="shared" si="21"/>
        <v>0.003355</v>
      </c>
      <c r="QY28" s="76">
        <f t="shared" si="21"/>
        <v>0.003355</v>
      </c>
      <c r="QZ28" s="76">
        <f t="shared" si="21"/>
        <v>0.003355</v>
      </c>
      <c r="RA28" s="76">
        <f t="shared" si="21"/>
        <v>0.003355</v>
      </c>
      <c r="RB28" s="76">
        <f t="shared" si="21"/>
        <v>0.003355</v>
      </c>
      <c r="RC28" s="76">
        <f t="shared" si="21"/>
        <v>0.003355</v>
      </c>
      <c r="RD28" s="76">
        <f t="shared" si="21"/>
        <v>0.003355</v>
      </c>
      <c r="RE28" s="76">
        <f t="shared" si="21"/>
        <v>0.003355</v>
      </c>
      <c r="RF28" s="76">
        <f t="shared" si="21"/>
        <v>0.003355</v>
      </c>
      <c r="RG28" s="76">
        <f t="shared" si="21"/>
        <v>0.003355</v>
      </c>
      <c r="RH28" s="76">
        <f t="shared" si="21"/>
        <v>0.003355</v>
      </c>
      <c r="RI28" s="76">
        <f t="shared" si="21"/>
        <v>0.003355</v>
      </c>
      <c r="RJ28" s="76">
        <f t="shared" si="21"/>
        <v>0.003355</v>
      </c>
      <c r="RK28" s="76">
        <f t="shared" si="21"/>
        <v>0.003355</v>
      </c>
      <c r="RL28" s="76">
        <f t="shared" si="21"/>
        <v>0.003355</v>
      </c>
      <c r="RM28" s="76">
        <f t="shared" si="21"/>
        <v>0.003355</v>
      </c>
      <c r="RN28" s="76">
        <f t="shared" si="21"/>
        <v>0.003355</v>
      </c>
      <c r="RO28" s="76">
        <f t="shared" si="21"/>
        <v>0.003355</v>
      </c>
      <c r="RP28" s="76">
        <f t="shared" si="21"/>
        <v>0.003355</v>
      </c>
      <c r="RQ28" s="76">
        <f t="shared" si="21"/>
        <v>0.003355</v>
      </c>
      <c r="RR28" s="76">
        <f t="shared" si="21"/>
        <v>0.003355</v>
      </c>
      <c r="RS28" s="76">
        <f t="shared" si="21"/>
        <v>0.003355</v>
      </c>
      <c r="RT28" s="76">
        <f t="shared" si="21"/>
        <v>0.003355</v>
      </c>
      <c r="RU28" s="76">
        <f t="shared" si="21"/>
        <v>0.003355</v>
      </c>
      <c r="RV28" s="76">
        <f t="shared" si="21"/>
        <v>0.003355</v>
      </c>
      <c r="RW28" s="76">
        <f t="shared" si="21"/>
        <v>0.003355</v>
      </c>
      <c r="RX28" s="76">
        <f t="shared" si="21"/>
        <v>0.003355</v>
      </c>
      <c r="RY28" s="76">
        <f t="shared" si="21"/>
        <v>0.003355</v>
      </c>
      <c r="RZ28" s="76">
        <f t="shared" si="21"/>
        <v>0.003355</v>
      </c>
      <c r="SA28" s="76">
        <f t="shared" si="21"/>
        <v>0.003355</v>
      </c>
      <c r="SB28" s="76">
        <f t="shared" si="21"/>
        <v>0.003355</v>
      </c>
      <c r="SC28" s="76">
        <f t="shared" si="21"/>
        <v>0.003355</v>
      </c>
      <c r="SD28" s="76">
        <f t="shared" si="21"/>
        <v>0.003355</v>
      </c>
      <c r="SE28" s="76">
        <f t="shared" si="21"/>
        <v>0.003355</v>
      </c>
      <c r="SF28" s="76">
        <f t="shared" si="21"/>
        <v>0.003355</v>
      </c>
      <c r="SG28" s="76">
        <f t="shared" si="21"/>
        <v>0.003355</v>
      </c>
      <c r="SH28" s="76">
        <f t="shared" si="21"/>
        <v>0.003355</v>
      </c>
      <c r="SI28" s="76">
        <f t="shared" si="21"/>
        <v>0.003355</v>
      </c>
      <c r="SJ28" s="76">
        <f t="shared" si="21"/>
        <v>0.003355</v>
      </c>
      <c r="SK28" s="76">
        <f t="shared" si="21"/>
        <v>0.003355</v>
      </c>
      <c r="SL28" s="76">
        <f t="shared" si="21"/>
        <v>0.003355</v>
      </c>
    </row>
    <row r="29">
      <c r="A29" s="53" t="s">
        <v>105</v>
      </c>
      <c r="B29" s="77">
        <f>B27/B28</f>
        <v>1.250788293</v>
      </c>
      <c r="C29" s="279"/>
      <c r="D29" s="280"/>
      <c r="E29" s="281"/>
      <c r="F29" s="77"/>
      <c r="G29" s="77">
        <f t="shared" ref="G29:SL29" si="22">G27/G28</f>
        <v>1.086962031</v>
      </c>
      <c r="H29" s="77">
        <f t="shared" si="22"/>
        <v>0.8578210887</v>
      </c>
      <c r="I29" s="77">
        <f t="shared" si="22"/>
        <v>0.8314189471</v>
      </c>
      <c r="J29" s="77">
        <f t="shared" si="22"/>
        <v>1.891036774</v>
      </c>
      <c r="K29" s="77">
        <f t="shared" si="22"/>
        <v>0.969332054</v>
      </c>
      <c r="L29" s="77">
        <f t="shared" si="22"/>
        <v>0.9609067481</v>
      </c>
      <c r="M29" s="77">
        <f t="shared" si="22"/>
        <v>1.407621398</v>
      </c>
      <c r="N29" s="77">
        <f t="shared" si="22"/>
        <v>1.937261379</v>
      </c>
      <c r="O29" s="77">
        <f t="shared" si="22"/>
        <v>2.820498729</v>
      </c>
      <c r="P29" s="77">
        <f t="shared" si="22"/>
        <v>1.097337986</v>
      </c>
      <c r="Q29" s="77">
        <f t="shared" si="22"/>
        <v>2.239066063</v>
      </c>
      <c r="R29" s="77">
        <f t="shared" si="22"/>
        <v>2.06769534</v>
      </c>
      <c r="S29" s="77">
        <f t="shared" si="22"/>
        <v>1.232100077</v>
      </c>
      <c r="T29" s="77">
        <f t="shared" si="22"/>
        <v>0.7341474691</v>
      </c>
      <c r="U29" s="77">
        <f t="shared" si="22"/>
        <v>2.441739626</v>
      </c>
      <c r="V29" s="77">
        <f t="shared" si="22"/>
        <v>0.7504857947</v>
      </c>
      <c r="W29" s="77">
        <f t="shared" si="22"/>
        <v>0.6307287572</v>
      </c>
      <c r="X29" s="77">
        <f t="shared" si="22"/>
        <v>1.528056663</v>
      </c>
      <c r="Y29" s="77">
        <f t="shared" si="22"/>
        <v>2.48077735</v>
      </c>
      <c r="Z29" s="77">
        <f t="shared" si="22"/>
        <v>1.158724721</v>
      </c>
      <c r="AA29" s="77">
        <f t="shared" si="22"/>
        <v>1.321010512</v>
      </c>
      <c r="AB29" s="77">
        <f t="shared" si="22"/>
        <v>1.559580426</v>
      </c>
      <c r="AC29" s="77">
        <f t="shared" si="22"/>
        <v>0.5810636491</v>
      </c>
      <c r="AD29" s="77">
        <f t="shared" si="22"/>
        <v>0.5412233551</v>
      </c>
      <c r="AE29" s="77">
        <f t="shared" si="22"/>
        <v>1.270651329</v>
      </c>
      <c r="AF29" s="77">
        <f t="shared" si="22"/>
        <v>1.271361381</v>
      </c>
      <c r="AG29" s="77">
        <f t="shared" si="22"/>
        <v>1.405021329</v>
      </c>
      <c r="AH29" s="77">
        <f t="shared" si="22"/>
        <v>0.9980104099</v>
      </c>
      <c r="AI29" s="77">
        <f t="shared" si="22"/>
        <v>1.713306036</v>
      </c>
      <c r="AJ29" s="77">
        <f t="shared" si="22"/>
        <v>0.7728822172</v>
      </c>
      <c r="AK29" s="77">
        <f t="shared" si="22"/>
        <v>1.490305574</v>
      </c>
      <c r="AL29" s="77">
        <f t="shared" si="22"/>
        <v>1.385735818</v>
      </c>
      <c r="AM29" s="77">
        <f t="shared" si="22"/>
        <v>1.255199149</v>
      </c>
      <c r="AN29" s="77">
        <f t="shared" si="22"/>
        <v>0.902918784</v>
      </c>
      <c r="AO29" s="77">
        <f t="shared" si="22"/>
        <v>0.8333180297</v>
      </c>
      <c r="AP29" s="77">
        <f t="shared" si="22"/>
        <v>0.9624546763</v>
      </c>
      <c r="AQ29" s="77">
        <f t="shared" si="22"/>
        <v>0.6518392377</v>
      </c>
      <c r="AR29" s="77">
        <f t="shared" si="22"/>
        <v>2.580208462</v>
      </c>
      <c r="AS29" s="77">
        <f t="shared" si="22"/>
        <v>1.179326567</v>
      </c>
      <c r="AT29" s="77">
        <f t="shared" si="22"/>
        <v>0.8258654462</v>
      </c>
      <c r="AU29" s="77">
        <f t="shared" si="22"/>
        <v>1.270706559</v>
      </c>
      <c r="AV29" s="77">
        <f t="shared" si="22"/>
        <v>0.9219635205</v>
      </c>
      <c r="AW29" s="77">
        <f t="shared" si="22"/>
        <v>1.048577822</v>
      </c>
      <c r="AX29" s="77">
        <f t="shared" si="22"/>
        <v>0.6540686683</v>
      </c>
      <c r="AY29" s="77">
        <f t="shared" si="22"/>
        <v>2.886678731</v>
      </c>
      <c r="AZ29" s="77">
        <f t="shared" si="22"/>
        <v>0.646959556</v>
      </c>
      <c r="BA29" s="77">
        <f t="shared" si="22"/>
        <v>1.624133593</v>
      </c>
      <c r="BB29" s="77">
        <f t="shared" si="22"/>
        <v>1.725353023</v>
      </c>
      <c r="BC29" s="77">
        <f t="shared" si="22"/>
        <v>1.039727044</v>
      </c>
      <c r="BD29" s="77">
        <f t="shared" si="22"/>
        <v>1.22685609</v>
      </c>
      <c r="BE29" s="77">
        <f t="shared" si="22"/>
        <v>0.9571403458</v>
      </c>
      <c r="BF29" s="77">
        <f t="shared" si="22"/>
        <v>0.8916294164</v>
      </c>
      <c r="BG29" s="77">
        <f t="shared" si="22"/>
        <v>2.246290147</v>
      </c>
      <c r="BH29" s="77">
        <f t="shared" si="22"/>
        <v>0.3636149782</v>
      </c>
      <c r="BI29" s="77">
        <f t="shared" si="22"/>
        <v>1.551630378</v>
      </c>
      <c r="BJ29" s="77">
        <f t="shared" si="22"/>
        <v>0.4341916846</v>
      </c>
      <c r="BK29" s="77">
        <f t="shared" si="22"/>
        <v>0.9394573585</v>
      </c>
      <c r="BL29" s="77">
        <f t="shared" si="22"/>
        <v>0.8213568638</v>
      </c>
      <c r="BM29" s="77">
        <f t="shared" si="22"/>
        <v>0.9500120653</v>
      </c>
      <c r="BN29" s="77">
        <f t="shared" si="22"/>
        <v>1.917032405</v>
      </c>
      <c r="BO29" s="77">
        <f t="shared" si="22"/>
        <v>0.5183776082</v>
      </c>
      <c r="BP29" s="77">
        <f t="shared" si="22"/>
        <v>1.252305234</v>
      </c>
      <c r="BQ29" s="77">
        <f t="shared" si="22"/>
        <v>0.6965355516</v>
      </c>
      <c r="BR29" s="77">
        <f t="shared" si="22"/>
        <v>1.669544754</v>
      </c>
      <c r="BS29" s="77">
        <f t="shared" si="22"/>
        <v>0.4981614067</v>
      </c>
      <c r="BT29" s="77">
        <f t="shared" si="22"/>
        <v>0.8681016941</v>
      </c>
      <c r="BU29" s="77">
        <f t="shared" si="22"/>
        <v>2.580813557</v>
      </c>
      <c r="BV29" s="77">
        <f t="shared" si="22"/>
        <v>1.698488998</v>
      </c>
      <c r="BW29" s="77">
        <f t="shared" si="22"/>
        <v>1.299022036</v>
      </c>
      <c r="BX29" s="77">
        <f t="shared" si="22"/>
        <v>1.30839621</v>
      </c>
      <c r="BY29" s="77">
        <f t="shared" si="22"/>
        <v>0.9541899999</v>
      </c>
      <c r="BZ29" s="77">
        <f t="shared" si="22"/>
        <v>1.031242687</v>
      </c>
      <c r="CA29" s="77">
        <f t="shared" si="22"/>
        <v>0.9470178247</v>
      </c>
      <c r="CB29" s="77">
        <f t="shared" si="22"/>
        <v>0.829140939</v>
      </c>
      <c r="CC29" s="77">
        <f t="shared" si="22"/>
        <v>0.6939616605</v>
      </c>
      <c r="CD29" s="77">
        <f t="shared" si="22"/>
        <v>1.088774478</v>
      </c>
      <c r="CE29" s="77">
        <f t="shared" si="22"/>
        <v>0.968269488</v>
      </c>
      <c r="CF29" s="77">
        <f t="shared" si="22"/>
        <v>1.35081359</v>
      </c>
      <c r="CG29" s="77">
        <f t="shared" si="22"/>
        <v>0.6749012403</v>
      </c>
      <c r="CH29" s="77">
        <f t="shared" si="22"/>
        <v>0.6094303704</v>
      </c>
      <c r="CI29" s="77">
        <f t="shared" si="22"/>
        <v>1.445528245</v>
      </c>
      <c r="CJ29" s="77">
        <f t="shared" si="22"/>
        <v>2.490321644</v>
      </c>
      <c r="CK29" s="77">
        <f t="shared" si="22"/>
        <v>1.545763231</v>
      </c>
      <c r="CL29" s="77">
        <f t="shared" si="22"/>
        <v>1.190173475</v>
      </c>
      <c r="CM29" s="77">
        <f t="shared" si="22"/>
        <v>1.125114008</v>
      </c>
      <c r="CN29" s="77">
        <f t="shared" si="22"/>
        <v>1.938287113</v>
      </c>
      <c r="CO29" s="77">
        <f t="shared" si="22"/>
        <v>0.8419412576</v>
      </c>
      <c r="CP29" s="77">
        <f t="shared" si="22"/>
        <v>0.7749175456</v>
      </c>
      <c r="CQ29" s="77">
        <f t="shared" si="22"/>
        <v>1.522951209</v>
      </c>
      <c r="CR29" s="77">
        <f t="shared" si="22"/>
        <v>2.052777525</v>
      </c>
      <c r="CS29" s="77">
        <f t="shared" si="22"/>
        <v>0.9113324713</v>
      </c>
      <c r="CT29" s="77">
        <f t="shared" si="22"/>
        <v>1.199399037</v>
      </c>
      <c r="CU29" s="77">
        <f t="shared" si="22"/>
        <v>1.432225255</v>
      </c>
      <c r="CV29" s="77">
        <f t="shared" si="22"/>
        <v>1.085766689</v>
      </c>
      <c r="CW29" s="77">
        <f t="shared" si="22"/>
        <v>1.179834499</v>
      </c>
      <c r="CX29" s="77">
        <f t="shared" si="22"/>
        <v>1.026238134</v>
      </c>
      <c r="CY29" s="77">
        <f t="shared" si="22"/>
        <v>1.658869473</v>
      </c>
      <c r="CZ29" s="77">
        <f t="shared" si="22"/>
        <v>2.147750426</v>
      </c>
      <c r="DA29" s="77">
        <f t="shared" si="22"/>
        <v>1.628766864</v>
      </c>
      <c r="DB29" s="77">
        <f t="shared" si="22"/>
        <v>0.8769217565</v>
      </c>
      <c r="DC29" s="77">
        <f t="shared" si="22"/>
        <v>0.6930974671</v>
      </c>
      <c r="DD29" s="77">
        <f t="shared" si="22"/>
        <v>0.9978679455</v>
      </c>
      <c r="DE29" s="77">
        <f t="shared" si="22"/>
        <v>0.6692937904</v>
      </c>
      <c r="DF29" s="77">
        <f t="shared" si="22"/>
        <v>1.21946113</v>
      </c>
      <c r="DG29" s="77">
        <f t="shared" si="22"/>
        <v>0.9554672196</v>
      </c>
      <c r="DH29" s="77">
        <f t="shared" si="22"/>
        <v>1.788455478</v>
      </c>
      <c r="DI29" s="77">
        <f t="shared" si="22"/>
        <v>0.6556995515</v>
      </c>
      <c r="DJ29" s="77">
        <f t="shared" si="22"/>
        <v>1.342608031</v>
      </c>
      <c r="DK29" s="77">
        <f t="shared" si="22"/>
        <v>1.201533458</v>
      </c>
      <c r="DL29" s="77">
        <f t="shared" si="22"/>
        <v>0.5775819504</v>
      </c>
      <c r="DM29" s="77">
        <f t="shared" si="22"/>
        <v>1.32301266</v>
      </c>
      <c r="DN29" s="77">
        <f t="shared" si="22"/>
        <v>0.6724670828</v>
      </c>
      <c r="DO29" s="77">
        <f t="shared" si="22"/>
        <v>0.6200628798</v>
      </c>
      <c r="DP29" s="77">
        <f t="shared" si="22"/>
        <v>0.7831755264</v>
      </c>
      <c r="DQ29" s="77">
        <f t="shared" si="22"/>
        <v>1.84909266</v>
      </c>
      <c r="DR29" s="77">
        <f t="shared" si="22"/>
        <v>1.9400578</v>
      </c>
      <c r="DS29" s="77">
        <f t="shared" si="22"/>
        <v>2.13253226</v>
      </c>
      <c r="DT29" s="77">
        <f t="shared" si="22"/>
        <v>1.61990267</v>
      </c>
      <c r="DU29" s="77">
        <f t="shared" si="22"/>
        <v>0.9758526907</v>
      </c>
      <c r="DV29" s="77">
        <f t="shared" si="22"/>
        <v>1.600994443</v>
      </c>
      <c r="DW29" s="77">
        <f t="shared" si="22"/>
        <v>1.450049145</v>
      </c>
      <c r="DX29" s="77">
        <f t="shared" si="22"/>
        <v>1.257995296</v>
      </c>
      <c r="DY29" s="77">
        <f t="shared" si="22"/>
        <v>1.32626789</v>
      </c>
      <c r="DZ29" s="77">
        <f t="shared" si="22"/>
        <v>0.8793703701</v>
      </c>
      <c r="EA29" s="77">
        <f t="shared" si="22"/>
        <v>0.9691515978</v>
      </c>
      <c r="EB29" s="77">
        <f t="shared" si="22"/>
        <v>1.236199543</v>
      </c>
      <c r="EC29" s="77">
        <f t="shared" si="22"/>
        <v>1.342246055</v>
      </c>
      <c r="ED29" s="77">
        <f t="shared" si="22"/>
        <v>0.9826148859</v>
      </c>
      <c r="EE29" s="77">
        <f t="shared" si="22"/>
        <v>1.368293177</v>
      </c>
      <c r="EF29" s="77">
        <f t="shared" si="22"/>
        <v>1.885558909</v>
      </c>
      <c r="EG29" s="77">
        <f t="shared" si="22"/>
        <v>1.098443929</v>
      </c>
      <c r="EH29" s="77">
        <f t="shared" si="22"/>
        <v>0.8060022247</v>
      </c>
      <c r="EI29" s="77">
        <f t="shared" si="22"/>
        <v>1.240006257</v>
      </c>
      <c r="EJ29" s="77">
        <f t="shared" si="22"/>
        <v>0.5282213789</v>
      </c>
      <c r="EK29" s="77">
        <f t="shared" si="22"/>
        <v>2.028944787</v>
      </c>
      <c r="EL29" s="77">
        <f t="shared" si="22"/>
        <v>1.574058631</v>
      </c>
      <c r="EM29" s="77">
        <f t="shared" si="22"/>
        <v>0.3168234026</v>
      </c>
      <c r="EN29" s="77">
        <f t="shared" si="22"/>
        <v>1.291868652</v>
      </c>
      <c r="EO29" s="77">
        <f t="shared" si="22"/>
        <v>1.803023133</v>
      </c>
      <c r="EP29" s="77">
        <f t="shared" si="22"/>
        <v>0.7162725654</v>
      </c>
      <c r="EQ29" s="77">
        <f t="shared" si="22"/>
        <v>1.674542066</v>
      </c>
      <c r="ER29" s="77">
        <f t="shared" si="22"/>
        <v>1.103733896</v>
      </c>
      <c r="ES29" s="77">
        <f t="shared" si="22"/>
        <v>1.067779102</v>
      </c>
      <c r="ET29" s="77">
        <f t="shared" si="22"/>
        <v>1.135038751</v>
      </c>
      <c r="EU29" s="77">
        <f t="shared" si="22"/>
        <v>1.678917358</v>
      </c>
      <c r="EV29" s="77">
        <f t="shared" si="22"/>
        <v>1.0800838</v>
      </c>
      <c r="EW29" s="77">
        <f t="shared" si="22"/>
        <v>1.258600581</v>
      </c>
      <c r="EX29" s="77">
        <f t="shared" si="22"/>
        <v>0.9619524663</v>
      </c>
      <c r="EY29" s="77">
        <f t="shared" si="22"/>
        <v>1.357901162</v>
      </c>
      <c r="EZ29" s="77">
        <f t="shared" si="22"/>
        <v>1.132420198</v>
      </c>
      <c r="FA29" s="77">
        <f t="shared" si="22"/>
        <v>1.248974476</v>
      </c>
      <c r="FB29" s="77">
        <f t="shared" si="22"/>
        <v>1.797055363</v>
      </c>
      <c r="FC29" s="77">
        <f t="shared" si="22"/>
        <v>1.480903063</v>
      </c>
      <c r="FD29" s="77">
        <f t="shared" si="22"/>
        <v>0.5785697118</v>
      </c>
      <c r="FE29" s="77">
        <f t="shared" si="22"/>
        <v>0.5393623989</v>
      </c>
      <c r="FF29" s="77">
        <f t="shared" si="22"/>
        <v>0.5797873671</v>
      </c>
      <c r="FG29" s="77">
        <f t="shared" si="22"/>
        <v>0.5984617342</v>
      </c>
      <c r="FH29" s="77">
        <f t="shared" si="22"/>
        <v>1.566926668</v>
      </c>
      <c r="FI29" s="77">
        <f t="shared" si="22"/>
        <v>0.9422623949</v>
      </c>
      <c r="FJ29" s="77">
        <f t="shared" si="22"/>
        <v>0.3473890966</v>
      </c>
      <c r="FK29" s="77">
        <f t="shared" si="22"/>
        <v>1.885259652</v>
      </c>
      <c r="FL29" s="77">
        <f t="shared" si="22"/>
        <v>1.693297423</v>
      </c>
      <c r="FM29" s="77">
        <f t="shared" si="22"/>
        <v>2.014364884</v>
      </c>
      <c r="FN29" s="77">
        <f t="shared" si="22"/>
        <v>1.693402753</v>
      </c>
      <c r="FO29" s="77">
        <f t="shared" si="22"/>
        <v>1.487321943</v>
      </c>
      <c r="FP29" s="77">
        <f t="shared" si="22"/>
        <v>1.023374263</v>
      </c>
      <c r="FQ29" s="77">
        <f t="shared" si="22"/>
        <v>1.931374435</v>
      </c>
      <c r="FR29" s="77">
        <f t="shared" si="22"/>
        <v>1.101333776</v>
      </c>
      <c r="FS29" s="77">
        <f t="shared" si="22"/>
        <v>1.461952664</v>
      </c>
      <c r="FT29" s="77">
        <f t="shared" si="22"/>
        <v>1.276522929</v>
      </c>
      <c r="FU29" s="77">
        <f t="shared" si="22"/>
        <v>0.9089027546</v>
      </c>
      <c r="FV29" s="77">
        <f t="shared" si="22"/>
        <v>0.7904549346</v>
      </c>
      <c r="FW29" s="77">
        <f t="shared" si="22"/>
        <v>1.276944696</v>
      </c>
      <c r="FX29" s="77">
        <f t="shared" si="22"/>
        <v>0.8429682207</v>
      </c>
      <c r="FY29" s="77">
        <f t="shared" si="22"/>
        <v>1.306619343</v>
      </c>
      <c r="FZ29" s="77">
        <f t="shared" si="22"/>
        <v>1.378569019</v>
      </c>
      <c r="GA29" s="77">
        <f t="shared" si="22"/>
        <v>1.033899352</v>
      </c>
      <c r="GB29" s="77">
        <f t="shared" si="22"/>
        <v>0.4861610493</v>
      </c>
      <c r="GC29" s="77">
        <f t="shared" si="22"/>
        <v>1.298898723</v>
      </c>
      <c r="GD29" s="77">
        <f t="shared" si="22"/>
        <v>0.8129496891</v>
      </c>
      <c r="GE29" s="77">
        <f t="shared" si="22"/>
        <v>0.6133805921</v>
      </c>
      <c r="GF29" s="77">
        <f t="shared" si="22"/>
        <v>1.215751898</v>
      </c>
      <c r="GG29" s="77">
        <f t="shared" si="22"/>
        <v>0.7464621358</v>
      </c>
      <c r="GH29" s="77">
        <f t="shared" si="22"/>
        <v>1.08984168</v>
      </c>
      <c r="GI29" s="77">
        <f t="shared" si="22"/>
        <v>0.803793131</v>
      </c>
      <c r="GJ29" s="77">
        <f t="shared" si="22"/>
        <v>1.212131514</v>
      </c>
      <c r="GK29" s="77">
        <f t="shared" si="22"/>
        <v>1.413547677</v>
      </c>
      <c r="GL29" s="77">
        <f t="shared" si="22"/>
        <v>0.8903453559</v>
      </c>
      <c r="GM29" s="77">
        <f t="shared" si="22"/>
        <v>1.022737124</v>
      </c>
      <c r="GN29" s="77">
        <f t="shared" si="22"/>
        <v>2.212410086</v>
      </c>
      <c r="GO29" s="77">
        <f t="shared" si="22"/>
        <v>0.4014098768</v>
      </c>
      <c r="GP29" s="77">
        <f t="shared" si="22"/>
        <v>0.9314012516</v>
      </c>
      <c r="GQ29" s="77">
        <f t="shared" si="22"/>
        <v>1.4820604</v>
      </c>
      <c r="GR29" s="77">
        <f t="shared" si="22"/>
        <v>1.65013895</v>
      </c>
      <c r="GS29" s="77">
        <f t="shared" si="22"/>
        <v>2.240027264</v>
      </c>
      <c r="GT29" s="77">
        <f t="shared" si="22"/>
        <v>0.6837262313</v>
      </c>
      <c r="GU29" s="77">
        <f t="shared" si="22"/>
        <v>1.050816257</v>
      </c>
      <c r="GV29" s="77">
        <f t="shared" si="22"/>
        <v>0.9899489301</v>
      </c>
      <c r="GW29" s="77">
        <f t="shared" si="22"/>
        <v>0.5661049125</v>
      </c>
      <c r="GX29" s="77">
        <f t="shared" si="22"/>
        <v>1.522212928</v>
      </c>
      <c r="GY29" s="77">
        <f t="shared" si="22"/>
        <v>0.740247639</v>
      </c>
      <c r="GZ29" s="77">
        <f t="shared" si="22"/>
        <v>1.732716143</v>
      </c>
      <c r="HA29" s="77">
        <f t="shared" si="22"/>
        <v>1.269736375</v>
      </c>
      <c r="HB29" s="77">
        <f t="shared" si="22"/>
        <v>0.8042292632</v>
      </c>
      <c r="HC29" s="77">
        <f t="shared" si="22"/>
        <v>2.090766932</v>
      </c>
      <c r="HD29" s="77">
        <f t="shared" si="22"/>
        <v>1.316525308</v>
      </c>
      <c r="HE29" s="77">
        <f t="shared" si="22"/>
        <v>2.339510344</v>
      </c>
      <c r="HF29" s="77">
        <f t="shared" si="22"/>
        <v>0.5251076659</v>
      </c>
      <c r="HG29" s="77">
        <f t="shared" si="22"/>
        <v>0.8214726108</v>
      </c>
      <c r="HH29" s="77">
        <f t="shared" si="22"/>
        <v>1.172149736</v>
      </c>
      <c r="HI29" s="77">
        <f t="shared" si="22"/>
        <v>1.467532239</v>
      </c>
      <c r="HJ29" s="77">
        <f t="shared" si="22"/>
        <v>0.9257864624</v>
      </c>
      <c r="HK29" s="77">
        <f t="shared" si="22"/>
        <v>0.8475863359</v>
      </c>
      <c r="HL29" s="77">
        <f t="shared" si="22"/>
        <v>1.408248667</v>
      </c>
      <c r="HM29" s="77">
        <f t="shared" si="22"/>
        <v>1.818486743</v>
      </c>
      <c r="HN29" s="77">
        <f t="shared" si="22"/>
        <v>0.934885451</v>
      </c>
      <c r="HO29" s="77">
        <f t="shared" si="22"/>
        <v>0.6330042132</v>
      </c>
      <c r="HP29" s="77">
        <f t="shared" si="22"/>
        <v>1.505888394</v>
      </c>
      <c r="HQ29" s="77">
        <f t="shared" si="22"/>
        <v>0.8162760788</v>
      </c>
      <c r="HR29" s="77">
        <f t="shared" si="22"/>
        <v>2.241011391</v>
      </c>
      <c r="HS29" s="77">
        <f t="shared" si="22"/>
        <v>2.091103575</v>
      </c>
      <c r="HT29" s="77">
        <f t="shared" si="22"/>
        <v>1.360646345</v>
      </c>
      <c r="HU29" s="77">
        <f t="shared" si="22"/>
        <v>1.943045357</v>
      </c>
      <c r="HV29" s="77">
        <f t="shared" si="22"/>
        <v>1.755922636</v>
      </c>
      <c r="HW29" s="77">
        <f t="shared" si="22"/>
        <v>0.6376304581</v>
      </c>
      <c r="HX29" s="77">
        <f t="shared" si="22"/>
        <v>0.7778191831</v>
      </c>
      <c r="HY29" s="77">
        <f t="shared" si="22"/>
        <v>2.91914681</v>
      </c>
      <c r="HZ29" s="77">
        <f t="shared" si="22"/>
        <v>0.6396641139</v>
      </c>
      <c r="IA29" s="77">
        <f t="shared" si="22"/>
        <v>1.360395009</v>
      </c>
      <c r="IB29" s="77">
        <f t="shared" si="22"/>
        <v>2.088416831</v>
      </c>
      <c r="IC29" s="77">
        <f t="shared" si="22"/>
        <v>0.7399181019</v>
      </c>
      <c r="ID29" s="77">
        <f t="shared" si="22"/>
        <v>1.162758184</v>
      </c>
      <c r="IE29" s="77">
        <f t="shared" si="22"/>
        <v>0.5274715722</v>
      </c>
      <c r="IF29" s="77">
        <f t="shared" si="22"/>
        <v>1.023068974</v>
      </c>
      <c r="IG29" s="77">
        <f t="shared" si="22"/>
        <v>2.990460652</v>
      </c>
      <c r="IH29" s="77">
        <f t="shared" si="22"/>
        <v>1.15045009</v>
      </c>
      <c r="II29" s="77">
        <f t="shared" si="22"/>
        <v>1.022788334</v>
      </c>
      <c r="IJ29" s="77">
        <f t="shared" si="22"/>
        <v>0.7121625769</v>
      </c>
      <c r="IK29" s="77">
        <f t="shared" si="22"/>
        <v>0.6762944123</v>
      </c>
      <c r="IL29" s="77">
        <f t="shared" si="22"/>
        <v>1.423150146</v>
      </c>
      <c r="IM29" s="77">
        <f t="shared" si="22"/>
        <v>1.101136774</v>
      </c>
      <c r="IN29" s="77">
        <f t="shared" si="22"/>
        <v>0.6274972798</v>
      </c>
      <c r="IO29" s="77">
        <f t="shared" si="22"/>
        <v>0.9232263782</v>
      </c>
      <c r="IP29" s="77">
        <f t="shared" si="22"/>
        <v>0.727118344</v>
      </c>
      <c r="IQ29" s="77">
        <f t="shared" si="22"/>
        <v>0.7007130931</v>
      </c>
      <c r="IR29" s="77">
        <f t="shared" si="22"/>
        <v>1.903116743</v>
      </c>
      <c r="IS29" s="77">
        <f t="shared" si="22"/>
        <v>1.358544037</v>
      </c>
      <c r="IT29" s="77">
        <f t="shared" si="22"/>
        <v>1.845643531</v>
      </c>
      <c r="IU29" s="77">
        <f t="shared" si="22"/>
        <v>0.910135136</v>
      </c>
      <c r="IV29" s="77">
        <f t="shared" si="22"/>
        <v>1.710470675</v>
      </c>
      <c r="IW29" s="77">
        <f t="shared" si="22"/>
        <v>0.9118323024</v>
      </c>
      <c r="IX29" s="77">
        <f t="shared" si="22"/>
        <v>1.088754902</v>
      </c>
      <c r="IY29" s="77">
        <f t="shared" si="22"/>
        <v>1.10223047</v>
      </c>
      <c r="IZ29" s="77">
        <f t="shared" si="22"/>
        <v>1.944809105</v>
      </c>
      <c r="JA29" s="77">
        <f t="shared" si="22"/>
        <v>1.400614835</v>
      </c>
      <c r="JB29" s="77">
        <f t="shared" si="22"/>
        <v>1.310775713</v>
      </c>
      <c r="JC29" s="77">
        <f t="shared" si="22"/>
        <v>1.918777024</v>
      </c>
      <c r="JD29" s="77">
        <f t="shared" si="22"/>
        <v>1.673885731</v>
      </c>
      <c r="JE29" s="77">
        <f t="shared" si="22"/>
        <v>0.656962201</v>
      </c>
      <c r="JF29" s="77">
        <f t="shared" si="22"/>
        <v>0.5242182262</v>
      </c>
      <c r="JG29" s="77">
        <f t="shared" si="22"/>
        <v>1.041830632</v>
      </c>
      <c r="JH29" s="77">
        <f t="shared" si="22"/>
        <v>1.077110891</v>
      </c>
      <c r="JI29" s="77">
        <f t="shared" si="22"/>
        <v>1.521972705</v>
      </c>
      <c r="JJ29" s="77">
        <f t="shared" si="22"/>
        <v>1.42249527</v>
      </c>
      <c r="JK29" s="77">
        <f t="shared" si="22"/>
        <v>1.590387808</v>
      </c>
      <c r="JL29" s="77">
        <f t="shared" si="22"/>
        <v>0.7040632369</v>
      </c>
      <c r="JM29" s="77">
        <f t="shared" si="22"/>
        <v>0.8197631512</v>
      </c>
      <c r="JN29" s="77">
        <f t="shared" si="22"/>
        <v>1.125355787</v>
      </c>
      <c r="JO29" s="77">
        <f t="shared" si="22"/>
        <v>2.259115908</v>
      </c>
      <c r="JP29" s="77">
        <f t="shared" si="22"/>
        <v>1.125822335</v>
      </c>
      <c r="JQ29" s="77">
        <f t="shared" si="22"/>
        <v>0.4251344614</v>
      </c>
      <c r="JR29" s="77">
        <f t="shared" si="22"/>
        <v>1.464382863</v>
      </c>
      <c r="JS29" s="77">
        <f t="shared" si="22"/>
        <v>0.8370854159</v>
      </c>
      <c r="JT29" s="77">
        <f t="shared" si="22"/>
        <v>2.144352036</v>
      </c>
      <c r="JU29" s="77">
        <f t="shared" si="22"/>
        <v>0.8015520557</v>
      </c>
      <c r="JV29" s="77">
        <f t="shared" si="22"/>
        <v>1.289968832</v>
      </c>
      <c r="JW29" s="77">
        <f t="shared" si="22"/>
        <v>0.9206877617</v>
      </c>
      <c r="JX29" s="77">
        <f t="shared" si="22"/>
        <v>0.6439108198</v>
      </c>
      <c r="JY29" s="77">
        <f t="shared" si="22"/>
        <v>2.200159481</v>
      </c>
      <c r="JZ29" s="77">
        <f t="shared" si="22"/>
        <v>1.957561279</v>
      </c>
      <c r="KA29" s="77">
        <f t="shared" si="22"/>
        <v>2.123857606</v>
      </c>
      <c r="KB29" s="77">
        <f t="shared" si="22"/>
        <v>0.8731362431</v>
      </c>
      <c r="KC29" s="77">
        <f t="shared" si="22"/>
        <v>0.4873009779</v>
      </c>
      <c r="KD29" s="77">
        <f t="shared" si="22"/>
        <v>1.021725425</v>
      </c>
      <c r="KE29" s="77">
        <f t="shared" si="22"/>
        <v>1.997008092</v>
      </c>
      <c r="KF29" s="77">
        <f t="shared" si="22"/>
        <v>1.708208644</v>
      </c>
      <c r="KG29" s="77">
        <f t="shared" si="22"/>
        <v>0.7022569646</v>
      </c>
      <c r="KH29" s="77">
        <f t="shared" si="22"/>
        <v>0.6319659688</v>
      </c>
      <c r="KI29" s="77">
        <f t="shared" si="22"/>
        <v>0.816608153</v>
      </c>
      <c r="KJ29" s="77">
        <f t="shared" si="22"/>
        <v>2.064816643</v>
      </c>
      <c r="KK29" s="77">
        <f t="shared" si="22"/>
        <v>1.351642761</v>
      </c>
      <c r="KL29" s="77">
        <f t="shared" si="22"/>
        <v>0.7288347108</v>
      </c>
      <c r="KM29" s="77">
        <f t="shared" si="22"/>
        <v>1.076479161</v>
      </c>
      <c r="KN29" s="77">
        <f t="shared" si="22"/>
        <v>1.387815855</v>
      </c>
      <c r="KO29" s="77">
        <f t="shared" si="22"/>
        <v>2.01247252</v>
      </c>
      <c r="KP29" s="77">
        <f t="shared" si="22"/>
        <v>0.9207091707</v>
      </c>
      <c r="KQ29" s="77">
        <f t="shared" si="22"/>
        <v>1.863155293</v>
      </c>
      <c r="KR29" s="77">
        <f t="shared" si="22"/>
        <v>0.602427754</v>
      </c>
      <c r="KS29" s="77">
        <f t="shared" si="22"/>
        <v>0.8091431588</v>
      </c>
      <c r="KT29" s="77">
        <f t="shared" si="22"/>
        <v>1.698312727</v>
      </c>
      <c r="KU29" s="77">
        <f t="shared" si="22"/>
        <v>1.290012321</v>
      </c>
      <c r="KV29" s="77">
        <f t="shared" si="22"/>
        <v>1.031690494</v>
      </c>
      <c r="KW29" s="77">
        <f t="shared" si="22"/>
        <v>1.286467036</v>
      </c>
      <c r="KX29" s="77">
        <f t="shared" si="22"/>
        <v>2.034660808</v>
      </c>
      <c r="KY29" s="77">
        <f t="shared" si="22"/>
        <v>0.7593400331</v>
      </c>
      <c r="KZ29" s="77">
        <f t="shared" si="22"/>
        <v>1.516981722</v>
      </c>
      <c r="LA29" s="77">
        <f t="shared" si="22"/>
        <v>1.142473893</v>
      </c>
      <c r="LB29" s="77">
        <f t="shared" si="22"/>
        <v>1.689730745</v>
      </c>
      <c r="LC29" s="77">
        <f t="shared" si="22"/>
        <v>1.42664536</v>
      </c>
      <c r="LD29" s="77">
        <f t="shared" si="22"/>
        <v>1.103578632</v>
      </c>
      <c r="LE29" s="77">
        <f t="shared" si="22"/>
        <v>1.571419083</v>
      </c>
      <c r="LF29" s="77">
        <f t="shared" si="22"/>
        <v>0.6219027581</v>
      </c>
      <c r="LG29" s="77">
        <f t="shared" si="22"/>
        <v>1.530129237</v>
      </c>
      <c r="LH29" s="77">
        <f t="shared" si="22"/>
        <v>1.327166186</v>
      </c>
      <c r="LI29" s="77">
        <f t="shared" si="22"/>
        <v>1.998082082</v>
      </c>
      <c r="LJ29" s="77">
        <f t="shared" si="22"/>
        <v>0.8103101258</v>
      </c>
      <c r="LK29" s="77">
        <f t="shared" si="22"/>
        <v>1.248917075</v>
      </c>
      <c r="LL29" s="77">
        <f t="shared" si="22"/>
        <v>1.458770659</v>
      </c>
      <c r="LM29" s="77">
        <f t="shared" si="22"/>
        <v>1.691324006</v>
      </c>
      <c r="LN29" s="77">
        <f t="shared" si="22"/>
        <v>1.664278819</v>
      </c>
      <c r="LO29" s="77">
        <f t="shared" si="22"/>
        <v>0.8463263416</v>
      </c>
      <c r="LP29" s="77">
        <f t="shared" si="22"/>
        <v>0.7609485567</v>
      </c>
      <c r="LQ29" s="77">
        <f t="shared" si="22"/>
        <v>0.8600275182</v>
      </c>
      <c r="LR29" s="77">
        <f t="shared" si="22"/>
        <v>1.321496308</v>
      </c>
      <c r="LS29" s="77">
        <f t="shared" si="22"/>
        <v>1.586287948</v>
      </c>
      <c r="LT29" s="77">
        <f t="shared" si="22"/>
        <v>1.094408374</v>
      </c>
      <c r="LU29" s="77">
        <f t="shared" si="22"/>
        <v>0.8460476027</v>
      </c>
      <c r="LV29" s="77">
        <f t="shared" si="22"/>
        <v>1.135515224</v>
      </c>
      <c r="LW29" s="77">
        <f t="shared" si="22"/>
        <v>0.5023729539</v>
      </c>
      <c r="LX29" s="77">
        <f t="shared" si="22"/>
        <v>0.4239911709</v>
      </c>
      <c r="LY29" s="77">
        <f t="shared" si="22"/>
        <v>1.363655295</v>
      </c>
      <c r="LZ29" s="77">
        <f t="shared" si="22"/>
        <v>1.085593475</v>
      </c>
      <c r="MA29" s="77">
        <f t="shared" si="22"/>
        <v>1.161637036</v>
      </c>
      <c r="MB29" s="77">
        <f t="shared" si="22"/>
        <v>3.090938574</v>
      </c>
      <c r="MC29" s="77">
        <f t="shared" si="22"/>
        <v>1.720354222</v>
      </c>
      <c r="MD29" s="77">
        <f t="shared" si="22"/>
        <v>1.361102137</v>
      </c>
      <c r="ME29" s="77">
        <f t="shared" si="22"/>
        <v>0.6918398692</v>
      </c>
      <c r="MF29" s="77">
        <f t="shared" si="22"/>
        <v>0.4884117089</v>
      </c>
      <c r="MG29" s="77">
        <f t="shared" si="22"/>
        <v>0.7258468809</v>
      </c>
      <c r="MH29" s="77">
        <f t="shared" si="22"/>
        <v>0.5521377896</v>
      </c>
      <c r="MI29" s="77">
        <f t="shared" si="22"/>
        <v>1.370684902</v>
      </c>
      <c r="MJ29" s="77">
        <f t="shared" si="22"/>
        <v>0.736266614</v>
      </c>
      <c r="MK29" s="77">
        <f t="shared" si="22"/>
        <v>0.6266133071</v>
      </c>
      <c r="ML29" s="77">
        <f t="shared" si="22"/>
        <v>0.9330176788</v>
      </c>
      <c r="MM29" s="77">
        <f t="shared" si="22"/>
        <v>0.8697022223</v>
      </c>
      <c r="MN29" s="77">
        <f t="shared" si="22"/>
        <v>2.755107587</v>
      </c>
      <c r="MO29" s="77">
        <f t="shared" si="22"/>
        <v>1.459365981</v>
      </c>
      <c r="MP29" s="77">
        <f t="shared" si="22"/>
        <v>1.333880974</v>
      </c>
      <c r="MQ29" s="77">
        <f t="shared" si="22"/>
        <v>1.000993445</v>
      </c>
      <c r="MR29" s="77">
        <f t="shared" si="22"/>
        <v>0.9950413599</v>
      </c>
      <c r="MS29" s="77">
        <f t="shared" si="22"/>
        <v>1.672562236</v>
      </c>
      <c r="MT29" s="77">
        <f t="shared" si="22"/>
        <v>1.280537751</v>
      </c>
      <c r="MU29" s="77">
        <f t="shared" si="22"/>
        <v>2.025445264</v>
      </c>
      <c r="MV29" s="77">
        <f t="shared" si="22"/>
        <v>1.105299898</v>
      </c>
      <c r="MW29" s="77">
        <f t="shared" si="22"/>
        <v>0.7757415123</v>
      </c>
      <c r="MX29" s="77">
        <f t="shared" si="22"/>
        <v>0.9480011799</v>
      </c>
      <c r="MY29" s="77">
        <f t="shared" si="22"/>
        <v>1.317385556</v>
      </c>
      <c r="MZ29" s="77">
        <f t="shared" si="22"/>
        <v>0.845947766</v>
      </c>
      <c r="NA29" s="77">
        <f t="shared" si="22"/>
        <v>2.523453371</v>
      </c>
      <c r="NB29" s="77">
        <f t="shared" si="22"/>
        <v>1.931967855</v>
      </c>
      <c r="NC29" s="77">
        <f t="shared" si="22"/>
        <v>2.010179125</v>
      </c>
      <c r="ND29" s="77">
        <f t="shared" si="22"/>
        <v>0.9031146909</v>
      </c>
      <c r="NE29" s="77">
        <f t="shared" si="22"/>
        <v>1.211993372</v>
      </c>
      <c r="NF29" s="77">
        <f t="shared" si="22"/>
        <v>0.6904384597</v>
      </c>
      <c r="NG29" s="77">
        <f t="shared" si="22"/>
        <v>2.055848551</v>
      </c>
      <c r="NH29" s="77">
        <f t="shared" si="22"/>
        <v>0.9627547009</v>
      </c>
      <c r="NI29" s="77">
        <f t="shared" si="22"/>
        <v>1.598489847</v>
      </c>
      <c r="NJ29" s="77">
        <f t="shared" si="22"/>
        <v>1.070314699</v>
      </c>
      <c r="NK29" s="77">
        <f t="shared" si="22"/>
        <v>2.029976525</v>
      </c>
      <c r="NL29" s="77">
        <f t="shared" si="22"/>
        <v>1.368665282</v>
      </c>
      <c r="NM29" s="77">
        <f t="shared" si="22"/>
        <v>2.219418294</v>
      </c>
      <c r="NN29" s="77">
        <f t="shared" si="22"/>
        <v>0.4920277686</v>
      </c>
      <c r="NO29" s="77">
        <f t="shared" si="22"/>
        <v>2.212472429</v>
      </c>
      <c r="NP29" s="77">
        <f t="shared" si="22"/>
        <v>2.360415114</v>
      </c>
      <c r="NQ29" s="77">
        <f t="shared" si="22"/>
        <v>0.9341931988</v>
      </c>
      <c r="NR29" s="77">
        <f t="shared" si="22"/>
        <v>1.157469543</v>
      </c>
      <c r="NS29" s="77">
        <f t="shared" si="22"/>
        <v>1.353195607</v>
      </c>
      <c r="NT29" s="77">
        <f t="shared" si="22"/>
        <v>3.455510206</v>
      </c>
      <c r="NU29" s="77">
        <f t="shared" si="22"/>
        <v>1.374673713</v>
      </c>
      <c r="NV29" s="77">
        <f t="shared" si="22"/>
        <v>1.413927093</v>
      </c>
      <c r="NW29" s="77">
        <f t="shared" si="22"/>
        <v>1.760850088</v>
      </c>
      <c r="NX29" s="77">
        <f t="shared" si="22"/>
        <v>1.207557929</v>
      </c>
      <c r="NY29" s="77">
        <f t="shared" si="22"/>
        <v>0.9033001152</v>
      </c>
      <c r="NZ29" s="77">
        <f t="shared" si="22"/>
        <v>0.9345009973</v>
      </c>
      <c r="OA29" s="77">
        <f t="shared" si="22"/>
        <v>2.021717923</v>
      </c>
      <c r="OB29" s="77">
        <f t="shared" si="22"/>
        <v>0.8981934619</v>
      </c>
      <c r="OC29" s="77">
        <f t="shared" si="22"/>
        <v>1.211678484</v>
      </c>
      <c r="OD29" s="77">
        <f t="shared" si="22"/>
        <v>0.9960282685</v>
      </c>
      <c r="OE29" s="77">
        <f t="shared" si="22"/>
        <v>0.827956319</v>
      </c>
      <c r="OF29" s="77">
        <f t="shared" si="22"/>
        <v>2.051117785</v>
      </c>
      <c r="OG29" s="77">
        <f t="shared" si="22"/>
        <v>0.555176081</v>
      </c>
      <c r="OH29" s="77">
        <f t="shared" si="22"/>
        <v>1.197465424</v>
      </c>
      <c r="OI29" s="77">
        <f t="shared" si="22"/>
        <v>1.045906348</v>
      </c>
      <c r="OJ29" s="77">
        <f t="shared" si="22"/>
        <v>0.8046044308</v>
      </c>
      <c r="OK29" s="77">
        <f t="shared" si="22"/>
        <v>1.08548856</v>
      </c>
      <c r="OL29" s="77">
        <f t="shared" si="22"/>
        <v>0.3734284491</v>
      </c>
      <c r="OM29" s="77">
        <f t="shared" si="22"/>
        <v>0.9279582516</v>
      </c>
      <c r="ON29" s="77">
        <f t="shared" si="22"/>
        <v>1.650747687</v>
      </c>
      <c r="OO29" s="77">
        <f t="shared" si="22"/>
        <v>0.4901174424</v>
      </c>
      <c r="OP29" s="77">
        <f t="shared" si="22"/>
        <v>1.107535656</v>
      </c>
      <c r="OQ29" s="77">
        <f t="shared" si="22"/>
        <v>2.004135397</v>
      </c>
      <c r="OR29" s="77">
        <f t="shared" si="22"/>
        <v>1.52301985</v>
      </c>
      <c r="OS29" s="77">
        <f t="shared" si="22"/>
        <v>0.9468107091</v>
      </c>
      <c r="OT29" s="77">
        <f t="shared" si="22"/>
        <v>1.37393897</v>
      </c>
      <c r="OU29" s="77">
        <f t="shared" si="22"/>
        <v>1.270847436</v>
      </c>
      <c r="OV29" s="77">
        <f t="shared" si="22"/>
        <v>1.088649611</v>
      </c>
      <c r="OW29" s="77">
        <f t="shared" si="22"/>
        <v>0.5118097302</v>
      </c>
      <c r="OX29" s="77">
        <f t="shared" si="22"/>
        <v>1.239519114</v>
      </c>
      <c r="OY29" s="77">
        <f t="shared" si="22"/>
        <v>0.8332714177</v>
      </c>
      <c r="OZ29" s="77">
        <f t="shared" si="22"/>
        <v>1.802037522</v>
      </c>
      <c r="PA29" s="77">
        <f t="shared" si="22"/>
        <v>1.002847136</v>
      </c>
      <c r="PB29" s="77">
        <f t="shared" si="22"/>
        <v>1.945538409</v>
      </c>
      <c r="PC29" s="77">
        <f t="shared" si="22"/>
        <v>1.642084391</v>
      </c>
      <c r="PD29" s="77">
        <f t="shared" si="22"/>
        <v>0.4877134625</v>
      </c>
      <c r="PE29" s="77">
        <f t="shared" si="22"/>
        <v>1.210627277</v>
      </c>
      <c r="PF29" s="77">
        <f t="shared" si="22"/>
        <v>2.093282471</v>
      </c>
      <c r="PG29" s="77">
        <f t="shared" si="22"/>
        <v>1.136433777</v>
      </c>
      <c r="PH29" s="77">
        <f t="shared" si="22"/>
        <v>1.361599595</v>
      </c>
      <c r="PI29" s="77">
        <f t="shared" si="22"/>
        <v>1.36795748</v>
      </c>
      <c r="PJ29" s="77">
        <f t="shared" si="22"/>
        <v>0.5715416623</v>
      </c>
      <c r="PK29" s="77">
        <f t="shared" si="22"/>
        <v>1.219162664</v>
      </c>
      <c r="PL29" s="77">
        <f t="shared" si="22"/>
        <v>1.074587036</v>
      </c>
      <c r="PM29" s="77">
        <f t="shared" si="22"/>
        <v>1.051892517</v>
      </c>
      <c r="PN29" s="77">
        <f t="shared" si="22"/>
        <v>0.4999467176</v>
      </c>
      <c r="PO29" s="77">
        <f t="shared" si="22"/>
        <v>0.495321873</v>
      </c>
      <c r="PP29" s="77">
        <f t="shared" si="22"/>
        <v>0.8524476002</v>
      </c>
      <c r="PQ29" s="77">
        <f t="shared" si="22"/>
        <v>2.615758364</v>
      </c>
      <c r="PR29" s="77">
        <f t="shared" si="22"/>
        <v>1.071023844</v>
      </c>
      <c r="PS29" s="77">
        <f t="shared" si="22"/>
        <v>0.9577765448</v>
      </c>
      <c r="PT29" s="77">
        <f t="shared" si="22"/>
        <v>1.206387869</v>
      </c>
      <c r="PU29" s="77">
        <f t="shared" si="22"/>
        <v>0.436738864</v>
      </c>
      <c r="PV29" s="77">
        <f t="shared" si="22"/>
        <v>0.9153483812</v>
      </c>
      <c r="PW29" s="77">
        <f t="shared" si="22"/>
        <v>1.216280301</v>
      </c>
      <c r="PX29" s="77">
        <f t="shared" si="22"/>
        <v>1.145751888</v>
      </c>
      <c r="PY29" s="77">
        <f t="shared" si="22"/>
        <v>2.486894292</v>
      </c>
      <c r="PZ29" s="77">
        <f t="shared" si="22"/>
        <v>1.396427317</v>
      </c>
      <c r="QA29" s="77">
        <f t="shared" si="22"/>
        <v>1.271999696</v>
      </c>
      <c r="QB29" s="77">
        <f t="shared" si="22"/>
        <v>1.303591629</v>
      </c>
      <c r="QC29" s="77">
        <f t="shared" si="22"/>
        <v>1.437715008</v>
      </c>
      <c r="QD29" s="77">
        <f t="shared" si="22"/>
        <v>1.068542634</v>
      </c>
      <c r="QE29" s="77">
        <f t="shared" si="22"/>
        <v>2.17178445</v>
      </c>
      <c r="QF29" s="77">
        <f t="shared" si="22"/>
        <v>0.5126070653</v>
      </c>
      <c r="QG29" s="77">
        <f t="shared" si="22"/>
        <v>1.953752622</v>
      </c>
      <c r="QH29" s="77">
        <f t="shared" si="22"/>
        <v>1.281086206</v>
      </c>
      <c r="QI29" s="77">
        <f t="shared" si="22"/>
        <v>1.33775208</v>
      </c>
      <c r="QJ29" s="77">
        <f t="shared" si="22"/>
        <v>1.911939549</v>
      </c>
      <c r="QK29" s="77">
        <f t="shared" si="22"/>
        <v>0.7780610988</v>
      </c>
      <c r="QL29" s="77">
        <f t="shared" si="22"/>
        <v>0.7202243364</v>
      </c>
      <c r="QM29" s="77">
        <f t="shared" si="22"/>
        <v>1.338605458</v>
      </c>
      <c r="QN29" s="77">
        <f t="shared" si="22"/>
        <v>0.8814654155</v>
      </c>
      <c r="QO29" s="77">
        <f t="shared" si="22"/>
        <v>0.8030066393</v>
      </c>
      <c r="QP29" s="77">
        <f t="shared" si="22"/>
        <v>1.417650206</v>
      </c>
      <c r="QQ29" s="77">
        <f t="shared" si="22"/>
        <v>1.405360736</v>
      </c>
      <c r="QR29" s="77">
        <f t="shared" si="22"/>
        <v>2.039897578</v>
      </c>
      <c r="QS29" s="77">
        <f t="shared" si="22"/>
        <v>1.15265777</v>
      </c>
      <c r="QT29" s="77">
        <f t="shared" si="22"/>
        <v>0.76730741</v>
      </c>
      <c r="QU29" s="77">
        <f t="shared" si="22"/>
        <v>0.9434152334</v>
      </c>
      <c r="QV29" s="77">
        <f t="shared" si="22"/>
        <v>2.427382842</v>
      </c>
      <c r="QW29" s="77">
        <f t="shared" si="22"/>
        <v>0.9575559547</v>
      </c>
      <c r="QX29" s="77">
        <f t="shared" si="22"/>
        <v>0.7351371666</v>
      </c>
      <c r="QY29" s="77">
        <f t="shared" si="22"/>
        <v>0.6361421762</v>
      </c>
      <c r="QZ29" s="77">
        <f t="shared" si="22"/>
        <v>1.718415394</v>
      </c>
      <c r="RA29" s="77">
        <f t="shared" si="22"/>
        <v>1.473949343</v>
      </c>
      <c r="RB29" s="77">
        <f t="shared" si="22"/>
        <v>0.8919853073</v>
      </c>
      <c r="RC29" s="77">
        <f t="shared" si="22"/>
        <v>0.8616236347</v>
      </c>
      <c r="RD29" s="77">
        <f t="shared" si="22"/>
        <v>0.4124561761</v>
      </c>
      <c r="RE29" s="77">
        <f t="shared" si="22"/>
        <v>1.231825658</v>
      </c>
      <c r="RF29" s="77">
        <f t="shared" si="22"/>
        <v>1.416809673</v>
      </c>
      <c r="RG29" s="77">
        <f t="shared" si="22"/>
        <v>0.9002894917</v>
      </c>
      <c r="RH29" s="77">
        <f t="shared" si="22"/>
        <v>0.5147306963</v>
      </c>
      <c r="RI29" s="77">
        <f t="shared" si="22"/>
        <v>2.637983574</v>
      </c>
      <c r="RJ29" s="77">
        <f t="shared" si="22"/>
        <v>2.093471619</v>
      </c>
      <c r="RK29" s="77">
        <f t="shared" si="22"/>
        <v>1.091517498</v>
      </c>
      <c r="RL29" s="77">
        <f t="shared" si="22"/>
        <v>0.8491455126</v>
      </c>
      <c r="RM29" s="77">
        <f t="shared" si="22"/>
        <v>1.906068485</v>
      </c>
      <c r="RN29" s="77">
        <f t="shared" si="22"/>
        <v>2.545601178</v>
      </c>
      <c r="RO29" s="77">
        <f t="shared" si="22"/>
        <v>1.764786973</v>
      </c>
      <c r="RP29" s="77">
        <f t="shared" si="22"/>
        <v>1.884516034</v>
      </c>
      <c r="RQ29" s="77">
        <f t="shared" si="22"/>
        <v>1.322306541</v>
      </c>
      <c r="RR29" s="77">
        <f t="shared" si="22"/>
        <v>1.224130925</v>
      </c>
      <c r="RS29" s="77">
        <f t="shared" si="22"/>
        <v>2.708964548</v>
      </c>
      <c r="RT29" s="77">
        <f t="shared" si="22"/>
        <v>0.9798686772</v>
      </c>
      <c r="RU29" s="77">
        <f t="shared" si="22"/>
        <v>0.8133599503</v>
      </c>
      <c r="RV29" s="77">
        <f t="shared" si="22"/>
        <v>1.113074758</v>
      </c>
      <c r="RW29" s="77">
        <f t="shared" si="22"/>
        <v>1.387309379</v>
      </c>
      <c r="RX29" s="77">
        <f t="shared" si="22"/>
        <v>0.6996722248</v>
      </c>
      <c r="RY29" s="77">
        <f t="shared" si="22"/>
        <v>0.6331452893</v>
      </c>
      <c r="RZ29" s="77">
        <f t="shared" si="22"/>
        <v>1.763771985</v>
      </c>
      <c r="SA29" s="77">
        <f t="shared" si="22"/>
        <v>0.8982728638</v>
      </c>
      <c r="SB29" s="77">
        <f t="shared" si="22"/>
        <v>1.808531636</v>
      </c>
      <c r="SC29" s="77">
        <f t="shared" si="22"/>
        <v>1.612445374</v>
      </c>
      <c r="SD29" s="77">
        <f t="shared" si="22"/>
        <v>1.178464424</v>
      </c>
      <c r="SE29" s="77">
        <f t="shared" si="22"/>
        <v>1.108590169</v>
      </c>
      <c r="SF29" s="77">
        <f t="shared" si="22"/>
        <v>1.649555471</v>
      </c>
      <c r="SG29" s="77">
        <f t="shared" si="22"/>
        <v>0.6850836064</v>
      </c>
      <c r="SH29" s="77">
        <f t="shared" si="22"/>
        <v>1.30394475</v>
      </c>
      <c r="SI29" s="77">
        <f t="shared" si="22"/>
        <v>1.314600004</v>
      </c>
      <c r="SJ29" s="77">
        <f t="shared" si="22"/>
        <v>0.6119165363</v>
      </c>
      <c r="SK29" s="77">
        <f t="shared" si="22"/>
        <v>1.870023689</v>
      </c>
      <c r="SL29" s="77">
        <f t="shared" si="22"/>
        <v>0.5964921691</v>
      </c>
    </row>
    <row r="30" ht="15.75" customHeight="1">
      <c r="A30" s="50" t="s">
        <v>106</v>
      </c>
      <c r="B30" s="78"/>
      <c r="C30" s="273"/>
      <c r="D30" s="274"/>
      <c r="E30" s="275"/>
      <c r="F30" s="78"/>
      <c r="G30" s="78"/>
      <c r="H30" s="78"/>
      <c r="I30" s="78"/>
      <c r="J30" s="78"/>
      <c r="K30" s="78"/>
      <c r="L30" s="78"/>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78"/>
      <c r="EO30" s="78"/>
      <c r="EP30" s="78"/>
      <c r="EQ30" s="78"/>
      <c r="ER30" s="78"/>
      <c r="ES30" s="78"/>
      <c r="ET30" s="78"/>
      <c r="EU30" s="78"/>
      <c r="EV30" s="78"/>
      <c r="EW30" s="78"/>
      <c r="EX30" s="78"/>
      <c r="EY30" s="78"/>
      <c r="EZ30" s="78"/>
      <c r="FA30" s="78"/>
      <c r="FB30" s="78"/>
      <c r="FC30" s="78"/>
      <c r="FD30" s="78"/>
      <c r="FE30" s="78"/>
      <c r="FF30" s="78"/>
      <c r="FG30" s="78"/>
      <c r="FH30" s="78"/>
      <c r="FI30" s="78"/>
      <c r="FJ30" s="78"/>
      <c r="FK30" s="78"/>
      <c r="FL30" s="78"/>
      <c r="FM30" s="78"/>
      <c r="FN30" s="78"/>
      <c r="FO30" s="78"/>
      <c r="FP30" s="78"/>
      <c r="FQ30" s="78"/>
      <c r="FR30" s="78"/>
      <c r="FS30" s="78"/>
      <c r="FT30" s="78"/>
      <c r="FU30" s="78"/>
      <c r="FV30" s="78"/>
      <c r="FW30" s="78"/>
      <c r="FX30" s="78"/>
      <c r="FY30" s="78"/>
      <c r="FZ30" s="78"/>
      <c r="GA30" s="78"/>
      <c r="GB30" s="78"/>
      <c r="GC30" s="78"/>
      <c r="GD30" s="78"/>
      <c r="GE30" s="78"/>
      <c r="GF30" s="78"/>
      <c r="GG30" s="78"/>
      <c r="GH30" s="78"/>
      <c r="GI30" s="78"/>
      <c r="GJ30" s="78"/>
      <c r="GK30" s="78"/>
      <c r="GL30" s="78"/>
      <c r="GM30" s="78"/>
      <c r="GN30" s="78"/>
      <c r="GO30" s="78"/>
      <c r="GP30" s="78"/>
      <c r="GQ30" s="78"/>
      <c r="GR30" s="78"/>
      <c r="GS30" s="78"/>
      <c r="GT30" s="78"/>
      <c r="GU30" s="78"/>
      <c r="GV30" s="78"/>
      <c r="GW30" s="78"/>
      <c r="GX30" s="78"/>
      <c r="GY30" s="78"/>
      <c r="GZ30" s="78"/>
      <c r="HA30" s="78"/>
      <c r="HB30" s="78"/>
      <c r="HC30" s="78"/>
      <c r="HD30" s="78"/>
      <c r="HE30" s="78"/>
      <c r="HF30" s="78"/>
      <c r="HG30" s="78"/>
      <c r="HH30" s="78"/>
      <c r="HI30" s="78"/>
      <c r="HJ30" s="78"/>
      <c r="HK30" s="78"/>
      <c r="HL30" s="78"/>
      <c r="HM30" s="78"/>
      <c r="HN30" s="78"/>
      <c r="HO30" s="78"/>
      <c r="HP30" s="78"/>
      <c r="HQ30" s="78"/>
      <c r="HR30" s="78"/>
      <c r="HS30" s="78"/>
      <c r="HT30" s="78"/>
      <c r="HU30" s="78"/>
      <c r="HV30" s="78"/>
      <c r="HW30" s="78"/>
      <c r="HX30" s="78"/>
      <c r="HY30" s="78"/>
      <c r="HZ30" s="78"/>
      <c r="IA30" s="78"/>
      <c r="IB30" s="78"/>
      <c r="IC30" s="78"/>
      <c r="ID30" s="78"/>
      <c r="IE30" s="78"/>
      <c r="IF30" s="78"/>
      <c r="IG30" s="78"/>
      <c r="IH30" s="78"/>
      <c r="II30" s="78"/>
      <c r="IJ30" s="78"/>
      <c r="IK30" s="78"/>
      <c r="IL30" s="78"/>
      <c r="IM30" s="78"/>
      <c r="IN30" s="78"/>
      <c r="IO30" s="78"/>
      <c r="IP30" s="78"/>
      <c r="IQ30" s="78"/>
      <c r="IR30" s="78"/>
      <c r="IS30" s="78"/>
      <c r="IT30" s="78"/>
      <c r="IU30" s="78"/>
      <c r="IV30" s="78"/>
      <c r="IW30" s="78"/>
      <c r="IX30" s="78"/>
      <c r="IY30" s="78"/>
      <c r="IZ30" s="78"/>
      <c r="JA30" s="78"/>
      <c r="JB30" s="78"/>
      <c r="JC30" s="78"/>
      <c r="JD30" s="78"/>
      <c r="JE30" s="78"/>
      <c r="JF30" s="78"/>
      <c r="JG30" s="78"/>
      <c r="JH30" s="78"/>
      <c r="JI30" s="78"/>
      <c r="JJ30" s="78"/>
      <c r="JK30" s="78"/>
      <c r="JL30" s="78"/>
      <c r="JM30" s="78"/>
      <c r="JN30" s="78"/>
      <c r="JO30" s="78"/>
      <c r="JP30" s="78"/>
      <c r="JQ30" s="78"/>
      <c r="JR30" s="78"/>
      <c r="JS30" s="78"/>
      <c r="JT30" s="78"/>
      <c r="JU30" s="78"/>
      <c r="JV30" s="78"/>
      <c r="JW30" s="78"/>
      <c r="JX30" s="78"/>
      <c r="JY30" s="78"/>
      <c r="JZ30" s="78"/>
      <c r="KA30" s="78"/>
      <c r="KB30" s="78"/>
      <c r="KC30" s="78"/>
      <c r="KD30" s="78"/>
      <c r="KE30" s="78"/>
      <c r="KF30" s="78"/>
      <c r="KG30" s="78"/>
      <c r="KH30" s="78"/>
      <c r="KI30" s="78"/>
      <c r="KJ30" s="78"/>
      <c r="KK30" s="78"/>
      <c r="KL30" s="78"/>
      <c r="KM30" s="78"/>
      <c r="KN30" s="78"/>
      <c r="KO30" s="78"/>
      <c r="KP30" s="78"/>
      <c r="KQ30" s="78"/>
      <c r="KR30" s="78"/>
      <c r="KS30" s="78"/>
      <c r="KT30" s="78"/>
      <c r="KU30" s="78"/>
      <c r="KV30" s="78"/>
      <c r="KW30" s="78"/>
      <c r="KX30" s="78"/>
      <c r="KY30" s="78"/>
      <c r="KZ30" s="78"/>
      <c r="LA30" s="78"/>
      <c r="LB30" s="78"/>
      <c r="LC30" s="78"/>
      <c r="LD30" s="78"/>
      <c r="LE30" s="78"/>
      <c r="LF30" s="78"/>
      <c r="LG30" s="78"/>
      <c r="LH30" s="78"/>
      <c r="LI30" s="78"/>
      <c r="LJ30" s="78"/>
      <c r="LK30" s="78"/>
      <c r="LL30" s="78"/>
      <c r="LM30" s="78"/>
      <c r="LN30" s="78"/>
      <c r="LO30" s="78"/>
      <c r="LP30" s="78"/>
      <c r="LQ30" s="78"/>
      <c r="LR30" s="78"/>
      <c r="LS30" s="78"/>
      <c r="LT30" s="78"/>
      <c r="LU30" s="78"/>
      <c r="LV30" s="78"/>
      <c r="LW30" s="78"/>
      <c r="LX30" s="78"/>
      <c r="LY30" s="78"/>
      <c r="LZ30" s="78"/>
      <c r="MA30" s="78"/>
      <c r="MB30" s="78"/>
      <c r="MC30" s="78"/>
      <c r="MD30" s="78"/>
      <c r="ME30" s="78"/>
      <c r="MF30" s="78"/>
      <c r="MG30" s="78"/>
      <c r="MH30" s="78"/>
      <c r="MI30" s="78"/>
      <c r="MJ30" s="78"/>
      <c r="MK30" s="78"/>
      <c r="ML30" s="78"/>
      <c r="MM30" s="78"/>
      <c r="MN30" s="78"/>
      <c r="MO30" s="78"/>
      <c r="MP30" s="78"/>
      <c r="MQ30" s="78"/>
      <c r="MR30" s="78"/>
      <c r="MS30" s="78"/>
      <c r="MT30" s="78"/>
      <c r="MU30" s="78"/>
      <c r="MV30" s="78"/>
      <c r="MW30" s="78"/>
      <c r="MX30" s="78"/>
      <c r="MY30" s="78"/>
      <c r="MZ30" s="78"/>
      <c r="NA30" s="78"/>
      <c r="NB30" s="78"/>
      <c r="NC30" s="78"/>
      <c r="ND30" s="78"/>
      <c r="NE30" s="78"/>
      <c r="NF30" s="78"/>
      <c r="NG30" s="78"/>
      <c r="NH30" s="78"/>
      <c r="NI30" s="78"/>
      <c r="NJ30" s="78"/>
      <c r="NK30" s="78"/>
      <c r="NL30" s="78"/>
      <c r="NM30" s="78"/>
      <c r="NN30" s="78"/>
      <c r="NO30" s="78"/>
      <c r="NP30" s="78"/>
      <c r="NQ30" s="78"/>
      <c r="NR30" s="78"/>
      <c r="NS30" s="78"/>
      <c r="NT30" s="78"/>
      <c r="NU30" s="78"/>
      <c r="NV30" s="78"/>
      <c r="NW30" s="78"/>
      <c r="NX30" s="78"/>
      <c r="NY30" s="78"/>
      <c r="NZ30" s="78"/>
      <c r="OA30" s="78"/>
      <c r="OB30" s="78"/>
      <c r="OC30" s="78"/>
      <c r="OD30" s="78"/>
      <c r="OE30" s="78"/>
      <c r="OF30" s="78"/>
      <c r="OG30" s="78"/>
      <c r="OH30" s="78"/>
      <c r="OI30" s="78"/>
      <c r="OJ30" s="78"/>
      <c r="OK30" s="78"/>
      <c r="OL30" s="78"/>
      <c r="OM30" s="78"/>
      <c r="ON30" s="78"/>
      <c r="OO30" s="78"/>
      <c r="OP30" s="78"/>
      <c r="OQ30" s="78"/>
      <c r="OR30" s="78"/>
      <c r="OS30" s="78"/>
      <c r="OT30" s="78"/>
      <c r="OU30" s="78"/>
      <c r="OV30" s="78"/>
      <c r="OW30" s="78"/>
      <c r="OX30" s="78"/>
      <c r="OY30" s="78"/>
      <c r="OZ30" s="78"/>
      <c r="PA30" s="78"/>
      <c r="PB30" s="78"/>
      <c r="PC30" s="78"/>
      <c r="PD30" s="78"/>
      <c r="PE30" s="78"/>
      <c r="PF30" s="78"/>
      <c r="PG30" s="78"/>
      <c r="PH30" s="78"/>
      <c r="PI30" s="78"/>
      <c r="PJ30" s="78"/>
      <c r="PK30" s="78"/>
      <c r="PL30" s="78"/>
      <c r="PM30" s="78"/>
      <c r="PN30" s="78"/>
      <c r="PO30" s="78"/>
      <c r="PP30" s="78"/>
      <c r="PQ30" s="78"/>
      <c r="PR30" s="78"/>
      <c r="PS30" s="78"/>
      <c r="PT30" s="78"/>
      <c r="PU30" s="78"/>
      <c r="PV30" s="78"/>
      <c r="PW30" s="78"/>
      <c r="PX30" s="78"/>
      <c r="PY30" s="78"/>
      <c r="PZ30" s="78"/>
      <c r="QA30" s="78"/>
      <c r="QB30" s="78"/>
      <c r="QC30" s="78"/>
      <c r="QD30" s="78"/>
      <c r="QE30" s="78"/>
      <c r="QF30" s="78"/>
      <c r="QG30" s="78"/>
      <c r="QH30" s="78"/>
      <c r="QI30" s="78"/>
      <c r="QJ30" s="78"/>
      <c r="QK30" s="78"/>
      <c r="QL30" s="78"/>
      <c r="QM30" s="78"/>
      <c r="QN30" s="78"/>
      <c r="QO30" s="78"/>
      <c r="QP30" s="78"/>
      <c r="QQ30" s="78"/>
      <c r="QR30" s="78"/>
      <c r="QS30" s="78"/>
      <c r="QT30" s="78"/>
      <c r="QU30" s="78"/>
      <c r="QV30" s="78"/>
      <c r="QW30" s="78"/>
      <c r="QX30" s="78"/>
      <c r="QY30" s="78"/>
      <c r="QZ30" s="78"/>
      <c r="RA30" s="78"/>
      <c r="RB30" s="78"/>
      <c r="RC30" s="78"/>
      <c r="RD30" s="78"/>
      <c r="RE30" s="78"/>
      <c r="RF30" s="78"/>
      <c r="RG30" s="78"/>
      <c r="RH30" s="78"/>
      <c r="RI30" s="78"/>
      <c r="RJ30" s="78"/>
      <c r="RK30" s="78"/>
      <c r="RL30" s="78"/>
      <c r="RM30" s="78"/>
      <c r="RN30" s="78"/>
      <c r="RO30" s="78"/>
      <c r="RP30" s="78"/>
      <c r="RQ30" s="78"/>
      <c r="RR30" s="78"/>
      <c r="RS30" s="78"/>
      <c r="RT30" s="78"/>
      <c r="RU30" s="78"/>
      <c r="RV30" s="78"/>
      <c r="RW30" s="78"/>
      <c r="RX30" s="78"/>
      <c r="RY30" s="78"/>
      <c r="RZ30" s="78"/>
      <c r="SA30" s="78"/>
      <c r="SB30" s="78"/>
      <c r="SC30" s="78"/>
      <c r="SD30" s="78"/>
      <c r="SE30" s="78"/>
      <c r="SF30" s="78"/>
      <c r="SG30" s="78"/>
      <c r="SH30" s="78"/>
      <c r="SI30" s="78"/>
      <c r="SJ30" s="78"/>
      <c r="SK30" s="78"/>
      <c r="SL30" s="78"/>
    </row>
    <row r="31" ht="15.75" customHeight="1">
      <c r="A31" s="53" t="s">
        <v>107</v>
      </c>
      <c r="B31" s="77">
        <f t="array" ref="B31">INDEX('New CEA'!$B31:$F31,MATCH($B$2,'New CEA'!B$2:F$2,0))</f>
        <v>2.5</v>
      </c>
      <c r="C31" s="282"/>
      <c r="D31" s="242"/>
      <c r="E31" s="243"/>
      <c r="F31" s="63"/>
      <c r="G31" s="77">
        <f t="shared" ref="G31:SL31" si="23">$B31</f>
        <v>2.5</v>
      </c>
      <c r="H31" s="77">
        <f t="shared" si="23"/>
        <v>2.5</v>
      </c>
      <c r="I31" s="77">
        <f t="shared" si="23"/>
        <v>2.5</v>
      </c>
      <c r="J31" s="77">
        <f t="shared" si="23"/>
        <v>2.5</v>
      </c>
      <c r="K31" s="77">
        <f t="shared" si="23"/>
        <v>2.5</v>
      </c>
      <c r="L31" s="77">
        <f t="shared" si="23"/>
        <v>2.5</v>
      </c>
      <c r="M31" s="77">
        <f t="shared" si="23"/>
        <v>2.5</v>
      </c>
      <c r="N31" s="77">
        <f t="shared" si="23"/>
        <v>2.5</v>
      </c>
      <c r="O31" s="77">
        <f t="shared" si="23"/>
        <v>2.5</v>
      </c>
      <c r="P31" s="77">
        <f t="shared" si="23"/>
        <v>2.5</v>
      </c>
      <c r="Q31" s="77">
        <f t="shared" si="23"/>
        <v>2.5</v>
      </c>
      <c r="R31" s="77">
        <f t="shared" si="23"/>
        <v>2.5</v>
      </c>
      <c r="S31" s="77">
        <f t="shared" si="23"/>
        <v>2.5</v>
      </c>
      <c r="T31" s="77">
        <f t="shared" si="23"/>
        <v>2.5</v>
      </c>
      <c r="U31" s="77">
        <f t="shared" si="23"/>
        <v>2.5</v>
      </c>
      <c r="V31" s="77">
        <f t="shared" si="23"/>
        <v>2.5</v>
      </c>
      <c r="W31" s="77">
        <f t="shared" si="23"/>
        <v>2.5</v>
      </c>
      <c r="X31" s="77">
        <f t="shared" si="23"/>
        <v>2.5</v>
      </c>
      <c r="Y31" s="77">
        <f t="shared" si="23"/>
        <v>2.5</v>
      </c>
      <c r="Z31" s="77">
        <f t="shared" si="23"/>
        <v>2.5</v>
      </c>
      <c r="AA31" s="77">
        <f t="shared" si="23"/>
        <v>2.5</v>
      </c>
      <c r="AB31" s="77">
        <f t="shared" si="23"/>
        <v>2.5</v>
      </c>
      <c r="AC31" s="77">
        <f t="shared" si="23"/>
        <v>2.5</v>
      </c>
      <c r="AD31" s="77">
        <f t="shared" si="23"/>
        <v>2.5</v>
      </c>
      <c r="AE31" s="77">
        <f t="shared" si="23"/>
        <v>2.5</v>
      </c>
      <c r="AF31" s="77">
        <f t="shared" si="23"/>
        <v>2.5</v>
      </c>
      <c r="AG31" s="77">
        <f t="shared" si="23"/>
        <v>2.5</v>
      </c>
      <c r="AH31" s="77">
        <f t="shared" si="23"/>
        <v>2.5</v>
      </c>
      <c r="AI31" s="77">
        <f t="shared" si="23"/>
        <v>2.5</v>
      </c>
      <c r="AJ31" s="77">
        <f t="shared" si="23"/>
        <v>2.5</v>
      </c>
      <c r="AK31" s="77">
        <f t="shared" si="23"/>
        <v>2.5</v>
      </c>
      <c r="AL31" s="77">
        <f t="shared" si="23"/>
        <v>2.5</v>
      </c>
      <c r="AM31" s="77">
        <f t="shared" si="23"/>
        <v>2.5</v>
      </c>
      <c r="AN31" s="77">
        <f t="shared" si="23"/>
        <v>2.5</v>
      </c>
      <c r="AO31" s="77">
        <f t="shared" si="23"/>
        <v>2.5</v>
      </c>
      <c r="AP31" s="77">
        <f t="shared" si="23"/>
        <v>2.5</v>
      </c>
      <c r="AQ31" s="77">
        <f t="shared" si="23"/>
        <v>2.5</v>
      </c>
      <c r="AR31" s="77">
        <f t="shared" si="23"/>
        <v>2.5</v>
      </c>
      <c r="AS31" s="77">
        <f t="shared" si="23"/>
        <v>2.5</v>
      </c>
      <c r="AT31" s="77">
        <f t="shared" si="23"/>
        <v>2.5</v>
      </c>
      <c r="AU31" s="77">
        <f t="shared" si="23"/>
        <v>2.5</v>
      </c>
      <c r="AV31" s="77">
        <f t="shared" si="23"/>
        <v>2.5</v>
      </c>
      <c r="AW31" s="77">
        <f t="shared" si="23"/>
        <v>2.5</v>
      </c>
      <c r="AX31" s="77">
        <f t="shared" si="23"/>
        <v>2.5</v>
      </c>
      <c r="AY31" s="77">
        <f t="shared" si="23"/>
        <v>2.5</v>
      </c>
      <c r="AZ31" s="77">
        <f t="shared" si="23"/>
        <v>2.5</v>
      </c>
      <c r="BA31" s="77">
        <f t="shared" si="23"/>
        <v>2.5</v>
      </c>
      <c r="BB31" s="77">
        <f t="shared" si="23"/>
        <v>2.5</v>
      </c>
      <c r="BC31" s="77">
        <f t="shared" si="23"/>
        <v>2.5</v>
      </c>
      <c r="BD31" s="77">
        <f t="shared" si="23"/>
        <v>2.5</v>
      </c>
      <c r="BE31" s="77">
        <f t="shared" si="23"/>
        <v>2.5</v>
      </c>
      <c r="BF31" s="77">
        <f t="shared" si="23"/>
        <v>2.5</v>
      </c>
      <c r="BG31" s="77">
        <f t="shared" si="23"/>
        <v>2.5</v>
      </c>
      <c r="BH31" s="77">
        <f t="shared" si="23"/>
        <v>2.5</v>
      </c>
      <c r="BI31" s="77">
        <f t="shared" si="23"/>
        <v>2.5</v>
      </c>
      <c r="BJ31" s="77">
        <f t="shared" si="23"/>
        <v>2.5</v>
      </c>
      <c r="BK31" s="77">
        <f t="shared" si="23"/>
        <v>2.5</v>
      </c>
      <c r="BL31" s="77">
        <f t="shared" si="23"/>
        <v>2.5</v>
      </c>
      <c r="BM31" s="77">
        <f t="shared" si="23"/>
        <v>2.5</v>
      </c>
      <c r="BN31" s="77">
        <f t="shared" si="23"/>
        <v>2.5</v>
      </c>
      <c r="BO31" s="77">
        <f t="shared" si="23"/>
        <v>2.5</v>
      </c>
      <c r="BP31" s="77">
        <f t="shared" si="23"/>
        <v>2.5</v>
      </c>
      <c r="BQ31" s="77">
        <f t="shared" si="23"/>
        <v>2.5</v>
      </c>
      <c r="BR31" s="77">
        <f t="shared" si="23"/>
        <v>2.5</v>
      </c>
      <c r="BS31" s="77">
        <f t="shared" si="23"/>
        <v>2.5</v>
      </c>
      <c r="BT31" s="77">
        <f t="shared" si="23"/>
        <v>2.5</v>
      </c>
      <c r="BU31" s="77">
        <f t="shared" si="23"/>
        <v>2.5</v>
      </c>
      <c r="BV31" s="77">
        <f t="shared" si="23"/>
        <v>2.5</v>
      </c>
      <c r="BW31" s="77">
        <f t="shared" si="23"/>
        <v>2.5</v>
      </c>
      <c r="BX31" s="77">
        <f t="shared" si="23"/>
        <v>2.5</v>
      </c>
      <c r="BY31" s="77">
        <f t="shared" si="23"/>
        <v>2.5</v>
      </c>
      <c r="BZ31" s="77">
        <f t="shared" si="23"/>
        <v>2.5</v>
      </c>
      <c r="CA31" s="77">
        <f t="shared" si="23"/>
        <v>2.5</v>
      </c>
      <c r="CB31" s="77">
        <f t="shared" si="23"/>
        <v>2.5</v>
      </c>
      <c r="CC31" s="77">
        <f t="shared" si="23"/>
        <v>2.5</v>
      </c>
      <c r="CD31" s="77">
        <f t="shared" si="23"/>
        <v>2.5</v>
      </c>
      <c r="CE31" s="77">
        <f t="shared" si="23"/>
        <v>2.5</v>
      </c>
      <c r="CF31" s="77">
        <f t="shared" si="23"/>
        <v>2.5</v>
      </c>
      <c r="CG31" s="77">
        <f t="shared" si="23"/>
        <v>2.5</v>
      </c>
      <c r="CH31" s="77">
        <f t="shared" si="23"/>
        <v>2.5</v>
      </c>
      <c r="CI31" s="77">
        <f t="shared" si="23"/>
        <v>2.5</v>
      </c>
      <c r="CJ31" s="77">
        <f t="shared" si="23"/>
        <v>2.5</v>
      </c>
      <c r="CK31" s="77">
        <f t="shared" si="23"/>
        <v>2.5</v>
      </c>
      <c r="CL31" s="77">
        <f t="shared" si="23"/>
        <v>2.5</v>
      </c>
      <c r="CM31" s="77">
        <f t="shared" si="23"/>
        <v>2.5</v>
      </c>
      <c r="CN31" s="77">
        <f t="shared" si="23"/>
        <v>2.5</v>
      </c>
      <c r="CO31" s="77">
        <f t="shared" si="23"/>
        <v>2.5</v>
      </c>
      <c r="CP31" s="77">
        <f t="shared" si="23"/>
        <v>2.5</v>
      </c>
      <c r="CQ31" s="77">
        <f t="shared" si="23"/>
        <v>2.5</v>
      </c>
      <c r="CR31" s="77">
        <f t="shared" si="23"/>
        <v>2.5</v>
      </c>
      <c r="CS31" s="77">
        <f t="shared" si="23"/>
        <v>2.5</v>
      </c>
      <c r="CT31" s="77">
        <f t="shared" si="23"/>
        <v>2.5</v>
      </c>
      <c r="CU31" s="77">
        <f t="shared" si="23"/>
        <v>2.5</v>
      </c>
      <c r="CV31" s="77">
        <f t="shared" si="23"/>
        <v>2.5</v>
      </c>
      <c r="CW31" s="77">
        <f t="shared" si="23"/>
        <v>2.5</v>
      </c>
      <c r="CX31" s="77">
        <f t="shared" si="23"/>
        <v>2.5</v>
      </c>
      <c r="CY31" s="77">
        <f t="shared" si="23"/>
        <v>2.5</v>
      </c>
      <c r="CZ31" s="77">
        <f t="shared" si="23"/>
        <v>2.5</v>
      </c>
      <c r="DA31" s="77">
        <f t="shared" si="23"/>
        <v>2.5</v>
      </c>
      <c r="DB31" s="77">
        <f t="shared" si="23"/>
        <v>2.5</v>
      </c>
      <c r="DC31" s="77">
        <f t="shared" si="23"/>
        <v>2.5</v>
      </c>
      <c r="DD31" s="77">
        <f t="shared" si="23"/>
        <v>2.5</v>
      </c>
      <c r="DE31" s="77">
        <f t="shared" si="23"/>
        <v>2.5</v>
      </c>
      <c r="DF31" s="77">
        <f t="shared" si="23"/>
        <v>2.5</v>
      </c>
      <c r="DG31" s="77">
        <f t="shared" si="23"/>
        <v>2.5</v>
      </c>
      <c r="DH31" s="77">
        <f t="shared" si="23"/>
        <v>2.5</v>
      </c>
      <c r="DI31" s="77">
        <f t="shared" si="23"/>
        <v>2.5</v>
      </c>
      <c r="DJ31" s="77">
        <f t="shared" si="23"/>
        <v>2.5</v>
      </c>
      <c r="DK31" s="77">
        <f t="shared" si="23"/>
        <v>2.5</v>
      </c>
      <c r="DL31" s="77">
        <f t="shared" si="23"/>
        <v>2.5</v>
      </c>
      <c r="DM31" s="77">
        <f t="shared" si="23"/>
        <v>2.5</v>
      </c>
      <c r="DN31" s="77">
        <f t="shared" si="23"/>
        <v>2.5</v>
      </c>
      <c r="DO31" s="77">
        <f t="shared" si="23"/>
        <v>2.5</v>
      </c>
      <c r="DP31" s="77">
        <f t="shared" si="23"/>
        <v>2.5</v>
      </c>
      <c r="DQ31" s="77">
        <f t="shared" si="23"/>
        <v>2.5</v>
      </c>
      <c r="DR31" s="77">
        <f t="shared" si="23"/>
        <v>2.5</v>
      </c>
      <c r="DS31" s="77">
        <f t="shared" si="23"/>
        <v>2.5</v>
      </c>
      <c r="DT31" s="77">
        <f t="shared" si="23"/>
        <v>2.5</v>
      </c>
      <c r="DU31" s="77">
        <f t="shared" si="23"/>
        <v>2.5</v>
      </c>
      <c r="DV31" s="77">
        <f t="shared" si="23"/>
        <v>2.5</v>
      </c>
      <c r="DW31" s="77">
        <f t="shared" si="23"/>
        <v>2.5</v>
      </c>
      <c r="DX31" s="77">
        <f t="shared" si="23"/>
        <v>2.5</v>
      </c>
      <c r="DY31" s="77">
        <f t="shared" si="23"/>
        <v>2.5</v>
      </c>
      <c r="DZ31" s="77">
        <f t="shared" si="23"/>
        <v>2.5</v>
      </c>
      <c r="EA31" s="77">
        <f t="shared" si="23"/>
        <v>2.5</v>
      </c>
      <c r="EB31" s="77">
        <f t="shared" si="23"/>
        <v>2.5</v>
      </c>
      <c r="EC31" s="77">
        <f t="shared" si="23"/>
        <v>2.5</v>
      </c>
      <c r="ED31" s="77">
        <f t="shared" si="23"/>
        <v>2.5</v>
      </c>
      <c r="EE31" s="77">
        <f t="shared" si="23"/>
        <v>2.5</v>
      </c>
      <c r="EF31" s="77">
        <f t="shared" si="23"/>
        <v>2.5</v>
      </c>
      <c r="EG31" s="77">
        <f t="shared" si="23"/>
        <v>2.5</v>
      </c>
      <c r="EH31" s="77">
        <f t="shared" si="23"/>
        <v>2.5</v>
      </c>
      <c r="EI31" s="77">
        <f t="shared" si="23"/>
        <v>2.5</v>
      </c>
      <c r="EJ31" s="77">
        <f t="shared" si="23"/>
        <v>2.5</v>
      </c>
      <c r="EK31" s="77">
        <f t="shared" si="23"/>
        <v>2.5</v>
      </c>
      <c r="EL31" s="77">
        <f t="shared" si="23"/>
        <v>2.5</v>
      </c>
      <c r="EM31" s="77">
        <f t="shared" si="23"/>
        <v>2.5</v>
      </c>
      <c r="EN31" s="77">
        <f t="shared" si="23"/>
        <v>2.5</v>
      </c>
      <c r="EO31" s="77">
        <f t="shared" si="23"/>
        <v>2.5</v>
      </c>
      <c r="EP31" s="77">
        <f t="shared" si="23"/>
        <v>2.5</v>
      </c>
      <c r="EQ31" s="77">
        <f t="shared" si="23"/>
        <v>2.5</v>
      </c>
      <c r="ER31" s="77">
        <f t="shared" si="23"/>
        <v>2.5</v>
      </c>
      <c r="ES31" s="77">
        <f t="shared" si="23"/>
        <v>2.5</v>
      </c>
      <c r="ET31" s="77">
        <f t="shared" si="23"/>
        <v>2.5</v>
      </c>
      <c r="EU31" s="77">
        <f t="shared" si="23"/>
        <v>2.5</v>
      </c>
      <c r="EV31" s="77">
        <f t="shared" si="23"/>
        <v>2.5</v>
      </c>
      <c r="EW31" s="77">
        <f t="shared" si="23"/>
        <v>2.5</v>
      </c>
      <c r="EX31" s="77">
        <f t="shared" si="23"/>
        <v>2.5</v>
      </c>
      <c r="EY31" s="77">
        <f t="shared" si="23"/>
        <v>2.5</v>
      </c>
      <c r="EZ31" s="77">
        <f t="shared" si="23"/>
        <v>2.5</v>
      </c>
      <c r="FA31" s="77">
        <f t="shared" si="23"/>
        <v>2.5</v>
      </c>
      <c r="FB31" s="77">
        <f t="shared" si="23"/>
        <v>2.5</v>
      </c>
      <c r="FC31" s="77">
        <f t="shared" si="23"/>
        <v>2.5</v>
      </c>
      <c r="FD31" s="77">
        <f t="shared" si="23"/>
        <v>2.5</v>
      </c>
      <c r="FE31" s="77">
        <f t="shared" si="23"/>
        <v>2.5</v>
      </c>
      <c r="FF31" s="77">
        <f t="shared" si="23"/>
        <v>2.5</v>
      </c>
      <c r="FG31" s="77">
        <f t="shared" si="23"/>
        <v>2.5</v>
      </c>
      <c r="FH31" s="77">
        <f t="shared" si="23"/>
        <v>2.5</v>
      </c>
      <c r="FI31" s="77">
        <f t="shared" si="23"/>
        <v>2.5</v>
      </c>
      <c r="FJ31" s="77">
        <f t="shared" si="23"/>
        <v>2.5</v>
      </c>
      <c r="FK31" s="77">
        <f t="shared" si="23"/>
        <v>2.5</v>
      </c>
      <c r="FL31" s="77">
        <f t="shared" si="23"/>
        <v>2.5</v>
      </c>
      <c r="FM31" s="77">
        <f t="shared" si="23"/>
        <v>2.5</v>
      </c>
      <c r="FN31" s="77">
        <f t="shared" si="23"/>
        <v>2.5</v>
      </c>
      <c r="FO31" s="77">
        <f t="shared" si="23"/>
        <v>2.5</v>
      </c>
      <c r="FP31" s="77">
        <f t="shared" si="23"/>
        <v>2.5</v>
      </c>
      <c r="FQ31" s="77">
        <f t="shared" si="23"/>
        <v>2.5</v>
      </c>
      <c r="FR31" s="77">
        <f t="shared" si="23"/>
        <v>2.5</v>
      </c>
      <c r="FS31" s="77">
        <f t="shared" si="23"/>
        <v>2.5</v>
      </c>
      <c r="FT31" s="77">
        <f t="shared" si="23"/>
        <v>2.5</v>
      </c>
      <c r="FU31" s="77">
        <f t="shared" si="23"/>
        <v>2.5</v>
      </c>
      <c r="FV31" s="77">
        <f t="shared" si="23"/>
        <v>2.5</v>
      </c>
      <c r="FW31" s="77">
        <f t="shared" si="23"/>
        <v>2.5</v>
      </c>
      <c r="FX31" s="77">
        <f t="shared" si="23"/>
        <v>2.5</v>
      </c>
      <c r="FY31" s="77">
        <f t="shared" si="23"/>
        <v>2.5</v>
      </c>
      <c r="FZ31" s="77">
        <f t="shared" si="23"/>
        <v>2.5</v>
      </c>
      <c r="GA31" s="77">
        <f t="shared" si="23"/>
        <v>2.5</v>
      </c>
      <c r="GB31" s="77">
        <f t="shared" si="23"/>
        <v>2.5</v>
      </c>
      <c r="GC31" s="77">
        <f t="shared" si="23"/>
        <v>2.5</v>
      </c>
      <c r="GD31" s="77">
        <f t="shared" si="23"/>
        <v>2.5</v>
      </c>
      <c r="GE31" s="77">
        <f t="shared" si="23"/>
        <v>2.5</v>
      </c>
      <c r="GF31" s="77">
        <f t="shared" si="23"/>
        <v>2.5</v>
      </c>
      <c r="GG31" s="77">
        <f t="shared" si="23"/>
        <v>2.5</v>
      </c>
      <c r="GH31" s="77">
        <f t="shared" si="23"/>
        <v>2.5</v>
      </c>
      <c r="GI31" s="77">
        <f t="shared" si="23"/>
        <v>2.5</v>
      </c>
      <c r="GJ31" s="77">
        <f t="shared" si="23"/>
        <v>2.5</v>
      </c>
      <c r="GK31" s="77">
        <f t="shared" si="23"/>
        <v>2.5</v>
      </c>
      <c r="GL31" s="77">
        <f t="shared" si="23"/>
        <v>2.5</v>
      </c>
      <c r="GM31" s="77">
        <f t="shared" si="23"/>
        <v>2.5</v>
      </c>
      <c r="GN31" s="77">
        <f t="shared" si="23"/>
        <v>2.5</v>
      </c>
      <c r="GO31" s="77">
        <f t="shared" si="23"/>
        <v>2.5</v>
      </c>
      <c r="GP31" s="77">
        <f t="shared" si="23"/>
        <v>2.5</v>
      </c>
      <c r="GQ31" s="77">
        <f t="shared" si="23"/>
        <v>2.5</v>
      </c>
      <c r="GR31" s="77">
        <f t="shared" si="23"/>
        <v>2.5</v>
      </c>
      <c r="GS31" s="77">
        <f t="shared" si="23"/>
        <v>2.5</v>
      </c>
      <c r="GT31" s="77">
        <f t="shared" si="23"/>
        <v>2.5</v>
      </c>
      <c r="GU31" s="77">
        <f t="shared" si="23"/>
        <v>2.5</v>
      </c>
      <c r="GV31" s="77">
        <f t="shared" si="23"/>
        <v>2.5</v>
      </c>
      <c r="GW31" s="77">
        <f t="shared" si="23"/>
        <v>2.5</v>
      </c>
      <c r="GX31" s="77">
        <f t="shared" si="23"/>
        <v>2.5</v>
      </c>
      <c r="GY31" s="77">
        <f t="shared" si="23"/>
        <v>2.5</v>
      </c>
      <c r="GZ31" s="77">
        <f t="shared" si="23"/>
        <v>2.5</v>
      </c>
      <c r="HA31" s="77">
        <f t="shared" si="23"/>
        <v>2.5</v>
      </c>
      <c r="HB31" s="77">
        <f t="shared" si="23"/>
        <v>2.5</v>
      </c>
      <c r="HC31" s="77">
        <f t="shared" si="23"/>
        <v>2.5</v>
      </c>
      <c r="HD31" s="77">
        <f t="shared" si="23"/>
        <v>2.5</v>
      </c>
      <c r="HE31" s="77">
        <f t="shared" si="23"/>
        <v>2.5</v>
      </c>
      <c r="HF31" s="77">
        <f t="shared" si="23"/>
        <v>2.5</v>
      </c>
      <c r="HG31" s="77">
        <f t="shared" si="23"/>
        <v>2.5</v>
      </c>
      <c r="HH31" s="77">
        <f t="shared" si="23"/>
        <v>2.5</v>
      </c>
      <c r="HI31" s="77">
        <f t="shared" si="23"/>
        <v>2.5</v>
      </c>
      <c r="HJ31" s="77">
        <f t="shared" si="23"/>
        <v>2.5</v>
      </c>
      <c r="HK31" s="77">
        <f t="shared" si="23"/>
        <v>2.5</v>
      </c>
      <c r="HL31" s="77">
        <f t="shared" si="23"/>
        <v>2.5</v>
      </c>
      <c r="HM31" s="77">
        <f t="shared" si="23"/>
        <v>2.5</v>
      </c>
      <c r="HN31" s="77">
        <f t="shared" si="23"/>
        <v>2.5</v>
      </c>
      <c r="HO31" s="77">
        <f t="shared" si="23"/>
        <v>2.5</v>
      </c>
      <c r="HP31" s="77">
        <f t="shared" si="23"/>
        <v>2.5</v>
      </c>
      <c r="HQ31" s="77">
        <f t="shared" si="23"/>
        <v>2.5</v>
      </c>
      <c r="HR31" s="77">
        <f t="shared" si="23"/>
        <v>2.5</v>
      </c>
      <c r="HS31" s="77">
        <f t="shared" si="23"/>
        <v>2.5</v>
      </c>
      <c r="HT31" s="77">
        <f t="shared" si="23"/>
        <v>2.5</v>
      </c>
      <c r="HU31" s="77">
        <f t="shared" si="23"/>
        <v>2.5</v>
      </c>
      <c r="HV31" s="77">
        <f t="shared" si="23"/>
        <v>2.5</v>
      </c>
      <c r="HW31" s="77">
        <f t="shared" si="23"/>
        <v>2.5</v>
      </c>
      <c r="HX31" s="77">
        <f t="shared" si="23"/>
        <v>2.5</v>
      </c>
      <c r="HY31" s="77">
        <f t="shared" si="23"/>
        <v>2.5</v>
      </c>
      <c r="HZ31" s="77">
        <f t="shared" si="23"/>
        <v>2.5</v>
      </c>
      <c r="IA31" s="77">
        <f t="shared" si="23"/>
        <v>2.5</v>
      </c>
      <c r="IB31" s="77">
        <f t="shared" si="23"/>
        <v>2.5</v>
      </c>
      <c r="IC31" s="77">
        <f t="shared" si="23"/>
        <v>2.5</v>
      </c>
      <c r="ID31" s="77">
        <f t="shared" si="23"/>
        <v>2.5</v>
      </c>
      <c r="IE31" s="77">
        <f t="shared" si="23"/>
        <v>2.5</v>
      </c>
      <c r="IF31" s="77">
        <f t="shared" si="23"/>
        <v>2.5</v>
      </c>
      <c r="IG31" s="77">
        <f t="shared" si="23"/>
        <v>2.5</v>
      </c>
      <c r="IH31" s="77">
        <f t="shared" si="23"/>
        <v>2.5</v>
      </c>
      <c r="II31" s="77">
        <f t="shared" si="23"/>
        <v>2.5</v>
      </c>
      <c r="IJ31" s="77">
        <f t="shared" si="23"/>
        <v>2.5</v>
      </c>
      <c r="IK31" s="77">
        <f t="shared" si="23"/>
        <v>2.5</v>
      </c>
      <c r="IL31" s="77">
        <f t="shared" si="23"/>
        <v>2.5</v>
      </c>
      <c r="IM31" s="77">
        <f t="shared" si="23"/>
        <v>2.5</v>
      </c>
      <c r="IN31" s="77">
        <f t="shared" si="23"/>
        <v>2.5</v>
      </c>
      <c r="IO31" s="77">
        <f t="shared" si="23"/>
        <v>2.5</v>
      </c>
      <c r="IP31" s="77">
        <f t="shared" si="23"/>
        <v>2.5</v>
      </c>
      <c r="IQ31" s="77">
        <f t="shared" si="23"/>
        <v>2.5</v>
      </c>
      <c r="IR31" s="77">
        <f t="shared" si="23"/>
        <v>2.5</v>
      </c>
      <c r="IS31" s="77">
        <f t="shared" si="23"/>
        <v>2.5</v>
      </c>
      <c r="IT31" s="77">
        <f t="shared" si="23"/>
        <v>2.5</v>
      </c>
      <c r="IU31" s="77">
        <f t="shared" si="23"/>
        <v>2.5</v>
      </c>
      <c r="IV31" s="77">
        <f t="shared" si="23"/>
        <v>2.5</v>
      </c>
      <c r="IW31" s="77">
        <f t="shared" si="23"/>
        <v>2.5</v>
      </c>
      <c r="IX31" s="77">
        <f t="shared" si="23"/>
        <v>2.5</v>
      </c>
      <c r="IY31" s="77">
        <f t="shared" si="23"/>
        <v>2.5</v>
      </c>
      <c r="IZ31" s="77">
        <f t="shared" si="23"/>
        <v>2.5</v>
      </c>
      <c r="JA31" s="77">
        <f t="shared" si="23"/>
        <v>2.5</v>
      </c>
      <c r="JB31" s="77">
        <f t="shared" si="23"/>
        <v>2.5</v>
      </c>
      <c r="JC31" s="77">
        <f t="shared" si="23"/>
        <v>2.5</v>
      </c>
      <c r="JD31" s="77">
        <f t="shared" si="23"/>
        <v>2.5</v>
      </c>
      <c r="JE31" s="77">
        <f t="shared" si="23"/>
        <v>2.5</v>
      </c>
      <c r="JF31" s="77">
        <f t="shared" si="23"/>
        <v>2.5</v>
      </c>
      <c r="JG31" s="77">
        <f t="shared" si="23"/>
        <v>2.5</v>
      </c>
      <c r="JH31" s="77">
        <f t="shared" si="23"/>
        <v>2.5</v>
      </c>
      <c r="JI31" s="77">
        <f t="shared" si="23"/>
        <v>2.5</v>
      </c>
      <c r="JJ31" s="77">
        <f t="shared" si="23"/>
        <v>2.5</v>
      </c>
      <c r="JK31" s="77">
        <f t="shared" si="23"/>
        <v>2.5</v>
      </c>
      <c r="JL31" s="77">
        <f t="shared" si="23"/>
        <v>2.5</v>
      </c>
      <c r="JM31" s="77">
        <f t="shared" si="23"/>
        <v>2.5</v>
      </c>
      <c r="JN31" s="77">
        <f t="shared" si="23"/>
        <v>2.5</v>
      </c>
      <c r="JO31" s="77">
        <f t="shared" si="23"/>
        <v>2.5</v>
      </c>
      <c r="JP31" s="77">
        <f t="shared" si="23"/>
        <v>2.5</v>
      </c>
      <c r="JQ31" s="77">
        <f t="shared" si="23"/>
        <v>2.5</v>
      </c>
      <c r="JR31" s="77">
        <f t="shared" si="23"/>
        <v>2.5</v>
      </c>
      <c r="JS31" s="77">
        <f t="shared" si="23"/>
        <v>2.5</v>
      </c>
      <c r="JT31" s="77">
        <f t="shared" si="23"/>
        <v>2.5</v>
      </c>
      <c r="JU31" s="77">
        <f t="shared" si="23"/>
        <v>2.5</v>
      </c>
      <c r="JV31" s="77">
        <f t="shared" si="23"/>
        <v>2.5</v>
      </c>
      <c r="JW31" s="77">
        <f t="shared" si="23"/>
        <v>2.5</v>
      </c>
      <c r="JX31" s="77">
        <f t="shared" si="23"/>
        <v>2.5</v>
      </c>
      <c r="JY31" s="77">
        <f t="shared" si="23"/>
        <v>2.5</v>
      </c>
      <c r="JZ31" s="77">
        <f t="shared" si="23"/>
        <v>2.5</v>
      </c>
      <c r="KA31" s="77">
        <f t="shared" si="23"/>
        <v>2.5</v>
      </c>
      <c r="KB31" s="77">
        <f t="shared" si="23"/>
        <v>2.5</v>
      </c>
      <c r="KC31" s="77">
        <f t="shared" si="23"/>
        <v>2.5</v>
      </c>
      <c r="KD31" s="77">
        <f t="shared" si="23"/>
        <v>2.5</v>
      </c>
      <c r="KE31" s="77">
        <f t="shared" si="23"/>
        <v>2.5</v>
      </c>
      <c r="KF31" s="77">
        <f t="shared" si="23"/>
        <v>2.5</v>
      </c>
      <c r="KG31" s="77">
        <f t="shared" si="23"/>
        <v>2.5</v>
      </c>
      <c r="KH31" s="77">
        <f t="shared" si="23"/>
        <v>2.5</v>
      </c>
      <c r="KI31" s="77">
        <f t="shared" si="23"/>
        <v>2.5</v>
      </c>
      <c r="KJ31" s="77">
        <f t="shared" si="23"/>
        <v>2.5</v>
      </c>
      <c r="KK31" s="77">
        <f t="shared" si="23"/>
        <v>2.5</v>
      </c>
      <c r="KL31" s="77">
        <f t="shared" si="23"/>
        <v>2.5</v>
      </c>
      <c r="KM31" s="77">
        <f t="shared" si="23"/>
        <v>2.5</v>
      </c>
      <c r="KN31" s="77">
        <f t="shared" si="23"/>
        <v>2.5</v>
      </c>
      <c r="KO31" s="77">
        <f t="shared" si="23"/>
        <v>2.5</v>
      </c>
      <c r="KP31" s="77">
        <f t="shared" si="23"/>
        <v>2.5</v>
      </c>
      <c r="KQ31" s="77">
        <f t="shared" si="23"/>
        <v>2.5</v>
      </c>
      <c r="KR31" s="77">
        <f t="shared" si="23"/>
        <v>2.5</v>
      </c>
      <c r="KS31" s="77">
        <f t="shared" si="23"/>
        <v>2.5</v>
      </c>
      <c r="KT31" s="77">
        <f t="shared" si="23"/>
        <v>2.5</v>
      </c>
      <c r="KU31" s="77">
        <f t="shared" si="23"/>
        <v>2.5</v>
      </c>
      <c r="KV31" s="77">
        <f t="shared" si="23"/>
        <v>2.5</v>
      </c>
      <c r="KW31" s="77">
        <f t="shared" si="23"/>
        <v>2.5</v>
      </c>
      <c r="KX31" s="77">
        <f t="shared" si="23"/>
        <v>2.5</v>
      </c>
      <c r="KY31" s="77">
        <f t="shared" si="23"/>
        <v>2.5</v>
      </c>
      <c r="KZ31" s="77">
        <f t="shared" si="23"/>
        <v>2.5</v>
      </c>
      <c r="LA31" s="77">
        <f t="shared" si="23"/>
        <v>2.5</v>
      </c>
      <c r="LB31" s="77">
        <f t="shared" si="23"/>
        <v>2.5</v>
      </c>
      <c r="LC31" s="77">
        <f t="shared" si="23"/>
        <v>2.5</v>
      </c>
      <c r="LD31" s="77">
        <f t="shared" si="23"/>
        <v>2.5</v>
      </c>
      <c r="LE31" s="77">
        <f t="shared" si="23"/>
        <v>2.5</v>
      </c>
      <c r="LF31" s="77">
        <f t="shared" si="23"/>
        <v>2.5</v>
      </c>
      <c r="LG31" s="77">
        <f t="shared" si="23"/>
        <v>2.5</v>
      </c>
      <c r="LH31" s="77">
        <f t="shared" si="23"/>
        <v>2.5</v>
      </c>
      <c r="LI31" s="77">
        <f t="shared" si="23"/>
        <v>2.5</v>
      </c>
      <c r="LJ31" s="77">
        <f t="shared" si="23"/>
        <v>2.5</v>
      </c>
      <c r="LK31" s="77">
        <f t="shared" si="23"/>
        <v>2.5</v>
      </c>
      <c r="LL31" s="77">
        <f t="shared" si="23"/>
        <v>2.5</v>
      </c>
      <c r="LM31" s="77">
        <f t="shared" si="23"/>
        <v>2.5</v>
      </c>
      <c r="LN31" s="77">
        <f t="shared" si="23"/>
        <v>2.5</v>
      </c>
      <c r="LO31" s="77">
        <f t="shared" si="23"/>
        <v>2.5</v>
      </c>
      <c r="LP31" s="77">
        <f t="shared" si="23"/>
        <v>2.5</v>
      </c>
      <c r="LQ31" s="77">
        <f t="shared" si="23"/>
        <v>2.5</v>
      </c>
      <c r="LR31" s="77">
        <f t="shared" si="23"/>
        <v>2.5</v>
      </c>
      <c r="LS31" s="77">
        <f t="shared" si="23"/>
        <v>2.5</v>
      </c>
      <c r="LT31" s="77">
        <f t="shared" si="23"/>
        <v>2.5</v>
      </c>
      <c r="LU31" s="77">
        <f t="shared" si="23"/>
        <v>2.5</v>
      </c>
      <c r="LV31" s="77">
        <f t="shared" si="23"/>
        <v>2.5</v>
      </c>
      <c r="LW31" s="77">
        <f t="shared" si="23"/>
        <v>2.5</v>
      </c>
      <c r="LX31" s="77">
        <f t="shared" si="23"/>
        <v>2.5</v>
      </c>
      <c r="LY31" s="77">
        <f t="shared" si="23"/>
        <v>2.5</v>
      </c>
      <c r="LZ31" s="77">
        <f t="shared" si="23"/>
        <v>2.5</v>
      </c>
      <c r="MA31" s="77">
        <f t="shared" si="23"/>
        <v>2.5</v>
      </c>
      <c r="MB31" s="77">
        <f t="shared" si="23"/>
        <v>2.5</v>
      </c>
      <c r="MC31" s="77">
        <f t="shared" si="23"/>
        <v>2.5</v>
      </c>
      <c r="MD31" s="77">
        <f t="shared" si="23"/>
        <v>2.5</v>
      </c>
      <c r="ME31" s="77">
        <f t="shared" si="23"/>
        <v>2.5</v>
      </c>
      <c r="MF31" s="77">
        <f t="shared" si="23"/>
        <v>2.5</v>
      </c>
      <c r="MG31" s="77">
        <f t="shared" si="23"/>
        <v>2.5</v>
      </c>
      <c r="MH31" s="77">
        <f t="shared" si="23"/>
        <v>2.5</v>
      </c>
      <c r="MI31" s="77">
        <f t="shared" si="23"/>
        <v>2.5</v>
      </c>
      <c r="MJ31" s="77">
        <f t="shared" si="23"/>
        <v>2.5</v>
      </c>
      <c r="MK31" s="77">
        <f t="shared" si="23"/>
        <v>2.5</v>
      </c>
      <c r="ML31" s="77">
        <f t="shared" si="23"/>
        <v>2.5</v>
      </c>
      <c r="MM31" s="77">
        <f t="shared" si="23"/>
        <v>2.5</v>
      </c>
      <c r="MN31" s="77">
        <f t="shared" si="23"/>
        <v>2.5</v>
      </c>
      <c r="MO31" s="77">
        <f t="shared" si="23"/>
        <v>2.5</v>
      </c>
      <c r="MP31" s="77">
        <f t="shared" si="23"/>
        <v>2.5</v>
      </c>
      <c r="MQ31" s="77">
        <f t="shared" si="23"/>
        <v>2.5</v>
      </c>
      <c r="MR31" s="77">
        <f t="shared" si="23"/>
        <v>2.5</v>
      </c>
      <c r="MS31" s="77">
        <f t="shared" si="23"/>
        <v>2.5</v>
      </c>
      <c r="MT31" s="77">
        <f t="shared" si="23"/>
        <v>2.5</v>
      </c>
      <c r="MU31" s="77">
        <f t="shared" si="23"/>
        <v>2.5</v>
      </c>
      <c r="MV31" s="77">
        <f t="shared" si="23"/>
        <v>2.5</v>
      </c>
      <c r="MW31" s="77">
        <f t="shared" si="23"/>
        <v>2.5</v>
      </c>
      <c r="MX31" s="77">
        <f t="shared" si="23"/>
        <v>2.5</v>
      </c>
      <c r="MY31" s="77">
        <f t="shared" si="23"/>
        <v>2.5</v>
      </c>
      <c r="MZ31" s="77">
        <f t="shared" si="23"/>
        <v>2.5</v>
      </c>
      <c r="NA31" s="77">
        <f t="shared" si="23"/>
        <v>2.5</v>
      </c>
      <c r="NB31" s="77">
        <f t="shared" si="23"/>
        <v>2.5</v>
      </c>
      <c r="NC31" s="77">
        <f t="shared" si="23"/>
        <v>2.5</v>
      </c>
      <c r="ND31" s="77">
        <f t="shared" si="23"/>
        <v>2.5</v>
      </c>
      <c r="NE31" s="77">
        <f t="shared" si="23"/>
        <v>2.5</v>
      </c>
      <c r="NF31" s="77">
        <f t="shared" si="23"/>
        <v>2.5</v>
      </c>
      <c r="NG31" s="77">
        <f t="shared" si="23"/>
        <v>2.5</v>
      </c>
      <c r="NH31" s="77">
        <f t="shared" si="23"/>
        <v>2.5</v>
      </c>
      <c r="NI31" s="77">
        <f t="shared" si="23"/>
        <v>2.5</v>
      </c>
      <c r="NJ31" s="77">
        <f t="shared" si="23"/>
        <v>2.5</v>
      </c>
      <c r="NK31" s="77">
        <f t="shared" si="23"/>
        <v>2.5</v>
      </c>
      <c r="NL31" s="77">
        <f t="shared" si="23"/>
        <v>2.5</v>
      </c>
      <c r="NM31" s="77">
        <f t="shared" si="23"/>
        <v>2.5</v>
      </c>
      <c r="NN31" s="77">
        <f t="shared" si="23"/>
        <v>2.5</v>
      </c>
      <c r="NO31" s="77">
        <f t="shared" si="23"/>
        <v>2.5</v>
      </c>
      <c r="NP31" s="77">
        <f t="shared" si="23"/>
        <v>2.5</v>
      </c>
      <c r="NQ31" s="77">
        <f t="shared" si="23"/>
        <v>2.5</v>
      </c>
      <c r="NR31" s="77">
        <f t="shared" si="23"/>
        <v>2.5</v>
      </c>
      <c r="NS31" s="77">
        <f t="shared" si="23"/>
        <v>2.5</v>
      </c>
      <c r="NT31" s="77">
        <f t="shared" si="23"/>
        <v>2.5</v>
      </c>
      <c r="NU31" s="77">
        <f t="shared" si="23"/>
        <v>2.5</v>
      </c>
      <c r="NV31" s="77">
        <f t="shared" si="23"/>
        <v>2.5</v>
      </c>
      <c r="NW31" s="77">
        <f t="shared" si="23"/>
        <v>2.5</v>
      </c>
      <c r="NX31" s="77">
        <f t="shared" si="23"/>
        <v>2.5</v>
      </c>
      <c r="NY31" s="77">
        <f t="shared" si="23"/>
        <v>2.5</v>
      </c>
      <c r="NZ31" s="77">
        <f t="shared" si="23"/>
        <v>2.5</v>
      </c>
      <c r="OA31" s="77">
        <f t="shared" si="23"/>
        <v>2.5</v>
      </c>
      <c r="OB31" s="77">
        <f t="shared" si="23"/>
        <v>2.5</v>
      </c>
      <c r="OC31" s="77">
        <f t="shared" si="23"/>
        <v>2.5</v>
      </c>
      <c r="OD31" s="77">
        <f t="shared" si="23"/>
        <v>2.5</v>
      </c>
      <c r="OE31" s="77">
        <f t="shared" si="23"/>
        <v>2.5</v>
      </c>
      <c r="OF31" s="77">
        <f t="shared" si="23"/>
        <v>2.5</v>
      </c>
      <c r="OG31" s="77">
        <f t="shared" si="23"/>
        <v>2.5</v>
      </c>
      <c r="OH31" s="77">
        <f t="shared" si="23"/>
        <v>2.5</v>
      </c>
      <c r="OI31" s="77">
        <f t="shared" si="23"/>
        <v>2.5</v>
      </c>
      <c r="OJ31" s="77">
        <f t="shared" si="23"/>
        <v>2.5</v>
      </c>
      <c r="OK31" s="77">
        <f t="shared" si="23"/>
        <v>2.5</v>
      </c>
      <c r="OL31" s="77">
        <f t="shared" si="23"/>
        <v>2.5</v>
      </c>
      <c r="OM31" s="77">
        <f t="shared" si="23"/>
        <v>2.5</v>
      </c>
      <c r="ON31" s="77">
        <f t="shared" si="23"/>
        <v>2.5</v>
      </c>
      <c r="OO31" s="77">
        <f t="shared" si="23"/>
        <v>2.5</v>
      </c>
      <c r="OP31" s="77">
        <f t="shared" si="23"/>
        <v>2.5</v>
      </c>
      <c r="OQ31" s="77">
        <f t="shared" si="23"/>
        <v>2.5</v>
      </c>
      <c r="OR31" s="77">
        <f t="shared" si="23"/>
        <v>2.5</v>
      </c>
      <c r="OS31" s="77">
        <f t="shared" si="23"/>
        <v>2.5</v>
      </c>
      <c r="OT31" s="77">
        <f t="shared" si="23"/>
        <v>2.5</v>
      </c>
      <c r="OU31" s="77">
        <f t="shared" si="23"/>
        <v>2.5</v>
      </c>
      <c r="OV31" s="77">
        <f t="shared" si="23"/>
        <v>2.5</v>
      </c>
      <c r="OW31" s="77">
        <f t="shared" si="23"/>
        <v>2.5</v>
      </c>
      <c r="OX31" s="77">
        <f t="shared" si="23"/>
        <v>2.5</v>
      </c>
      <c r="OY31" s="77">
        <f t="shared" si="23"/>
        <v>2.5</v>
      </c>
      <c r="OZ31" s="77">
        <f t="shared" si="23"/>
        <v>2.5</v>
      </c>
      <c r="PA31" s="77">
        <f t="shared" si="23"/>
        <v>2.5</v>
      </c>
      <c r="PB31" s="77">
        <f t="shared" si="23"/>
        <v>2.5</v>
      </c>
      <c r="PC31" s="77">
        <f t="shared" si="23"/>
        <v>2.5</v>
      </c>
      <c r="PD31" s="77">
        <f t="shared" si="23"/>
        <v>2.5</v>
      </c>
      <c r="PE31" s="77">
        <f t="shared" si="23"/>
        <v>2.5</v>
      </c>
      <c r="PF31" s="77">
        <f t="shared" si="23"/>
        <v>2.5</v>
      </c>
      <c r="PG31" s="77">
        <f t="shared" si="23"/>
        <v>2.5</v>
      </c>
      <c r="PH31" s="77">
        <f t="shared" si="23"/>
        <v>2.5</v>
      </c>
      <c r="PI31" s="77">
        <f t="shared" si="23"/>
        <v>2.5</v>
      </c>
      <c r="PJ31" s="77">
        <f t="shared" si="23"/>
        <v>2.5</v>
      </c>
      <c r="PK31" s="77">
        <f t="shared" si="23"/>
        <v>2.5</v>
      </c>
      <c r="PL31" s="77">
        <f t="shared" si="23"/>
        <v>2.5</v>
      </c>
      <c r="PM31" s="77">
        <f t="shared" si="23"/>
        <v>2.5</v>
      </c>
      <c r="PN31" s="77">
        <f t="shared" si="23"/>
        <v>2.5</v>
      </c>
      <c r="PO31" s="77">
        <f t="shared" si="23"/>
        <v>2.5</v>
      </c>
      <c r="PP31" s="77">
        <f t="shared" si="23"/>
        <v>2.5</v>
      </c>
      <c r="PQ31" s="77">
        <f t="shared" si="23"/>
        <v>2.5</v>
      </c>
      <c r="PR31" s="77">
        <f t="shared" si="23"/>
        <v>2.5</v>
      </c>
      <c r="PS31" s="77">
        <f t="shared" si="23"/>
        <v>2.5</v>
      </c>
      <c r="PT31" s="77">
        <f t="shared" si="23"/>
        <v>2.5</v>
      </c>
      <c r="PU31" s="77">
        <f t="shared" si="23"/>
        <v>2.5</v>
      </c>
      <c r="PV31" s="77">
        <f t="shared" si="23"/>
        <v>2.5</v>
      </c>
      <c r="PW31" s="77">
        <f t="shared" si="23"/>
        <v>2.5</v>
      </c>
      <c r="PX31" s="77">
        <f t="shared" si="23"/>
        <v>2.5</v>
      </c>
      <c r="PY31" s="77">
        <f t="shared" si="23"/>
        <v>2.5</v>
      </c>
      <c r="PZ31" s="77">
        <f t="shared" si="23"/>
        <v>2.5</v>
      </c>
      <c r="QA31" s="77">
        <f t="shared" si="23"/>
        <v>2.5</v>
      </c>
      <c r="QB31" s="77">
        <f t="shared" si="23"/>
        <v>2.5</v>
      </c>
      <c r="QC31" s="77">
        <f t="shared" si="23"/>
        <v>2.5</v>
      </c>
      <c r="QD31" s="77">
        <f t="shared" si="23"/>
        <v>2.5</v>
      </c>
      <c r="QE31" s="77">
        <f t="shared" si="23"/>
        <v>2.5</v>
      </c>
      <c r="QF31" s="77">
        <f t="shared" si="23"/>
        <v>2.5</v>
      </c>
      <c r="QG31" s="77">
        <f t="shared" si="23"/>
        <v>2.5</v>
      </c>
      <c r="QH31" s="77">
        <f t="shared" si="23"/>
        <v>2.5</v>
      </c>
      <c r="QI31" s="77">
        <f t="shared" si="23"/>
        <v>2.5</v>
      </c>
      <c r="QJ31" s="77">
        <f t="shared" si="23"/>
        <v>2.5</v>
      </c>
      <c r="QK31" s="77">
        <f t="shared" si="23"/>
        <v>2.5</v>
      </c>
      <c r="QL31" s="77">
        <f t="shared" si="23"/>
        <v>2.5</v>
      </c>
      <c r="QM31" s="77">
        <f t="shared" si="23"/>
        <v>2.5</v>
      </c>
      <c r="QN31" s="77">
        <f t="shared" si="23"/>
        <v>2.5</v>
      </c>
      <c r="QO31" s="77">
        <f t="shared" si="23"/>
        <v>2.5</v>
      </c>
      <c r="QP31" s="77">
        <f t="shared" si="23"/>
        <v>2.5</v>
      </c>
      <c r="QQ31" s="77">
        <f t="shared" si="23"/>
        <v>2.5</v>
      </c>
      <c r="QR31" s="77">
        <f t="shared" si="23"/>
        <v>2.5</v>
      </c>
      <c r="QS31" s="77">
        <f t="shared" si="23"/>
        <v>2.5</v>
      </c>
      <c r="QT31" s="77">
        <f t="shared" si="23"/>
        <v>2.5</v>
      </c>
      <c r="QU31" s="77">
        <f t="shared" si="23"/>
        <v>2.5</v>
      </c>
      <c r="QV31" s="77">
        <f t="shared" si="23"/>
        <v>2.5</v>
      </c>
      <c r="QW31" s="77">
        <f t="shared" si="23"/>
        <v>2.5</v>
      </c>
      <c r="QX31" s="77">
        <f t="shared" si="23"/>
        <v>2.5</v>
      </c>
      <c r="QY31" s="77">
        <f t="shared" si="23"/>
        <v>2.5</v>
      </c>
      <c r="QZ31" s="77">
        <f t="shared" si="23"/>
        <v>2.5</v>
      </c>
      <c r="RA31" s="77">
        <f t="shared" si="23"/>
        <v>2.5</v>
      </c>
      <c r="RB31" s="77">
        <f t="shared" si="23"/>
        <v>2.5</v>
      </c>
      <c r="RC31" s="77">
        <f t="shared" si="23"/>
        <v>2.5</v>
      </c>
      <c r="RD31" s="77">
        <f t="shared" si="23"/>
        <v>2.5</v>
      </c>
      <c r="RE31" s="77">
        <f t="shared" si="23"/>
        <v>2.5</v>
      </c>
      <c r="RF31" s="77">
        <f t="shared" si="23"/>
        <v>2.5</v>
      </c>
      <c r="RG31" s="77">
        <f t="shared" si="23"/>
        <v>2.5</v>
      </c>
      <c r="RH31" s="77">
        <f t="shared" si="23"/>
        <v>2.5</v>
      </c>
      <c r="RI31" s="77">
        <f t="shared" si="23"/>
        <v>2.5</v>
      </c>
      <c r="RJ31" s="77">
        <f t="shared" si="23"/>
        <v>2.5</v>
      </c>
      <c r="RK31" s="77">
        <f t="shared" si="23"/>
        <v>2.5</v>
      </c>
      <c r="RL31" s="77">
        <f t="shared" si="23"/>
        <v>2.5</v>
      </c>
      <c r="RM31" s="77">
        <f t="shared" si="23"/>
        <v>2.5</v>
      </c>
      <c r="RN31" s="77">
        <f t="shared" si="23"/>
        <v>2.5</v>
      </c>
      <c r="RO31" s="77">
        <f t="shared" si="23"/>
        <v>2.5</v>
      </c>
      <c r="RP31" s="77">
        <f t="shared" si="23"/>
        <v>2.5</v>
      </c>
      <c r="RQ31" s="77">
        <f t="shared" si="23"/>
        <v>2.5</v>
      </c>
      <c r="RR31" s="77">
        <f t="shared" si="23"/>
        <v>2.5</v>
      </c>
      <c r="RS31" s="77">
        <f t="shared" si="23"/>
        <v>2.5</v>
      </c>
      <c r="RT31" s="77">
        <f t="shared" si="23"/>
        <v>2.5</v>
      </c>
      <c r="RU31" s="77">
        <f t="shared" si="23"/>
        <v>2.5</v>
      </c>
      <c r="RV31" s="77">
        <f t="shared" si="23"/>
        <v>2.5</v>
      </c>
      <c r="RW31" s="77">
        <f t="shared" si="23"/>
        <v>2.5</v>
      </c>
      <c r="RX31" s="77">
        <f t="shared" si="23"/>
        <v>2.5</v>
      </c>
      <c r="RY31" s="77">
        <f t="shared" si="23"/>
        <v>2.5</v>
      </c>
      <c r="RZ31" s="77">
        <f t="shared" si="23"/>
        <v>2.5</v>
      </c>
      <c r="SA31" s="77">
        <f t="shared" si="23"/>
        <v>2.5</v>
      </c>
      <c r="SB31" s="77">
        <f t="shared" si="23"/>
        <v>2.5</v>
      </c>
      <c r="SC31" s="77">
        <f t="shared" si="23"/>
        <v>2.5</v>
      </c>
      <c r="SD31" s="77">
        <f t="shared" si="23"/>
        <v>2.5</v>
      </c>
      <c r="SE31" s="77">
        <f t="shared" si="23"/>
        <v>2.5</v>
      </c>
      <c r="SF31" s="77">
        <f t="shared" si="23"/>
        <v>2.5</v>
      </c>
      <c r="SG31" s="77">
        <f t="shared" si="23"/>
        <v>2.5</v>
      </c>
      <c r="SH31" s="77">
        <f t="shared" si="23"/>
        <v>2.5</v>
      </c>
      <c r="SI31" s="77">
        <f t="shared" si="23"/>
        <v>2.5</v>
      </c>
      <c r="SJ31" s="77">
        <f t="shared" si="23"/>
        <v>2.5</v>
      </c>
      <c r="SK31" s="77">
        <f t="shared" si="23"/>
        <v>2.5</v>
      </c>
      <c r="SL31" s="77">
        <f t="shared" si="23"/>
        <v>2.5</v>
      </c>
    </row>
    <row r="32" ht="15.75" customHeight="1">
      <c r="A32" s="53" t="s">
        <v>108</v>
      </c>
      <c r="B32" s="75">
        <f t="array" ref="B32">INDEX('New CEA'!$B32:$F32,MATCH($B$2,'New CEA'!B$2:F$2,0))</f>
        <v>0.7032</v>
      </c>
      <c r="C32" s="273"/>
      <c r="D32" s="274"/>
      <c r="E32" s="275"/>
      <c r="F32" s="75"/>
      <c r="G32" s="75">
        <f t="shared" ref="G32:SL32" si="24">$B32</f>
        <v>0.7032</v>
      </c>
      <c r="H32" s="75">
        <f t="shared" si="24"/>
        <v>0.7032</v>
      </c>
      <c r="I32" s="75">
        <f t="shared" si="24"/>
        <v>0.7032</v>
      </c>
      <c r="J32" s="75">
        <f t="shared" si="24"/>
        <v>0.7032</v>
      </c>
      <c r="K32" s="75">
        <f t="shared" si="24"/>
        <v>0.7032</v>
      </c>
      <c r="L32" s="75">
        <f t="shared" si="24"/>
        <v>0.7032</v>
      </c>
      <c r="M32" s="75">
        <f t="shared" si="24"/>
        <v>0.7032</v>
      </c>
      <c r="N32" s="75">
        <f t="shared" si="24"/>
        <v>0.7032</v>
      </c>
      <c r="O32" s="75">
        <f t="shared" si="24"/>
        <v>0.7032</v>
      </c>
      <c r="P32" s="75">
        <f t="shared" si="24"/>
        <v>0.7032</v>
      </c>
      <c r="Q32" s="75">
        <f t="shared" si="24"/>
        <v>0.7032</v>
      </c>
      <c r="R32" s="75">
        <f t="shared" si="24"/>
        <v>0.7032</v>
      </c>
      <c r="S32" s="75">
        <f t="shared" si="24"/>
        <v>0.7032</v>
      </c>
      <c r="T32" s="75">
        <f t="shared" si="24"/>
        <v>0.7032</v>
      </c>
      <c r="U32" s="75">
        <f t="shared" si="24"/>
        <v>0.7032</v>
      </c>
      <c r="V32" s="75">
        <f t="shared" si="24"/>
        <v>0.7032</v>
      </c>
      <c r="W32" s="75">
        <f t="shared" si="24"/>
        <v>0.7032</v>
      </c>
      <c r="X32" s="75">
        <f t="shared" si="24"/>
        <v>0.7032</v>
      </c>
      <c r="Y32" s="75">
        <f t="shared" si="24"/>
        <v>0.7032</v>
      </c>
      <c r="Z32" s="75">
        <f t="shared" si="24"/>
        <v>0.7032</v>
      </c>
      <c r="AA32" s="75">
        <f t="shared" si="24"/>
        <v>0.7032</v>
      </c>
      <c r="AB32" s="75">
        <f t="shared" si="24"/>
        <v>0.7032</v>
      </c>
      <c r="AC32" s="75">
        <f t="shared" si="24"/>
        <v>0.7032</v>
      </c>
      <c r="AD32" s="75">
        <f t="shared" si="24"/>
        <v>0.7032</v>
      </c>
      <c r="AE32" s="75">
        <f t="shared" si="24"/>
        <v>0.7032</v>
      </c>
      <c r="AF32" s="75">
        <f t="shared" si="24"/>
        <v>0.7032</v>
      </c>
      <c r="AG32" s="75">
        <f t="shared" si="24"/>
        <v>0.7032</v>
      </c>
      <c r="AH32" s="75">
        <f t="shared" si="24"/>
        <v>0.7032</v>
      </c>
      <c r="AI32" s="75">
        <f t="shared" si="24"/>
        <v>0.7032</v>
      </c>
      <c r="AJ32" s="75">
        <f t="shared" si="24"/>
        <v>0.7032</v>
      </c>
      <c r="AK32" s="75">
        <f t="shared" si="24"/>
        <v>0.7032</v>
      </c>
      <c r="AL32" s="75">
        <f t="shared" si="24"/>
        <v>0.7032</v>
      </c>
      <c r="AM32" s="75">
        <f t="shared" si="24"/>
        <v>0.7032</v>
      </c>
      <c r="AN32" s="75">
        <f t="shared" si="24"/>
        <v>0.7032</v>
      </c>
      <c r="AO32" s="75">
        <f t="shared" si="24"/>
        <v>0.7032</v>
      </c>
      <c r="AP32" s="75">
        <f t="shared" si="24"/>
        <v>0.7032</v>
      </c>
      <c r="AQ32" s="75">
        <f t="shared" si="24"/>
        <v>0.7032</v>
      </c>
      <c r="AR32" s="75">
        <f t="shared" si="24"/>
        <v>0.7032</v>
      </c>
      <c r="AS32" s="75">
        <f t="shared" si="24"/>
        <v>0.7032</v>
      </c>
      <c r="AT32" s="75">
        <f t="shared" si="24"/>
        <v>0.7032</v>
      </c>
      <c r="AU32" s="75">
        <f t="shared" si="24"/>
        <v>0.7032</v>
      </c>
      <c r="AV32" s="75">
        <f t="shared" si="24"/>
        <v>0.7032</v>
      </c>
      <c r="AW32" s="75">
        <f t="shared" si="24"/>
        <v>0.7032</v>
      </c>
      <c r="AX32" s="75">
        <f t="shared" si="24"/>
        <v>0.7032</v>
      </c>
      <c r="AY32" s="75">
        <f t="shared" si="24"/>
        <v>0.7032</v>
      </c>
      <c r="AZ32" s="75">
        <f t="shared" si="24"/>
        <v>0.7032</v>
      </c>
      <c r="BA32" s="75">
        <f t="shared" si="24"/>
        <v>0.7032</v>
      </c>
      <c r="BB32" s="75">
        <f t="shared" si="24"/>
        <v>0.7032</v>
      </c>
      <c r="BC32" s="75">
        <f t="shared" si="24"/>
        <v>0.7032</v>
      </c>
      <c r="BD32" s="75">
        <f t="shared" si="24"/>
        <v>0.7032</v>
      </c>
      <c r="BE32" s="75">
        <f t="shared" si="24"/>
        <v>0.7032</v>
      </c>
      <c r="BF32" s="75">
        <f t="shared" si="24"/>
        <v>0.7032</v>
      </c>
      <c r="BG32" s="75">
        <f t="shared" si="24"/>
        <v>0.7032</v>
      </c>
      <c r="BH32" s="75">
        <f t="shared" si="24"/>
        <v>0.7032</v>
      </c>
      <c r="BI32" s="75">
        <f t="shared" si="24"/>
        <v>0.7032</v>
      </c>
      <c r="BJ32" s="75">
        <f t="shared" si="24"/>
        <v>0.7032</v>
      </c>
      <c r="BK32" s="75">
        <f t="shared" si="24"/>
        <v>0.7032</v>
      </c>
      <c r="BL32" s="75">
        <f t="shared" si="24"/>
        <v>0.7032</v>
      </c>
      <c r="BM32" s="75">
        <f t="shared" si="24"/>
        <v>0.7032</v>
      </c>
      <c r="BN32" s="75">
        <f t="shared" si="24"/>
        <v>0.7032</v>
      </c>
      <c r="BO32" s="75">
        <f t="shared" si="24"/>
        <v>0.7032</v>
      </c>
      <c r="BP32" s="75">
        <f t="shared" si="24"/>
        <v>0.7032</v>
      </c>
      <c r="BQ32" s="75">
        <f t="shared" si="24"/>
        <v>0.7032</v>
      </c>
      <c r="BR32" s="75">
        <f t="shared" si="24"/>
        <v>0.7032</v>
      </c>
      <c r="BS32" s="75">
        <f t="shared" si="24"/>
        <v>0.7032</v>
      </c>
      <c r="BT32" s="75">
        <f t="shared" si="24"/>
        <v>0.7032</v>
      </c>
      <c r="BU32" s="75">
        <f t="shared" si="24"/>
        <v>0.7032</v>
      </c>
      <c r="BV32" s="75">
        <f t="shared" si="24"/>
        <v>0.7032</v>
      </c>
      <c r="BW32" s="75">
        <f t="shared" si="24"/>
        <v>0.7032</v>
      </c>
      <c r="BX32" s="75">
        <f t="shared" si="24"/>
        <v>0.7032</v>
      </c>
      <c r="BY32" s="75">
        <f t="shared" si="24"/>
        <v>0.7032</v>
      </c>
      <c r="BZ32" s="75">
        <f t="shared" si="24"/>
        <v>0.7032</v>
      </c>
      <c r="CA32" s="75">
        <f t="shared" si="24"/>
        <v>0.7032</v>
      </c>
      <c r="CB32" s="75">
        <f t="shared" si="24"/>
        <v>0.7032</v>
      </c>
      <c r="CC32" s="75">
        <f t="shared" si="24"/>
        <v>0.7032</v>
      </c>
      <c r="CD32" s="75">
        <f t="shared" si="24"/>
        <v>0.7032</v>
      </c>
      <c r="CE32" s="75">
        <f t="shared" si="24"/>
        <v>0.7032</v>
      </c>
      <c r="CF32" s="75">
        <f t="shared" si="24"/>
        <v>0.7032</v>
      </c>
      <c r="CG32" s="75">
        <f t="shared" si="24"/>
        <v>0.7032</v>
      </c>
      <c r="CH32" s="75">
        <f t="shared" si="24"/>
        <v>0.7032</v>
      </c>
      <c r="CI32" s="75">
        <f t="shared" si="24"/>
        <v>0.7032</v>
      </c>
      <c r="CJ32" s="75">
        <f t="shared" si="24"/>
        <v>0.7032</v>
      </c>
      <c r="CK32" s="75">
        <f t="shared" si="24"/>
        <v>0.7032</v>
      </c>
      <c r="CL32" s="75">
        <f t="shared" si="24"/>
        <v>0.7032</v>
      </c>
      <c r="CM32" s="75">
        <f t="shared" si="24"/>
        <v>0.7032</v>
      </c>
      <c r="CN32" s="75">
        <f t="shared" si="24"/>
        <v>0.7032</v>
      </c>
      <c r="CO32" s="75">
        <f t="shared" si="24"/>
        <v>0.7032</v>
      </c>
      <c r="CP32" s="75">
        <f t="shared" si="24"/>
        <v>0.7032</v>
      </c>
      <c r="CQ32" s="75">
        <f t="shared" si="24"/>
        <v>0.7032</v>
      </c>
      <c r="CR32" s="75">
        <f t="shared" si="24"/>
        <v>0.7032</v>
      </c>
      <c r="CS32" s="75">
        <f t="shared" si="24"/>
        <v>0.7032</v>
      </c>
      <c r="CT32" s="75">
        <f t="shared" si="24"/>
        <v>0.7032</v>
      </c>
      <c r="CU32" s="75">
        <f t="shared" si="24"/>
        <v>0.7032</v>
      </c>
      <c r="CV32" s="75">
        <f t="shared" si="24"/>
        <v>0.7032</v>
      </c>
      <c r="CW32" s="75">
        <f t="shared" si="24"/>
        <v>0.7032</v>
      </c>
      <c r="CX32" s="75">
        <f t="shared" si="24"/>
        <v>0.7032</v>
      </c>
      <c r="CY32" s="75">
        <f t="shared" si="24"/>
        <v>0.7032</v>
      </c>
      <c r="CZ32" s="75">
        <f t="shared" si="24"/>
        <v>0.7032</v>
      </c>
      <c r="DA32" s="75">
        <f t="shared" si="24"/>
        <v>0.7032</v>
      </c>
      <c r="DB32" s="75">
        <f t="shared" si="24"/>
        <v>0.7032</v>
      </c>
      <c r="DC32" s="75">
        <f t="shared" si="24"/>
        <v>0.7032</v>
      </c>
      <c r="DD32" s="75">
        <f t="shared" si="24"/>
        <v>0.7032</v>
      </c>
      <c r="DE32" s="75">
        <f t="shared" si="24"/>
        <v>0.7032</v>
      </c>
      <c r="DF32" s="75">
        <f t="shared" si="24"/>
        <v>0.7032</v>
      </c>
      <c r="DG32" s="75">
        <f t="shared" si="24"/>
        <v>0.7032</v>
      </c>
      <c r="DH32" s="75">
        <f t="shared" si="24"/>
        <v>0.7032</v>
      </c>
      <c r="DI32" s="75">
        <f t="shared" si="24"/>
        <v>0.7032</v>
      </c>
      <c r="DJ32" s="75">
        <f t="shared" si="24"/>
        <v>0.7032</v>
      </c>
      <c r="DK32" s="75">
        <f t="shared" si="24"/>
        <v>0.7032</v>
      </c>
      <c r="DL32" s="75">
        <f t="shared" si="24"/>
        <v>0.7032</v>
      </c>
      <c r="DM32" s="75">
        <f t="shared" si="24"/>
        <v>0.7032</v>
      </c>
      <c r="DN32" s="75">
        <f t="shared" si="24"/>
        <v>0.7032</v>
      </c>
      <c r="DO32" s="75">
        <f t="shared" si="24"/>
        <v>0.7032</v>
      </c>
      <c r="DP32" s="75">
        <f t="shared" si="24"/>
        <v>0.7032</v>
      </c>
      <c r="DQ32" s="75">
        <f t="shared" si="24"/>
        <v>0.7032</v>
      </c>
      <c r="DR32" s="75">
        <f t="shared" si="24"/>
        <v>0.7032</v>
      </c>
      <c r="DS32" s="75">
        <f t="shared" si="24"/>
        <v>0.7032</v>
      </c>
      <c r="DT32" s="75">
        <f t="shared" si="24"/>
        <v>0.7032</v>
      </c>
      <c r="DU32" s="75">
        <f t="shared" si="24"/>
        <v>0.7032</v>
      </c>
      <c r="DV32" s="75">
        <f t="shared" si="24"/>
        <v>0.7032</v>
      </c>
      <c r="DW32" s="75">
        <f t="shared" si="24"/>
        <v>0.7032</v>
      </c>
      <c r="DX32" s="75">
        <f t="shared" si="24"/>
        <v>0.7032</v>
      </c>
      <c r="DY32" s="75">
        <f t="shared" si="24"/>
        <v>0.7032</v>
      </c>
      <c r="DZ32" s="75">
        <f t="shared" si="24"/>
        <v>0.7032</v>
      </c>
      <c r="EA32" s="75">
        <f t="shared" si="24"/>
        <v>0.7032</v>
      </c>
      <c r="EB32" s="75">
        <f t="shared" si="24"/>
        <v>0.7032</v>
      </c>
      <c r="EC32" s="75">
        <f t="shared" si="24"/>
        <v>0.7032</v>
      </c>
      <c r="ED32" s="75">
        <f t="shared" si="24"/>
        <v>0.7032</v>
      </c>
      <c r="EE32" s="75">
        <f t="shared" si="24"/>
        <v>0.7032</v>
      </c>
      <c r="EF32" s="75">
        <f t="shared" si="24"/>
        <v>0.7032</v>
      </c>
      <c r="EG32" s="75">
        <f t="shared" si="24"/>
        <v>0.7032</v>
      </c>
      <c r="EH32" s="75">
        <f t="shared" si="24"/>
        <v>0.7032</v>
      </c>
      <c r="EI32" s="75">
        <f t="shared" si="24"/>
        <v>0.7032</v>
      </c>
      <c r="EJ32" s="75">
        <f t="shared" si="24"/>
        <v>0.7032</v>
      </c>
      <c r="EK32" s="75">
        <f t="shared" si="24"/>
        <v>0.7032</v>
      </c>
      <c r="EL32" s="75">
        <f t="shared" si="24"/>
        <v>0.7032</v>
      </c>
      <c r="EM32" s="75">
        <f t="shared" si="24"/>
        <v>0.7032</v>
      </c>
      <c r="EN32" s="75">
        <f t="shared" si="24"/>
        <v>0.7032</v>
      </c>
      <c r="EO32" s="75">
        <f t="shared" si="24"/>
        <v>0.7032</v>
      </c>
      <c r="EP32" s="75">
        <f t="shared" si="24"/>
        <v>0.7032</v>
      </c>
      <c r="EQ32" s="75">
        <f t="shared" si="24"/>
        <v>0.7032</v>
      </c>
      <c r="ER32" s="75">
        <f t="shared" si="24"/>
        <v>0.7032</v>
      </c>
      <c r="ES32" s="75">
        <f t="shared" si="24"/>
        <v>0.7032</v>
      </c>
      <c r="ET32" s="75">
        <f t="shared" si="24"/>
        <v>0.7032</v>
      </c>
      <c r="EU32" s="75">
        <f t="shared" si="24"/>
        <v>0.7032</v>
      </c>
      <c r="EV32" s="75">
        <f t="shared" si="24"/>
        <v>0.7032</v>
      </c>
      <c r="EW32" s="75">
        <f t="shared" si="24"/>
        <v>0.7032</v>
      </c>
      <c r="EX32" s="75">
        <f t="shared" si="24"/>
        <v>0.7032</v>
      </c>
      <c r="EY32" s="75">
        <f t="shared" si="24"/>
        <v>0.7032</v>
      </c>
      <c r="EZ32" s="75">
        <f t="shared" si="24"/>
        <v>0.7032</v>
      </c>
      <c r="FA32" s="75">
        <f t="shared" si="24"/>
        <v>0.7032</v>
      </c>
      <c r="FB32" s="75">
        <f t="shared" si="24"/>
        <v>0.7032</v>
      </c>
      <c r="FC32" s="75">
        <f t="shared" si="24"/>
        <v>0.7032</v>
      </c>
      <c r="FD32" s="75">
        <f t="shared" si="24"/>
        <v>0.7032</v>
      </c>
      <c r="FE32" s="75">
        <f t="shared" si="24"/>
        <v>0.7032</v>
      </c>
      <c r="FF32" s="75">
        <f t="shared" si="24"/>
        <v>0.7032</v>
      </c>
      <c r="FG32" s="75">
        <f t="shared" si="24"/>
        <v>0.7032</v>
      </c>
      <c r="FH32" s="75">
        <f t="shared" si="24"/>
        <v>0.7032</v>
      </c>
      <c r="FI32" s="75">
        <f t="shared" si="24"/>
        <v>0.7032</v>
      </c>
      <c r="FJ32" s="75">
        <f t="shared" si="24"/>
        <v>0.7032</v>
      </c>
      <c r="FK32" s="75">
        <f t="shared" si="24"/>
        <v>0.7032</v>
      </c>
      <c r="FL32" s="75">
        <f t="shared" si="24"/>
        <v>0.7032</v>
      </c>
      <c r="FM32" s="75">
        <f t="shared" si="24"/>
        <v>0.7032</v>
      </c>
      <c r="FN32" s="75">
        <f t="shared" si="24"/>
        <v>0.7032</v>
      </c>
      <c r="FO32" s="75">
        <f t="shared" si="24"/>
        <v>0.7032</v>
      </c>
      <c r="FP32" s="75">
        <f t="shared" si="24"/>
        <v>0.7032</v>
      </c>
      <c r="FQ32" s="75">
        <f t="shared" si="24"/>
        <v>0.7032</v>
      </c>
      <c r="FR32" s="75">
        <f t="shared" si="24"/>
        <v>0.7032</v>
      </c>
      <c r="FS32" s="75">
        <f t="shared" si="24"/>
        <v>0.7032</v>
      </c>
      <c r="FT32" s="75">
        <f t="shared" si="24"/>
        <v>0.7032</v>
      </c>
      <c r="FU32" s="75">
        <f t="shared" si="24"/>
        <v>0.7032</v>
      </c>
      <c r="FV32" s="75">
        <f t="shared" si="24"/>
        <v>0.7032</v>
      </c>
      <c r="FW32" s="75">
        <f t="shared" si="24"/>
        <v>0.7032</v>
      </c>
      <c r="FX32" s="75">
        <f t="shared" si="24"/>
        <v>0.7032</v>
      </c>
      <c r="FY32" s="75">
        <f t="shared" si="24"/>
        <v>0.7032</v>
      </c>
      <c r="FZ32" s="75">
        <f t="shared" si="24"/>
        <v>0.7032</v>
      </c>
      <c r="GA32" s="75">
        <f t="shared" si="24"/>
        <v>0.7032</v>
      </c>
      <c r="GB32" s="75">
        <f t="shared" si="24"/>
        <v>0.7032</v>
      </c>
      <c r="GC32" s="75">
        <f t="shared" si="24"/>
        <v>0.7032</v>
      </c>
      <c r="GD32" s="75">
        <f t="shared" si="24"/>
        <v>0.7032</v>
      </c>
      <c r="GE32" s="75">
        <f t="shared" si="24"/>
        <v>0.7032</v>
      </c>
      <c r="GF32" s="75">
        <f t="shared" si="24"/>
        <v>0.7032</v>
      </c>
      <c r="GG32" s="75">
        <f t="shared" si="24"/>
        <v>0.7032</v>
      </c>
      <c r="GH32" s="75">
        <f t="shared" si="24"/>
        <v>0.7032</v>
      </c>
      <c r="GI32" s="75">
        <f t="shared" si="24"/>
        <v>0.7032</v>
      </c>
      <c r="GJ32" s="75">
        <f t="shared" si="24"/>
        <v>0.7032</v>
      </c>
      <c r="GK32" s="75">
        <f t="shared" si="24"/>
        <v>0.7032</v>
      </c>
      <c r="GL32" s="75">
        <f t="shared" si="24"/>
        <v>0.7032</v>
      </c>
      <c r="GM32" s="75">
        <f t="shared" si="24"/>
        <v>0.7032</v>
      </c>
      <c r="GN32" s="75">
        <f t="shared" si="24"/>
        <v>0.7032</v>
      </c>
      <c r="GO32" s="75">
        <f t="shared" si="24"/>
        <v>0.7032</v>
      </c>
      <c r="GP32" s="75">
        <f t="shared" si="24"/>
        <v>0.7032</v>
      </c>
      <c r="GQ32" s="75">
        <f t="shared" si="24"/>
        <v>0.7032</v>
      </c>
      <c r="GR32" s="75">
        <f t="shared" si="24"/>
        <v>0.7032</v>
      </c>
      <c r="GS32" s="75">
        <f t="shared" si="24"/>
        <v>0.7032</v>
      </c>
      <c r="GT32" s="75">
        <f t="shared" si="24"/>
        <v>0.7032</v>
      </c>
      <c r="GU32" s="75">
        <f t="shared" si="24"/>
        <v>0.7032</v>
      </c>
      <c r="GV32" s="75">
        <f t="shared" si="24"/>
        <v>0.7032</v>
      </c>
      <c r="GW32" s="75">
        <f t="shared" si="24"/>
        <v>0.7032</v>
      </c>
      <c r="GX32" s="75">
        <f t="shared" si="24"/>
        <v>0.7032</v>
      </c>
      <c r="GY32" s="75">
        <f t="shared" si="24"/>
        <v>0.7032</v>
      </c>
      <c r="GZ32" s="75">
        <f t="shared" si="24"/>
        <v>0.7032</v>
      </c>
      <c r="HA32" s="75">
        <f t="shared" si="24"/>
        <v>0.7032</v>
      </c>
      <c r="HB32" s="75">
        <f t="shared" si="24"/>
        <v>0.7032</v>
      </c>
      <c r="HC32" s="75">
        <f t="shared" si="24"/>
        <v>0.7032</v>
      </c>
      <c r="HD32" s="75">
        <f t="shared" si="24"/>
        <v>0.7032</v>
      </c>
      <c r="HE32" s="75">
        <f t="shared" si="24"/>
        <v>0.7032</v>
      </c>
      <c r="HF32" s="75">
        <f t="shared" si="24"/>
        <v>0.7032</v>
      </c>
      <c r="HG32" s="75">
        <f t="shared" si="24"/>
        <v>0.7032</v>
      </c>
      <c r="HH32" s="75">
        <f t="shared" si="24"/>
        <v>0.7032</v>
      </c>
      <c r="HI32" s="75">
        <f t="shared" si="24"/>
        <v>0.7032</v>
      </c>
      <c r="HJ32" s="75">
        <f t="shared" si="24"/>
        <v>0.7032</v>
      </c>
      <c r="HK32" s="75">
        <f t="shared" si="24"/>
        <v>0.7032</v>
      </c>
      <c r="HL32" s="75">
        <f t="shared" si="24"/>
        <v>0.7032</v>
      </c>
      <c r="HM32" s="75">
        <f t="shared" si="24"/>
        <v>0.7032</v>
      </c>
      <c r="HN32" s="75">
        <f t="shared" si="24"/>
        <v>0.7032</v>
      </c>
      <c r="HO32" s="75">
        <f t="shared" si="24"/>
        <v>0.7032</v>
      </c>
      <c r="HP32" s="75">
        <f t="shared" si="24"/>
        <v>0.7032</v>
      </c>
      <c r="HQ32" s="75">
        <f t="shared" si="24"/>
        <v>0.7032</v>
      </c>
      <c r="HR32" s="75">
        <f t="shared" si="24"/>
        <v>0.7032</v>
      </c>
      <c r="HS32" s="75">
        <f t="shared" si="24"/>
        <v>0.7032</v>
      </c>
      <c r="HT32" s="75">
        <f t="shared" si="24"/>
        <v>0.7032</v>
      </c>
      <c r="HU32" s="75">
        <f t="shared" si="24"/>
        <v>0.7032</v>
      </c>
      <c r="HV32" s="75">
        <f t="shared" si="24"/>
        <v>0.7032</v>
      </c>
      <c r="HW32" s="75">
        <f t="shared" si="24"/>
        <v>0.7032</v>
      </c>
      <c r="HX32" s="75">
        <f t="shared" si="24"/>
        <v>0.7032</v>
      </c>
      <c r="HY32" s="75">
        <f t="shared" si="24"/>
        <v>0.7032</v>
      </c>
      <c r="HZ32" s="75">
        <f t="shared" si="24"/>
        <v>0.7032</v>
      </c>
      <c r="IA32" s="75">
        <f t="shared" si="24"/>
        <v>0.7032</v>
      </c>
      <c r="IB32" s="75">
        <f t="shared" si="24"/>
        <v>0.7032</v>
      </c>
      <c r="IC32" s="75">
        <f t="shared" si="24"/>
        <v>0.7032</v>
      </c>
      <c r="ID32" s="75">
        <f t="shared" si="24"/>
        <v>0.7032</v>
      </c>
      <c r="IE32" s="75">
        <f t="shared" si="24"/>
        <v>0.7032</v>
      </c>
      <c r="IF32" s="75">
        <f t="shared" si="24"/>
        <v>0.7032</v>
      </c>
      <c r="IG32" s="75">
        <f t="shared" si="24"/>
        <v>0.7032</v>
      </c>
      <c r="IH32" s="75">
        <f t="shared" si="24"/>
        <v>0.7032</v>
      </c>
      <c r="II32" s="75">
        <f t="shared" si="24"/>
        <v>0.7032</v>
      </c>
      <c r="IJ32" s="75">
        <f t="shared" si="24"/>
        <v>0.7032</v>
      </c>
      <c r="IK32" s="75">
        <f t="shared" si="24"/>
        <v>0.7032</v>
      </c>
      <c r="IL32" s="75">
        <f t="shared" si="24"/>
        <v>0.7032</v>
      </c>
      <c r="IM32" s="75">
        <f t="shared" si="24"/>
        <v>0.7032</v>
      </c>
      <c r="IN32" s="75">
        <f t="shared" si="24"/>
        <v>0.7032</v>
      </c>
      <c r="IO32" s="75">
        <f t="shared" si="24"/>
        <v>0.7032</v>
      </c>
      <c r="IP32" s="75">
        <f t="shared" si="24"/>
        <v>0.7032</v>
      </c>
      <c r="IQ32" s="75">
        <f t="shared" si="24"/>
        <v>0.7032</v>
      </c>
      <c r="IR32" s="75">
        <f t="shared" si="24"/>
        <v>0.7032</v>
      </c>
      <c r="IS32" s="75">
        <f t="shared" si="24"/>
        <v>0.7032</v>
      </c>
      <c r="IT32" s="75">
        <f t="shared" si="24"/>
        <v>0.7032</v>
      </c>
      <c r="IU32" s="75">
        <f t="shared" si="24"/>
        <v>0.7032</v>
      </c>
      <c r="IV32" s="75">
        <f t="shared" si="24"/>
        <v>0.7032</v>
      </c>
      <c r="IW32" s="75">
        <f t="shared" si="24"/>
        <v>0.7032</v>
      </c>
      <c r="IX32" s="75">
        <f t="shared" si="24"/>
        <v>0.7032</v>
      </c>
      <c r="IY32" s="75">
        <f t="shared" si="24"/>
        <v>0.7032</v>
      </c>
      <c r="IZ32" s="75">
        <f t="shared" si="24"/>
        <v>0.7032</v>
      </c>
      <c r="JA32" s="75">
        <f t="shared" si="24"/>
        <v>0.7032</v>
      </c>
      <c r="JB32" s="75">
        <f t="shared" si="24"/>
        <v>0.7032</v>
      </c>
      <c r="JC32" s="75">
        <f t="shared" si="24"/>
        <v>0.7032</v>
      </c>
      <c r="JD32" s="75">
        <f t="shared" si="24"/>
        <v>0.7032</v>
      </c>
      <c r="JE32" s="75">
        <f t="shared" si="24"/>
        <v>0.7032</v>
      </c>
      <c r="JF32" s="75">
        <f t="shared" si="24"/>
        <v>0.7032</v>
      </c>
      <c r="JG32" s="75">
        <f t="shared" si="24"/>
        <v>0.7032</v>
      </c>
      <c r="JH32" s="75">
        <f t="shared" si="24"/>
        <v>0.7032</v>
      </c>
      <c r="JI32" s="75">
        <f t="shared" si="24"/>
        <v>0.7032</v>
      </c>
      <c r="JJ32" s="75">
        <f t="shared" si="24"/>
        <v>0.7032</v>
      </c>
      <c r="JK32" s="75">
        <f t="shared" si="24"/>
        <v>0.7032</v>
      </c>
      <c r="JL32" s="75">
        <f t="shared" si="24"/>
        <v>0.7032</v>
      </c>
      <c r="JM32" s="75">
        <f t="shared" si="24"/>
        <v>0.7032</v>
      </c>
      <c r="JN32" s="75">
        <f t="shared" si="24"/>
        <v>0.7032</v>
      </c>
      <c r="JO32" s="75">
        <f t="shared" si="24"/>
        <v>0.7032</v>
      </c>
      <c r="JP32" s="75">
        <f t="shared" si="24"/>
        <v>0.7032</v>
      </c>
      <c r="JQ32" s="75">
        <f t="shared" si="24"/>
        <v>0.7032</v>
      </c>
      <c r="JR32" s="75">
        <f t="shared" si="24"/>
        <v>0.7032</v>
      </c>
      <c r="JS32" s="75">
        <f t="shared" si="24"/>
        <v>0.7032</v>
      </c>
      <c r="JT32" s="75">
        <f t="shared" si="24"/>
        <v>0.7032</v>
      </c>
      <c r="JU32" s="75">
        <f t="shared" si="24"/>
        <v>0.7032</v>
      </c>
      <c r="JV32" s="75">
        <f t="shared" si="24"/>
        <v>0.7032</v>
      </c>
      <c r="JW32" s="75">
        <f t="shared" si="24"/>
        <v>0.7032</v>
      </c>
      <c r="JX32" s="75">
        <f t="shared" si="24"/>
        <v>0.7032</v>
      </c>
      <c r="JY32" s="75">
        <f t="shared" si="24"/>
        <v>0.7032</v>
      </c>
      <c r="JZ32" s="75">
        <f t="shared" si="24"/>
        <v>0.7032</v>
      </c>
      <c r="KA32" s="75">
        <f t="shared" si="24"/>
        <v>0.7032</v>
      </c>
      <c r="KB32" s="75">
        <f t="shared" si="24"/>
        <v>0.7032</v>
      </c>
      <c r="KC32" s="75">
        <f t="shared" si="24"/>
        <v>0.7032</v>
      </c>
      <c r="KD32" s="75">
        <f t="shared" si="24"/>
        <v>0.7032</v>
      </c>
      <c r="KE32" s="75">
        <f t="shared" si="24"/>
        <v>0.7032</v>
      </c>
      <c r="KF32" s="75">
        <f t="shared" si="24"/>
        <v>0.7032</v>
      </c>
      <c r="KG32" s="75">
        <f t="shared" si="24"/>
        <v>0.7032</v>
      </c>
      <c r="KH32" s="75">
        <f t="shared" si="24"/>
        <v>0.7032</v>
      </c>
      <c r="KI32" s="75">
        <f t="shared" si="24"/>
        <v>0.7032</v>
      </c>
      <c r="KJ32" s="75">
        <f t="shared" si="24"/>
        <v>0.7032</v>
      </c>
      <c r="KK32" s="75">
        <f t="shared" si="24"/>
        <v>0.7032</v>
      </c>
      <c r="KL32" s="75">
        <f t="shared" si="24"/>
        <v>0.7032</v>
      </c>
      <c r="KM32" s="75">
        <f t="shared" si="24"/>
        <v>0.7032</v>
      </c>
      <c r="KN32" s="75">
        <f t="shared" si="24"/>
        <v>0.7032</v>
      </c>
      <c r="KO32" s="75">
        <f t="shared" si="24"/>
        <v>0.7032</v>
      </c>
      <c r="KP32" s="75">
        <f t="shared" si="24"/>
        <v>0.7032</v>
      </c>
      <c r="KQ32" s="75">
        <f t="shared" si="24"/>
        <v>0.7032</v>
      </c>
      <c r="KR32" s="75">
        <f t="shared" si="24"/>
        <v>0.7032</v>
      </c>
      <c r="KS32" s="75">
        <f t="shared" si="24"/>
        <v>0.7032</v>
      </c>
      <c r="KT32" s="75">
        <f t="shared" si="24"/>
        <v>0.7032</v>
      </c>
      <c r="KU32" s="75">
        <f t="shared" si="24"/>
        <v>0.7032</v>
      </c>
      <c r="KV32" s="75">
        <f t="shared" si="24"/>
        <v>0.7032</v>
      </c>
      <c r="KW32" s="75">
        <f t="shared" si="24"/>
        <v>0.7032</v>
      </c>
      <c r="KX32" s="75">
        <f t="shared" si="24"/>
        <v>0.7032</v>
      </c>
      <c r="KY32" s="75">
        <f t="shared" si="24"/>
        <v>0.7032</v>
      </c>
      <c r="KZ32" s="75">
        <f t="shared" si="24"/>
        <v>0.7032</v>
      </c>
      <c r="LA32" s="75">
        <f t="shared" si="24"/>
        <v>0.7032</v>
      </c>
      <c r="LB32" s="75">
        <f t="shared" si="24"/>
        <v>0.7032</v>
      </c>
      <c r="LC32" s="75">
        <f t="shared" si="24"/>
        <v>0.7032</v>
      </c>
      <c r="LD32" s="75">
        <f t="shared" si="24"/>
        <v>0.7032</v>
      </c>
      <c r="LE32" s="75">
        <f t="shared" si="24"/>
        <v>0.7032</v>
      </c>
      <c r="LF32" s="75">
        <f t="shared" si="24"/>
        <v>0.7032</v>
      </c>
      <c r="LG32" s="75">
        <f t="shared" si="24"/>
        <v>0.7032</v>
      </c>
      <c r="LH32" s="75">
        <f t="shared" si="24"/>
        <v>0.7032</v>
      </c>
      <c r="LI32" s="75">
        <f t="shared" si="24"/>
        <v>0.7032</v>
      </c>
      <c r="LJ32" s="75">
        <f t="shared" si="24"/>
        <v>0.7032</v>
      </c>
      <c r="LK32" s="75">
        <f t="shared" si="24"/>
        <v>0.7032</v>
      </c>
      <c r="LL32" s="75">
        <f t="shared" si="24"/>
        <v>0.7032</v>
      </c>
      <c r="LM32" s="75">
        <f t="shared" si="24"/>
        <v>0.7032</v>
      </c>
      <c r="LN32" s="75">
        <f t="shared" si="24"/>
        <v>0.7032</v>
      </c>
      <c r="LO32" s="75">
        <f t="shared" si="24"/>
        <v>0.7032</v>
      </c>
      <c r="LP32" s="75">
        <f t="shared" si="24"/>
        <v>0.7032</v>
      </c>
      <c r="LQ32" s="75">
        <f t="shared" si="24"/>
        <v>0.7032</v>
      </c>
      <c r="LR32" s="75">
        <f t="shared" si="24"/>
        <v>0.7032</v>
      </c>
      <c r="LS32" s="75">
        <f t="shared" si="24"/>
        <v>0.7032</v>
      </c>
      <c r="LT32" s="75">
        <f t="shared" si="24"/>
        <v>0.7032</v>
      </c>
      <c r="LU32" s="75">
        <f t="shared" si="24"/>
        <v>0.7032</v>
      </c>
      <c r="LV32" s="75">
        <f t="shared" si="24"/>
        <v>0.7032</v>
      </c>
      <c r="LW32" s="75">
        <f t="shared" si="24"/>
        <v>0.7032</v>
      </c>
      <c r="LX32" s="75">
        <f t="shared" si="24"/>
        <v>0.7032</v>
      </c>
      <c r="LY32" s="75">
        <f t="shared" si="24"/>
        <v>0.7032</v>
      </c>
      <c r="LZ32" s="75">
        <f t="shared" si="24"/>
        <v>0.7032</v>
      </c>
      <c r="MA32" s="75">
        <f t="shared" si="24"/>
        <v>0.7032</v>
      </c>
      <c r="MB32" s="75">
        <f t="shared" si="24"/>
        <v>0.7032</v>
      </c>
      <c r="MC32" s="75">
        <f t="shared" si="24"/>
        <v>0.7032</v>
      </c>
      <c r="MD32" s="75">
        <f t="shared" si="24"/>
        <v>0.7032</v>
      </c>
      <c r="ME32" s="75">
        <f t="shared" si="24"/>
        <v>0.7032</v>
      </c>
      <c r="MF32" s="75">
        <f t="shared" si="24"/>
        <v>0.7032</v>
      </c>
      <c r="MG32" s="75">
        <f t="shared" si="24"/>
        <v>0.7032</v>
      </c>
      <c r="MH32" s="75">
        <f t="shared" si="24"/>
        <v>0.7032</v>
      </c>
      <c r="MI32" s="75">
        <f t="shared" si="24"/>
        <v>0.7032</v>
      </c>
      <c r="MJ32" s="75">
        <f t="shared" si="24"/>
        <v>0.7032</v>
      </c>
      <c r="MK32" s="75">
        <f t="shared" si="24"/>
        <v>0.7032</v>
      </c>
      <c r="ML32" s="75">
        <f t="shared" si="24"/>
        <v>0.7032</v>
      </c>
      <c r="MM32" s="75">
        <f t="shared" si="24"/>
        <v>0.7032</v>
      </c>
      <c r="MN32" s="75">
        <f t="shared" si="24"/>
        <v>0.7032</v>
      </c>
      <c r="MO32" s="75">
        <f t="shared" si="24"/>
        <v>0.7032</v>
      </c>
      <c r="MP32" s="75">
        <f t="shared" si="24"/>
        <v>0.7032</v>
      </c>
      <c r="MQ32" s="75">
        <f t="shared" si="24"/>
        <v>0.7032</v>
      </c>
      <c r="MR32" s="75">
        <f t="shared" si="24"/>
        <v>0.7032</v>
      </c>
      <c r="MS32" s="75">
        <f t="shared" si="24"/>
        <v>0.7032</v>
      </c>
      <c r="MT32" s="75">
        <f t="shared" si="24"/>
        <v>0.7032</v>
      </c>
      <c r="MU32" s="75">
        <f t="shared" si="24"/>
        <v>0.7032</v>
      </c>
      <c r="MV32" s="75">
        <f t="shared" si="24"/>
        <v>0.7032</v>
      </c>
      <c r="MW32" s="75">
        <f t="shared" si="24"/>
        <v>0.7032</v>
      </c>
      <c r="MX32" s="75">
        <f t="shared" si="24"/>
        <v>0.7032</v>
      </c>
      <c r="MY32" s="75">
        <f t="shared" si="24"/>
        <v>0.7032</v>
      </c>
      <c r="MZ32" s="75">
        <f t="shared" si="24"/>
        <v>0.7032</v>
      </c>
      <c r="NA32" s="75">
        <f t="shared" si="24"/>
        <v>0.7032</v>
      </c>
      <c r="NB32" s="75">
        <f t="shared" si="24"/>
        <v>0.7032</v>
      </c>
      <c r="NC32" s="75">
        <f t="shared" si="24"/>
        <v>0.7032</v>
      </c>
      <c r="ND32" s="75">
        <f t="shared" si="24"/>
        <v>0.7032</v>
      </c>
      <c r="NE32" s="75">
        <f t="shared" si="24"/>
        <v>0.7032</v>
      </c>
      <c r="NF32" s="75">
        <f t="shared" si="24"/>
        <v>0.7032</v>
      </c>
      <c r="NG32" s="75">
        <f t="shared" si="24"/>
        <v>0.7032</v>
      </c>
      <c r="NH32" s="75">
        <f t="shared" si="24"/>
        <v>0.7032</v>
      </c>
      <c r="NI32" s="75">
        <f t="shared" si="24"/>
        <v>0.7032</v>
      </c>
      <c r="NJ32" s="75">
        <f t="shared" si="24"/>
        <v>0.7032</v>
      </c>
      <c r="NK32" s="75">
        <f t="shared" si="24"/>
        <v>0.7032</v>
      </c>
      <c r="NL32" s="75">
        <f t="shared" si="24"/>
        <v>0.7032</v>
      </c>
      <c r="NM32" s="75">
        <f t="shared" si="24"/>
        <v>0.7032</v>
      </c>
      <c r="NN32" s="75">
        <f t="shared" si="24"/>
        <v>0.7032</v>
      </c>
      <c r="NO32" s="75">
        <f t="shared" si="24"/>
        <v>0.7032</v>
      </c>
      <c r="NP32" s="75">
        <f t="shared" si="24"/>
        <v>0.7032</v>
      </c>
      <c r="NQ32" s="75">
        <f t="shared" si="24"/>
        <v>0.7032</v>
      </c>
      <c r="NR32" s="75">
        <f t="shared" si="24"/>
        <v>0.7032</v>
      </c>
      <c r="NS32" s="75">
        <f t="shared" si="24"/>
        <v>0.7032</v>
      </c>
      <c r="NT32" s="75">
        <f t="shared" si="24"/>
        <v>0.7032</v>
      </c>
      <c r="NU32" s="75">
        <f t="shared" si="24"/>
        <v>0.7032</v>
      </c>
      <c r="NV32" s="75">
        <f t="shared" si="24"/>
        <v>0.7032</v>
      </c>
      <c r="NW32" s="75">
        <f t="shared" si="24"/>
        <v>0.7032</v>
      </c>
      <c r="NX32" s="75">
        <f t="shared" si="24"/>
        <v>0.7032</v>
      </c>
      <c r="NY32" s="75">
        <f t="shared" si="24"/>
        <v>0.7032</v>
      </c>
      <c r="NZ32" s="75">
        <f t="shared" si="24"/>
        <v>0.7032</v>
      </c>
      <c r="OA32" s="75">
        <f t="shared" si="24"/>
        <v>0.7032</v>
      </c>
      <c r="OB32" s="75">
        <f t="shared" si="24"/>
        <v>0.7032</v>
      </c>
      <c r="OC32" s="75">
        <f t="shared" si="24"/>
        <v>0.7032</v>
      </c>
      <c r="OD32" s="75">
        <f t="shared" si="24"/>
        <v>0.7032</v>
      </c>
      <c r="OE32" s="75">
        <f t="shared" si="24"/>
        <v>0.7032</v>
      </c>
      <c r="OF32" s="75">
        <f t="shared" si="24"/>
        <v>0.7032</v>
      </c>
      <c r="OG32" s="75">
        <f t="shared" si="24"/>
        <v>0.7032</v>
      </c>
      <c r="OH32" s="75">
        <f t="shared" si="24"/>
        <v>0.7032</v>
      </c>
      <c r="OI32" s="75">
        <f t="shared" si="24"/>
        <v>0.7032</v>
      </c>
      <c r="OJ32" s="75">
        <f t="shared" si="24"/>
        <v>0.7032</v>
      </c>
      <c r="OK32" s="75">
        <f t="shared" si="24"/>
        <v>0.7032</v>
      </c>
      <c r="OL32" s="75">
        <f t="shared" si="24"/>
        <v>0.7032</v>
      </c>
      <c r="OM32" s="75">
        <f t="shared" si="24"/>
        <v>0.7032</v>
      </c>
      <c r="ON32" s="75">
        <f t="shared" si="24"/>
        <v>0.7032</v>
      </c>
      <c r="OO32" s="75">
        <f t="shared" si="24"/>
        <v>0.7032</v>
      </c>
      <c r="OP32" s="75">
        <f t="shared" si="24"/>
        <v>0.7032</v>
      </c>
      <c r="OQ32" s="75">
        <f t="shared" si="24"/>
        <v>0.7032</v>
      </c>
      <c r="OR32" s="75">
        <f t="shared" si="24"/>
        <v>0.7032</v>
      </c>
      <c r="OS32" s="75">
        <f t="shared" si="24"/>
        <v>0.7032</v>
      </c>
      <c r="OT32" s="75">
        <f t="shared" si="24"/>
        <v>0.7032</v>
      </c>
      <c r="OU32" s="75">
        <f t="shared" si="24"/>
        <v>0.7032</v>
      </c>
      <c r="OV32" s="75">
        <f t="shared" si="24"/>
        <v>0.7032</v>
      </c>
      <c r="OW32" s="75">
        <f t="shared" si="24"/>
        <v>0.7032</v>
      </c>
      <c r="OX32" s="75">
        <f t="shared" si="24"/>
        <v>0.7032</v>
      </c>
      <c r="OY32" s="75">
        <f t="shared" si="24"/>
        <v>0.7032</v>
      </c>
      <c r="OZ32" s="75">
        <f t="shared" si="24"/>
        <v>0.7032</v>
      </c>
      <c r="PA32" s="75">
        <f t="shared" si="24"/>
        <v>0.7032</v>
      </c>
      <c r="PB32" s="75">
        <f t="shared" si="24"/>
        <v>0.7032</v>
      </c>
      <c r="PC32" s="75">
        <f t="shared" si="24"/>
        <v>0.7032</v>
      </c>
      <c r="PD32" s="75">
        <f t="shared" si="24"/>
        <v>0.7032</v>
      </c>
      <c r="PE32" s="75">
        <f t="shared" si="24"/>
        <v>0.7032</v>
      </c>
      <c r="PF32" s="75">
        <f t="shared" si="24"/>
        <v>0.7032</v>
      </c>
      <c r="PG32" s="75">
        <f t="shared" si="24"/>
        <v>0.7032</v>
      </c>
      <c r="PH32" s="75">
        <f t="shared" si="24"/>
        <v>0.7032</v>
      </c>
      <c r="PI32" s="75">
        <f t="shared" si="24"/>
        <v>0.7032</v>
      </c>
      <c r="PJ32" s="75">
        <f t="shared" si="24"/>
        <v>0.7032</v>
      </c>
      <c r="PK32" s="75">
        <f t="shared" si="24"/>
        <v>0.7032</v>
      </c>
      <c r="PL32" s="75">
        <f t="shared" si="24"/>
        <v>0.7032</v>
      </c>
      <c r="PM32" s="75">
        <f t="shared" si="24"/>
        <v>0.7032</v>
      </c>
      <c r="PN32" s="75">
        <f t="shared" si="24"/>
        <v>0.7032</v>
      </c>
      <c r="PO32" s="75">
        <f t="shared" si="24"/>
        <v>0.7032</v>
      </c>
      <c r="PP32" s="75">
        <f t="shared" si="24"/>
        <v>0.7032</v>
      </c>
      <c r="PQ32" s="75">
        <f t="shared" si="24"/>
        <v>0.7032</v>
      </c>
      <c r="PR32" s="75">
        <f t="shared" si="24"/>
        <v>0.7032</v>
      </c>
      <c r="PS32" s="75">
        <f t="shared" si="24"/>
        <v>0.7032</v>
      </c>
      <c r="PT32" s="75">
        <f t="shared" si="24"/>
        <v>0.7032</v>
      </c>
      <c r="PU32" s="75">
        <f t="shared" si="24"/>
        <v>0.7032</v>
      </c>
      <c r="PV32" s="75">
        <f t="shared" si="24"/>
        <v>0.7032</v>
      </c>
      <c r="PW32" s="75">
        <f t="shared" si="24"/>
        <v>0.7032</v>
      </c>
      <c r="PX32" s="75">
        <f t="shared" si="24"/>
        <v>0.7032</v>
      </c>
      <c r="PY32" s="75">
        <f t="shared" si="24"/>
        <v>0.7032</v>
      </c>
      <c r="PZ32" s="75">
        <f t="shared" si="24"/>
        <v>0.7032</v>
      </c>
      <c r="QA32" s="75">
        <f t="shared" si="24"/>
        <v>0.7032</v>
      </c>
      <c r="QB32" s="75">
        <f t="shared" si="24"/>
        <v>0.7032</v>
      </c>
      <c r="QC32" s="75">
        <f t="shared" si="24"/>
        <v>0.7032</v>
      </c>
      <c r="QD32" s="75">
        <f t="shared" si="24"/>
        <v>0.7032</v>
      </c>
      <c r="QE32" s="75">
        <f t="shared" si="24"/>
        <v>0.7032</v>
      </c>
      <c r="QF32" s="75">
        <f t="shared" si="24"/>
        <v>0.7032</v>
      </c>
      <c r="QG32" s="75">
        <f t="shared" si="24"/>
        <v>0.7032</v>
      </c>
      <c r="QH32" s="75">
        <f t="shared" si="24"/>
        <v>0.7032</v>
      </c>
      <c r="QI32" s="75">
        <f t="shared" si="24"/>
        <v>0.7032</v>
      </c>
      <c r="QJ32" s="75">
        <f t="shared" si="24"/>
        <v>0.7032</v>
      </c>
      <c r="QK32" s="75">
        <f t="shared" si="24"/>
        <v>0.7032</v>
      </c>
      <c r="QL32" s="75">
        <f t="shared" si="24"/>
        <v>0.7032</v>
      </c>
      <c r="QM32" s="75">
        <f t="shared" si="24"/>
        <v>0.7032</v>
      </c>
      <c r="QN32" s="75">
        <f t="shared" si="24"/>
        <v>0.7032</v>
      </c>
      <c r="QO32" s="75">
        <f t="shared" si="24"/>
        <v>0.7032</v>
      </c>
      <c r="QP32" s="75">
        <f t="shared" si="24"/>
        <v>0.7032</v>
      </c>
      <c r="QQ32" s="75">
        <f t="shared" si="24"/>
        <v>0.7032</v>
      </c>
      <c r="QR32" s="75">
        <f t="shared" si="24"/>
        <v>0.7032</v>
      </c>
      <c r="QS32" s="75">
        <f t="shared" si="24"/>
        <v>0.7032</v>
      </c>
      <c r="QT32" s="75">
        <f t="shared" si="24"/>
        <v>0.7032</v>
      </c>
      <c r="QU32" s="75">
        <f t="shared" si="24"/>
        <v>0.7032</v>
      </c>
      <c r="QV32" s="75">
        <f t="shared" si="24"/>
        <v>0.7032</v>
      </c>
      <c r="QW32" s="75">
        <f t="shared" si="24"/>
        <v>0.7032</v>
      </c>
      <c r="QX32" s="75">
        <f t="shared" si="24"/>
        <v>0.7032</v>
      </c>
      <c r="QY32" s="75">
        <f t="shared" si="24"/>
        <v>0.7032</v>
      </c>
      <c r="QZ32" s="75">
        <f t="shared" si="24"/>
        <v>0.7032</v>
      </c>
      <c r="RA32" s="75">
        <f t="shared" si="24"/>
        <v>0.7032</v>
      </c>
      <c r="RB32" s="75">
        <f t="shared" si="24"/>
        <v>0.7032</v>
      </c>
      <c r="RC32" s="75">
        <f t="shared" si="24"/>
        <v>0.7032</v>
      </c>
      <c r="RD32" s="75">
        <f t="shared" si="24"/>
        <v>0.7032</v>
      </c>
      <c r="RE32" s="75">
        <f t="shared" si="24"/>
        <v>0.7032</v>
      </c>
      <c r="RF32" s="75">
        <f t="shared" si="24"/>
        <v>0.7032</v>
      </c>
      <c r="RG32" s="75">
        <f t="shared" si="24"/>
        <v>0.7032</v>
      </c>
      <c r="RH32" s="75">
        <f t="shared" si="24"/>
        <v>0.7032</v>
      </c>
      <c r="RI32" s="75">
        <f t="shared" si="24"/>
        <v>0.7032</v>
      </c>
      <c r="RJ32" s="75">
        <f t="shared" si="24"/>
        <v>0.7032</v>
      </c>
      <c r="RK32" s="75">
        <f t="shared" si="24"/>
        <v>0.7032</v>
      </c>
      <c r="RL32" s="75">
        <f t="shared" si="24"/>
        <v>0.7032</v>
      </c>
      <c r="RM32" s="75">
        <f t="shared" si="24"/>
        <v>0.7032</v>
      </c>
      <c r="RN32" s="75">
        <f t="shared" si="24"/>
        <v>0.7032</v>
      </c>
      <c r="RO32" s="75">
        <f t="shared" si="24"/>
        <v>0.7032</v>
      </c>
      <c r="RP32" s="75">
        <f t="shared" si="24"/>
        <v>0.7032</v>
      </c>
      <c r="RQ32" s="75">
        <f t="shared" si="24"/>
        <v>0.7032</v>
      </c>
      <c r="RR32" s="75">
        <f t="shared" si="24"/>
        <v>0.7032</v>
      </c>
      <c r="RS32" s="75">
        <f t="shared" si="24"/>
        <v>0.7032</v>
      </c>
      <c r="RT32" s="75">
        <f t="shared" si="24"/>
        <v>0.7032</v>
      </c>
      <c r="RU32" s="75">
        <f t="shared" si="24"/>
        <v>0.7032</v>
      </c>
      <c r="RV32" s="75">
        <f t="shared" si="24"/>
        <v>0.7032</v>
      </c>
      <c r="RW32" s="75">
        <f t="shared" si="24"/>
        <v>0.7032</v>
      </c>
      <c r="RX32" s="75">
        <f t="shared" si="24"/>
        <v>0.7032</v>
      </c>
      <c r="RY32" s="75">
        <f t="shared" si="24"/>
        <v>0.7032</v>
      </c>
      <c r="RZ32" s="75">
        <f t="shared" si="24"/>
        <v>0.7032</v>
      </c>
      <c r="SA32" s="75">
        <f t="shared" si="24"/>
        <v>0.7032</v>
      </c>
      <c r="SB32" s="75">
        <f t="shared" si="24"/>
        <v>0.7032</v>
      </c>
      <c r="SC32" s="75">
        <f t="shared" si="24"/>
        <v>0.7032</v>
      </c>
      <c r="SD32" s="75">
        <f t="shared" si="24"/>
        <v>0.7032</v>
      </c>
      <c r="SE32" s="75">
        <f t="shared" si="24"/>
        <v>0.7032</v>
      </c>
      <c r="SF32" s="75">
        <f t="shared" si="24"/>
        <v>0.7032</v>
      </c>
      <c r="SG32" s="75">
        <f t="shared" si="24"/>
        <v>0.7032</v>
      </c>
      <c r="SH32" s="75">
        <f t="shared" si="24"/>
        <v>0.7032</v>
      </c>
      <c r="SI32" s="75">
        <f t="shared" si="24"/>
        <v>0.7032</v>
      </c>
      <c r="SJ32" s="75">
        <f t="shared" si="24"/>
        <v>0.7032</v>
      </c>
      <c r="SK32" s="75">
        <f t="shared" si="24"/>
        <v>0.7032</v>
      </c>
      <c r="SL32" s="75">
        <f t="shared" si="24"/>
        <v>0.7032</v>
      </c>
    </row>
    <row r="33" ht="15.75" customHeight="1">
      <c r="A33" s="53" t="s">
        <v>109</v>
      </c>
      <c r="B33" s="75">
        <f t="array" ref="B33">INDEX('New CEA'!$B33:$F33,MATCH($B$2,'New CEA'!B$2:F$2,0))</f>
        <v>0.6</v>
      </c>
      <c r="C33" s="233">
        <f t="shared" ref="C33:C35" si="25">AVERAGE(G33:SL33)</f>
        <v>0.5980524</v>
      </c>
      <c r="D33" s="271">
        <f t="shared" ref="D33:D35" si="26">PERCENTILE($G33:$SL33,0.25)</f>
        <v>0.2747</v>
      </c>
      <c r="E33" s="272">
        <f t="shared" ref="E33:E35" si="27">PERCENTILE($G33:$SL33,0.75)</f>
        <v>0.931175</v>
      </c>
      <c r="F33" s="75"/>
      <c r="G33" s="236">
        <f>RANDBETWEEN((Inputs!$E33-(Inputs!$E33-Inputs!$D33)*2)*10000,(Inputs!$E33+(Inputs!$F33-Inputs!$E33)*2)*10000)/10000</f>
        <v>0.6768</v>
      </c>
      <c r="H33" s="236">
        <f>RANDBETWEEN((Inputs!$E33-(Inputs!$E33-Inputs!$D33)*2)*10000,(Inputs!$E33+(Inputs!$F33-Inputs!$E33)*2)*10000)/10000</f>
        <v>0.5306</v>
      </c>
      <c r="I33" s="236">
        <f>RANDBETWEEN((Inputs!$E33-(Inputs!$E33-Inputs!$D33)*2)*10000,(Inputs!$E33+(Inputs!$F33-Inputs!$E33)*2)*10000)/10000</f>
        <v>0.9623</v>
      </c>
      <c r="J33" s="236">
        <f>RANDBETWEEN((Inputs!$E33-(Inputs!$E33-Inputs!$D33)*2)*10000,(Inputs!$E33+(Inputs!$F33-Inputs!$E33)*2)*10000)/10000</f>
        <v>0.4947</v>
      </c>
      <c r="K33" s="236">
        <f>RANDBETWEEN((Inputs!$E33-(Inputs!$E33-Inputs!$D33)*2)*10000,(Inputs!$E33+(Inputs!$F33-Inputs!$E33)*2)*10000)/10000</f>
        <v>1.1655</v>
      </c>
      <c r="L33" s="236">
        <f>RANDBETWEEN((Inputs!$E33-(Inputs!$E33-Inputs!$D33)*2)*10000,(Inputs!$E33+(Inputs!$F33-Inputs!$E33)*2)*10000)/10000</f>
        <v>1.1266</v>
      </c>
      <c r="M33" s="236">
        <f>RANDBETWEEN((Inputs!$E33-(Inputs!$E33-Inputs!$D33)*2)*10000,(Inputs!$E33+(Inputs!$F33-Inputs!$E33)*2)*10000)/10000</f>
        <v>1.2059</v>
      </c>
      <c r="N33" s="236">
        <f>RANDBETWEEN((Inputs!$E33-(Inputs!$E33-Inputs!$D33)*2)*10000,(Inputs!$E33+(Inputs!$F33-Inputs!$E33)*2)*10000)/10000</f>
        <v>0.1912</v>
      </c>
      <c r="O33" s="236">
        <f>RANDBETWEEN((Inputs!$E33-(Inputs!$E33-Inputs!$D33)*2)*10000,(Inputs!$E33+(Inputs!$F33-Inputs!$E33)*2)*10000)/10000</f>
        <v>0.2695</v>
      </c>
      <c r="P33" s="236">
        <f>RANDBETWEEN((Inputs!$E33-(Inputs!$E33-Inputs!$D33)*2)*10000,(Inputs!$E33+(Inputs!$F33-Inputs!$E33)*2)*10000)/10000</f>
        <v>0.9478</v>
      </c>
      <c r="Q33" s="236">
        <f>RANDBETWEEN((Inputs!$E33-(Inputs!$E33-Inputs!$D33)*2)*10000,(Inputs!$E33+(Inputs!$F33-Inputs!$E33)*2)*10000)/10000</f>
        <v>0.4411</v>
      </c>
      <c r="R33" s="236">
        <f>RANDBETWEEN((Inputs!$E33-(Inputs!$E33-Inputs!$D33)*2)*10000,(Inputs!$E33+(Inputs!$F33-Inputs!$E33)*2)*10000)/10000</f>
        <v>0.2064</v>
      </c>
      <c r="S33" s="236">
        <f>RANDBETWEEN((Inputs!$E33-(Inputs!$E33-Inputs!$D33)*2)*10000,(Inputs!$E33+(Inputs!$F33-Inputs!$E33)*2)*10000)/10000</f>
        <v>0.4834</v>
      </c>
      <c r="T33" s="236">
        <f>RANDBETWEEN((Inputs!$E33-(Inputs!$E33-Inputs!$D33)*2)*10000,(Inputs!$E33+(Inputs!$F33-Inputs!$E33)*2)*10000)/10000</f>
        <v>0.5112</v>
      </c>
      <c r="U33" s="236">
        <f>RANDBETWEEN((Inputs!$E33-(Inputs!$E33-Inputs!$D33)*2)*10000,(Inputs!$E33+(Inputs!$F33-Inputs!$E33)*2)*10000)/10000</f>
        <v>0.7544</v>
      </c>
      <c r="V33" s="236">
        <f>RANDBETWEEN((Inputs!$E33-(Inputs!$E33-Inputs!$D33)*2)*10000,(Inputs!$E33+(Inputs!$F33-Inputs!$E33)*2)*10000)/10000</f>
        <v>0.1935</v>
      </c>
      <c r="W33" s="236">
        <f>RANDBETWEEN((Inputs!$E33-(Inputs!$E33-Inputs!$D33)*2)*10000,(Inputs!$E33+(Inputs!$F33-Inputs!$E33)*2)*10000)/10000</f>
        <v>1.2552</v>
      </c>
      <c r="X33" s="236">
        <f>RANDBETWEEN((Inputs!$E33-(Inputs!$E33-Inputs!$D33)*2)*10000,(Inputs!$E33+(Inputs!$F33-Inputs!$E33)*2)*10000)/10000</f>
        <v>1.2382</v>
      </c>
      <c r="Y33" s="236">
        <f>RANDBETWEEN((Inputs!$E33-(Inputs!$E33-Inputs!$D33)*2)*10000,(Inputs!$E33+(Inputs!$F33-Inputs!$E33)*2)*10000)/10000</f>
        <v>0.5417</v>
      </c>
      <c r="Z33" s="236">
        <f>RANDBETWEEN((Inputs!$E33-(Inputs!$E33-Inputs!$D33)*2)*10000,(Inputs!$E33+(Inputs!$F33-Inputs!$E33)*2)*10000)/10000</f>
        <v>0.7695</v>
      </c>
      <c r="AA33" s="236">
        <f>RANDBETWEEN((Inputs!$E33-(Inputs!$E33-Inputs!$D33)*2)*10000,(Inputs!$E33+(Inputs!$F33-Inputs!$E33)*2)*10000)/10000</f>
        <v>0.2328</v>
      </c>
      <c r="AB33" s="236">
        <f>RANDBETWEEN((Inputs!$E33-(Inputs!$E33-Inputs!$D33)*2)*10000,(Inputs!$E33+(Inputs!$F33-Inputs!$E33)*2)*10000)/10000</f>
        <v>0.7838</v>
      </c>
      <c r="AC33" s="236">
        <f>RANDBETWEEN((Inputs!$E33-(Inputs!$E33-Inputs!$D33)*2)*10000,(Inputs!$E33+(Inputs!$F33-Inputs!$E33)*2)*10000)/10000</f>
        <v>0.6038</v>
      </c>
      <c r="AD33" s="236">
        <f>RANDBETWEEN((Inputs!$E33-(Inputs!$E33-Inputs!$D33)*2)*10000,(Inputs!$E33+(Inputs!$F33-Inputs!$E33)*2)*10000)/10000</f>
        <v>1.0206</v>
      </c>
      <c r="AE33" s="236">
        <f>RANDBETWEEN((Inputs!$E33-(Inputs!$E33-Inputs!$D33)*2)*10000,(Inputs!$E33+(Inputs!$F33-Inputs!$E33)*2)*10000)/10000</f>
        <v>0.6394</v>
      </c>
      <c r="AF33" s="236">
        <f>RANDBETWEEN((Inputs!$E33-(Inputs!$E33-Inputs!$D33)*2)*10000,(Inputs!$E33+(Inputs!$F33-Inputs!$E33)*2)*10000)/10000</f>
        <v>0.677</v>
      </c>
      <c r="AG33" s="236">
        <f>RANDBETWEEN((Inputs!$E33-(Inputs!$E33-Inputs!$D33)*2)*10000,(Inputs!$E33+(Inputs!$F33-Inputs!$E33)*2)*10000)/10000</f>
        <v>0.9474</v>
      </c>
      <c r="AH33" s="236">
        <f>RANDBETWEEN((Inputs!$E33-(Inputs!$E33-Inputs!$D33)*2)*10000,(Inputs!$E33+(Inputs!$F33-Inputs!$E33)*2)*10000)/10000</f>
        <v>0.7292</v>
      </c>
      <c r="AI33" s="236">
        <f>RANDBETWEEN((Inputs!$E33-(Inputs!$E33-Inputs!$D33)*2)*10000,(Inputs!$E33+(Inputs!$F33-Inputs!$E33)*2)*10000)/10000</f>
        <v>0.0555</v>
      </c>
      <c r="AJ33" s="236">
        <f>RANDBETWEEN((Inputs!$E33-(Inputs!$E33-Inputs!$D33)*2)*10000,(Inputs!$E33+(Inputs!$F33-Inputs!$E33)*2)*10000)/10000</f>
        <v>0.5734</v>
      </c>
      <c r="AK33" s="236">
        <f>RANDBETWEEN((Inputs!$E33-(Inputs!$E33-Inputs!$D33)*2)*10000,(Inputs!$E33+(Inputs!$F33-Inputs!$E33)*2)*10000)/10000</f>
        <v>0.4593</v>
      </c>
      <c r="AL33" s="236">
        <f>RANDBETWEEN((Inputs!$E33-(Inputs!$E33-Inputs!$D33)*2)*10000,(Inputs!$E33+(Inputs!$F33-Inputs!$E33)*2)*10000)/10000</f>
        <v>0.6084</v>
      </c>
      <c r="AM33" s="236">
        <f>RANDBETWEEN((Inputs!$E33-(Inputs!$E33-Inputs!$D33)*2)*10000,(Inputs!$E33+(Inputs!$F33-Inputs!$E33)*2)*10000)/10000</f>
        <v>0.9502</v>
      </c>
      <c r="AN33" s="236">
        <f>RANDBETWEEN((Inputs!$E33-(Inputs!$E33-Inputs!$D33)*2)*10000,(Inputs!$E33+(Inputs!$F33-Inputs!$E33)*2)*10000)/10000</f>
        <v>0.9014</v>
      </c>
      <c r="AO33" s="236">
        <f>RANDBETWEEN((Inputs!$E33-(Inputs!$E33-Inputs!$D33)*2)*10000,(Inputs!$E33+(Inputs!$F33-Inputs!$E33)*2)*10000)/10000</f>
        <v>0.0224</v>
      </c>
      <c r="AP33" s="236">
        <f>RANDBETWEEN((Inputs!$E33-(Inputs!$E33-Inputs!$D33)*2)*10000,(Inputs!$E33+(Inputs!$F33-Inputs!$E33)*2)*10000)/10000</f>
        <v>1.1048</v>
      </c>
      <c r="AQ33" s="236">
        <f>RANDBETWEEN((Inputs!$E33-(Inputs!$E33-Inputs!$D33)*2)*10000,(Inputs!$E33+(Inputs!$F33-Inputs!$E33)*2)*10000)/10000</f>
        <v>0.652</v>
      </c>
      <c r="AR33" s="236">
        <f>RANDBETWEEN((Inputs!$E33-(Inputs!$E33-Inputs!$D33)*2)*10000,(Inputs!$E33+(Inputs!$F33-Inputs!$E33)*2)*10000)/10000</f>
        <v>0.4578</v>
      </c>
      <c r="AS33" s="236">
        <f>RANDBETWEEN((Inputs!$E33-(Inputs!$E33-Inputs!$D33)*2)*10000,(Inputs!$E33+(Inputs!$F33-Inputs!$E33)*2)*10000)/10000</f>
        <v>0.1441</v>
      </c>
      <c r="AT33" s="236">
        <f>RANDBETWEEN((Inputs!$E33-(Inputs!$E33-Inputs!$D33)*2)*10000,(Inputs!$E33+(Inputs!$F33-Inputs!$E33)*2)*10000)/10000</f>
        <v>0.8112</v>
      </c>
      <c r="AU33" s="236">
        <f>RANDBETWEEN((Inputs!$E33-(Inputs!$E33-Inputs!$D33)*2)*10000,(Inputs!$E33+(Inputs!$F33-Inputs!$E33)*2)*10000)/10000</f>
        <v>0.9158</v>
      </c>
      <c r="AV33" s="236">
        <f>RANDBETWEEN((Inputs!$E33-(Inputs!$E33-Inputs!$D33)*2)*10000,(Inputs!$E33+(Inputs!$F33-Inputs!$E33)*2)*10000)/10000</f>
        <v>0.1339</v>
      </c>
      <c r="AW33" s="236">
        <f>RANDBETWEEN((Inputs!$E33-(Inputs!$E33-Inputs!$D33)*2)*10000,(Inputs!$E33+(Inputs!$F33-Inputs!$E33)*2)*10000)/10000</f>
        <v>0.5358</v>
      </c>
      <c r="AX33" s="236">
        <f>RANDBETWEEN((Inputs!$E33-(Inputs!$E33-Inputs!$D33)*2)*10000,(Inputs!$E33+(Inputs!$F33-Inputs!$E33)*2)*10000)/10000</f>
        <v>1.0778</v>
      </c>
      <c r="AY33" s="236">
        <f>RANDBETWEEN((Inputs!$E33-(Inputs!$E33-Inputs!$D33)*2)*10000,(Inputs!$E33+(Inputs!$F33-Inputs!$E33)*2)*10000)/10000</f>
        <v>0.1222</v>
      </c>
      <c r="AZ33" s="236">
        <f>RANDBETWEEN((Inputs!$E33-(Inputs!$E33-Inputs!$D33)*2)*10000,(Inputs!$E33+(Inputs!$F33-Inputs!$E33)*2)*10000)/10000</f>
        <v>0.1988</v>
      </c>
      <c r="BA33" s="236">
        <f>RANDBETWEEN((Inputs!$E33-(Inputs!$E33-Inputs!$D33)*2)*10000,(Inputs!$E33+(Inputs!$F33-Inputs!$E33)*2)*10000)/10000</f>
        <v>1.1513</v>
      </c>
      <c r="BB33" s="236">
        <f>RANDBETWEEN((Inputs!$E33-(Inputs!$E33-Inputs!$D33)*2)*10000,(Inputs!$E33+(Inputs!$F33-Inputs!$E33)*2)*10000)/10000</f>
        <v>1.0343</v>
      </c>
      <c r="BC33" s="236">
        <f>RANDBETWEEN((Inputs!$E33-(Inputs!$E33-Inputs!$D33)*2)*10000,(Inputs!$E33+(Inputs!$F33-Inputs!$E33)*2)*10000)/10000</f>
        <v>0.6583</v>
      </c>
      <c r="BD33" s="236">
        <f>RANDBETWEEN((Inputs!$E33-(Inputs!$E33-Inputs!$D33)*2)*10000,(Inputs!$E33+(Inputs!$F33-Inputs!$E33)*2)*10000)/10000</f>
        <v>0.1361</v>
      </c>
      <c r="BE33" s="236">
        <f>RANDBETWEEN((Inputs!$E33-(Inputs!$E33-Inputs!$D33)*2)*10000,(Inputs!$E33+(Inputs!$F33-Inputs!$E33)*2)*10000)/10000</f>
        <v>1.0113</v>
      </c>
      <c r="BF33" s="236">
        <f>RANDBETWEEN((Inputs!$E33-(Inputs!$E33-Inputs!$D33)*2)*10000,(Inputs!$E33+(Inputs!$F33-Inputs!$E33)*2)*10000)/10000</f>
        <v>0.0924</v>
      </c>
      <c r="BG33" s="236">
        <f>RANDBETWEEN((Inputs!$E33-(Inputs!$E33-Inputs!$D33)*2)*10000,(Inputs!$E33+(Inputs!$F33-Inputs!$E33)*2)*10000)/10000</f>
        <v>0.3536</v>
      </c>
      <c r="BH33" s="236">
        <f>RANDBETWEEN((Inputs!$E33-(Inputs!$E33-Inputs!$D33)*2)*10000,(Inputs!$E33+(Inputs!$F33-Inputs!$E33)*2)*10000)/10000</f>
        <v>0.3842</v>
      </c>
      <c r="BI33" s="236">
        <f>RANDBETWEEN((Inputs!$E33-(Inputs!$E33-Inputs!$D33)*2)*10000,(Inputs!$E33+(Inputs!$F33-Inputs!$E33)*2)*10000)/10000</f>
        <v>0.6128</v>
      </c>
      <c r="BJ33" s="236">
        <f>RANDBETWEEN((Inputs!$E33-(Inputs!$E33-Inputs!$D33)*2)*10000,(Inputs!$E33+(Inputs!$F33-Inputs!$E33)*2)*10000)/10000</f>
        <v>0.8878</v>
      </c>
      <c r="BK33" s="236">
        <f>RANDBETWEEN((Inputs!$E33-(Inputs!$E33-Inputs!$D33)*2)*10000,(Inputs!$E33+(Inputs!$F33-Inputs!$E33)*2)*10000)/10000</f>
        <v>0.0098</v>
      </c>
      <c r="BL33" s="236">
        <f>RANDBETWEEN((Inputs!$E33-(Inputs!$E33-Inputs!$D33)*2)*10000,(Inputs!$E33+(Inputs!$F33-Inputs!$E33)*2)*10000)/10000</f>
        <v>0.0884</v>
      </c>
      <c r="BM33" s="236">
        <f>RANDBETWEEN((Inputs!$E33-(Inputs!$E33-Inputs!$D33)*2)*10000,(Inputs!$E33+(Inputs!$F33-Inputs!$E33)*2)*10000)/10000</f>
        <v>0.2304</v>
      </c>
      <c r="BN33" s="236">
        <f>RANDBETWEEN((Inputs!$E33-(Inputs!$E33-Inputs!$D33)*2)*10000,(Inputs!$E33+(Inputs!$F33-Inputs!$E33)*2)*10000)/10000</f>
        <v>1.1067</v>
      </c>
      <c r="BO33" s="236">
        <f>RANDBETWEEN((Inputs!$E33-(Inputs!$E33-Inputs!$D33)*2)*10000,(Inputs!$E33+(Inputs!$F33-Inputs!$E33)*2)*10000)/10000</f>
        <v>0.9101</v>
      </c>
      <c r="BP33" s="236">
        <f>RANDBETWEEN((Inputs!$E33-(Inputs!$E33-Inputs!$D33)*2)*10000,(Inputs!$E33+(Inputs!$F33-Inputs!$E33)*2)*10000)/10000</f>
        <v>-0.0056</v>
      </c>
      <c r="BQ33" s="236">
        <f>RANDBETWEEN((Inputs!$E33-(Inputs!$E33-Inputs!$D33)*2)*10000,(Inputs!$E33+(Inputs!$F33-Inputs!$E33)*2)*10000)/10000</f>
        <v>0.1007</v>
      </c>
      <c r="BR33" s="236">
        <f>RANDBETWEEN((Inputs!$E33-(Inputs!$E33-Inputs!$D33)*2)*10000,(Inputs!$E33+(Inputs!$F33-Inputs!$E33)*2)*10000)/10000</f>
        <v>0.1599</v>
      </c>
      <c r="BS33" s="236">
        <f>RANDBETWEEN((Inputs!$E33-(Inputs!$E33-Inputs!$D33)*2)*10000,(Inputs!$E33+(Inputs!$F33-Inputs!$E33)*2)*10000)/10000</f>
        <v>0.5695</v>
      </c>
      <c r="BT33" s="236">
        <f>RANDBETWEEN((Inputs!$E33-(Inputs!$E33-Inputs!$D33)*2)*10000,(Inputs!$E33+(Inputs!$F33-Inputs!$E33)*2)*10000)/10000</f>
        <v>0.756</v>
      </c>
      <c r="BU33" s="236">
        <f>RANDBETWEEN((Inputs!$E33-(Inputs!$E33-Inputs!$D33)*2)*10000,(Inputs!$E33+(Inputs!$F33-Inputs!$E33)*2)*10000)/10000</f>
        <v>0.5076</v>
      </c>
      <c r="BV33" s="236">
        <f>RANDBETWEEN((Inputs!$E33-(Inputs!$E33-Inputs!$D33)*2)*10000,(Inputs!$E33+(Inputs!$F33-Inputs!$E33)*2)*10000)/10000</f>
        <v>0.817</v>
      </c>
      <c r="BW33" s="236">
        <f>RANDBETWEEN((Inputs!$E33-(Inputs!$E33-Inputs!$D33)*2)*10000,(Inputs!$E33+(Inputs!$F33-Inputs!$E33)*2)*10000)/10000</f>
        <v>0.4425</v>
      </c>
      <c r="BX33" s="236">
        <f>RANDBETWEEN((Inputs!$E33-(Inputs!$E33-Inputs!$D33)*2)*10000,(Inputs!$E33+(Inputs!$F33-Inputs!$E33)*2)*10000)/10000</f>
        <v>0.2218</v>
      </c>
      <c r="BY33" s="236">
        <f>RANDBETWEEN((Inputs!$E33-(Inputs!$E33-Inputs!$D33)*2)*10000,(Inputs!$E33+(Inputs!$F33-Inputs!$E33)*2)*10000)/10000</f>
        <v>0.5253</v>
      </c>
      <c r="BZ33" s="236">
        <f>RANDBETWEEN((Inputs!$E33-(Inputs!$E33-Inputs!$D33)*2)*10000,(Inputs!$E33+(Inputs!$F33-Inputs!$E33)*2)*10000)/10000</f>
        <v>0.5827</v>
      </c>
      <c r="CA33" s="236">
        <f>RANDBETWEEN((Inputs!$E33-(Inputs!$E33-Inputs!$D33)*2)*10000,(Inputs!$E33+(Inputs!$F33-Inputs!$E33)*2)*10000)/10000</f>
        <v>0.0052</v>
      </c>
      <c r="CB33" s="236">
        <f>RANDBETWEEN((Inputs!$E33-(Inputs!$E33-Inputs!$D33)*2)*10000,(Inputs!$E33+(Inputs!$F33-Inputs!$E33)*2)*10000)/10000</f>
        <v>0.3955</v>
      </c>
      <c r="CC33" s="236">
        <f>RANDBETWEEN((Inputs!$E33-(Inputs!$E33-Inputs!$D33)*2)*10000,(Inputs!$E33+(Inputs!$F33-Inputs!$E33)*2)*10000)/10000</f>
        <v>0.9688</v>
      </c>
      <c r="CD33" s="236">
        <f>RANDBETWEEN((Inputs!$E33-(Inputs!$E33-Inputs!$D33)*2)*10000,(Inputs!$E33+(Inputs!$F33-Inputs!$E33)*2)*10000)/10000</f>
        <v>0.5339</v>
      </c>
      <c r="CE33" s="236">
        <f>RANDBETWEEN((Inputs!$E33-(Inputs!$E33-Inputs!$D33)*2)*10000,(Inputs!$E33+(Inputs!$F33-Inputs!$E33)*2)*10000)/10000</f>
        <v>0.8925</v>
      </c>
      <c r="CF33" s="236">
        <f>RANDBETWEEN((Inputs!$E33-(Inputs!$E33-Inputs!$D33)*2)*10000,(Inputs!$E33+(Inputs!$F33-Inputs!$E33)*2)*10000)/10000</f>
        <v>0.1208</v>
      </c>
      <c r="CG33" s="236">
        <f>RANDBETWEEN((Inputs!$E33-(Inputs!$E33-Inputs!$D33)*2)*10000,(Inputs!$E33+(Inputs!$F33-Inputs!$E33)*2)*10000)/10000</f>
        <v>0.9231</v>
      </c>
      <c r="CH33" s="236">
        <f>RANDBETWEEN((Inputs!$E33-(Inputs!$E33-Inputs!$D33)*2)*10000,(Inputs!$E33+(Inputs!$F33-Inputs!$E33)*2)*10000)/10000</f>
        <v>0.9892</v>
      </c>
      <c r="CI33" s="236">
        <f>RANDBETWEEN((Inputs!$E33-(Inputs!$E33-Inputs!$D33)*2)*10000,(Inputs!$E33+(Inputs!$F33-Inputs!$E33)*2)*10000)/10000</f>
        <v>0.44</v>
      </c>
      <c r="CJ33" s="236">
        <f>RANDBETWEEN((Inputs!$E33-(Inputs!$E33-Inputs!$D33)*2)*10000,(Inputs!$E33+(Inputs!$F33-Inputs!$E33)*2)*10000)/10000</f>
        <v>1.1454</v>
      </c>
      <c r="CK33" s="236">
        <f>RANDBETWEEN((Inputs!$E33-(Inputs!$E33-Inputs!$D33)*2)*10000,(Inputs!$E33+(Inputs!$F33-Inputs!$E33)*2)*10000)/10000</f>
        <v>0.1105</v>
      </c>
      <c r="CL33" s="236">
        <f>RANDBETWEEN((Inputs!$E33-(Inputs!$E33-Inputs!$D33)*2)*10000,(Inputs!$E33+(Inputs!$F33-Inputs!$E33)*2)*10000)/10000</f>
        <v>0.4331</v>
      </c>
      <c r="CM33" s="236">
        <f>RANDBETWEEN((Inputs!$E33-(Inputs!$E33-Inputs!$D33)*2)*10000,(Inputs!$E33+(Inputs!$F33-Inputs!$E33)*2)*10000)/10000</f>
        <v>0.8515</v>
      </c>
      <c r="CN33" s="236">
        <f>RANDBETWEEN((Inputs!$E33-(Inputs!$E33-Inputs!$D33)*2)*10000,(Inputs!$E33+(Inputs!$F33-Inputs!$E33)*2)*10000)/10000</f>
        <v>0.3563</v>
      </c>
      <c r="CO33" s="236">
        <f>RANDBETWEEN((Inputs!$E33-(Inputs!$E33-Inputs!$D33)*2)*10000,(Inputs!$E33+(Inputs!$F33-Inputs!$E33)*2)*10000)/10000</f>
        <v>0.779</v>
      </c>
      <c r="CP33" s="236">
        <f>RANDBETWEEN((Inputs!$E33-(Inputs!$E33-Inputs!$D33)*2)*10000,(Inputs!$E33+(Inputs!$F33-Inputs!$E33)*2)*10000)/10000</f>
        <v>0.2319</v>
      </c>
      <c r="CQ33" s="236">
        <f>RANDBETWEEN((Inputs!$E33-(Inputs!$E33-Inputs!$D33)*2)*10000,(Inputs!$E33+(Inputs!$F33-Inputs!$E33)*2)*10000)/10000</f>
        <v>0.2869</v>
      </c>
      <c r="CR33" s="236">
        <f>RANDBETWEEN((Inputs!$E33-(Inputs!$E33-Inputs!$D33)*2)*10000,(Inputs!$E33+(Inputs!$F33-Inputs!$E33)*2)*10000)/10000</f>
        <v>0.0928</v>
      </c>
      <c r="CS33" s="236">
        <f>RANDBETWEEN((Inputs!$E33-(Inputs!$E33-Inputs!$D33)*2)*10000,(Inputs!$E33+(Inputs!$F33-Inputs!$E33)*2)*10000)/10000</f>
        <v>0.8499</v>
      </c>
      <c r="CT33" s="236">
        <f>RANDBETWEEN((Inputs!$E33-(Inputs!$E33-Inputs!$D33)*2)*10000,(Inputs!$E33+(Inputs!$F33-Inputs!$E33)*2)*10000)/10000</f>
        <v>0.9579</v>
      </c>
      <c r="CU33" s="236">
        <f>RANDBETWEEN((Inputs!$E33-(Inputs!$E33-Inputs!$D33)*2)*10000,(Inputs!$E33+(Inputs!$F33-Inputs!$E33)*2)*10000)/10000</f>
        <v>0.407</v>
      </c>
      <c r="CV33" s="236">
        <f>RANDBETWEEN((Inputs!$E33-(Inputs!$E33-Inputs!$D33)*2)*10000,(Inputs!$E33+(Inputs!$F33-Inputs!$E33)*2)*10000)/10000</f>
        <v>-0.0309</v>
      </c>
      <c r="CW33" s="236">
        <f>RANDBETWEEN((Inputs!$E33-(Inputs!$E33-Inputs!$D33)*2)*10000,(Inputs!$E33+(Inputs!$F33-Inputs!$E33)*2)*10000)/10000</f>
        <v>0.5791</v>
      </c>
      <c r="CX33" s="236">
        <f>RANDBETWEEN((Inputs!$E33-(Inputs!$E33-Inputs!$D33)*2)*10000,(Inputs!$E33+(Inputs!$F33-Inputs!$E33)*2)*10000)/10000</f>
        <v>0.1248</v>
      </c>
      <c r="CY33" s="236">
        <f>RANDBETWEEN((Inputs!$E33-(Inputs!$E33-Inputs!$D33)*2)*10000,(Inputs!$E33+(Inputs!$F33-Inputs!$E33)*2)*10000)/10000</f>
        <v>-0.0484</v>
      </c>
      <c r="CZ33" s="236">
        <f>RANDBETWEEN((Inputs!$E33-(Inputs!$E33-Inputs!$D33)*2)*10000,(Inputs!$E33+(Inputs!$F33-Inputs!$E33)*2)*10000)/10000</f>
        <v>0.2586</v>
      </c>
      <c r="DA33" s="236">
        <f>RANDBETWEEN((Inputs!$E33-(Inputs!$E33-Inputs!$D33)*2)*10000,(Inputs!$E33+(Inputs!$F33-Inputs!$E33)*2)*10000)/10000</f>
        <v>1.044</v>
      </c>
      <c r="DB33" s="236">
        <f>RANDBETWEEN((Inputs!$E33-(Inputs!$E33-Inputs!$D33)*2)*10000,(Inputs!$E33+(Inputs!$F33-Inputs!$E33)*2)*10000)/10000</f>
        <v>1.1577</v>
      </c>
      <c r="DC33" s="236">
        <f>RANDBETWEEN((Inputs!$E33-(Inputs!$E33-Inputs!$D33)*2)*10000,(Inputs!$E33+(Inputs!$F33-Inputs!$E33)*2)*10000)/10000</f>
        <v>0.5371</v>
      </c>
      <c r="DD33" s="236">
        <f>RANDBETWEEN((Inputs!$E33-(Inputs!$E33-Inputs!$D33)*2)*10000,(Inputs!$E33+(Inputs!$F33-Inputs!$E33)*2)*10000)/10000</f>
        <v>0.4454</v>
      </c>
      <c r="DE33" s="236">
        <f>RANDBETWEEN((Inputs!$E33-(Inputs!$E33-Inputs!$D33)*2)*10000,(Inputs!$E33+(Inputs!$F33-Inputs!$E33)*2)*10000)/10000</f>
        <v>0.8943</v>
      </c>
      <c r="DF33" s="236">
        <f>RANDBETWEEN((Inputs!$E33-(Inputs!$E33-Inputs!$D33)*2)*10000,(Inputs!$E33+(Inputs!$F33-Inputs!$E33)*2)*10000)/10000</f>
        <v>0.9987</v>
      </c>
      <c r="DG33" s="236">
        <f>RANDBETWEEN((Inputs!$E33-(Inputs!$E33-Inputs!$D33)*2)*10000,(Inputs!$E33+(Inputs!$F33-Inputs!$E33)*2)*10000)/10000</f>
        <v>0.6671</v>
      </c>
      <c r="DH33" s="236">
        <f>RANDBETWEEN((Inputs!$E33-(Inputs!$E33-Inputs!$D33)*2)*10000,(Inputs!$E33+(Inputs!$F33-Inputs!$E33)*2)*10000)/10000</f>
        <v>0.5163</v>
      </c>
      <c r="DI33" s="236">
        <f>RANDBETWEEN((Inputs!$E33-(Inputs!$E33-Inputs!$D33)*2)*10000,(Inputs!$E33+(Inputs!$F33-Inputs!$E33)*2)*10000)/10000</f>
        <v>0.3086</v>
      </c>
      <c r="DJ33" s="236">
        <f>RANDBETWEEN((Inputs!$E33-(Inputs!$E33-Inputs!$D33)*2)*10000,(Inputs!$E33+(Inputs!$F33-Inputs!$E33)*2)*10000)/10000</f>
        <v>1.2391</v>
      </c>
      <c r="DK33" s="236">
        <f>RANDBETWEEN((Inputs!$E33-(Inputs!$E33-Inputs!$D33)*2)*10000,(Inputs!$E33+(Inputs!$F33-Inputs!$E33)*2)*10000)/10000</f>
        <v>0.2455</v>
      </c>
      <c r="DL33" s="236">
        <f>RANDBETWEEN((Inputs!$E33-(Inputs!$E33-Inputs!$D33)*2)*10000,(Inputs!$E33+(Inputs!$F33-Inputs!$E33)*2)*10000)/10000</f>
        <v>0.0292</v>
      </c>
      <c r="DM33" s="236">
        <f>RANDBETWEEN((Inputs!$E33-(Inputs!$E33-Inputs!$D33)*2)*10000,(Inputs!$E33+(Inputs!$F33-Inputs!$E33)*2)*10000)/10000</f>
        <v>0.6336</v>
      </c>
      <c r="DN33" s="236">
        <f>RANDBETWEEN((Inputs!$E33-(Inputs!$E33-Inputs!$D33)*2)*10000,(Inputs!$E33+(Inputs!$F33-Inputs!$E33)*2)*10000)/10000</f>
        <v>-0.0512</v>
      </c>
      <c r="DO33" s="236">
        <f>RANDBETWEEN((Inputs!$E33-(Inputs!$E33-Inputs!$D33)*2)*10000,(Inputs!$E33+(Inputs!$F33-Inputs!$E33)*2)*10000)/10000</f>
        <v>1.1393</v>
      </c>
      <c r="DP33" s="236">
        <f>RANDBETWEEN((Inputs!$E33-(Inputs!$E33-Inputs!$D33)*2)*10000,(Inputs!$E33+(Inputs!$F33-Inputs!$E33)*2)*10000)/10000</f>
        <v>0.345</v>
      </c>
      <c r="DQ33" s="236">
        <f>RANDBETWEEN((Inputs!$E33-(Inputs!$E33-Inputs!$D33)*2)*10000,(Inputs!$E33+(Inputs!$F33-Inputs!$E33)*2)*10000)/10000</f>
        <v>0.175</v>
      </c>
      <c r="DR33" s="236">
        <f>RANDBETWEEN((Inputs!$E33-(Inputs!$E33-Inputs!$D33)*2)*10000,(Inputs!$E33+(Inputs!$F33-Inputs!$E33)*2)*10000)/10000</f>
        <v>1.0947</v>
      </c>
      <c r="DS33" s="236">
        <f>RANDBETWEEN((Inputs!$E33-(Inputs!$E33-Inputs!$D33)*2)*10000,(Inputs!$E33+(Inputs!$F33-Inputs!$E33)*2)*10000)/10000</f>
        <v>0.2386</v>
      </c>
      <c r="DT33" s="236">
        <f>RANDBETWEEN((Inputs!$E33-(Inputs!$E33-Inputs!$D33)*2)*10000,(Inputs!$E33+(Inputs!$F33-Inputs!$E33)*2)*10000)/10000</f>
        <v>1.145</v>
      </c>
      <c r="DU33" s="236">
        <f>RANDBETWEEN((Inputs!$E33-(Inputs!$E33-Inputs!$D33)*2)*10000,(Inputs!$E33+(Inputs!$F33-Inputs!$E33)*2)*10000)/10000</f>
        <v>0.7071</v>
      </c>
      <c r="DV33" s="236">
        <f>RANDBETWEEN((Inputs!$E33-(Inputs!$E33-Inputs!$D33)*2)*10000,(Inputs!$E33+(Inputs!$F33-Inputs!$E33)*2)*10000)/10000</f>
        <v>0.8679</v>
      </c>
      <c r="DW33" s="236">
        <f>RANDBETWEEN((Inputs!$E33-(Inputs!$E33-Inputs!$D33)*2)*10000,(Inputs!$E33+(Inputs!$F33-Inputs!$E33)*2)*10000)/10000</f>
        <v>0.9688</v>
      </c>
      <c r="DX33" s="236">
        <f>RANDBETWEEN((Inputs!$E33-(Inputs!$E33-Inputs!$D33)*2)*10000,(Inputs!$E33+(Inputs!$F33-Inputs!$E33)*2)*10000)/10000</f>
        <v>0.2111</v>
      </c>
      <c r="DY33" s="236">
        <f>RANDBETWEEN((Inputs!$E33-(Inputs!$E33-Inputs!$D33)*2)*10000,(Inputs!$E33+(Inputs!$F33-Inputs!$E33)*2)*10000)/10000</f>
        <v>0.034</v>
      </c>
      <c r="DZ33" s="236">
        <f>RANDBETWEEN((Inputs!$E33-(Inputs!$E33-Inputs!$D33)*2)*10000,(Inputs!$E33+(Inputs!$F33-Inputs!$E33)*2)*10000)/10000</f>
        <v>0.1044</v>
      </c>
      <c r="EA33" s="236">
        <f>RANDBETWEEN((Inputs!$E33-(Inputs!$E33-Inputs!$D33)*2)*10000,(Inputs!$E33+(Inputs!$F33-Inputs!$E33)*2)*10000)/10000</f>
        <v>1.1565</v>
      </c>
      <c r="EB33" s="236">
        <f>RANDBETWEEN((Inputs!$E33-(Inputs!$E33-Inputs!$D33)*2)*10000,(Inputs!$E33+(Inputs!$F33-Inputs!$E33)*2)*10000)/10000</f>
        <v>0.0092</v>
      </c>
      <c r="EC33" s="236">
        <f>RANDBETWEEN((Inputs!$E33-(Inputs!$E33-Inputs!$D33)*2)*10000,(Inputs!$E33+(Inputs!$F33-Inputs!$E33)*2)*10000)/10000</f>
        <v>1.1957</v>
      </c>
      <c r="ED33" s="236">
        <f>RANDBETWEEN((Inputs!$E33-(Inputs!$E33-Inputs!$D33)*2)*10000,(Inputs!$E33+(Inputs!$F33-Inputs!$E33)*2)*10000)/10000</f>
        <v>0.803</v>
      </c>
      <c r="EE33" s="236">
        <f>RANDBETWEEN((Inputs!$E33-(Inputs!$E33-Inputs!$D33)*2)*10000,(Inputs!$E33+(Inputs!$F33-Inputs!$E33)*2)*10000)/10000</f>
        <v>0.3462</v>
      </c>
      <c r="EF33" s="236">
        <f>RANDBETWEEN((Inputs!$E33-(Inputs!$E33-Inputs!$D33)*2)*10000,(Inputs!$E33+(Inputs!$F33-Inputs!$E33)*2)*10000)/10000</f>
        <v>1.1412</v>
      </c>
      <c r="EG33" s="236">
        <f>RANDBETWEEN((Inputs!$E33-(Inputs!$E33-Inputs!$D33)*2)*10000,(Inputs!$E33+(Inputs!$F33-Inputs!$E33)*2)*10000)/10000</f>
        <v>0.8874</v>
      </c>
      <c r="EH33" s="236">
        <f>RANDBETWEEN((Inputs!$E33-(Inputs!$E33-Inputs!$D33)*2)*10000,(Inputs!$E33+(Inputs!$F33-Inputs!$E33)*2)*10000)/10000</f>
        <v>1.1953</v>
      </c>
      <c r="EI33" s="236">
        <f>RANDBETWEEN((Inputs!$E33-(Inputs!$E33-Inputs!$D33)*2)*10000,(Inputs!$E33+(Inputs!$F33-Inputs!$E33)*2)*10000)/10000</f>
        <v>0.5391</v>
      </c>
      <c r="EJ33" s="236">
        <f>RANDBETWEEN((Inputs!$E33-(Inputs!$E33-Inputs!$D33)*2)*10000,(Inputs!$E33+(Inputs!$F33-Inputs!$E33)*2)*10000)/10000</f>
        <v>0.4376</v>
      </c>
      <c r="EK33" s="236">
        <f>RANDBETWEEN((Inputs!$E33-(Inputs!$E33-Inputs!$D33)*2)*10000,(Inputs!$E33+(Inputs!$F33-Inputs!$E33)*2)*10000)/10000</f>
        <v>0.2507</v>
      </c>
      <c r="EL33" s="236">
        <f>RANDBETWEEN((Inputs!$E33-(Inputs!$E33-Inputs!$D33)*2)*10000,(Inputs!$E33+(Inputs!$F33-Inputs!$E33)*2)*10000)/10000</f>
        <v>0.6676</v>
      </c>
      <c r="EM33" s="236">
        <f>RANDBETWEEN((Inputs!$E33-(Inputs!$E33-Inputs!$D33)*2)*10000,(Inputs!$E33+(Inputs!$F33-Inputs!$E33)*2)*10000)/10000</f>
        <v>0.3675</v>
      </c>
      <c r="EN33" s="236">
        <f>RANDBETWEEN((Inputs!$E33-(Inputs!$E33-Inputs!$D33)*2)*10000,(Inputs!$E33+(Inputs!$F33-Inputs!$E33)*2)*10000)/10000</f>
        <v>0.7791</v>
      </c>
      <c r="EO33" s="236">
        <f>RANDBETWEEN((Inputs!$E33-(Inputs!$E33-Inputs!$D33)*2)*10000,(Inputs!$E33+(Inputs!$F33-Inputs!$E33)*2)*10000)/10000</f>
        <v>0.2139</v>
      </c>
      <c r="EP33" s="236">
        <f>RANDBETWEEN((Inputs!$E33-(Inputs!$E33-Inputs!$D33)*2)*10000,(Inputs!$E33+(Inputs!$F33-Inputs!$E33)*2)*10000)/10000</f>
        <v>0.0363</v>
      </c>
      <c r="EQ33" s="236">
        <f>RANDBETWEEN((Inputs!$E33-(Inputs!$E33-Inputs!$D33)*2)*10000,(Inputs!$E33+(Inputs!$F33-Inputs!$E33)*2)*10000)/10000</f>
        <v>0.9603</v>
      </c>
      <c r="ER33" s="236">
        <f>RANDBETWEEN((Inputs!$E33-(Inputs!$E33-Inputs!$D33)*2)*10000,(Inputs!$E33+(Inputs!$F33-Inputs!$E33)*2)*10000)/10000</f>
        <v>0.4673</v>
      </c>
      <c r="ES33" s="236">
        <f>RANDBETWEEN((Inputs!$E33-(Inputs!$E33-Inputs!$D33)*2)*10000,(Inputs!$E33+(Inputs!$F33-Inputs!$E33)*2)*10000)/10000</f>
        <v>0.6377</v>
      </c>
      <c r="ET33" s="236">
        <f>RANDBETWEEN((Inputs!$E33-(Inputs!$E33-Inputs!$D33)*2)*10000,(Inputs!$E33+(Inputs!$F33-Inputs!$E33)*2)*10000)/10000</f>
        <v>0.2288</v>
      </c>
      <c r="EU33" s="236">
        <f>RANDBETWEEN((Inputs!$E33-(Inputs!$E33-Inputs!$D33)*2)*10000,(Inputs!$E33+(Inputs!$F33-Inputs!$E33)*2)*10000)/10000</f>
        <v>0.7264</v>
      </c>
      <c r="EV33" s="236">
        <f>RANDBETWEEN((Inputs!$E33-(Inputs!$E33-Inputs!$D33)*2)*10000,(Inputs!$E33+(Inputs!$F33-Inputs!$E33)*2)*10000)/10000</f>
        <v>0.7095</v>
      </c>
      <c r="EW33" s="236">
        <f>RANDBETWEEN((Inputs!$E33-(Inputs!$E33-Inputs!$D33)*2)*10000,(Inputs!$E33+(Inputs!$F33-Inputs!$E33)*2)*10000)/10000</f>
        <v>1.1916</v>
      </c>
      <c r="EX33" s="236">
        <f>RANDBETWEEN((Inputs!$E33-(Inputs!$E33-Inputs!$D33)*2)*10000,(Inputs!$E33+(Inputs!$F33-Inputs!$E33)*2)*10000)/10000</f>
        <v>-0.0291</v>
      </c>
      <c r="EY33" s="236">
        <f>RANDBETWEEN((Inputs!$E33-(Inputs!$E33-Inputs!$D33)*2)*10000,(Inputs!$E33+(Inputs!$F33-Inputs!$E33)*2)*10000)/10000</f>
        <v>1.1698</v>
      </c>
      <c r="EZ33" s="236">
        <f>RANDBETWEEN((Inputs!$E33-(Inputs!$E33-Inputs!$D33)*2)*10000,(Inputs!$E33+(Inputs!$F33-Inputs!$E33)*2)*10000)/10000</f>
        <v>1.0612</v>
      </c>
      <c r="FA33" s="236">
        <f>RANDBETWEEN((Inputs!$E33-(Inputs!$E33-Inputs!$D33)*2)*10000,(Inputs!$E33+(Inputs!$F33-Inputs!$E33)*2)*10000)/10000</f>
        <v>1.1285</v>
      </c>
      <c r="FB33" s="236">
        <f>RANDBETWEEN((Inputs!$E33-(Inputs!$E33-Inputs!$D33)*2)*10000,(Inputs!$E33+(Inputs!$F33-Inputs!$E33)*2)*10000)/10000</f>
        <v>0.9808</v>
      </c>
      <c r="FC33" s="236">
        <f>RANDBETWEEN((Inputs!$E33-(Inputs!$E33-Inputs!$D33)*2)*10000,(Inputs!$E33+(Inputs!$F33-Inputs!$E33)*2)*10000)/10000</f>
        <v>1.11</v>
      </c>
      <c r="FD33" s="236">
        <f>RANDBETWEEN((Inputs!$E33-(Inputs!$E33-Inputs!$D33)*2)*10000,(Inputs!$E33+(Inputs!$F33-Inputs!$E33)*2)*10000)/10000</f>
        <v>0.5629</v>
      </c>
      <c r="FE33" s="236">
        <f>RANDBETWEEN((Inputs!$E33-(Inputs!$E33-Inputs!$D33)*2)*10000,(Inputs!$E33+(Inputs!$F33-Inputs!$E33)*2)*10000)/10000</f>
        <v>0.4438</v>
      </c>
      <c r="FF33" s="236">
        <f>RANDBETWEEN((Inputs!$E33-(Inputs!$E33-Inputs!$D33)*2)*10000,(Inputs!$E33+(Inputs!$F33-Inputs!$E33)*2)*10000)/10000</f>
        <v>1.2259</v>
      </c>
      <c r="FG33" s="236">
        <f>RANDBETWEEN((Inputs!$E33-(Inputs!$E33-Inputs!$D33)*2)*10000,(Inputs!$E33+(Inputs!$F33-Inputs!$E33)*2)*10000)/10000</f>
        <v>0.497</v>
      </c>
      <c r="FH33" s="236">
        <f>RANDBETWEEN((Inputs!$E33-(Inputs!$E33-Inputs!$D33)*2)*10000,(Inputs!$E33+(Inputs!$F33-Inputs!$E33)*2)*10000)/10000</f>
        <v>0.6932</v>
      </c>
      <c r="FI33" s="236">
        <f>RANDBETWEEN((Inputs!$E33-(Inputs!$E33-Inputs!$D33)*2)*10000,(Inputs!$E33+(Inputs!$F33-Inputs!$E33)*2)*10000)/10000</f>
        <v>0.4359</v>
      </c>
      <c r="FJ33" s="236">
        <f>RANDBETWEEN((Inputs!$E33-(Inputs!$E33-Inputs!$D33)*2)*10000,(Inputs!$E33+(Inputs!$F33-Inputs!$E33)*2)*10000)/10000</f>
        <v>1.2446</v>
      </c>
      <c r="FK33" s="236">
        <f>RANDBETWEEN((Inputs!$E33-(Inputs!$E33-Inputs!$D33)*2)*10000,(Inputs!$E33+(Inputs!$F33-Inputs!$E33)*2)*10000)/10000</f>
        <v>1.0752</v>
      </c>
      <c r="FL33" s="236">
        <f>RANDBETWEEN((Inputs!$E33-(Inputs!$E33-Inputs!$D33)*2)*10000,(Inputs!$E33+(Inputs!$F33-Inputs!$E33)*2)*10000)/10000</f>
        <v>0.9422</v>
      </c>
      <c r="FM33" s="236">
        <f>RANDBETWEEN((Inputs!$E33-(Inputs!$E33-Inputs!$D33)*2)*10000,(Inputs!$E33+(Inputs!$F33-Inputs!$E33)*2)*10000)/10000</f>
        <v>0.6486</v>
      </c>
      <c r="FN33" s="236">
        <f>RANDBETWEEN((Inputs!$E33-(Inputs!$E33-Inputs!$D33)*2)*10000,(Inputs!$E33+(Inputs!$F33-Inputs!$E33)*2)*10000)/10000</f>
        <v>0.3801</v>
      </c>
      <c r="FO33" s="236">
        <f>RANDBETWEEN((Inputs!$E33-(Inputs!$E33-Inputs!$D33)*2)*10000,(Inputs!$E33+(Inputs!$F33-Inputs!$E33)*2)*10000)/10000</f>
        <v>0.8963</v>
      </c>
      <c r="FP33" s="236">
        <f>RANDBETWEEN((Inputs!$E33-(Inputs!$E33-Inputs!$D33)*2)*10000,(Inputs!$E33+(Inputs!$F33-Inputs!$E33)*2)*10000)/10000</f>
        <v>0.6603</v>
      </c>
      <c r="FQ33" s="236">
        <f>RANDBETWEEN((Inputs!$E33-(Inputs!$E33-Inputs!$D33)*2)*10000,(Inputs!$E33+(Inputs!$F33-Inputs!$E33)*2)*10000)/10000</f>
        <v>0.7959</v>
      </c>
      <c r="FR33" s="236">
        <f>RANDBETWEEN((Inputs!$E33-(Inputs!$E33-Inputs!$D33)*2)*10000,(Inputs!$E33+(Inputs!$F33-Inputs!$E33)*2)*10000)/10000</f>
        <v>1.165</v>
      </c>
      <c r="FS33" s="236">
        <f>RANDBETWEEN((Inputs!$E33-(Inputs!$E33-Inputs!$D33)*2)*10000,(Inputs!$E33+(Inputs!$F33-Inputs!$E33)*2)*10000)/10000</f>
        <v>0.1114</v>
      </c>
      <c r="FT33" s="236">
        <f>RANDBETWEEN((Inputs!$E33-(Inputs!$E33-Inputs!$D33)*2)*10000,(Inputs!$E33+(Inputs!$F33-Inputs!$E33)*2)*10000)/10000</f>
        <v>0.5866</v>
      </c>
      <c r="FU33" s="236">
        <f>RANDBETWEEN((Inputs!$E33-(Inputs!$E33-Inputs!$D33)*2)*10000,(Inputs!$E33+(Inputs!$F33-Inputs!$E33)*2)*10000)/10000</f>
        <v>0.9614</v>
      </c>
      <c r="FV33" s="236">
        <f>RANDBETWEEN((Inputs!$E33-(Inputs!$E33-Inputs!$D33)*2)*10000,(Inputs!$E33+(Inputs!$F33-Inputs!$E33)*2)*10000)/10000</f>
        <v>0.7691</v>
      </c>
      <c r="FW33" s="236">
        <f>RANDBETWEEN((Inputs!$E33-(Inputs!$E33-Inputs!$D33)*2)*10000,(Inputs!$E33+(Inputs!$F33-Inputs!$E33)*2)*10000)/10000</f>
        <v>0.587</v>
      </c>
      <c r="FX33" s="236">
        <f>RANDBETWEEN((Inputs!$E33-(Inputs!$E33-Inputs!$D33)*2)*10000,(Inputs!$E33+(Inputs!$F33-Inputs!$E33)*2)*10000)/10000</f>
        <v>0.103</v>
      </c>
      <c r="FY33" s="236">
        <f>RANDBETWEEN((Inputs!$E33-(Inputs!$E33-Inputs!$D33)*2)*10000,(Inputs!$E33+(Inputs!$F33-Inputs!$E33)*2)*10000)/10000</f>
        <v>-0.05</v>
      </c>
      <c r="FZ33" s="236">
        <f>RANDBETWEEN((Inputs!$E33-(Inputs!$E33-Inputs!$D33)*2)*10000,(Inputs!$E33+(Inputs!$F33-Inputs!$E33)*2)*10000)/10000</f>
        <v>-0.0364</v>
      </c>
      <c r="GA33" s="236">
        <f>RANDBETWEEN((Inputs!$E33-(Inputs!$E33-Inputs!$D33)*2)*10000,(Inputs!$E33+(Inputs!$F33-Inputs!$E33)*2)*10000)/10000</f>
        <v>1.2476</v>
      </c>
      <c r="GB33" s="236">
        <f>RANDBETWEEN((Inputs!$E33-(Inputs!$E33-Inputs!$D33)*2)*10000,(Inputs!$E33+(Inputs!$F33-Inputs!$E33)*2)*10000)/10000</f>
        <v>1.2334</v>
      </c>
      <c r="GC33" s="236">
        <f>RANDBETWEEN((Inputs!$E33-(Inputs!$E33-Inputs!$D33)*2)*10000,(Inputs!$E33+(Inputs!$F33-Inputs!$E33)*2)*10000)/10000</f>
        <v>0.3693</v>
      </c>
      <c r="GD33" s="236">
        <f>RANDBETWEEN((Inputs!$E33-(Inputs!$E33-Inputs!$D33)*2)*10000,(Inputs!$E33+(Inputs!$F33-Inputs!$E33)*2)*10000)/10000</f>
        <v>0.5107</v>
      </c>
      <c r="GE33" s="236">
        <f>RANDBETWEEN((Inputs!$E33-(Inputs!$E33-Inputs!$D33)*2)*10000,(Inputs!$E33+(Inputs!$F33-Inputs!$E33)*2)*10000)/10000</f>
        <v>-0.0314</v>
      </c>
      <c r="GF33" s="236">
        <f>RANDBETWEEN((Inputs!$E33-(Inputs!$E33-Inputs!$D33)*2)*10000,(Inputs!$E33+(Inputs!$F33-Inputs!$E33)*2)*10000)/10000</f>
        <v>0.9579</v>
      </c>
      <c r="GG33" s="236">
        <f>RANDBETWEEN((Inputs!$E33-(Inputs!$E33-Inputs!$D33)*2)*10000,(Inputs!$E33+(Inputs!$F33-Inputs!$E33)*2)*10000)/10000</f>
        <v>0.2136</v>
      </c>
      <c r="GH33" s="236">
        <f>RANDBETWEEN((Inputs!$E33-(Inputs!$E33-Inputs!$D33)*2)*10000,(Inputs!$E33+(Inputs!$F33-Inputs!$E33)*2)*10000)/10000</f>
        <v>1.1416</v>
      </c>
      <c r="GI33" s="236">
        <f>RANDBETWEEN((Inputs!$E33-(Inputs!$E33-Inputs!$D33)*2)*10000,(Inputs!$E33+(Inputs!$F33-Inputs!$E33)*2)*10000)/10000</f>
        <v>0.7693</v>
      </c>
      <c r="GJ33" s="236">
        <f>RANDBETWEEN((Inputs!$E33-(Inputs!$E33-Inputs!$D33)*2)*10000,(Inputs!$E33+(Inputs!$F33-Inputs!$E33)*2)*10000)/10000</f>
        <v>0.9725</v>
      </c>
      <c r="GK33" s="236">
        <f>RANDBETWEEN((Inputs!$E33-(Inputs!$E33-Inputs!$D33)*2)*10000,(Inputs!$E33+(Inputs!$F33-Inputs!$E33)*2)*10000)/10000</f>
        <v>0.5864</v>
      </c>
      <c r="GL33" s="236">
        <f>RANDBETWEEN((Inputs!$E33-(Inputs!$E33-Inputs!$D33)*2)*10000,(Inputs!$E33+(Inputs!$F33-Inputs!$E33)*2)*10000)/10000</f>
        <v>0.4078</v>
      </c>
      <c r="GM33" s="236">
        <f>RANDBETWEEN((Inputs!$E33-(Inputs!$E33-Inputs!$D33)*2)*10000,(Inputs!$E33+(Inputs!$F33-Inputs!$E33)*2)*10000)/10000</f>
        <v>1.224</v>
      </c>
      <c r="GN33" s="236">
        <f>RANDBETWEEN((Inputs!$E33-(Inputs!$E33-Inputs!$D33)*2)*10000,(Inputs!$E33+(Inputs!$F33-Inputs!$E33)*2)*10000)/10000</f>
        <v>1.164</v>
      </c>
      <c r="GO33" s="236">
        <f>RANDBETWEEN((Inputs!$E33-(Inputs!$E33-Inputs!$D33)*2)*10000,(Inputs!$E33+(Inputs!$F33-Inputs!$E33)*2)*10000)/10000</f>
        <v>0.2837</v>
      </c>
      <c r="GP33" s="236">
        <f>RANDBETWEEN((Inputs!$E33-(Inputs!$E33-Inputs!$D33)*2)*10000,(Inputs!$E33+(Inputs!$F33-Inputs!$E33)*2)*10000)/10000</f>
        <v>0.729</v>
      </c>
      <c r="GQ33" s="236">
        <f>RANDBETWEEN((Inputs!$E33-(Inputs!$E33-Inputs!$D33)*2)*10000,(Inputs!$E33+(Inputs!$F33-Inputs!$E33)*2)*10000)/10000</f>
        <v>1.0633</v>
      </c>
      <c r="GR33" s="236">
        <f>RANDBETWEEN((Inputs!$E33-(Inputs!$E33-Inputs!$D33)*2)*10000,(Inputs!$E33+(Inputs!$F33-Inputs!$E33)*2)*10000)/10000</f>
        <v>0.7759</v>
      </c>
      <c r="GS33" s="236">
        <f>RANDBETWEEN((Inputs!$E33-(Inputs!$E33-Inputs!$D33)*2)*10000,(Inputs!$E33+(Inputs!$F33-Inputs!$E33)*2)*10000)/10000</f>
        <v>0.7097</v>
      </c>
      <c r="GT33" s="236">
        <f>RANDBETWEEN((Inputs!$E33-(Inputs!$E33-Inputs!$D33)*2)*10000,(Inputs!$E33+(Inputs!$F33-Inputs!$E33)*2)*10000)/10000</f>
        <v>0.3937</v>
      </c>
      <c r="GU33" s="236">
        <f>RANDBETWEEN((Inputs!$E33-(Inputs!$E33-Inputs!$D33)*2)*10000,(Inputs!$E33+(Inputs!$F33-Inputs!$E33)*2)*10000)/10000</f>
        <v>0.5122</v>
      </c>
      <c r="GV33" s="236">
        <f>RANDBETWEEN((Inputs!$E33-(Inputs!$E33-Inputs!$D33)*2)*10000,(Inputs!$E33+(Inputs!$F33-Inputs!$E33)*2)*10000)/10000</f>
        <v>0.9688</v>
      </c>
      <c r="GW33" s="236">
        <f>RANDBETWEEN((Inputs!$E33-(Inputs!$E33-Inputs!$D33)*2)*10000,(Inputs!$E33+(Inputs!$F33-Inputs!$E33)*2)*10000)/10000</f>
        <v>0.45</v>
      </c>
      <c r="GX33" s="236">
        <f>RANDBETWEEN((Inputs!$E33-(Inputs!$E33-Inputs!$D33)*2)*10000,(Inputs!$E33+(Inputs!$F33-Inputs!$E33)*2)*10000)/10000</f>
        <v>0.0139</v>
      </c>
      <c r="GY33" s="236">
        <f>RANDBETWEEN((Inputs!$E33-(Inputs!$E33-Inputs!$D33)*2)*10000,(Inputs!$E33+(Inputs!$F33-Inputs!$E33)*2)*10000)/10000</f>
        <v>0.7757</v>
      </c>
      <c r="GZ33" s="236">
        <f>RANDBETWEEN((Inputs!$E33-(Inputs!$E33-Inputs!$D33)*2)*10000,(Inputs!$E33+(Inputs!$F33-Inputs!$E33)*2)*10000)/10000</f>
        <v>0.3742</v>
      </c>
      <c r="HA33" s="236">
        <f>RANDBETWEEN((Inputs!$E33-(Inputs!$E33-Inputs!$D33)*2)*10000,(Inputs!$E33+(Inputs!$F33-Inputs!$E33)*2)*10000)/10000</f>
        <v>-0.0553</v>
      </c>
      <c r="HB33" s="236">
        <f>RANDBETWEEN((Inputs!$E33-(Inputs!$E33-Inputs!$D33)*2)*10000,(Inputs!$E33+(Inputs!$F33-Inputs!$E33)*2)*10000)/10000</f>
        <v>1.0341</v>
      </c>
      <c r="HC33" s="236">
        <f>RANDBETWEEN((Inputs!$E33-(Inputs!$E33-Inputs!$D33)*2)*10000,(Inputs!$E33+(Inputs!$F33-Inputs!$E33)*2)*10000)/10000</f>
        <v>1.0211</v>
      </c>
      <c r="HD33" s="236">
        <f>RANDBETWEEN((Inputs!$E33-(Inputs!$E33-Inputs!$D33)*2)*10000,(Inputs!$E33+(Inputs!$F33-Inputs!$E33)*2)*10000)/10000</f>
        <v>-0.0083</v>
      </c>
      <c r="HE33" s="236">
        <f>RANDBETWEEN((Inputs!$E33-(Inputs!$E33-Inputs!$D33)*2)*10000,(Inputs!$E33+(Inputs!$F33-Inputs!$E33)*2)*10000)/10000</f>
        <v>0.7247</v>
      </c>
      <c r="HF33" s="236">
        <f>RANDBETWEEN((Inputs!$E33-(Inputs!$E33-Inputs!$D33)*2)*10000,(Inputs!$E33+(Inputs!$F33-Inputs!$E33)*2)*10000)/10000</f>
        <v>0.0297</v>
      </c>
      <c r="HG33" s="236">
        <f>RANDBETWEEN((Inputs!$E33-(Inputs!$E33-Inputs!$D33)*2)*10000,(Inputs!$E33+(Inputs!$F33-Inputs!$E33)*2)*10000)/10000</f>
        <v>-0.0392</v>
      </c>
      <c r="HH33" s="236">
        <f>RANDBETWEEN((Inputs!$E33-(Inputs!$E33-Inputs!$D33)*2)*10000,(Inputs!$E33+(Inputs!$F33-Inputs!$E33)*2)*10000)/10000</f>
        <v>0.9055</v>
      </c>
      <c r="HI33" s="236">
        <f>RANDBETWEEN((Inputs!$E33-(Inputs!$E33-Inputs!$D33)*2)*10000,(Inputs!$E33+(Inputs!$F33-Inputs!$E33)*2)*10000)/10000</f>
        <v>-0.0402</v>
      </c>
      <c r="HJ33" s="236">
        <f>RANDBETWEEN((Inputs!$E33-(Inputs!$E33-Inputs!$D33)*2)*10000,(Inputs!$E33+(Inputs!$F33-Inputs!$E33)*2)*10000)/10000</f>
        <v>0.5333</v>
      </c>
      <c r="HK33" s="236">
        <f>RANDBETWEEN((Inputs!$E33-(Inputs!$E33-Inputs!$D33)*2)*10000,(Inputs!$E33+(Inputs!$F33-Inputs!$E33)*2)*10000)/10000</f>
        <v>0.2438</v>
      </c>
      <c r="HL33" s="236">
        <f>RANDBETWEEN((Inputs!$E33-(Inputs!$E33-Inputs!$D33)*2)*10000,(Inputs!$E33+(Inputs!$F33-Inputs!$E33)*2)*10000)/10000</f>
        <v>-0.005</v>
      </c>
      <c r="HM33" s="236">
        <f>RANDBETWEEN((Inputs!$E33-(Inputs!$E33-Inputs!$D33)*2)*10000,(Inputs!$E33+(Inputs!$F33-Inputs!$E33)*2)*10000)/10000</f>
        <v>0.774</v>
      </c>
      <c r="HN33" s="236">
        <f>RANDBETWEEN((Inputs!$E33-(Inputs!$E33-Inputs!$D33)*2)*10000,(Inputs!$E33+(Inputs!$F33-Inputs!$E33)*2)*10000)/10000</f>
        <v>0.0935</v>
      </c>
      <c r="HO33" s="236">
        <f>RANDBETWEEN((Inputs!$E33-(Inputs!$E33-Inputs!$D33)*2)*10000,(Inputs!$E33+(Inputs!$F33-Inputs!$E33)*2)*10000)/10000</f>
        <v>0.1471</v>
      </c>
      <c r="HP33" s="236">
        <f>RANDBETWEEN((Inputs!$E33-(Inputs!$E33-Inputs!$D33)*2)*10000,(Inputs!$E33+(Inputs!$F33-Inputs!$E33)*2)*10000)/10000</f>
        <v>0.4064</v>
      </c>
      <c r="HQ33" s="236">
        <f>RANDBETWEEN((Inputs!$E33-(Inputs!$E33-Inputs!$D33)*2)*10000,(Inputs!$E33+(Inputs!$F33-Inputs!$E33)*2)*10000)/10000</f>
        <v>0.0786</v>
      </c>
      <c r="HR33" s="236">
        <f>RANDBETWEEN((Inputs!$E33-(Inputs!$E33-Inputs!$D33)*2)*10000,(Inputs!$E33+(Inputs!$F33-Inputs!$E33)*2)*10000)/10000</f>
        <v>0.4587</v>
      </c>
      <c r="HS33" s="236">
        <f>RANDBETWEEN((Inputs!$E33-(Inputs!$E33-Inputs!$D33)*2)*10000,(Inputs!$E33+(Inputs!$F33-Inputs!$E33)*2)*10000)/10000</f>
        <v>0.209</v>
      </c>
      <c r="HT33" s="236">
        <f>RANDBETWEEN((Inputs!$E33-(Inputs!$E33-Inputs!$D33)*2)*10000,(Inputs!$E33+(Inputs!$F33-Inputs!$E33)*2)*10000)/10000</f>
        <v>0.9176</v>
      </c>
      <c r="HU33" s="236">
        <f>RANDBETWEEN((Inputs!$E33-(Inputs!$E33-Inputs!$D33)*2)*10000,(Inputs!$E33+(Inputs!$F33-Inputs!$E33)*2)*10000)/10000</f>
        <v>0.3059</v>
      </c>
      <c r="HV33" s="236">
        <f>RANDBETWEEN((Inputs!$E33-(Inputs!$E33-Inputs!$D33)*2)*10000,(Inputs!$E33+(Inputs!$F33-Inputs!$E33)*2)*10000)/10000</f>
        <v>0.5733</v>
      </c>
      <c r="HW33" s="236">
        <f>RANDBETWEEN((Inputs!$E33-(Inputs!$E33-Inputs!$D33)*2)*10000,(Inputs!$E33+(Inputs!$F33-Inputs!$E33)*2)*10000)/10000</f>
        <v>0.6978</v>
      </c>
      <c r="HX33" s="236">
        <f>RANDBETWEEN((Inputs!$E33-(Inputs!$E33-Inputs!$D33)*2)*10000,(Inputs!$E33+(Inputs!$F33-Inputs!$E33)*2)*10000)/10000</f>
        <v>0.2313</v>
      </c>
      <c r="HY33" s="236">
        <f>RANDBETWEEN((Inputs!$E33-(Inputs!$E33-Inputs!$D33)*2)*10000,(Inputs!$E33+(Inputs!$F33-Inputs!$E33)*2)*10000)/10000</f>
        <v>-0.0305</v>
      </c>
      <c r="HZ33" s="236">
        <f>RANDBETWEEN((Inputs!$E33-(Inputs!$E33-Inputs!$D33)*2)*10000,(Inputs!$E33+(Inputs!$F33-Inputs!$E33)*2)*10000)/10000</f>
        <v>0.7291</v>
      </c>
      <c r="IA33" s="236">
        <f>RANDBETWEEN((Inputs!$E33-(Inputs!$E33-Inputs!$D33)*2)*10000,(Inputs!$E33+(Inputs!$F33-Inputs!$E33)*2)*10000)/10000</f>
        <v>-0.0323</v>
      </c>
      <c r="IB33" s="236">
        <f>RANDBETWEEN((Inputs!$E33-(Inputs!$E33-Inputs!$D33)*2)*10000,(Inputs!$E33+(Inputs!$F33-Inputs!$E33)*2)*10000)/10000</f>
        <v>0.5017</v>
      </c>
      <c r="IC33" s="236">
        <f>RANDBETWEEN((Inputs!$E33-(Inputs!$E33-Inputs!$D33)*2)*10000,(Inputs!$E33+(Inputs!$F33-Inputs!$E33)*2)*10000)/10000</f>
        <v>0.2188</v>
      </c>
      <c r="ID33" s="236">
        <f>RANDBETWEEN((Inputs!$E33-(Inputs!$E33-Inputs!$D33)*2)*10000,(Inputs!$E33+(Inputs!$F33-Inputs!$E33)*2)*10000)/10000</f>
        <v>1.1565</v>
      </c>
      <c r="IE33" s="236">
        <f>RANDBETWEEN((Inputs!$E33-(Inputs!$E33-Inputs!$D33)*2)*10000,(Inputs!$E33+(Inputs!$F33-Inputs!$E33)*2)*10000)/10000</f>
        <v>1.0914</v>
      </c>
      <c r="IF33" s="236">
        <f>RANDBETWEEN((Inputs!$E33-(Inputs!$E33-Inputs!$D33)*2)*10000,(Inputs!$E33+(Inputs!$F33-Inputs!$E33)*2)*10000)/10000</f>
        <v>1.2108</v>
      </c>
      <c r="IG33" s="236">
        <f>RANDBETWEEN((Inputs!$E33-(Inputs!$E33-Inputs!$D33)*2)*10000,(Inputs!$E33+(Inputs!$F33-Inputs!$E33)*2)*10000)/10000</f>
        <v>1.0619</v>
      </c>
      <c r="IH33" s="236">
        <f>RANDBETWEEN((Inputs!$E33-(Inputs!$E33-Inputs!$D33)*2)*10000,(Inputs!$E33+(Inputs!$F33-Inputs!$E33)*2)*10000)/10000</f>
        <v>0.3834</v>
      </c>
      <c r="II33" s="236">
        <f>RANDBETWEEN((Inputs!$E33-(Inputs!$E33-Inputs!$D33)*2)*10000,(Inputs!$E33+(Inputs!$F33-Inputs!$E33)*2)*10000)/10000</f>
        <v>1.2473</v>
      </c>
      <c r="IJ33" s="236">
        <f>RANDBETWEEN((Inputs!$E33-(Inputs!$E33-Inputs!$D33)*2)*10000,(Inputs!$E33+(Inputs!$F33-Inputs!$E33)*2)*10000)/10000</f>
        <v>0.2491</v>
      </c>
      <c r="IK33" s="236">
        <f>RANDBETWEEN((Inputs!$E33-(Inputs!$E33-Inputs!$D33)*2)*10000,(Inputs!$E33+(Inputs!$F33-Inputs!$E33)*2)*10000)/10000</f>
        <v>1.1852</v>
      </c>
      <c r="IL33" s="236">
        <f>RANDBETWEEN((Inputs!$E33-(Inputs!$E33-Inputs!$D33)*2)*10000,(Inputs!$E33+(Inputs!$F33-Inputs!$E33)*2)*10000)/10000</f>
        <v>0.7393</v>
      </c>
      <c r="IM33" s="236">
        <f>RANDBETWEEN((Inputs!$E33-(Inputs!$E33-Inputs!$D33)*2)*10000,(Inputs!$E33+(Inputs!$F33-Inputs!$E33)*2)*10000)/10000</f>
        <v>0.6003</v>
      </c>
      <c r="IN33" s="236">
        <f>RANDBETWEEN((Inputs!$E33-(Inputs!$E33-Inputs!$D33)*2)*10000,(Inputs!$E33+(Inputs!$F33-Inputs!$E33)*2)*10000)/10000</f>
        <v>0.3726</v>
      </c>
      <c r="IO33" s="236">
        <f>RANDBETWEEN((Inputs!$E33-(Inputs!$E33-Inputs!$D33)*2)*10000,(Inputs!$E33+(Inputs!$F33-Inputs!$E33)*2)*10000)/10000</f>
        <v>0.8881</v>
      </c>
      <c r="IP33" s="236">
        <f>RANDBETWEEN((Inputs!$E33-(Inputs!$E33-Inputs!$D33)*2)*10000,(Inputs!$E33+(Inputs!$F33-Inputs!$E33)*2)*10000)/10000</f>
        <v>1.1731</v>
      </c>
      <c r="IQ33" s="236">
        <f>RANDBETWEEN((Inputs!$E33-(Inputs!$E33-Inputs!$D33)*2)*10000,(Inputs!$E33+(Inputs!$F33-Inputs!$E33)*2)*10000)/10000</f>
        <v>0.4361</v>
      </c>
      <c r="IR33" s="236">
        <f>RANDBETWEEN((Inputs!$E33-(Inputs!$E33-Inputs!$D33)*2)*10000,(Inputs!$E33+(Inputs!$F33-Inputs!$E33)*2)*10000)/10000</f>
        <v>0.9753</v>
      </c>
      <c r="IS33" s="236">
        <f>RANDBETWEEN((Inputs!$E33-(Inputs!$E33-Inputs!$D33)*2)*10000,(Inputs!$E33+(Inputs!$F33-Inputs!$E33)*2)*10000)/10000</f>
        <v>0.6342</v>
      </c>
      <c r="IT33" s="236">
        <f>RANDBETWEEN((Inputs!$E33-(Inputs!$E33-Inputs!$D33)*2)*10000,(Inputs!$E33+(Inputs!$F33-Inputs!$E33)*2)*10000)/10000</f>
        <v>0.1078</v>
      </c>
      <c r="IU33" s="236">
        <f>RANDBETWEEN((Inputs!$E33-(Inputs!$E33-Inputs!$D33)*2)*10000,(Inputs!$E33+(Inputs!$F33-Inputs!$E33)*2)*10000)/10000</f>
        <v>0.3733</v>
      </c>
      <c r="IV33" s="236">
        <f>RANDBETWEEN((Inputs!$E33-(Inputs!$E33-Inputs!$D33)*2)*10000,(Inputs!$E33+(Inputs!$F33-Inputs!$E33)*2)*10000)/10000</f>
        <v>0.699</v>
      </c>
      <c r="IW33" s="236">
        <f>RANDBETWEEN((Inputs!$E33-(Inputs!$E33-Inputs!$D33)*2)*10000,(Inputs!$E33+(Inputs!$F33-Inputs!$E33)*2)*10000)/10000</f>
        <v>-0.0401</v>
      </c>
      <c r="IX33" s="236">
        <f>RANDBETWEEN((Inputs!$E33-(Inputs!$E33-Inputs!$D33)*2)*10000,(Inputs!$E33+(Inputs!$F33-Inputs!$E33)*2)*10000)/10000</f>
        <v>0.7971</v>
      </c>
      <c r="IY33" s="236">
        <f>RANDBETWEEN((Inputs!$E33-(Inputs!$E33-Inputs!$D33)*2)*10000,(Inputs!$E33+(Inputs!$F33-Inputs!$E33)*2)*10000)/10000</f>
        <v>1.1082</v>
      </c>
      <c r="IZ33" s="236">
        <f>RANDBETWEEN((Inputs!$E33-(Inputs!$E33-Inputs!$D33)*2)*10000,(Inputs!$E33+(Inputs!$F33-Inputs!$E33)*2)*10000)/10000</f>
        <v>0.6002</v>
      </c>
      <c r="JA33" s="236">
        <f>RANDBETWEEN((Inputs!$E33-(Inputs!$E33-Inputs!$D33)*2)*10000,(Inputs!$E33+(Inputs!$F33-Inputs!$E33)*2)*10000)/10000</f>
        <v>-0.0129</v>
      </c>
      <c r="JB33" s="236">
        <f>RANDBETWEEN((Inputs!$E33-(Inputs!$E33-Inputs!$D33)*2)*10000,(Inputs!$E33+(Inputs!$F33-Inputs!$E33)*2)*10000)/10000</f>
        <v>0.9906</v>
      </c>
      <c r="JC33" s="236">
        <f>RANDBETWEEN((Inputs!$E33-(Inputs!$E33-Inputs!$D33)*2)*10000,(Inputs!$E33+(Inputs!$F33-Inputs!$E33)*2)*10000)/10000</f>
        <v>0.0589</v>
      </c>
      <c r="JD33" s="236">
        <f>RANDBETWEEN((Inputs!$E33-(Inputs!$E33-Inputs!$D33)*2)*10000,(Inputs!$E33+(Inputs!$F33-Inputs!$E33)*2)*10000)/10000</f>
        <v>0.5219</v>
      </c>
      <c r="JE33" s="236">
        <f>RANDBETWEEN((Inputs!$E33-(Inputs!$E33-Inputs!$D33)*2)*10000,(Inputs!$E33+(Inputs!$F33-Inputs!$E33)*2)*10000)/10000</f>
        <v>0.1996</v>
      </c>
      <c r="JF33" s="236">
        <f>RANDBETWEEN((Inputs!$E33-(Inputs!$E33-Inputs!$D33)*2)*10000,(Inputs!$E33+(Inputs!$F33-Inputs!$E33)*2)*10000)/10000</f>
        <v>1.2005</v>
      </c>
      <c r="JG33" s="236">
        <f>RANDBETWEEN((Inputs!$E33-(Inputs!$E33-Inputs!$D33)*2)*10000,(Inputs!$E33+(Inputs!$F33-Inputs!$E33)*2)*10000)/10000</f>
        <v>1.1119</v>
      </c>
      <c r="JH33" s="236">
        <f>RANDBETWEEN((Inputs!$E33-(Inputs!$E33-Inputs!$D33)*2)*10000,(Inputs!$E33+(Inputs!$F33-Inputs!$E33)*2)*10000)/10000</f>
        <v>0.5422</v>
      </c>
      <c r="JI33" s="236">
        <f>RANDBETWEEN((Inputs!$E33-(Inputs!$E33-Inputs!$D33)*2)*10000,(Inputs!$E33+(Inputs!$F33-Inputs!$E33)*2)*10000)/10000</f>
        <v>0.0109</v>
      </c>
      <c r="JJ33" s="236">
        <f>RANDBETWEEN((Inputs!$E33-(Inputs!$E33-Inputs!$D33)*2)*10000,(Inputs!$E33+(Inputs!$F33-Inputs!$E33)*2)*10000)/10000</f>
        <v>0.6748</v>
      </c>
      <c r="JK33" s="236">
        <f>RANDBETWEEN((Inputs!$E33-(Inputs!$E33-Inputs!$D33)*2)*10000,(Inputs!$E33+(Inputs!$F33-Inputs!$E33)*2)*10000)/10000</f>
        <v>1.2366</v>
      </c>
      <c r="JL33" s="236">
        <f>RANDBETWEEN((Inputs!$E33-(Inputs!$E33-Inputs!$D33)*2)*10000,(Inputs!$E33+(Inputs!$F33-Inputs!$E33)*2)*10000)/10000</f>
        <v>0.7708</v>
      </c>
      <c r="JM33" s="236">
        <f>RANDBETWEEN((Inputs!$E33-(Inputs!$E33-Inputs!$D33)*2)*10000,(Inputs!$E33+(Inputs!$F33-Inputs!$E33)*2)*10000)/10000</f>
        <v>0.6745</v>
      </c>
      <c r="JN33" s="236">
        <f>RANDBETWEEN((Inputs!$E33-(Inputs!$E33-Inputs!$D33)*2)*10000,(Inputs!$E33+(Inputs!$F33-Inputs!$E33)*2)*10000)/10000</f>
        <v>0.9365</v>
      </c>
      <c r="JO33" s="236">
        <f>RANDBETWEEN((Inputs!$E33-(Inputs!$E33-Inputs!$D33)*2)*10000,(Inputs!$E33+(Inputs!$F33-Inputs!$E33)*2)*10000)/10000</f>
        <v>0.973</v>
      </c>
      <c r="JP33" s="236">
        <f>RANDBETWEEN((Inputs!$E33-(Inputs!$E33-Inputs!$D33)*2)*10000,(Inputs!$E33+(Inputs!$F33-Inputs!$E33)*2)*10000)/10000</f>
        <v>1.0141</v>
      </c>
      <c r="JQ33" s="236">
        <f>RANDBETWEEN((Inputs!$E33-(Inputs!$E33-Inputs!$D33)*2)*10000,(Inputs!$E33+(Inputs!$F33-Inputs!$E33)*2)*10000)/10000</f>
        <v>0.7633</v>
      </c>
      <c r="JR33" s="236">
        <f>RANDBETWEEN((Inputs!$E33-(Inputs!$E33-Inputs!$D33)*2)*10000,(Inputs!$E33+(Inputs!$F33-Inputs!$E33)*2)*10000)/10000</f>
        <v>0.1839</v>
      </c>
      <c r="JS33" s="236">
        <f>RANDBETWEEN((Inputs!$E33-(Inputs!$E33-Inputs!$D33)*2)*10000,(Inputs!$E33+(Inputs!$F33-Inputs!$E33)*2)*10000)/10000</f>
        <v>1.2123</v>
      </c>
      <c r="JT33" s="236">
        <f>RANDBETWEEN((Inputs!$E33-(Inputs!$E33-Inputs!$D33)*2)*10000,(Inputs!$E33+(Inputs!$F33-Inputs!$E33)*2)*10000)/10000</f>
        <v>-0.0256</v>
      </c>
      <c r="JU33" s="236">
        <f>RANDBETWEEN((Inputs!$E33-(Inputs!$E33-Inputs!$D33)*2)*10000,(Inputs!$E33+(Inputs!$F33-Inputs!$E33)*2)*10000)/10000</f>
        <v>0.6734</v>
      </c>
      <c r="JV33" s="236">
        <f>RANDBETWEEN((Inputs!$E33-(Inputs!$E33-Inputs!$D33)*2)*10000,(Inputs!$E33+(Inputs!$F33-Inputs!$E33)*2)*10000)/10000</f>
        <v>0.3141</v>
      </c>
      <c r="JW33" s="236">
        <f>RANDBETWEEN((Inputs!$E33-(Inputs!$E33-Inputs!$D33)*2)*10000,(Inputs!$E33+(Inputs!$F33-Inputs!$E33)*2)*10000)/10000</f>
        <v>0.1739</v>
      </c>
      <c r="JX33" s="236">
        <f>RANDBETWEEN((Inputs!$E33-(Inputs!$E33-Inputs!$D33)*2)*10000,(Inputs!$E33+(Inputs!$F33-Inputs!$E33)*2)*10000)/10000</f>
        <v>0.1696</v>
      </c>
      <c r="JY33" s="236">
        <f>RANDBETWEEN((Inputs!$E33-(Inputs!$E33-Inputs!$D33)*2)*10000,(Inputs!$E33+(Inputs!$F33-Inputs!$E33)*2)*10000)/10000</f>
        <v>0.4936</v>
      </c>
      <c r="JZ33" s="236">
        <f>RANDBETWEEN((Inputs!$E33-(Inputs!$E33-Inputs!$D33)*2)*10000,(Inputs!$E33+(Inputs!$F33-Inputs!$E33)*2)*10000)/10000</f>
        <v>0.79</v>
      </c>
      <c r="KA33" s="236">
        <f>RANDBETWEEN((Inputs!$E33-(Inputs!$E33-Inputs!$D33)*2)*10000,(Inputs!$E33+(Inputs!$F33-Inputs!$E33)*2)*10000)/10000</f>
        <v>0.6647</v>
      </c>
      <c r="KB33" s="236">
        <f>RANDBETWEEN((Inputs!$E33-(Inputs!$E33-Inputs!$D33)*2)*10000,(Inputs!$E33+(Inputs!$F33-Inputs!$E33)*2)*10000)/10000</f>
        <v>0.0501</v>
      </c>
      <c r="KC33" s="236">
        <f>RANDBETWEEN((Inputs!$E33-(Inputs!$E33-Inputs!$D33)*2)*10000,(Inputs!$E33+(Inputs!$F33-Inputs!$E33)*2)*10000)/10000</f>
        <v>0.6954</v>
      </c>
      <c r="KD33" s="236">
        <f>RANDBETWEEN((Inputs!$E33-(Inputs!$E33-Inputs!$D33)*2)*10000,(Inputs!$E33+(Inputs!$F33-Inputs!$E33)*2)*10000)/10000</f>
        <v>0.8693</v>
      </c>
      <c r="KE33" s="236">
        <f>RANDBETWEEN((Inputs!$E33-(Inputs!$E33-Inputs!$D33)*2)*10000,(Inputs!$E33+(Inputs!$F33-Inputs!$E33)*2)*10000)/10000</f>
        <v>1.0014</v>
      </c>
      <c r="KF33" s="236">
        <f>RANDBETWEEN((Inputs!$E33-(Inputs!$E33-Inputs!$D33)*2)*10000,(Inputs!$E33+(Inputs!$F33-Inputs!$E33)*2)*10000)/10000</f>
        <v>0.4967</v>
      </c>
      <c r="KG33" s="236">
        <f>RANDBETWEEN((Inputs!$E33-(Inputs!$E33-Inputs!$D33)*2)*10000,(Inputs!$E33+(Inputs!$F33-Inputs!$E33)*2)*10000)/10000</f>
        <v>0.0739</v>
      </c>
      <c r="KH33" s="236">
        <f>RANDBETWEEN((Inputs!$E33-(Inputs!$E33-Inputs!$D33)*2)*10000,(Inputs!$E33+(Inputs!$F33-Inputs!$E33)*2)*10000)/10000</f>
        <v>0.9192</v>
      </c>
      <c r="KI33" s="236">
        <f>RANDBETWEEN((Inputs!$E33-(Inputs!$E33-Inputs!$D33)*2)*10000,(Inputs!$E33+(Inputs!$F33-Inputs!$E33)*2)*10000)/10000</f>
        <v>0.1197</v>
      </c>
      <c r="KJ33" s="236">
        <f>RANDBETWEEN((Inputs!$E33-(Inputs!$E33-Inputs!$D33)*2)*10000,(Inputs!$E33+(Inputs!$F33-Inputs!$E33)*2)*10000)/10000</f>
        <v>0.0443</v>
      </c>
      <c r="KK33" s="236">
        <f>RANDBETWEEN((Inputs!$E33-(Inputs!$E33-Inputs!$D33)*2)*10000,(Inputs!$E33+(Inputs!$F33-Inputs!$E33)*2)*10000)/10000</f>
        <v>0.1696</v>
      </c>
      <c r="KL33" s="236">
        <f>RANDBETWEEN((Inputs!$E33-(Inputs!$E33-Inputs!$D33)*2)*10000,(Inputs!$E33+(Inputs!$F33-Inputs!$E33)*2)*10000)/10000</f>
        <v>0.823</v>
      </c>
      <c r="KM33" s="236">
        <f>RANDBETWEEN((Inputs!$E33-(Inputs!$E33-Inputs!$D33)*2)*10000,(Inputs!$E33+(Inputs!$F33-Inputs!$E33)*2)*10000)/10000</f>
        <v>0.3843</v>
      </c>
      <c r="KN33" s="236">
        <f>RANDBETWEEN((Inputs!$E33-(Inputs!$E33-Inputs!$D33)*2)*10000,(Inputs!$E33+(Inputs!$F33-Inputs!$E33)*2)*10000)/10000</f>
        <v>1.1076</v>
      </c>
      <c r="KO33" s="236">
        <f>RANDBETWEEN((Inputs!$E33-(Inputs!$E33-Inputs!$D33)*2)*10000,(Inputs!$E33+(Inputs!$F33-Inputs!$E33)*2)*10000)/10000</f>
        <v>0.0647</v>
      </c>
      <c r="KP33" s="236">
        <f>RANDBETWEEN((Inputs!$E33-(Inputs!$E33-Inputs!$D33)*2)*10000,(Inputs!$E33+(Inputs!$F33-Inputs!$E33)*2)*10000)/10000</f>
        <v>0.5619</v>
      </c>
      <c r="KQ33" s="236">
        <f>RANDBETWEEN((Inputs!$E33-(Inputs!$E33-Inputs!$D33)*2)*10000,(Inputs!$E33+(Inputs!$F33-Inputs!$E33)*2)*10000)/10000</f>
        <v>0.1588</v>
      </c>
      <c r="KR33" s="236">
        <f>RANDBETWEEN((Inputs!$E33-(Inputs!$E33-Inputs!$D33)*2)*10000,(Inputs!$E33+(Inputs!$F33-Inputs!$E33)*2)*10000)/10000</f>
        <v>0.196</v>
      </c>
      <c r="KS33" s="236">
        <f>RANDBETWEEN((Inputs!$E33-(Inputs!$E33-Inputs!$D33)*2)*10000,(Inputs!$E33+(Inputs!$F33-Inputs!$E33)*2)*10000)/10000</f>
        <v>0.295</v>
      </c>
      <c r="KT33" s="236">
        <f>RANDBETWEEN((Inputs!$E33-(Inputs!$E33-Inputs!$D33)*2)*10000,(Inputs!$E33+(Inputs!$F33-Inputs!$E33)*2)*10000)/10000</f>
        <v>0.403</v>
      </c>
      <c r="KU33" s="236">
        <f>RANDBETWEEN((Inputs!$E33-(Inputs!$E33-Inputs!$D33)*2)*10000,(Inputs!$E33+(Inputs!$F33-Inputs!$E33)*2)*10000)/10000</f>
        <v>0.6327</v>
      </c>
      <c r="KV33" s="236">
        <f>RANDBETWEEN((Inputs!$E33-(Inputs!$E33-Inputs!$D33)*2)*10000,(Inputs!$E33+(Inputs!$F33-Inputs!$E33)*2)*10000)/10000</f>
        <v>1.102</v>
      </c>
      <c r="KW33" s="236">
        <f>RANDBETWEEN((Inputs!$E33-(Inputs!$E33-Inputs!$D33)*2)*10000,(Inputs!$E33+(Inputs!$F33-Inputs!$E33)*2)*10000)/10000</f>
        <v>0.2889</v>
      </c>
      <c r="KX33" s="236">
        <f>RANDBETWEEN((Inputs!$E33-(Inputs!$E33-Inputs!$D33)*2)*10000,(Inputs!$E33+(Inputs!$F33-Inputs!$E33)*2)*10000)/10000</f>
        <v>0.8279</v>
      </c>
      <c r="KY33" s="236">
        <f>RANDBETWEEN((Inputs!$E33-(Inputs!$E33-Inputs!$D33)*2)*10000,(Inputs!$E33+(Inputs!$F33-Inputs!$E33)*2)*10000)/10000</f>
        <v>0.7995</v>
      </c>
      <c r="KZ33" s="236">
        <f>RANDBETWEEN((Inputs!$E33-(Inputs!$E33-Inputs!$D33)*2)*10000,(Inputs!$E33+(Inputs!$F33-Inputs!$E33)*2)*10000)/10000</f>
        <v>0.7469</v>
      </c>
      <c r="LA33" s="236">
        <f>RANDBETWEEN((Inputs!$E33-(Inputs!$E33-Inputs!$D33)*2)*10000,(Inputs!$E33+(Inputs!$F33-Inputs!$E33)*2)*10000)/10000</f>
        <v>0.9199</v>
      </c>
      <c r="LB33" s="236">
        <f>RANDBETWEEN((Inputs!$E33-(Inputs!$E33-Inputs!$D33)*2)*10000,(Inputs!$E33+(Inputs!$F33-Inputs!$E33)*2)*10000)/10000</f>
        <v>0.8749</v>
      </c>
      <c r="LC33" s="236">
        <f>RANDBETWEEN((Inputs!$E33-(Inputs!$E33-Inputs!$D33)*2)*10000,(Inputs!$E33+(Inputs!$F33-Inputs!$E33)*2)*10000)/10000</f>
        <v>0.36</v>
      </c>
      <c r="LD33" s="236">
        <f>RANDBETWEEN((Inputs!$E33-(Inputs!$E33-Inputs!$D33)*2)*10000,(Inputs!$E33+(Inputs!$F33-Inputs!$E33)*2)*10000)/10000</f>
        <v>1.2323</v>
      </c>
      <c r="LE33" s="236">
        <f>RANDBETWEEN((Inputs!$E33-(Inputs!$E33-Inputs!$D33)*2)*10000,(Inputs!$E33+(Inputs!$F33-Inputs!$E33)*2)*10000)/10000</f>
        <v>0.2386</v>
      </c>
      <c r="LF33" s="236">
        <f>RANDBETWEEN((Inputs!$E33-(Inputs!$E33-Inputs!$D33)*2)*10000,(Inputs!$E33+(Inputs!$F33-Inputs!$E33)*2)*10000)/10000</f>
        <v>1.136</v>
      </c>
      <c r="LG33" s="236">
        <f>RANDBETWEEN((Inputs!$E33-(Inputs!$E33-Inputs!$D33)*2)*10000,(Inputs!$E33+(Inputs!$F33-Inputs!$E33)*2)*10000)/10000</f>
        <v>1.0929</v>
      </c>
      <c r="LH33" s="236">
        <f>RANDBETWEEN((Inputs!$E33-(Inputs!$E33-Inputs!$D33)*2)*10000,(Inputs!$E33+(Inputs!$F33-Inputs!$E33)*2)*10000)/10000</f>
        <v>0.0513</v>
      </c>
      <c r="LI33" s="236">
        <f>RANDBETWEEN((Inputs!$E33-(Inputs!$E33-Inputs!$D33)*2)*10000,(Inputs!$E33+(Inputs!$F33-Inputs!$E33)*2)*10000)/10000</f>
        <v>0.5097</v>
      </c>
      <c r="LJ33" s="236">
        <f>RANDBETWEEN((Inputs!$E33-(Inputs!$E33-Inputs!$D33)*2)*10000,(Inputs!$E33+(Inputs!$F33-Inputs!$E33)*2)*10000)/10000</f>
        <v>1.2563</v>
      </c>
      <c r="LK33" s="236">
        <f>RANDBETWEEN((Inputs!$E33-(Inputs!$E33-Inputs!$D33)*2)*10000,(Inputs!$E33+(Inputs!$F33-Inputs!$E33)*2)*10000)/10000</f>
        <v>1.1209</v>
      </c>
      <c r="LL33" s="236">
        <f>RANDBETWEEN((Inputs!$E33-(Inputs!$E33-Inputs!$D33)*2)*10000,(Inputs!$E33+(Inputs!$F33-Inputs!$E33)*2)*10000)/10000</f>
        <v>0.6685</v>
      </c>
      <c r="LM33" s="236">
        <f>RANDBETWEEN((Inputs!$E33-(Inputs!$E33-Inputs!$D33)*2)*10000,(Inputs!$E33+(Inputs!$F33-Inputs!$E33)*2)*10000)/10000</f>
        <v>0.2893</v>
      </c>
      <c r="LN33" s="236">
        <f>RANDBETWEEN((Inputs!$E33-(Inputs!$E33-Inputs!$D33)*2)*10000,(Inputs!$E33+(Inputs!$F33-Inputs!$E33)*2)*10000)/10000</f>
        <v>0.8204</v>
      </c>
      <c r="LO33" s="236">
        <f>RANDBETWEEN((Inputs!$E33-(Inputs!$E33-Inputs!$D33)*2)*10000,(Inputs!$E33+(Inputs!$F33-Inputs!$E33)*2)*10000)/10000</f>
        <v>0.3165</v>
      </c>
      <c r="LP33" s="236">
        <f>RANDBETWEEN((Inputs!$E33-(Inputs!$E33-Inputs!$D33)*2)*10000,(Inputs!$E33+(Inputs!$F33-Inputs!$E33)*2)*10000)/10000</f>
        <v>0.8277</v>
      </c>
      <c r="LQ33" s="236">
        <f>RANDBETWEEN((Inputs!$E33-(Inputs!$E33-Inputs!$D33)*2)*10000,(Inputs!$E33+(Inputs!$F33-Inputs!$E33)*2)*10000)/10000</f>
        <v>0.6633</v>
      </c>
      <c r="LR33" s="236">
        <f>RANDBETWEEN((Inputs!$E33-(Inputs!$E33-Inputs!$D33)*2)*10000,(Inputs!$E33+(Inputs!$F33-Inputs!$E33)*2)*10000)/10000</f>
        <v>0.9824</v>
      </c>
      <c r="LS33" s="236">
        <f>RANDBETWEEN((Inputs!$E33-(Inputs!$E33-Inputs!$D33)*2)*10000,(Inputs!$E33+(Inputs!$F33-Inputs!$E33)*2)*10000)/10000</f>
        <v>0.9454</v>
      </c>
      <c r="LT33" s="236">
        <f>RANDBETWEEN((Inputs!$E33-(Inputs!$E33-Inputs!$D33)*2)*10000,(Inputs!$E33+(Inputs!$F33-Inputs!$E33)*2)*10000)/10000</f>
        <v>0.5106</v>
      </c>
      <c r="LU33" s="236">
        <f>RANDBETWEEN((Inputs!$E33-(Inputs!$E33-Inputs!$D33)*2)*10000,(Inputs!$E33+(Inputs!$F33-Inputs!$E33)*2)*10000)/10000</f>
        <v>0.0652</v>
      </c>
      <c r="LV33" s="236">
        <f>RANDBETWEEN((Inputs!$E33-(Inputs!$E33-Inputs!$D33)*2)*10000,(Inputs!$E33+(Inputs!$F33-Inputs!$E33)*2)*10000)/10000</f>
        <v>0.383</v>
      </c>
      <c r="LW33" s="236">
        <f>RANDBETWEEN((Inputs!$E33-(Inputs!$E33-Inputs!$D33)*2)*10000,(Inputs!$E33+(Inputs!$F33-Inputs!$E33)*2)*10000)/10000</f>
        <v>1.1478</v>
      </c>
      <c r="LX33" s="236">
        <f>RANDBETWEEN((Inputs!$E33-(Inputs!$E33-Inputs!$D33)*2)*10000,(Inputs!$E33+(Inputs!$F33-Inputs!$E33)*2)*10000)/10000</f>
        <v>0.7268</v>
      </c>
      <c r="LY33" s="236">
        <f>RANDBETWEEN((Inputs!$E33-(Inputs!$E33-Inputs!$D33)*2)*10000,(Inputs!$E33+(Inputs!$F33-Inputs!$E33)*2)*10000)/10000</f>
        <v>1.1256</v>
      </c>
      <c r="LZ33" s="236">
        <f>RANDBETWEEN((Inputs!$E33-(Inputs!$E33-Inputs!$D33)*2)*10000,(Inputs!$E33+(Inputs!$F33-Inputs!$E33)*2)*10000)/10000</f>
        <v>-0.045</v>
      </c>
      <c r="MA33" s="236">
        <f>RANDBETWEEN((Inputs!$E33-(Inputs!$E33-Inputs!$D33)*2)*10000,(Inputs!$E33+(Inputs!$F33-Inputs!$E33)*2)*10000)/10000</f>
        <v>0.4014</v>
      </c>
      <c r="MB33" s="236">
        <f>RANDBETWEEN((Inputs!$E33-(Inputs!$E33-Inputs!$D33)*2)*10000,(Inputs!$E33+(Inputs!$F33-Inputs!$E33)*2)*10000)/10000</f>
        <v>0.9471</v>
      </c>
      <c r="MC33" s="236">
        <f>RANDBETWEEN((Inputs!$E33-(Inputs!$E33-Inputs!$D33)*2)*10000,(Inputs!$E33+(Inputs!$F33-Inputs!$E33)*2)*10000)/10000</f>
        <v>1.1893</v>
      </c>
      <c r="MD33" s="236">
        <f>RANDBETWEEN((Inputs!$E33-(Inputs!$E33-Inputs!$D33)*2)*10000,(Inputs!$E33+(Inputs!$F33-Inputs!$E33)*2)*10000)/10000</f>
        <v>0.5919</v>
      </c>
      <c r="ME33" s="236">
        <f>RANDBETWEEN((Inputs!$E33-(Inputs!$E33-Inputs!$D33)*2)*10000,(Inputs!$E33+(Inputs!$F33-Inputs!$E33)*2)*10000)/10000</f>
        <v>1.0166</v>
      </c>
      <c r="MF33" s="236">
        <f>RANDBETWEEN((Inputs!$E33-(Inputs!$E33-Inputs!$D33)*2)*10000,(Inputs!$E33+(Inputs!$F33-Inputs!$E33)*2)*10000)/10000</f>
        <v>0.4772</v>
      </c>
      <c r="MG33" s="236">
        <f>RANDBETWEEN((Inputs!$E33-(Inputs!$E33-Inputs!$D33)*2)*10000,(Inputs!$E33+(Inputs!$F33-Inputs!$E33)*2)*10000)/10000</f>
        <v>0.6174</v>
      </c>
      <c r="MH33" s="236">
        <f>RANDBETWEEN((Inputs!$E33-(Inputs!$E33-Inputs!$D33)*2)*10000,(Inputs!$E33+(Inputs!$F33-Inputs!$E33)*2)*10000)/10000</f>
        <v>0.9434</v>
      </c>
      <c r="MI33" s="236">
        <f>RANDBETWEEN((Inputs!$E33-(Inputs!$E33-Inputs!$D33)*2)*10000,(Inputs!$E33+(Inputs!$F33-Inputs!$E33)*2)*10000)/10000</f>
        <v>0.9482</v>
      </c>
      <c r="MJ33" s="236">
        <f>RANDBETWEEN((Inputs!$E33-(Inputs!$E33-Inputs!$D33)*2)*10000,(Inputs!$E33+(Inputs!$F33-Inputs!$E33)*2)*10000)/10000</f>
        <v>0.4066</v>
      </c>
      <c r="MK33" s="236">
        <f>RANDBETWEEN((Inputs!$E33-(Inputs!$E33-Inputs!$D33)*2)*10000,(Inputs!$E33+(Inputs!$F33-Inputs!$E33)*2)*10000)/10000</f>
        <v>0.8645</v>
      </c>
      <c r="ML33" s="236">
        <f>RANDBETWEEN((Inputs!$E33-(Inputs!$E33-Inputs!$D33)*2)*10000,(Inputs!$E33+(Inputs!$F33-Inputs!$E33)*2)*10000)/10000</f>
        <v>0.5979</v>
      </c>
      <c r="MM33" s="236">
        <f>RANDBETWEEN((Inputs!$E33-(Inputs!$E33-Inputs!$D33)*2)*10000,(Inputs!$E33+(Inputs!$F33-Inputs!$E33)*2)*10000)/10000</f>
        <v>0.4015</v>
      </c>
      <c r="MN33" s="236">
        <f>RANDBETWEEN((Inputs!$E33-(Inputs!$E33-Inputs!$D33)*2)*10000,(Inputs!$E33+(Inputs!$F33-Inputs!$E33)*2)*10000)/10000</f>
        <v>1.1624</v>
      </c>
      <c r="MO33" s="236">
        <f>RANDBETWEEN((Inputs!$E33-(Inputs!$E33-Inputs!$D33)*2)*10000,(Inputs!$E33+(Inputs!$F33-Inputs!$E33)*2)*10000)/10000</f>
        <v>0.6498</v>
      </c>
      <c r="MP33" s="236">
        <f>RANDBETWEEN((Inputs!$E33-(Inputs!$E33-Inputs!$D33)*2)*10000,(Inputs!$E33+(Inputs!$F33-Inputs!$E33)*2)*10000)/10000</f>
        <v>1.1514</v>
      </c>
      <c r="MQ33" s="236">
        <f>RANDBETWEEN((Inputs!$E33-(Inputs!$E33-Inputs!$D33)*2)*10000,(Inputs!$E33+(Inputs!$F33-Inputs!$E33)*2)*10000)/10000</f>
        <v>0.7507</v>
      </c>
      <c r="MR33" s="236">
        <f>RANDBETWEEN((Inputs!$E33-(Inputs!$E33-Inputs!$D33)*2)*10000,(Inputs!$E33+(Inputs!$F33-Inputs!$E33)*2)*10000)/10000</f>
        <v>0.101</v>
      </c>
      <c r="MS33" s="236">
        <f>RANDBETWEEN((Inputs!$E33-(Inputs!$E33-Inputs!$D33)*2)*10000,(Inputs!$E33+(Inputs!$F33-Inputs!$E33)*2)*10000)/10000</f>
        <v>0.0175</v>
      </c>
      <c r="MT33" s="236">
        <f>RANDBETWEEN((Inputs!$E33-(Inputs!$E33-Inputs!$D33)*2)*10000,(Inputs!$E33+(Inputs!$F33-Inputs!$E33)*2)*10000)/10000</f>
        <v>0.5277</v>
      </c>
      <c r="MU33" s="236">
        <f>RANDBETWEEN((Inputs!$E33-(Inputs!$E33-Inputs!$D33)*2)*10000,(Inputs!$E33+(Inputs!$F33-Inputs!$E33)*2)*10000)/10000</f>
        <v>0.4088</v>
      </c>
      <c r="MV33" s="236">
        <f>RANDBETWEEN((Inputs!$E33-(Inputs!$E33-Inputs!$D33)*2)*10000,(Inputs!$E33+(Inputs!$F33-Inputs!$E33)*2)*10000)/10000</f>
        <v>0.7928</v>
      </c>
      <c r="MW33" s="236">
        <f>RANDBETWEEN((Inputs!$E33-(Inputs!$E33-Inputs!$D33)*2)*10000,(Inputs!$E33+(Inputs!$F33-Inputs!$E33)*2)*10000)/10000</f>
        <v>0.5843</v>
      </c>
      <c r="MX33" s="236">
        <f>RANDBETWEEN((Inputs!$E33-(Inputs!$E33-Inputs!$D33)*2)*10000,(Inputs!$E33+(Inputs!$F33-Inputs!$E33)*2)*10000)/10000</f>
        <v>1.0152</v>
      </c>
      <c r="MY33" s="236">
        <f>RANDBETWEEN((Inputs!$E33-(Inputs!$E33-Inputs!$D33)*2)*10000,(Inputs!$E33+(Inputs!$F33-Inputs!$E33)*2)*10000)/10000</f>
        <v>0.0583</v>
      </c>
      <c r="MZ33" s="236">
        <f>RANDBETWEEN((Inputs!$E33-(Inputs!$E33-Inputs!$D33)*2)*10000,(Inputs!$E33+(Inputs!$F33-Inputs!$E33)*2)*10000)/10000</f>
        <v>0.5289</v>
      </c>
      <c r="NA33" s="236">
        <f>RANDBETWEEN((Inputs!$E33-(Inputs!$E33-Inputs!$D33)*2)*10000,(Inputs!$E33+(Inputs!$F33-Inputs!$E33)*2)*10000)/10000</f>
        <v>1.231</v>
      </c>
      <c r="NB33" s="236">
        <f>RANDBETWEEN((Inputs!$E33-(Inputs!$E33-Inputs!$D33)*2)*10000,(Inputs!$E33+(Inputs!$F33-Inputs!$E33)*2)*10000)/10000</f>
        <v>1.1462</v>
      </c>
      <c r="NC33" s="236">
        <f>RANDBETWEEN((Inputs!$E33-(Inputs!$E33-Inputs!$D33)*2)*10000,(Inputs!$E33+(Inputs!$F33-Inputs!$E33)*2)*10000)/10000</f>
        <v>0.5782</v>
      </c>
      <c r="ND33" s="236">
        <f>RANDBETWEEN((Inputs!$E33-(Inputs!$E33-Inputs!$D33)*2)*10000,(Inputs!$E33+(Inputs!$F33-Inputs!$E33)*2)*10000)/10000</f>
        <v>0.6643</v>
      </c>
      <c r="NE33" s="236">
        <f>RANDBETWEEN((Inputs!$E33-(Inputs!$E33-Inputs!$D33)*2)*10000,(Inputs!$E33+(Inputs!$F33-Inputs!$E33)*2)*10000)/10000</f>
        <v>0.2463</v>
      </c>
      <c r="NF33" s="236">
        <f>RANDBETWEEN((Inputs!$E33-(Inputs!$E33-Inputs!$D33)*2)*10000,(Inputs!$E33+(Inputs!$F33-Inputs!$E33)*2)*10000)/10000</f>
        <v>0.5487</v>
      </c>
      <c r="NG33" s="236">
        <f>RANDBETWEEN((Inputs!$E33-(Inputs!$E33-Inputs!$D33)*2)*10000,(Inputs!$E33+(Inputs!$F33-Inputs!$E33)*2)*10000)/10000</f>
        <v>0.8588</v>
      </c>
      <c r="NH33" s="236">
        <f>RANDBETWEEN((Inputs!$E33-(Inputs!$E33-Inputs!$D33)*2)*10000,(Inputs!$E33+(Inputs!$F33-Inputs!$E33)*2)*10000)/10000</f>
        <v>0.5958</v>
      </c>
      <c r="NI33" s="236">
        <f>RANDBETWEEN((Inputs!$E33-(Inputs!$E33-Inputs!$D33)*2)*10000,(Inputs!$E33+(Inputs!$F33-Inputs!$E33)*2)*10000)/10000</f>
        <v>1.0591</v>
      </c>
      <c r="NJ33" s="236">
        <f>RANDBETWEEN((Inputs!$E33-(Inputs!$E33-Inputs!$D33)*2)*10000,(Inputs!$E33+(Inputs!$F33-Inputs!$E33)*2)*10000)/10000</f>
        <v>0.1067</v>
      </c>
      <c r="NK33" s="236">
        <f>RANDBETWEEN((Inputs!$E33-(Inputs!$E33-Inputs!$D33)*2)*10000,(Inputs!$E33+(Inputs!$F33-Inputs!$E33)*2)*10000)/10000</f>
        <v>0.2753</v>
      </c>
      <c r="NL33" s="236">
        <f>RANDBETWEEN((Inputs!$E33-(Inputs!$E33-Inputs!$D33)*2)*10000,(Inputs!$E33+(Inputs!$F33-Inputs!$E33)*2)*10000)/10000</f>
        <v>0.6471</v>
      </c>
      <c r="NM33" s="236">
        <f>RANDBETWEEN((Inputs!$E33-(Inputs!$E33-Inputs!$D33)*2)*10000,(Inputs!$E33+(Inputs!$F33-Inputs!$E33)*2)*10000)/10000</f>
        <v>0.3321</v>
      </c>
      <c r="NN33" s="236">
        <f>RANDBETWEEN((Inputs!$E33-(Inputs!$E33-Inputs!$D33)*2)*10000,(Inputs!$E33+(Inputs!$F33-Inputs!$E33)*2)*10000)/10000</f>
        <v>0.0821</v>
      </c>
      <c r="NO33" s="236">
        <f>RANDBETWEEN((Inputs!$E33-(Inputs!$E33-Inputs!$D33)*2)*10000,(Inputs!$E33+(Inputs!$F33-Inputs!$E33)*2)*10000)/10000</f>
        <v>0.369</v>
      </c>
      <c r="NP33" s="236">
        <f>RANDBETWEEN((Inputs!$E33-(Inputs!$E33-Inputs!$D33)*2)*10000,(Inputs!$E33+(Inputs!$F33-Inputs!$E33)*2)*10000)/10000</f>
        <v>1.1001</v>
      </c>
      <c r="NQ33" s="236">
        <f>RANDBETWEEN((Inputs!$E33-(Inputs!$E33-Inputs!$D33)*2)*10000,(Inputs!$E33+(Inputs!$F33-Inputs!$E33)*2)*10000)/10000</f>
        <v>0.1278</v>
      </c>
      <c r="NR33" s="236">
        <f>RANDBETWEEN((Inputs!$E33-(Inputs!$E33-Inputs!$D33)*2)*10000,(Inputs!$E33+(Inputs!$F33-Inputs!$E33)*2)*10000)/10000</f>
        <v>0.4803</v>
      </c>
      <c r="NS33" s="236">
        <f>RANDBETWEEN((Inputs!$E33-(Inputs!$E33-Inputs!$D33)*2)*10000,(Inputs!$E33+(Inputs!$F33-Inputs!$E33)*2)*10000)/10000</f>
        <v>0.7541</v>
      </c>
      <c r="NT33" s="236">
        <f>RANDBETWEEN((Inputs!$E33-(Inputs!$E33-Inputs!$D33)*2)*10000,(Inputs!$E33+(Inputs!$F33-Inputs!$E33)*2)*10000)/10000</f>
        <v>1.1586</v>
      </c>
      <c r="NU33" s="236">
        <f>RANDBETWEEN((Inputs!$E33-(Inputs!$E33-Inputs!$D33)*2)*10000,(Inputs!$E33+(Inputs!$F33-Inputs!$E33)*2)*10000)/10000</f>
        <v>0.4181</v>
      </c>
      <c r="NV33" s="236">
        <f>RANDBETWEEN((Inputs!$E33-(Inputs!$E33-Inputs!$D33)*2)*10000,(Inputs!$E33+(Inputs!$F33-Inputs!$E33)*2)*10000)/10000</f>
        <v>0.1274</v>
      </c>
      <c r="NW33" s="236">
        <f>RANDBETWEEN((Inputs!$E33-(Inputs!$E33-Inputs!$D33)*2)*10000,(Inputs!$E33+(Inputs!$F33-Inputs!$E33)*2)*10000)/10000</f>
        <v>0.6946</v>
      </c>
      <c r="NX33" s="236">
        <f>RANDBETWEEN((Inputs!$E33-(Inputs!$E33-Inputs!$D33)*2)*10000,(Inputs!$E33+(Inputs!$F33-Inputs!$E33)*2)*10000)/10000</f>
        <v>0.1423</v>
      </c>
      <c r="NY33" s="236">
        <f>RANDBETWEEN((Inputs!$E33-(Inputs!$E33-Inputs!$D33)*2)*10000,(Inputs!$E33+(Inputs!$F33-Inputs!$E33)*2)*10000)/10000</f>
        <v>0.638</v>
      </c>
      <c r="NZ33" s="236">
        <f>RANDBETWEEN((Inputs!$E33-(Inputs!$E33-Inputs!$D33)*2)*10000,(Inputs!$E33+(Inputs!$F33-Inputs!$E33)*2)*10000)/10000</f>
        <v>0.0648</v>
      </c>
      <c r="OA33" s="236">
        <f>RANDBETWEEN((Inputs!$E33-(Inputs!$E33-Inputs!$D33)*2)*10000,(Inputs!$E33+(Inputs!$F33-Inputs!$E33)*2)*10000)/10000</f>
        <v>0.0292</v>
      </c>
      <c r="OB33" s="236">
        <f>RANDBETWEEN((Inputs!$E33-(Inputs!$E33-Inputs!$D33)*2)*10000,(Inputs!$E33+(Inputs!$F33-Inputs!$E33)*2)*10000)/10000</f>
        <v>0.8615</v>
      </c>
      <c r="OC33" s="236">
        <f>RANDBETWEEN((Inputs!$E33-(Inputs!$E33-Inputs!$D33)*2)*10000,(Inputs!$E33+(Inputs!$F33-Inputs!$E33)*2)*10000)/10000</f>
        <v>-0.0084</v>
      </c>
      <c r="OD33" s="236">
        <f>RANDBETWEEN((Inputs!$E33-(Inputs!$E33-Inputs!$D33)*2)*10000,(Inputs!$E33+(Inputs!$F33-Inputs!$E33)*2)*10000)/10000</f>
        <v>0.7181</v>
      </c>
      <c r="OE33" s="236">
        <f>RANDBETWEEN((Inputs!$E33-(Inputs!$E33-Inputs!$D33)*2)*10000,(Inputs!$E33+(Inputs!$F33-Inputs!$E33)*2)*10000)/10000</f>
        <v>0.5604</v>
      </c>
      <c r="OF33" s="236">
        <f>RANDBETWEEN((Inputs!$E33-(Inputs!$E33-Inputs!$D33)*2)*10000,(Inputs!$E33+(Inputs!$F33-Inputs!$E33)*2)*10000)/10000</f>
        <v>0.0264</v>
      </c>
      <c r="OG33" s="236">
        <f>RANDBETWEEN((Inputs!$E33-(Inputs!$E33-Inputs!$D33)*2)*10000,(Inputs!$E33+(Inputs!$F33-Inputs!$E33)*2)*10000)/10000</f>
        <v>0.8117</v>
      </c>
      <c r="OH33" s="236">
        <f>RANDBETWEEN((Inputs!$E33-(Inputs!$E33-Inputs!$D33)*2)*10000,(Inputs!$E33+(Inputs!$F33-Inputs!$E33)*2)*10000)/10000</f>
        <v>0.2639</v>
      </c>
      <c r="OI33" s="236">
        <f>RANDBETWEEN((Inputs!$E33-(Inputs!$E33-Inputs!$D33)*2)*10000,(Inputs!$E33+(Inputs!$F33-Inputs!$E33)*2)*10000)/10000</f>
        <v>0.7419</v>
      </c>
      <c r="OJ33" s="236">
        <f>RANDBETWEEN((Inputs!$E33-(Inputs!$E33-Inputs!$D33)*2)*10000,(Inputs!$E33+(Inputs!$F33-Inputs!$E33)*2)*10000)/10000</f>
        <v>0.5817</v>
      </c>
      <c r="OK33" s="236">
        <f>RANDBETWEEN((Inputs!$E33-(Inputs!$E33-Inputs!$D33)*2)*10000,(Inputs!$E33+(Inputs!$F33-Inputs!$E33)*2)*10000)/10000</f>
        <v>0.333</v>
      </c>
      <c r="OL33" s="236">
        <f>RANDBETWEEN((Inputs!$E33-(Inputs!$E33-Inputs!$D33)*2)*10000,(Inputs!$E33+(Inputs!$F33-Inputs!$E33)*2)*10000)/10000</f>
        <v>0.8975</v>
      </c>
      <c r="OM33" s="236">
        <f>RANDBETWEEN((Inputs!$E33-(Inputs!$E33-Inputs!$D33)*2)*10000,(Inputs!$E33+(Inputs!$F33-Inputs!$E33)*2)*10000)/10000</f>
        <v>0.023</v>
      </c>
      <c r="ON33" s="236">
        <f>RANDBETWEEN((Inputs!$E33-(Inputs!$E33-Inputs!$D33)*2)*10000,(Inputs!$E33+(Inputs!$F33-Inputs!$E33)*2)*10000)/10000</f>
        <v>0.6696</v>
      </c>
      <c r="OO33" s="236">
        <f>RANDBETWEEN((Inputs!$E33-(Inputs!$E33-Inputs!$D33)*2)*10000,(Inputs!$E33+(Inputs!$F33-Inputs!$E33)*2)*10000)/10000</f>
        <v>0.119</v>
      </c>
      <c r="OP33" s="236">
        <f>RANDBETWEEN((Inputs!$E33-(Inputs!$E33-Inputs!$D33)*2)*10000,(Inputs!$E33+(Inputs!$F33-Inputs!$E33)*2)*10000)/10000</f>
        <v>1.0563</v>
      </c>
      <c r="OQ33" s="236">
        <f>RANDBETWEEN((Inputs!$E33-(Inputs!$E33-Inputs!$D33)*2)*10000,(Inputs!$E33+(Inputs!$F33-Inputs!$E33)*2)*10000)/10000</f>
        <v>0.0594</v>
      </c>
      <c r="OR33" s="236">
        <f>RANDBETWEEN((Inputs!$E33-(Inputs!$E33-Inputs!$D33)*2)*10000,(Inputs!$E33+(Inputs!$F33-Inputs!$E33)*2)*10000)/10000</f>
        <v>0.5079</v>
      </c>
      <c r="OS33" s="236">
        <f>RANDBETWEEN((Inputs!$E33-(Inputs!$E33-Inputs!$D33)*2)*10000,(Inputs!$E33+(Inputs!$F33-Inputs!$E33)*2)*10000)/10000</f>
        <v>0.1275</v>
      </c>
      <c r="OT33" s="236">
        <f>RANDBETWEEN((Inputs!$E33-(Inputs!$E33-Inputs!$D33)*2)*10000,(Inputs!$E33+(Inputs!$F33-Inputs!$E33)*2)*10000)/10000</f>
        <v>0.6821</v>
      </c>
      <c r="OU33" s="236">
        <f>RANDBETWEEN((Inputs!$E33-(Inputs!$E33-Inputs!$D33)*2)*10000,(Inputs!$E33+(Inputs!$F33-Inputs!$E33)*2)*10000)/10000</f>
        <v>0.5666</v>
      </c>
      <c r="OV33" s="236">
        <f>RANDBETWEEN((Inputs!$E33-(Inputs!$E33-Inputs!$D33)*2)*10000,(Inputs!$E33+(Inputs!$F33-Inputs!$E33)*2)*10000)/10000</f>
        <v>1.0703</v>
      </c>
      <c r="OW33" s="236">
        <f>RANDBETWEEN((Inputs!$E33-(Inputs!$E33-Inputs!$D33)*2)*10000,(Inputs!$E33+(Inputs!$F33-Inputs!$E33)*2)*10000)/10000</f>
        <v>0.4077</v>
      </c>
      <c r="OX33" s="236">
        <f>RANDBETWEEN((Inputs!$E33-(Inputs!$E33-Inputs!$D33)*2)*10000,(Inputs!$E33+(Inputs!$F33-Inputs!$E33)*2)*10000)/10000</f>
        <v>0.3861</v>
      </c>
      <c r="OY33" s="236">
        <f>RANDBETWEEN((Inputs!$E33-(Inputs!$E33-Inputs!$D33)*2)*10000,(Inputs!$E33+(Inputs!$F33-Inputs!$E33)*2)*10000)/10000</f>
        <v>0.9317</v>
      </c>
      <c r="OZ33" s="236">
        <f>RANDBETWEEN((Inputs!$E33-(Inputs!$E33-Inputs!$D33)*2)*10000,(Inputs!$E33+(Inputs!$F33-Inputs!$E33)*2)*10000)/10000</f>
        <v>0.5067</v>
      </c>
      <c r="PA33" s="236">
        <f>RANDBETWEEN((Inputs!$E33-(Inputs!$E33-Inputs!$D33)*2)*10000,(Inputs!$E33+(Inputs!$F33-Inputs!$E33)*2)*10000)/10000</f>
        <v>0.4561</v>
      </c>
      <c r="PB33" s="236">
        <f>RANDBETWEEN((Inputs!$E33-(Inputs!$E33-Inputs!$D33)*2)*10000,(Inputs!$E33+(Inputs!$F33-Inputs!$E33)*2)*10000)/10000</f>
        <v>0.2336</v>
      </c>
      <c r="PC33" s="236">
        <f>RANDBETWEEN((Inputs!$E33-(Inputs!$E33-Inputs!$D33)*2)*10000,(Inputs!$E33+(Inputs!$F33-Inputs!$E33)*2)*10000)/10000</f>
        <v>0.4758</v>
      </c>
      <c r="PD33" s="236">
        <f>RANDBETWEEN((Inputs!$E33-(Inputs!$E33-Inputs!$D33)*2)*10000,(Inputs!$E33+(Inputs!$F33-Inputs!$E33)*2)*10000)/10000</f>
        <v>0.3506</v>
      </c>
      <c r="PE33" s="236">
        <f>RANDBETWEEN((Inputs!$E33-(Inputs!$E33-Inputs!$D33)*2)*10000,(Inputs!$E33+(Inputs!$F33-Inputs!$E33)*2)*10000)/10000</f>
        <v>0.2704</v>
      </c>
      <c r="PF33" s="236">
        <f>RANDBETWEEN((Inputs!$E33-(Inputs!$E33-Inputs!$D33)*2)*10000,(Inputs!$E33+(Inputs!$F33-Inputs!$E33)*2)*10000)/10000</f>
        <v>0.7946</v>
      </c>
      <c r="PG33" s="236">
        <f>RANDBETWEEN((Inputs!$E33-(Inputs!$E33-Inputs!$D33)*2)*10000,(Inputs!$E33+(Inputs!$F33-Inputs!$E33)*2)*10000)/10000</f>
        <v>1.2039</v>
      </c>
      <c r="PH33" s="236">
        <f>RANDBETWEEN((Inputs!$E33-(Inputs!$E33-Inputs!$D33)*2)*10000,(Inputs!$E33+(Inputs!$F33-Inputs!$E33)*2)*10000)/10000</f>
        <v>0.5155</v>
      </c>
      <c r="PI33" s="236">
        <f>RANDBETWEEN((Inputs!$E33-(Inputs!$E33-Inputs!$D33)*2)*10000,(Inputs!$E33+(Inputs!$F33-Inputs!$E33)*2)*10000)/10000</f>
        <v>0.8256</v>
      </c>
      <c r="PJ33" s="236">
        <f>RANDBETWEEN((Inputs!$E33-(Inputs!$E33-Inputs!$D33)*2)*10000,(Inputs!$E33+(Inputs!$F33-Inputs!$E33)*2)*10000)/10000</f>
        <v>0.548</v>
      </c>
      <c r="PK33" s="236">
        <f>RANDBETWEEN((Inputs!$E33-(Inputs!$E33-Inputs!$D33)*2)*10000,(Inputs!$E33+(Inputs!$F33-Inputs!$E33)*2)*10000)/10000</f>
        <v>0.2244</v>
      </c>
      <c r="PL33" s="236">
        <f>RANDBETWEEN((Inputs!$E33-(Inputs!$E33-Inputs!$D33)*2)*10000,(Inputs!$E33+(Inputs!$F33-Inputs!$E33)*2)*10000)/10000</f>
        <v>0.783</v>
      </c>
      <c r="PM33" s="236">
        <f>RANDBETWEEN((Inputs!$E33-(Inputs!$E33-Inputs!$D33)*2)*10000,(Inputs!$E33+(Inputs!$F33-Inputs!$E33)*2)*10000)/10000</f>
        <v>0.1143</v>
      </c>
      <c r="PN33" s="236">
        <f>RANDBETWEEN((Inputs!$E33-(Inputs!$E33-Inputs!$D33)*2)*10000,(Inputs!$E33+(Inputs!$F33-Inputs!$E33)*2)*10000)/10000</f>
        <v>0.0437</v>
      </c>
      <c r="PO33" s="236">
        <f>RANDBETWEEN((Inputs!$E33-(Inputs!$E33-Inputs!$D33)*2)*10000,(Inputs!$E33+(Inputs!$F33-Inputs!$E33)*2)*10000)/10000</f>
        <v>0.5708</v>
      </c>
      <c r="PP33" s="236">
        <f>RANDBETWEEN((Inputs!$E33-(Inputs!$E33-Inputs!$D33)*2)*10000,(Inputs!$E33+(Inputs!$F33-Inputs!$E33)*2)*10000)/10000</f>
        <v>0.9463</v>
      </c>
      <c r="PQ33" s="236">
        <f>RANDBETWEEN((Inputs!$E33-(Inputs!$E33-Inputs!$D33)*2)*10000,(Inputs!$E33+(Inputs!$F33-Inputs!$E33)*2)*10000)/10000</f>
        <v>1.226</v>
      </c>
      <c r="PR33" s="236">
        <f>RANDBETWEEN((Inputs!$E33-(Inputs!$E33-Inputs!$D33)*2)*10000,(Inputs!$E33+(Inputs!$F33-Inputs!$E33)*2)*10000)/10000</f>
        <v>1.054</v>
      </c>
      <c r="PS33" s="236">
        <f>RANDBETWEEN((Inputs!$E33-(Inputs!$E33-Inputs!$D33)*2)*10000,(Inputs!$E33+(Inputs!$F33-Inputs!$E33)*2)*10000)/10000</f>
        <v>-0.0457</v>
      </c>
      <c r="PT33" s="236">
        <f>RANDBETWEEN((Inputs!$E33-(Inputs!$E33-Inputs!$D33)*2)*10000,(Inputs!$E33+(Inputs!$F33-Inputs!$E33)*2)*10000)/10000</f>
        <v>1.0179</v>
      </c>
      <c r="PU33" s="236">
        <f>RANDBETWEEN((Inputs!$E33-(Inputs!$E33-Inputs!$D33)*2)*10000,(Inputs!$E33+(Inputs!$F33-Inputs!$E33)*2)*10000)/10000</f>
        <v>0.0862</v>
      </c>
      <c r="PV33" s="236">
        <f>RANDBETWEEN((Inputs!$E33-(Inputs!$E33-Inputs!$D33)*2)*10000,(Inputs!$E33+(Inputs!$F33-Inputs!$E33)*2)*10000)/10000</f>
        <v>0.8919</v>
      </c>
      <c r="PW33" s="236">
        <f>RANDBETWEEN((Inputs!$E33-(Inputs!$E33-Inputs!$D33)*2)*10000,(Inputs!$E33+(Inputs!$F33-Inputs!$E33)*2)*10000)/10000</f>
        <v>1.01</v>
      </c>
      <c r="PX33" s="236">
        <f>RANDBETWEEN((Inputs!$E33-(Inputs!$E33-Inputs!$D33)*2)*10000,(Inputs!$E33+(Inputs!$F33-Inputs!$E33)*2)*10000)/10000</f>
        <v>0.7243</v>
      </c>
      <c r="PY33" s="236">
        <f>RANDBETWEEN((Inputs!$E33-(Inputs!$E33-Inputs!$D33)*2)*10000,(Inputs!$E33+(Inputs!$F33-Inputs!$E33)*2)*10000)/10000</f>
        <v>0.4547</v>
      </c>
      <c r="PZ33" s="236">
        <f>RANDBETWEEN((Inputs!$E33-(Inputs!$E33-Inputs!$D33)*2)*10000,(Inputs!$E33+(Inputs!$F33-Inputs!$E33)*2)*10000)/10000</f>
        <v>0.4085</v>
      </c>
      <c r="QA33" s="236">
        <f>RANDBETWEEN((Inputs!$E33-(Inputs!$E33-Inputs!$D33)*2)*10000,(Inputs!$E33+(Inputs!$F33-Inputs!$E33)*2)*10000)/10000</f>
        <v>0.4851</v>
      </c>
      <c r="QB33" s="236">
        <f>RANDBETWEEN((Inputs!$E33-(Inputs!$E33-Inputs!$D33)*2)*10000,(Inputs!$E33+(Inputs!$F33-Inputs!$E33)*2)*10000)/10000</f>
        <v>1.0598</v>
      </c>
      <c r="QC33" s="236">
        <f>RANDBETWEEN((Inputs!$E33-(Inputs!$E33-Inputs!$D33)*2)*10000,(Inputs!$E33+(Inputs!$F33-Inputs!$E33)*2)*10000)/10000</f>
        <v>1.0584</v>
      </c>
      <c r="QD33" s="236">
        <f>RANDBETWEEN((Inputs!$E33-(Inputs!$E33-Inputs!$D33)*2)*10000,(Inputs!$E33+(Inputs!$F33-Inputs!$E33)*2)*10000)/10000</f>
        <v>0.2729</v>
      </c>
      <c r="QE33" s="236">
        <f>RANDBETWEEN((Inputs!$E33-(Inputs!$E33-Inputs!$D33)*2)*10000,(Inputs!$E33+(Inputs!$F33-Inputs!$E33)*2)*10000)/10000</f>
        <v>0.4203</v>
      </c>
      <c r="QF33" s="236">
        <f>RANDBETWEEN((Inputs!$E33-(Inputs!$E33-Inputs!$D33)*2)*10000,(Inputs!$E33+(Inputs!$F33-Inputs!$E33)*2)*10000)/10000</f>
        <v>0.1522</v>
      </c>
      <c r="QG33" s="236">
        <f>RANDBETWEEN((Inputs!$E33-(Inputs!$E33-Inputs!$D33)*2)*10000,(Inputs!$E33+(Inputs!$F33-Inputs!$E33)*2)*10000)/10000</f>
        <v>1.0774</v>
      </c>
      <c r="QH33" s="236">
        <f>RANDBETWEEN((Inputs!$E33-(Inputs!$E33-Inputs!$D33)*2)*10000,(Inputs!$E33+(Inputs!$F33-Inputs!$E33)*2)*10000)/10000</f>
        <v>0.5038</v>
      </c>
      <c r="QI33" s="236">
        <f>RANDBETWEEN((Inputs!$E33-(Inputs!$E33-Inputs!$D33)*2)*10000,(Inputs!$E33+(Inputs!$F33-Inputs!$E33)*2)*10000)/10000</f>
        <v>1.1454</v>
      </c>
      <c r="QJ33" s="236">
        <f>RANDBETWEEN((Inputs!$E33-(Inputs!$E33-Inputs!$D33)*2)*10000,(Inputs!$E33+(Inputs!$F33-Inputs!$E33)*2)*10000)/10000</f>
        <v>-0.0479</v>
      </c>
      <c r="QK33" s="236">
        <f>RANDBETWEEN((Inputs!$E33-(Inputs!$E33-Inputs!$D33)*2)*10000,(Inputs!$E33+(Inputs!$F33-Inputs!$E33)*2)*10000)/10000</f>
        <v>0.729</v>
      </c>
      <c r="QL33" s="236">
        <f>RANDBETWEEN((Inputs!$E33-(Inputs!$E33-Inputs!$D33)*2)*10000,(Inputs!$E33+(Inputs!$F33-Inputs!$E33)*2)*10000)/10000</f>
        <v>0.2975</v>
      </c>
      <c r="QM33" s="236">
        <f>RANDBETWEEN((Inputs!$E33-(Inputs!$E33-Inputs!$D33)*2)*10000,(Inputs!$E33+(Inputs!$F33-Inputs!$E33)*2)*10000)/10000</f>
        <v>0.6427</v>
      </c>
      <c r="QN33" s="236">
        <f>RANDBETWEEN((Inputs!$E33-(Inputs!$E33-Inputs!$D33)*2)*10000,(Inputs!$E33+(Inputs!$F33-Inputs!$E33)*2)*10000)/10000</f>
        <v>0.2856</v>
      </c>
      <c r="QO33" s="236">
        <f>RANDBETWEEN((Inputs!$E33-(Inputs!$E33-Inputs!$D33)*2)*10000,(Inputs!$E33+(Inputs!$F33-Inputs!$E33)*2)*10000)/10000</f>
        <v>0.0437</v>
      </c>
      <c r="QP33" s="236">
        <f>RANDBETWEEN((Inputs!$E33-(Inputs!$E33-Inputs!$D33)*2)*10000,(Inputs!$E33+(Inputs!$F33-Inputs!$E33)*2)*10000)/10000</f>
        <v>0.832</v>
      </c>
      <c r="QQ33" s="236">
        <f>RANDBETWEEN((Inputs!$E33-(Inputs!$E33-Inputs!$D33)*2)*10000,(Inputs!$E33+(Inputs!$F33-Inputs!$E33)*2)*10000)/10000</f>
        <v>1.2495</v>
      </c>
      <c r="QR33" s="236">
        <f>RANDBETWEEN((Inputs!$E33-(Inputs!$E33-Inputs!$D33)*2)*10000,(Inputs!$E33+(Inputs!$F33-Inputs!$E33)*2)*10000)/10000</f>
        <v>0.4555</v>
      </c>
      <c r="QS33" s="236">
        <f>RANDBETWEEN((Inputs!$E33-(Inputs!$E33-Inputs!$D33)*2)*10000,(Inputs!$E33+(Inputs!$F33-Inputs!$E33)*2)*10000)/10000</f>
        <v>0.9807</v>
      </c>
      <c r="QT33" s="236">
        <f>RANDBETWEEN((Inputs!$E33-(Inputs!$E33-Inputs!$D33)*2)*10000,(Inputs!$E33+(Inputs!$F33-Inputs!$E33)*2)*10000)/10000</f>
        <v>0.6695</v>
      </c>
      <c r="QU33" s="236">
        <f>RANDBETWEEN((Inputs!$E33-(Inputs!$E33-Inputs!$D33)*2)*10000,(Inputs!$E33+(Inputs!$F33-Inputs!$E33)*2)*10000)/10000</f>
        <v>1.2097</v>
      </c>
      <c r="QV33" s="236">
        <f>RANDBETWEEN((Inputs!$E33-(Inputs!$E33-Inputs!$D33)*2)*10000,(Inputs!$E33+(Inputs!$F33-Inputs!$E33)*2)*10000)/10000</f>
        <v>0.0708</v>
      </c>
      <c r="QW33" s="236">
        <f>RANDBETWEEN((Inputs!$E33-(Inputs!$E33-Inputs!$D33)*2)*10000,(Inputs!$E33+(Inputs!$F33-Inputs!$E33)*2)*10000)/10000</f>
        <v>1.068</v>
      </c>
      <c r="QX33" s="236">
        <f>RANDBETWEEN((Inputs!$E33-(Inputs!$E33-Inputs!$D33)*2)*10000,(Inputs!$E33+(Inputs!$F33-Inputs!$E33)*2)*10000)/10000</f>
        <v>1.0421</v>
      </c>
      <c r="QY33" s="236">
        <f>RANDBETWEEN((Inputs!$E33-(Inputs!$E33-Inputs!$D33)*2)*10000,(Inputs!$E33+(Inputs!$F33-Inputs!$E33)*2)*10000)/10000</f>
        <v>0.4894</v>
      </c>
      <c r="QZ33" s="236">
        <f>RANDBETWEEN((Inputs!$E33-(Inputs!$E33-Inputs!$D33)*2)*10000,(Inputs!$E33+(Inputs!$F33-Inputs!$E33)*2)*10000)/10000</f>
        <v>1.0208</v>
      </c>
      <c r="RA33" s="236">
        <f>RANDBETWEEN((Inputs!$E33-(Inputs!$E33-Inputs!$D33)*2)*10000,(Inputs!$E33+(Inputs!$F33-Inputs!$E33)*2)*10000)/10000</f>
        <v>0.733</v>
      </c>
      <c r="RB33" s="236">
        <f>RANDBETWEEN((Inputs!$E33-(Inputs!$E33-Inputs!$D33)*2)*10000,(Inputs!$E33+(Inputs!$F33-Inputs!$E33)*2)*10000)/10000</f>
        <v>1.0754</v>
      </c>
      <c r="RC33" s="236">
        <f>RANDBETWEEN((Inputs!$E33-(Inputs!$E33-Inputs!$D33)*2)*10000,(Inputs!$E33+(Inputs!$F33-Inputs!$E33)*2)*10000)/10000</f>
        <v>0.6605</v>
      </c>
      <c r="RD33" s="236">
        <f>RANDBETWEEN((Inputs!$E33-(Inputs!$E33-Inputs!$D33)*2)*10000,(Inputs!$E33+(Inputs!$F33-Inputs!$E33)*2)*10000)/10000</f>
        <v>0.7483</v>
      </c>
      <c r="RE33" s="236">
        <f>RANDBETWEEN((Inputs!$E33-(Inputs!$E33-Inputs!$D33)*2)*10000,(Inputs!$E33+(Inputs!$F33-Inputs!$E33)*2)*10000)/10000</f>
        <v>0.7338</v>
      </c>
      <c r="RF33" s="236">
        <f>RANDBETWEEN((Inputs!$E33-(Inputs!$E33-Inputs!$D33)*2)*10000,(Inputs!$E33+(Inputs!$F33-Inputs!$E33)*2)*10000)/10000</f>
        <v>0.815</v>
      </c>
      <c r="RG33" s="236">
        <f>RANDBETWEEN((Inputs!$E33-(Inputs!$E33-Inputs!$D33)*2)*10000,(Inputs!$E33+(Inputs!$F33-Inputs!$E33)*2)*10000)/10000</f>
        <v>0.4446</v>
      </c>
      <c r="RH33" s="236">
        <f>RANDBETWEEN((Inputs!$E33-(Inputs!$E33-Inputs!$D33)*2)*10000,(Inputs!$E33+(Inputs!$F33-Inputs!$E33)*2)*10000)/10000</f>
        <v>0.562</v>
      </c>
      <c r="RI33" s="236">
        <f>RANDBETWEEN((Inputs!$E33-(Inputs!$E33-Inputs!$D33)*2)*10000,(Inputs!$E33+(Inputs!$F33-Inputs!$E33)*2)*10000)/10000</f>
        <v>0.3311</v>
      </c>
      <c r="RJ33" s="236">
        <f>RANDBETWEEN((Inputs!$E33-(Inputs!$E33-Inputs!$D33)*2)*10000,(Inputs!$E33+(Inputs!$F33-Inputs!$E33)*2)*10000)/10000</f>
        <v>0.1987</v>
      </c>
      <c r="RK33" s="236">
        <f>RANDBETWEEN((Inputs!$E33-(Inputs!$E33-Inputs!$D33)*2)*10000,(Inputs!$E33+(Inputs!$F33-Inputs!$E33)*2)*10000)/10000</f>
        <v>1.1889</v>
      </c>
      <c r="RL33" s="236">
        <f>RANDBETWEEN((Inputs!$E33-(Inputs!$E33-Inputs!$D33)*2)*10000,(Inputs!$E33+(Inputs!$F33-Inputs!$E33)*2)*10000)/10000</f>
        <v>0.9555</v>
      </c>
      <c r="RM33" s="236">
        <f>RANDBETWEEN((Inputs!$E33-(Inputs!$E33-Inputs!$D33)*2)*10000,(Inputs!$E33+(Inputs!$F33-Inputs!$E33)*2)*10000)/10000</f>
        <v>0.931</v>
      </c>
      <c r="RN33" s="236">
        <f>RANDBETWEEN((Inputs!$E33-(Inputs!$E33-Inputs!$D33)*2)*10000,(Inputs!$E33+(Inputs!$F33-Inputs!$E33)*2)*10000)/10000</f>
        <v>1.0328</v>
      </c>
      <c r="RO33" s="236">
        <f>RANDBETWEEN((Inputs!$E33-(Inputs!$E33-Inputs!$D33)*2)*10000,(Inputs!$E33+(Inputs!$F33-Inputs!$E33)*2)*10000)/10000</f>
        <v>0.5015</v>
      </c>
      <c r="RP33" s="236">
        <f>RANDBETWEEN((Inputs!$E33-(Inputs!$E33-Inputs!$D33)*2)*10000,(Inputs!$E33+(Inputs!$F33-Inputs!$E33)*2)*10000)/10000</f>
        <v>0.9492</v>
      </c>
      <c r="RQ33" s="236">
        <f>RANDBETWEEN((Inputs!$E33-(Inputs!$E33-Inputs!$D33)*2)*10000,(Inputs!$E33+(Inputs!$F33-Inputs!$E33)*2)*10000)/10000</f>
        <v>0.2868</v>
      </c>
      <c r="RR33" s="236">
        <f>RANDBETWEEN((Inputs!$E33-(Inputs!$E33-Inputs!$D33)*2)*10000,(Inputs!$E33+(Inputs!$F33-Inputs!$E33)*2)*10000)/10000</f>
        <v>0.7801</v>
      </c>
      <c r="RS33" s="236">
        <f>RANDBETWEEN((Inputs!$E33-(Inputs!$E33-Inputs!$D33)*2)*10000,(Inputs!$E33+(Inputs!$F33-Inputs!$E33)*2)*10000)/10000</f>
        <v>0.839</v>
      </c>
      <c r="RT33" s="236">
        <f>RANDBETWEEN((Inputs!$E33-(Inputs!$E33-Inputs!$D33)*2)*10000,(Inputs!$E33+(Inputs!$F33-Inputs!$E33)*2)*10000)/10000</f>
        <v>0.6114</v>
      </c>
      <c r="RU33" s="236">
        <f>RANDBETWEEN((Inputs!$E33-(Inputs!$E33-Inputs!$D33)*2)*10000,(Inputs!$E33+(Inputs!$F33-Inputs!$E33)*2)*10000)/10000</f>
        <v>0.246</v>
      </c>
      <c r="RV33" s="236">
        <f>RANDBETWEEN((Inputs!$E33-(Inputs!$E33-Inputs!$D33)*2)*10000,(Inputs!$E33+(Inputs!$F33-Inputs!$E33)*2)*10000)/10000</f>
        <v>-0.0133</v>
      </c>
      <c r="RW33" s="236">
        <f>RANDBETWEEN((Inputs!$E33-(Inputs!$E33-Inputs!$D33)*2)*10000,(Inputs!$E33+(Inputs!$F33-Inputs!$E33)*2)*10000)/10000</f>
        <v>0.2835</v>
      </c>
      <c r="RX33" s="236">
        <f>RANDBETWEEN((Inputs!$E33-(Inputs!$E33-Inputs!$D33)*2)*10000,(Inputs!$E33+(Inputs!$F33-Inputs!$E33)*2)*10000)/10000</f>
        <v>0.3876</v>
      </c>
      <c r="RY33" s="236">
        <f>RANDBETWEEN((Inputs!$E33-(Inputs!$E33-Inputs!$D33)*2)*10000,(Inputs!$E33+(Inputs!$F33-Inputs!$E33)*2)*10000)/10000</f>
        <v>-0.0456</v>
      </c>
      <c r="RZ33" s="236">
        <f>RANDBETWEEN((Inputs!$E33-(Inputs!$E33-Inputs!$D33)*2)*10000,(Inputs!$E33+(Inputs!$F33-Inputs!$E33)*2)*10000)/10000</f>
        <v>0.1126</v>
      </c>
      <c r="SA33" s="236">
        <f>RANDBETWEEN((Inputs!$E33-(Inputs!$E33-Inputs!$D33)*2)*10000,(Inputs!$E33+(Inputs!$F33-Inputs!$E33)*2)*10000)/10000</f>
        <v>0.0383</v>
      </c>
      <c r="SB33" s="236">
        <f>RANDBETWEEN((Inputs!$E33-(Inputs!$E33-Inputs!$D33)*2)*10000,(Inputs!$E33+(Inputs!$F33-Inputs!$E33)*2)*10000)/10000</f>
        <v>0.3152</v>
      </c>
      <c r="SC33" s="236">
        <f>RANDBETWEEN((Inputs!$E33-(Inputs!$E33-Inputs!$D33)*2)*10000,(Inputs!$E33+(Inputs!$F33-Inputs!$E33)*2)*10000)/10000</f>
        <v>0.4126</v>
      </c>
      <c r="SD33" s="236">
        <f>RANDBETWEEN((Inputs!$E33-(Inputs!$E33-Inputs!$D33)*2)*10000,(Inputs!$E33+(Inputs!$F33-Inputs!$E33)*2)*10000)/10000</f>
        <v>1.1396</v>
      </c>
      <c r="SE33" s="236">
        <f>RANDBETWEEN((Inputs!$E33-(Inputs!$E33-Inputs!$D33)*2)*10000,(Inputs!$E33+(Inputs!$F33-Inputs!$E33)*2)*10000)/10000</f>
        <v>1.2249</v>
      </c>
      <c r="SF33" s="236">
        <f>RANDBETWEEN((Inputs!$E33-(Inputs!$E33-Inputs!$D33)*2)*10000,(Inputs!$E33+(Inputs!$F33-Inputs!$E33)*2)*10000)/10000</f>
        <v>0.2224</v>
      </c>
      <c r="SG33" s="236">
        <f>RANDBETWEEN((Inputs!$E33-(Inputs!$E33-Inputs!$D33)*2)*10000,(Inputs!$E33+(Inputs!$F33-Inputs!$E33)*2)*10000)/10000</f>
        <v>0.7368</v>
      </c>
      <c r="SH33" s="236">
        <f>RANDBETWEEN((Inputs!$E33-(Inputs!$E33-Inputs!$D33)*2)*10000,(Inputs!$E33+(Inputs!$F33-Inputs!$E33)*2)*10000)/10000</f>
        <v>1.1326</v>
      </c>
      <c r="SI33" s="236">
        <f>RANDBETWEEN((Inputs!$E33-(Inputs!$E33-Inputs!$D33)*2)*10000,(Inputs!$E33+(Inputs!$F33-Inputs!$E33)*2)*10000)/10000</f>
        <v>0.7419</v>
      </c>
      <c r="SJ33" s="236">
        <f>RANDBETWEEN((Inputs!$E33-(Inputs!$E33-Inputs!$D33)*2)*10000,(Inputs!$E33+(Inputs!$F33-Inputs!$E33)*2)*10000)/10000</f>
        <v>0.4838</v>
      </c>
      <c r="SK33" s="236">
        <f>RANDBETWEEN((Inputs!$E33-(Inputs!$E33-Inputs!$D33)*2)*10000,(Inputs!$E33+(Inputs!$F33-Inputs!$E33)*2)*10000)/10000</f>
        <v>0.9039</v>
      </c>
      <c r="SL33" s="236">
        <f>RANDBETWEEN((Inputs!$E33-(Inputs!$E33-Inputs!$D33)*2)*10000,(Inputs!$E33+(Inputs!$F33-Inputs!$E33)*2)*10000)/10000</f>
        <v>0.4488</v>
      </c>
    </row>
    <row r="34" ht="15.75" customHeight="1">
      <c r="A34" s="53" t="s">
        <v>110</v>
      </c>
      <c r="B34" s="75">
        <f t="array" ref="B34">INDEX('New CEA'!$B34:$F34,MATCH($B$2,'New CEA'!B$2:F$2,0))</f>
        <v>0.8</v>
      </c>
      <c r="C34" s="233">
        <f t="shared" si="25"/>
        <v>0.813611</v>
      </c>
      <c r="D34" s="271">
        <f t="shared" si="26"/>
        <v>0.322075</v>
      </c>
      <c r="E34" s="272">
        <f t="shared" si="27"/>
        <v>1.30445</v>
      </c>
      <c r="F34" s="75"/>
      <c r="G34" s="236">
        <f>RANDBETWEEN((Inputs!$E34-(Inputs!$E34-Inputs!$D34)*2)*10000,(Inputs!$E34+(Inputs!$F34-Inputs!$E34)*2)*10000)/10000</f>
        <v>1.725</v>
      </c>
      <c r="H34" s="236">
        <f>RANDBETWEEN((Inputs!$E34-(Inputs!$E34-Inputs!$D34)*2)*10000,(Inputs!$E34+(Inputs!$F34-Inputs!$E34)*2)*10000)/10000</f>
        <v>0.652</v>
      </c>
      <c r="I34" s="236">
        <f>RANDBETWEEN((Inputs!$E34-(Inputs!$E34-Inputs!$D34)*2)*10000,(Inputs!$E34+(Inputs!$F34-Inputs!$E34)*2)*10000)/10000</f>
        <v>0.1359</v>
      </c>
      <c r="J34" s="236">
        <f>RANDBETWEEN((Inputs!$E34-(Inputs!$E34-Inputs!$D34)*2)*10000,(Inputs!$E34+(Inputs!$F34-Inputs!$E34)*2)*10000)/10000</f>
        <v>1.4214</v>
      </c>
      <c r="K34" s="236">
        <f>RANDBETWEEN((Inputs!$E34-(Inputs!$E34-Inputs!$D34)*2)*10000,(Inputs!$E34+(Inputs!$F34-Inputs!$E34)*2)*10000)/10000</f>
        <v>0.9153</v>
      </c>
      <c r="L34" s="236">
        <f>RANDBETWEEN((Inputs!$E34-(Inputs!$E34-Inputs!$D34)*2)*10000,(Inputs!$E34+(Inputs!$F34-Inputs!$E34)*2)*10000)/10000</f>
        <v>0.8247</v>
      </c>
      <c r="M34" s="236">
        <f>RANDBETWEEN((Inputs!$E34-(Inputs!$E34-Inputs!$D34)*2)*10000,(Inputs!$E34+(Inputs!$F34-Inputs!$E34)*2)*10000)/10000</f>
        <v>-0.1189</v>
      </c>
      <c r="N34" s="236">
        <f>RANDBETWEEN((Inputs!$E34-(Inputs!$E34-Inputs!$D34)*2)*10000,(Inputs!$E34+(Inputs!$F34-Inputs!$E34)*2)*10000)/10000</f>
        <v>0.9632</v>
      </c>
      <c r="O34" s="236">
        <f>RANDBETWEEN((Inputs!$E34-(Inputs!$E34-Inputs!$D34)*2)*10000,(Inputs!$E34+(Inputs!$F34-Inputs!$E34)*2)*10000)/10000</f>
        <v>1.465</v>
      </c>
      <c r="P34" s="236">
        <f>RANDBETWEEN((Inputs!$E34-(Inputs!$E34-Inputs!$D34)*2)*10000,(Inputs!$E34+(Inputs!$F34-Inputs!$E34)*2)*10000)/10000</f>
        <v>0.3414</v>
      </c>
      <c r="Q34" s="236">
        <f>RANDBETWEEN((Inputs!$E34-(Inputs!$E34-Inputs!$D34)*2)*10000,(Inputs!$E34+(Inputs!$F34-Inputs!$E34)*2)*10000)/10000</f>
        <v>0.6295</v>
      </c>
      <c r="R34" s="236">
        <f>RANDBETWEEN((Inputs!$E34-(Inputs!$E34-Inputs!$D34)*2)*10000,(Inputs!$E34+(Inputs!$F34-Inputs!$E34)*2)*10000)/10000</f>
        <v>0.6274</v>
      </c>
      <c r="S34" s="236">
        <f>RANDBETWEEN((Inputs!$E34-(Inputs!$E34-Inputs!$D34)*2)*10000,(Inputs!$E34+(Inputs!$F34-Inputs!$E34)*2)*10000)/10000</f>
        <v>0.8443</v>
      </c>
      <c r="T34" s="236">
        <f>RANDBETWEEN((Inputs!$E34-(Inputs!$E34-Inputs!$D34)*2)*10000,(Inputs!$E34+(Inputs!$F34-Inputs!$E34)*2)*10000)/10000</f>
        <v>1.3237</v>
      </c>
      <c r="U34" s="236">
        <f>RANDBETWEEN((Inputs!$E34-(Inputs!$E34-Inputs!$D34)*2)*10000,(Inputs!$E34+(Inputs!$F34-Inputs!$E34)*2)*10000)/10000</f>
        <v>1.2519</v>
      </c>
      <c r="V34" s="236">
        <f>RANDBETWEEN((Inputs!$E34-(Inputs!$E34-Inputs!$D34)*2)*10000,(Inputs!$E34+(Inputs!$F34-Inputs!$E34)*2)*10000)/10000</f>
        <v>1.5996</v>
      </c>
      <c r="W34" s="236">
        <f>RANDBETWEEN((Inputs!$E34-(Inputs!$E34-Inputs!$D34)*2)*10000,(Inputs!$E34+(Inputs!$F34-Inputs!$E34)*2)*10000)/10000</f>
        <v>1.4358</v>
      </c>
      <c r="X34" s="236">
        <f>RANDBETWEEN((Inputs!$E34-(Inputs!$E34-Inputs!$D34)*2)*10000,(Inputs!$E34+(Inputs!$F34-Inputs!$E34)*2)*10000)/10000</f>
        <v>1.1456</v>
      </c>
      <c r="Y34" s="236">
        <f>RANDBETWEEN((Inputs!$E34-(Inputs!$E34-Inputs!$D34)*2)*10000,(Inputs!$E34+(Inputs!$F34-Inputs!$E34)*2)*10000)/10000</f>
        <v>0.3229</v>
      </c>
      <c r="Z34" s="236">
        <f>RANDBETWEEN((Inputs!$E34-(Inputs!$E34-Inputs!$D34)*2)*10000,(Inputs!$E34+(Inputs!$F34-Inputs!$E34)*2)*10000)/10000</f>
        <v>1.4832</v>
      </c>
      <c r="AA34" s="236">
        <f>RANDBETWEEN((Inputs!$E34-(Inputs!$E34-Inputs!$D34)*2)*10000,(Inputs!$E34+(Inputs!$F34-Inputs!$E34)*2)*10000)/10000</f>
        <v>1.7142</v>
      </c>
      <c r="AB34" s="236">
        <f>RANDBETWEEN((Inputs!$E34-(Inputs!$E34-Inputs!$D34)*2)*10000,(Inputs!$E34+(Inputs!$F34-Inputs!$E34)*2)*10000)/10000</f>
        <v>0.8616</v>
      </c>
      <c r="AC34" s="236">
        <f>RANDBETWEEN((Inputs!$E34-(Inputs!$E34-Inputs!$D34)*2)*10000,(Inputs!$E34+(Inputs!$F34-Inputs!$E34)*2)*10000)/10000</f>
        <v>-0.0042</v>
      </c>
      <c r="AD34" s="236">
        <f>RANDBETWEEN((Inputs!$E34-(Inputs!$E34-Inputs!$D34)*2)*10000,(Inputs!$E34+(Inputs!$F34-Inputs!$E34)*2)*10000)/10000</f>
        <v>0.1233</v>
      </c>
      <c r="AE34" s="236">
        <f>RANDBETWEEN((Inputs!$E34-(Inputs!$E34-Inputs!$D34)*2)*10000,(Inputs!$E34+(Inputs!$F34-Inputs!$E34)*2)*10000)/10000</f>
        <v>0.1356</v>
      </c>
      <c r="AF34" s="236">
        <f>RANDBETWEEN((Inputs!$E34-(Inputs!$E34-Inputs!$D34)*2)*10000,(Inputs!$E34+(Inputs!$F34-Inputs!$E34)*2)*10000)/10000</f>
        <v>0.2005</v>
      </c>
      <c r="AG34" s="236">
        <f>RANDBETWEEN((Inputs!$E34-(Inputs!$E34-Inputs!$D34)*2)*10000,(Inputs!$E34+(Inputs!$F34-Inputs!$E34)*2)*10000)/10000</f>
        <v>1.4566</v>
      </c>
      <c r="AH34" s="236">
        <f>RANDBETWEEN((Inputs!$E34-(Inputs!$E34-Inputs!$D34)*2)*10000,(Inputs!$E34+(Inputs!$F34-Inputs!$E34)*2)*10000)/10000</f>
        <v>0.1591</v>
      </c>
      <c r="AI34" s="236">
        <f>RANDBETWEEN((Inputs!$E34-(Inputs!$E34-Inputs!$D34)*2)*10000,(Inputs!$E34+(Inputs!$F34-Inputs!$E34)*2)*10000)/10000</f>
        <v>1.5625</v>
      </c>
      <c r="AJ34" s="236">
        <f>RANDBETWEEN((Inputs!$E34-(Inputs!$E34-Inputs!$D34)*2)*10000,(Inputs!$E34+(Inputs!$F34-Inputs!$E34)*2)*10000)/10000</f>
        <v>0.2926</v>
      </c>
      <c r="AK34" s="236">
        <f>RANDBETWEEN((Inputs!$E34-(Inputs!$E34-Inputs!$D34)*2)*10000,(Inputs!$E34+(Inputs!$F34-Inputs!$E34)*2)*10000)/10000</f>
        <v>0.1402</v>
      </c>
      <c r="AL34" s="236">
        <f>RANDBETWEEN((Inputs!$E34-(Inputs!$E34-Inputs!$D34)*2)*10000,(Inputs!$E34+(Inputs!$F34-Inputs!$E34)*2)*10000)/10000</f>
        <v>0.5998</v>
      </c>
      <c r="AM34" s="236">
        <f>RANDBETWEEN((Inputs!$E34-(Inputs!$E34-Inputs!$D34)*2)*10000,(Inputs!$E34+(Inputs!$F34-Inputs!$E34)*2)*10000)/10000</f>
        <v>0.6047</v>
      </c>
      <c r="AN34" s="236">
        <f>RANDBETWEEN((Inputs!$E34-(Inputs!$E34-Inputs!$D34)*2)*10000,(Inputs!$E34+(Inputs!$F34-Inputs!$E34)*2)*10000)/10000</f>
        <v>1.3565</v>
      </c>
      <c r="AO34" s="236">
        <f>RANDBETWEEN((Inputs!$E34-(Inputs!$E34-Inputs!$D34)*2)*10000,(Inputs!$E34+(Inputs!$F34-Inputs!$E34)*2)*10000)/10000</f>
        <v>-0.0713</v>
      </c>
      <c r="AP34" s="236">
        <f>RANDBETWEEN((Inputs!$E34-(Inputs!$E34-Inputs!$D34)*2)*10000,(Inputs!$E34+(Inputs!$F34-Inputs!$E34)*2)*10000)/10000</f>
        <v>0.4255</v>
      </c>
      <c r="AQ34" s="236">
        <f>RANDBETWEEN((Inputs!$E34-(Inputs!$E34-Inputs!$D34)*2)*10000,(Inputs!$E34+(Inputs!$F34-Inputs!$E34)*2)*10000)/10000</f>
        <v>0.3473</v>
      </c>
      <c r="AR34" s="236">
        <f>RANDBETWEEN((Inputs!$E34-(Inputs!$E34-Inputs!$D34)*2)*10000,(Inputs!$E34+(Inputs!$F34-Inputs!$E34)*2)*10000)/10000</f>
        <v>0.6477</v>
      </c>
      <c r="AS34" s="236">
        <f>RANDBETWEEN((Inputs!$E34-(Inputs!$E34-Inputs!$D34)*2)*10000,(Inputs!$E34+(Inputs!$F34-Inputs!$E34)*2)*10000)/10000</f>
        <v>0.4588</v>
      </c>
      <c r="AT34" s="236">
        <f>RANDBETWEEN((Inputs!$E34-(Inputs!$E34-Inputs!$D34)*2)*10000,(Inputs!$E34+(Inputs!$F34-Inputs!$E34)*2)*10000)/10000</f>
        <v>1.0597</v>
      </c>
      <c r="AU34" s="236">
        <f>RANDBETWEEN((Inputs!$E34-(Inputs!$E34-Inputs!$D34)*2)*10000,(Inputs!$E34+(Inputs!$F34-Inputs!$E34)*2)*10000)/10000</f>
        <v>1.3675</v>
      </c>
      <c r="AV34" s="236">
        <f>RANDBETWEEN((Inputs!$E34-(Inputs!$E34-Inputs!$D34)*2)*10000,(Inputs!$E34+(Inputs!$F34-Inputs!$E34)*2)*10000)/10000</f>
        <v>0.7876</v>
      </c>
      <c r="AW34" s="236">
        <f>RANDBETWEEN((Inputs!$E34-(Inputs!$E34-Inputs!$D34)*2)*10000,(Inputs!$E34+(Inputs!$F34-Inputs!$E34)*2)*10000)/10000</f>
        <v>0.8224</v>
      </c>
      <c r="AX34" s="236">
        <f>RANDBETWEEN((Inputs!$E34-(Inputs!$E34-Inputs!$D34)*2)*10000,(Inputs!$E34+(Inputs!$F34-Inputs!$E34)*2)*10000)/10000</f>
        <v>0.2712</v>
      </c>
      <c r="AY34" s="236">
        <f>RANDBETWEEN((Inputs!$E34-(Inputs!$E34-Inputs!$D34)*2)*10000,(Inputs!$E34+(Inputs!$F34-Inputs!$E34)*2)*10000)/10000</f>
        <v>0.5572</v>
      </c>
      <c r="AZ34" s="236">
        <f>RANDBETWEEN((Inputs!$E34-(Inputs!$E34-Inputs!$D34)*2)*10000,(Inputs!$E34+(Inputs!$F34-Inputs!$E34)*2)*10000)/10000</f>
        <v>1.3487</v>
      </c>
      <c r="BA34" s="236">
        <f>RANDBETWEEN((Inputs!$E34-(Inputs!$E34-Inputs!$D34)*2)*10000,(Inputs!$E34+(Inputs!$F34-Inputs!$E34)*2)*10000)/10000</f>
        <v>1.0915</v>
      </c>
      <c r="BB34" s="236">
        <f>RANDBETWEEN((Inputs!$E34-(Inputs!$E34-Inputs!$D34)*2)*10000,(Inputs!$E34+(Inputs!$F34-Inputs!$E34)*2)*10000)/10000</f>
        <v>-0.1364</v>
      </c>
      <c r="BC34" s="236">
        <f>RANDBETWEEN((Inputs!$E34-(Inputs!$E34-Inputs!$D34)*2)*10000,(Inputs!$E34+(Inputs!$F34-Inputs!$E34)*2)*10000)/10000</f>
        <v>1.4962</v>
      </c>
      <c r="BD34" s="236">
        <f>RANDBETWEEN((Inputs!$E34-(Inputs!$E34-Inputs!$D34)*2)*10000,(Inputs!$E34+(Inputs!$F34-Inputs!$E34)*2)*10000)/10000</f>
        <v>1.6702</v>
      </c>
      <c r="BE34" s="236">
        <f>RANDBETWEEN((Inputs!$E34-(Inputs!$E34-Inputs!$D34)*2)*10000,(Inputs!$E34+(Inputs!$F34-Inputs!$E34)*2)*10000)/10000</f>
        <v>0.6146</v>
      </c>
      <c r="BF34" s="236">
        <f>RANDBETWEEN((Inputs!$E34-(Inputs!$E34-Inputs!$D34)*2)*10000,(Inputs!$E34+(Inputs!$F34-Inputs!$E34)*2)*10000)/10000</f>
        <v>1.7452</v>
      </c>
      <c r="BG34" s="236">
        <f>RANDBETWEEN((Inputs!$E34-(Inputs!$E34-Inputs!$D34)*2)*10000,(Inputs!$E34+(Inputs!$F34-Inputs!$E34)*2)*10000)/10000</f>
        <v>0.055</v>
      </c>
      <c r="BH34" s="236">
        <f>RANDBETWEEN((Inputs!$E34-(Inputs!$E34-Inputs!$D34)*2)*10000,(Inputs!$E34+(Inputs!$F34-Inputs!$E34)*2)*10000)/10000</f>
        <v>0.2312</v>
      </c>
      <c r="BI34" s="236">
        <f>RANDBETWEEN((Inputs!$E34-(Inputs!$E34-Inputs!$D34)*2)*10000,(Inputs!$E34+(Inputs!$F34-Inputs!$E34)*2)*10000)/10000</f>
        <v>0.6187</v>
      </c>
      <c r="BJ34" s="236">
        <f>RANDBETWEEN((Inputs!$E34-(Inputs!$E34-Inputs!$D34)*2)*10000,(Inputs!$E34+(Inputs!$F34-Inputs!$E34)*2)*10000)/10000</f>
        <v>0.9715</v>
      </c>
      <c r="BK34" s="236">
        <f>RANDBETWEEN((Inputs!$E34-(Inputs!$E34-Inputs!$D34)*2)*10000,(Inputs!$E34+(Inputs!$F34-Inputs!$E34)*2)*10000)/10000</f>
        <v>1.0994</v>
      </c>
      <c r="BL34" s="236">
        <f>RANDBETWEEN((Inputs!$E34-(Inputs!$E34-Inputs!$D34)*2)*10000,(Inputs!$E34+(Inputs!$F34-Inputs!$E34)*2)*10000)/10000</f>
        <v>0.6515</v>
      </c>
      <c r="BM34" s="236">
        <f>RANDBETWEEN((Inputs!$E34-(Inputs!$E34-Inputs!$D34)*2)*10000,(Inputs!$E34+(Inputs!$F34-Inputs!$E34)*2)*10000)/10000</f>
        <v>1.0102</v>
      </c>
      <c r="BN34" s="236">
        <f>RANDBETWEEN((Inputs!$E34-(Inputs!$E34-Inputs!$D34)*2)*10000,(Inputs!$E34+(Inputs!$F34-Inputs!$E34)*2)*10000)/10000</f>
        <v>0.305</v>
      </c>
      <c r="BO34" s="236">
        <f>RANDBETWEEN((Inputs!$E34-(Inputs!$E34-Inputs!$D34)*2)*10000,(Inputs!$E34+(Inputs!$F34-Inputs!$E34)*2)*10000)/10000</f>
        <v>0.9361</v>
      </c>
      <c r="BP34" s="236">
        <f>RANDBETWEEN((Inputs!$E34-(Inputs!$E34-Inputs!$D34)*2)*10000,(Inputs!$E34+(Inputs!$F34-Inputs!$E34)*2)*10000)/10000</f>
        <v>1.6998</v>
      </c>
      <c r="BQ34" s="236">
        <f>RANDBETWEEN((Inputs!$E34-(Inputs!$E34-Inputs!$D34)*2)*10000,(Inputs!$E34+(Inputs!$F34-Inputs!$E34)*2)*10000)/10000</f>
        <v>0.7705</v>
      </c>
      <c r="BR34" s="236">
        <f>RANDBETWEEN((Inputs!$E34-(Inputs!$E34-Inputs!$D34)*2)*10000,(Inputs!$E34+(Inputs!$F34-Inputs!$E34)*2)*10000)/10000</f>
        <v>1.5206</v>
      </c>
      <c r="BS34" s="236">
        <f>RANDBETWEEN((Inputs!$E34-(Inputs!$E34-Inputs!$D34)*2)*10000,(Inputs!$E34+(Inputs!$F34-Inputs!$E34)*2)*10000)/10000</f>
        <v>0.137</v>
      </c>
      <c r="BT34" s="236">
        <f>RANDBETWEEN((Inputs!$E34-(Inputs!$E34-Inputs!$D34)*2)*10000,(Inputs!$E34+(Inputs!$F34-Inputs!$E34)*2)*10000)/10000</f>
        <v>0.6723</v>
      </c>
      <c r="BU34" s="236">
        <f>RANDBETWEEN((Inputs!$E34-(Inputs!$E34-Inputs!$D34)*2)*10000,(Inputs!$E34+(Inputs!$F34-Inputs!$E34)*2)*10000)/10000</f>
        <v>0.7834</v>
      </c>
      <c r="BV34" s="236">
        <f>RANDBETWEEN((Inputs!$E34-(Inputs!$E34-Inputs!$D34)*2)*10000,(Inputs!$E34+(Inputs!$F34-Inputs!$E34)*2)*10000)/10000</f>
        <v>0.6735</v>
      </c>
      <c r="BW34" s="236">
        <f>RANDBETWEEN((Inputs!$E34-(Inputs!$E34-Inputs!$D34)*2)*10000,(Inputs!$E34+(Inputs!$F34-Inputs!$E34)*2)*10000)/10000</f>
        <v>1.0653</v>
      </c>
      <c r="BX34" s="236">
        <f>RANDBETWEEN((Inputs!$E34-(Inputs!$E34-Inputs!$D34)*2)*10000,(Inputs!$E34+(Inputs!$F34-Inputs!$E34)*2)*10000)/10000</f>
        <v>1.4178</v>
      </c>
      <c r="BY34" s="236">
        <f>RANDBETWEEN((Inputs!$E34-(Inputs!$E34-Inputs!$D34)*2)*10000,(Inputs!$E34+(Inputs!$F34-Inputs!$E34)*2)*10000)/10000</f>
        <v>-0.0445</v>
      </c>
      <c r="BZ34" s="236">
        <f>RANDBETWEEN((Inputs!$E34-(Inputs!$E34-Inputs!$D34)*2)*10000,(Inputs!$E34+(Inputs!$F34-Inputs!$E34)*2)*10000)/10000</f>
        <v>1.2724</v>
      </c>
      <c r="CA34" s="236">
        <f>RANDBETWEEN((Inputs!$E34-(Inputs!$E34-Inputs!$D34)*2)*10000,(Inputs!$E34+(Inputs!$F34-Inputs!$E34)*2)*10000)/10000</f>
        <v>0.8639</v>
      </c>
      <c r="CB34" s="236">
        <f>RANDBETWEEN((Inputs!$E34-(Inputs!$E34-Inputs!$D34)*2)*10000,(Inputs!$E34+(Inputs!$F34-Inputs!$E34)*2)*10000)/10000</f>
        <v>1.5038</v>
      </c>
      <c r="CC34" s="236">
        <f>RANDBETWEEN((Inputs!$E34-(Inputs!$E34-Inputs!$D34)*2)*10000,(Inputs!$E34+(Inputs!$F34-Inputs!$E34)*2)*10000)/10000</f>
        <v>0.8088</v>
      </c>
      <c r="CD34" s="236">
        <f>RANDBETWEEN((Inputs!$E34-(Inputs!$E34-Inputs!$D34)*2)*10000,(Inputs!$E34+(Inputs!$F34-Inputs!$E34)*2)*10000)/10000</f>
        <v>1.0878</v>
      </c>
      <c r="CE34" s="236">
        <f>RANDBETWEEN((Inputs!$E34-(Inputs!$E34-Inputs!$D34)*2)*10000,(Inputs!$E34+(Inputs!$F34-Inputs!$E34)*2)*10000)/10000</f>
        <v>0.7139</v>
      </c>
      <c r="CF34" s="236">
        <f>RANDBETWEEN((Inputs!$E34-(Inputs!$E34-Inputs!$D34)*2)*10000,(Inputs!$E34+(Inputs!$F34-Inputs!$E34)*2)*10000)/10000</f>
        <v>0.8939</v>
      </c>
      <c r="CG34" s="236">
        <f>RANDBETWEEN((Inputs!$E34-(Inputs!$E34-Inputs!$D34)*2)*10000,(Inputs!$E34+(Inputs!$F34-Inputs!$E34)*2)*10000)/10000</f>
        <v>1.4304</v>
      </c>
      <c r="CH34" s="236">
        <f>RANDBETWEEN((Inputs!$E34-(Inputs!$E34-Inputs!$D34)*2)*10000,(Inputs!$E34+(Inputs!$F34-Inputs!$E34)*2)*10000)/10000</f>
        <v>1.0129</v>
      </c>
      <c r="CI34" s="236">
        <f>RANDBETWEEN((Inputs!$E34-(Inputs!$E34-Inputs!$D34)*2)*10000,(Inputs!$E34+(Inputs!$F34-Inputs!$E34)*2)*10000)/10000</f>
        <v>0.4861</v>
      </c>
      <c r="CJ34" s="236">
        <f>RANDBETWEEN((Inputs!$E34-(Inputs!$E34-Inputs!$D34)*2)*10000,(Inputs!$E34+(Inputs!$F34-Inputs!$E34)*2)*10000)/10000</f>
        <v>0.4849</v>
      </c>
      <c r="CK34" s="236">
        <f>RANDBETWEEN((Inputs!$E34-(Inputs!$E34-Inputs!$D34)*2)*10000,(Inputs!$E34+(Inputs!$F34-Inputs!$E34)*2)*10000)/10000</f>
        <v>0.3446</v>
      </c>
      <c r="CL34" s="236">
        <f>RANDBETWEEN((Inputs!$E34-(Inputs!$E34-Inputs!$D34)*2)*10000,(Inputs!$E34+(Inputs!$F34-Inputs!$E34)*2)*10000)/10000</f>
        <v>1.5808</v>
      </c>
      <c r="CM34" s="236">
        <f>RANDBETWEEN((Inputs!$E34-(Inputs!$E34-Inputs!$D34)*2)*10000,(Inputs!$E34+(Inputs!$F34-Inputs!$E34)*2)*10000)/10000</f>
        <v>1.5195</v>
      </c>
      <c r="CN34" s="236">
        <f>RANDBETWEEN((Inputs!$E34-(Inputs!$E34-Inputs!$D34)*2)*10000,(Inputs!$E34+(Inputs!$F34-Inputs!$E34)*2)*10000)/10000</f>
        <v>0.2084</v>
      </c>
      <c r="CO34" s="236">
        <f>RANDBETWEEN((Inputs!$E34-(Inputs!$E34-Inputs!$D34)*2)*10000,(Inputs!$E34+(Inputs!$F34-Inputs!$E34)*2)*10000)/10000</f>
        <v>0.9726</v>
      </c>
      <c r="CP34" s="236">
        <f>RANDBETWEEN((Inputs!$E34-(Inputs!$E34-Inputs!$D34)*2)*10000,(Inputs!$E34+(Inputs!$F34-Inputs!$E34)*2)*10000)/10000</f>
        <v>1.6278</v>
      </c>
      <c r="CQ34" s="236">
        <f>RANDBETWEEN((Inputs!$E34-(Inputs!$E34-Inputs!$D34)*2)*10000,(Inputs!$E34+(Inputs!$F34-Inputs!$E34)*2)*10000)/10000</f>
        <v>1.4104</v>
      </c>
      <c r="CR34" s="236">
        <f>RANDBETWEEN((Inputs!$E34-(Inputs!$E34-Inputs!$D34)*2)*10000,(Inputs!$E34+(Inputs!$F34-Inputs!$E34)*2)*10000)/10000</f>
        <v>-0.0618</v>
      </c>
      <c r="CS34" s="236">
        <f>RANDBETWEEN((Inputs!$E34-(Inputs!$E34-Inputs!$D34)*2)*10000,(Inputs!$E34+(Inputs!$F34-Inputs!$E34)*2)*10000)/10000</f>
        <v>1.5112</v>
      </c>
      <c r="CT34" s="236">
        <f>RANDBETWEEN((Inputs!$E34-(Inputs!$E34-Inputs!$D34)*2)*10000,(Inputs!$E34+(Inputs!$F34-Inputs!$E34)*2)*10000)/10000</f>
        <v>0.261</v>
      </c>
      <c r="CU34" s="236">
        <f>RANDBETWEEN((Inputs!$E34-(Inputs!$E34-Inputs!$D34)*2)*10000,(Inputs!$E34+(Inputs!$F34-Inputs!$E34)*2)*10000)/10000</f>
        <v>0.4319</v>
      </c>
      <c r="CV34" s="236">
        <f>RANDBETWEEN((Inputs!$E34-(Inputs!$E34-Inputs!$D34)*2)*10000,(Inputs!$E34+(Inputs!$F34-Inputs!$E34)*2)*10000)/10000</f>
        <v>0.1615</v>
      </c>
      <c r="CW34" s="236">
        <f>RANDBETWEEN((Inputs!$E34-(Inputs!$E34-Inputs!$D34)*2)*10000,(Inputs!$E34+(Inputs!$F34-Inputs!$E34)*2)*10000)/10000</f>
        <v>0.0394</v>
      </c>
      <c r="CX34" s="236">
        <f>RANDBETWEEN((Inputs!$E34-(Inputs!$E34-Inputs!$D34)*2)*10000,(Inputs!$E34+(Inputs!$F34-Inputs!$E34)*2)*10000)/10000</f>
        <v>0.6952</v>
      </c>
      <c r="CY34" s="236">
        <f>RANDBETWEEN((Inputs!$E34-(Inputs!$E34-Inputs!$D34)*2)*10000,(Inputs!$E34+(Inputs!$F34-Inputs!$E34)*2)*10000)/10000</f>
        <v>1.671</v>
      </c>
      <c r="CZ34" s="236">
        <f>RANDBETWEEN((Inputs!$E34-(Inputs!$E34-Inputs!$D34)*2)*10000,(Inputs!$E34+(Inputs!$F34-Inputs!$E34)*2)*10000)/10000</f>
        <v>0.9506</v>
      </c>
      <c r="DA34" s="236">
        <f>RANDBETWEEN((Inputs!$E34-(Inputs!$E34-Inputs!$D34)*2)*10000,(Inputs!$E34+(Inputs!$F34-Inputs!$E34)*2)*10000)/10000</f>
        <v>0.9865</v>
      </c>
      <c r="DB34" s="236">
        <f>RANDBETWEEN((Inputs!$E34-(Inputs!$E34-Inputs!$D34)*2)*10000,(Inputs!$E34+(Inputs!$F34-Inputs!$E34)*2)*10000)/10000</f>
        <v>1.5489</v>
      </c>
      <c r="DC34" s="236">
        <f>RANDBETWEEN((Inputs!$E34-(Inputs!$E34-Inputs!$D34)*2)*10000,(Inputs!$E34+(Inputs!$F34-Inputs!$E34)*2)*10000)/10000</f>
        <v>0.9859</v>
      </c>
      <c r="DD34" s="236">
        <f>RANDBETWEEN((Inputs!$E34-(Inputs!$E34-Inputs!$D34)*2)*10000,(Inputs!$E34+(Inputs!$F34-Inputs!$E34)*2)*10000)/10000</f>
        <v>1.4456</v>
      </c>
      <c r="DE34" s="236">
        <f>RANDBETWEEN((Inputs!$E34-(Inputs!$E34-Inputs!$D34)*2)*10000,(Inputs!$E34+(Inputs!$F34-Inputs!$E34)*2)*10000)/10000</f>
        <v>0.6358</v>
      </c>
      <c r="DF34" s="236">
        <f>RANDBETWEEN((Inputs!$E34-(Inputs!$E34-Inputs!$D34)*2)*10000,(Inputs!$E34+(Inputs!$F34-Inputs!$E34)*2)*10000)/10000</f>
        <v>1.1987</v>
      </c>
      <c r="DG34" s="236">
        <f>RANDBETWEEN((Inputs!$E34-(Inputs!$E34-Inputs!$D34)*2)*10000,(Inputs!$E34+(Inputs!$F34-Inputs!$E34)*2)*10000)/10000</f>
        <v>1.5553</v>
      </c>
      <c r="DH34" s="236">
        <f>RANDBETWEEN((Inputs!$E34-(Inputs!$E34-Inputs!$D34)*2)*10000,(Inputs!$E34+(Inputs!$F34-Inputs!$E34)*2)*10000)/10000</f>
        <v>0.1588</v>
      </c>
      <c r="DI34" s="236">
        <f>RANDBETWEEN((Inputs!$E34-(Inputs!$E34-Inputs!$D34)*2)*10000,(Inputs!$E34+(Inputs!$F34-Inputs!$E34)*2)*10000)/10000</f>
        <v>0.2612</v>
      </c>
      <c r="DJ34" s="236">
        <f>RANDBETWEEN((Inputs!$E34-(Inputs!$E34-Inputs!$D34)*2)*10000,(Inputs!$E34+(Inputs!$F34-Inputs!$E34)*2)*10000)/10000</f>
        <v>1.2967</v>
      </c>
      <c r="DK34" s="236">
        <f>RANDBETWEEN((Inputs!$E34-(Inputs!$E34-Inputs!$D34)*2)*10000,(Inputs!$E34+(Inputs!$F34-Inputs!$E34)*2)*10000)/10000</f>
        <v>1.3655</v>
      </c>
      <c r="DL34" s="236">
        <f>RANDBETWEEN((Inputs!$E34-(Inputs!$E34-Inputs!$D34)*2)*10000,(Inputs!$E34+(Inputs!$F34-Inputs!$E34)*2)*10000)/10000</f>
        <v>0.4453</v>
      </c>
      <c r="DM34" s="236">
        <f>RANDBETWEEN((Inputs!$E34-(Inputs!$E34-Inputs!$D34)*2)*10000,(Inputs!$E34+(Inputs!$F34-Inputs!$E34)*2)*10000)/10000</f>
        <v>0.0331</v>
      </c>
      <c r="DN34" s="236">
        <f>RANDBETWEEN((Inputs!$E34-(Inputs!$E34-Inputs!$D34)*2)*10000,(Inputs!$E34+(Inputs!$F34-Inputs!$E34)*2)*10000)/10000</f>
        <v>1.3628</v>
      </c>
      <c r="DO34" s="236">
        <f>RANDBETWEEN((Inputs!$E34-(Inputs!$E34-Inputs!$D34)*2)*10000,(Inputs!$E34+(Inputs!$F34-Inputs!$E34)*2)*10000)/10000</f>
        <v>1.4915</v>
      </c>
      <c r="DP34" s="236">
        <f>RANDBETWEEN((Inputs!$E34-(Inputs!$E34-Inputs!$D34)*2)*10000,(Inputs!$E34+(Inputs!$F34-Inputs!$E34)*2)*10000)/10000</f>
        <v>0.9038</v>
      </c>
      <c r="DQ34" s="236">
        <f>RANDBETWEEN((Inputs!$E34-(Inputs!$E34-Inputs!$D34)*2)*10000,(Inputs!$E34+(Inputs!$F34-Inputs!$E34)*2)*10000)/10000</f>
        <v>0.9965</v>
      </c>
      <c r="DR34" s="236">
        <f>RANDBETWEEN((Inputs!$E34-(Inputs!$E34-Inputs!$D34)*2)*10000,(Inputs!$E34+(Inputs!$F34-Inputs!$E34)*2)*10000)/10000</f>
        <v>0.5907</v>
      </c>
      <c r="DS34" s="236">
        <f>RANDBETWEEN((Inputs!$E34-(Inputs!$E34-Inputs!$D34)*2)*10000,(Inputs!$E34+(Inputs!$F34-Inputs!$E34)*2)*10000)/10000</f>
        <v>-0.1595</v>
      </c>
      <c r="DT34" s="236">
        <f>RANDBETWEEN((Inputs!$E34-(Inputs!$E34-Inputs!$D34)*2)*10000,(Inputs!$E34+(Inputs!$F34-Inputs!$E34)*2)*10000)/10000</f>
        <v>0.9464</v>
      </c>
      <c r="DU34" s="236">
        <f>RANDBETWEEN((Inputs!$E34-(Inputs!$E34-Inputs!$D34)*2)*10000,(Inputs!$E34+(Inputs!$F34-Inputs!$E34)*2)*10000)/10000</f>
        <v>0.1209</v>
      </c>
      <c r="DV34" s="236">
        <f>RANDBETWEEN((Inputs!$E34-(Inputs!$E34-Inputs!$D34)*2)*10000,(Inputs!$E34+(Inputs!$F34-Inputs!$E34)*2)*10000)/10000</f>
        <v>0.3736</v>
      </c>
      <c r="DW34" s="236">
        <f>RANDBETWEEN((Inputs!$E34-(Inputs!$E34-Inputs!$D34)*2)*10000,(Inputs!$E34+(Inputs!$F34-Inputs!$E34)*2)*10000)/10000</f>
        <v>1.2999</v>
      </c>
      <c r="DX34" s="236">
        <f>RANDBETWEEN((Inputs!$E34-(Inputs!$E34-Inputs!$D34)*2)*10000,(Inputs!$E34+(Inputs!$F34-Inputs!$E34)*2)*10000)/10000</f>
        <v>0.6752</v>
      </c>
      <c r="DY34" s="236">
        <f>RANDBETWEEN((Inputs!$E34-(Inputs!$E34-Inputs!$D34)*2)*10000,(Inputs!$E34+(Inputs!$F34-Inputs!$E34)*2)*10000)/10000</f>
        <v>0.5068</v>
      </c>
      <c r="DZ34" s="236">
        <f>RANDBETWEEN((Inputs!$E34-(Inputs!$E34-Inputs!$D34)*2)*10000,(Inputs!$E34+(Inputs!$F34-Inputs!$E34)*2)*10000)/10000</f>
        <v>0.6808</v>
      </c>
      <c r="EA34" s="236">
        <f>RANDBETWEEN((Inputs!$E34-(Inputs!$E34-Inputs!$D34)*2)*10000,(Inputs!$E34+(Inputs!$F34-Inputs!$E34)*2)*10000)/10000</f>
        <v>1.0387</v>
      </c>
      <c r="EB34" s="236">
        <f>RANDBETWEEN((Inputs!$E34-(Inputs!$E34-Inputs!$D34)*2)*10000,(Inputs!$E34+(Inputs!$F34-Inputs!$E34)*2)*10000)/10000</f>
        <v>0.0771</v>
      </c>
      <c r="EC34" s="236">
        <f>RANDBETWEEN((Inputs!$E34-(Inputs!$E34-Inputs!$D34)*2)*10000,(Inputs!$E34+(Inputs!$F34-Inputs!$E34)*2)*10000)/10000</f>
        <v>0.5756</v>
      </c>
      <c r="ED34" s="236">
        <f>RANDBETWEEN((Inputs!$E34-(Inputs!$E34-Inputs!$D34)*2)*10000,(Inputs!$E34+(Inputs!$F34-Inputs!$E34)*2)*10000)/10000</f>
        <v>1.4671</v>
      </c>
      <c r="EE34" s="236">
        <f>RANDBETWEEN((Inputs!$E34-(Inputs!$E34-Inputs!$D34)*2)*10000,(Inputs!$E34+(Inputs!$F34-Inputs!$E34)*2)*10000)/10000</f>
        <v>-0.1285</v>
      </c>
      <c r="EF34" s="236">
        <f>RANDBETWEEN((Inputs!$E34-(Inputs!$E34-Inputs!$D34)*2)*10000,(Inputs!$E34+(Inputs!$F34-Inputs!$E34)*2)*10000)/10000</f>
        <v>1.7297</v>
      </c>
      <c r="EG34" s="236">
        <f>RANDBETWEEN((Inputs!$E34-(Inputs!$E34-Inputs!$D34)*2)*10000,(Inputs!$E34+(Inputs!$F34-Inputs!$E34)*2)*10000)/10000</f>
        <v>0.9488</v>
      </c>
      <c r="EH34" s="236">
        <f>RANDBETWEEN((Inputs!$E34-(Inputs!$E34-Inputs!$D34)*2)*10000,(Inputs!$E34+(Inputs!$F34-Inputs!$E34)*2)*10000)/10000</f>
        <v>1.0782</v>
      </c>
      <c r="EI34" s="236">
        <f>RANDBETWEEN((Inputs!$E34-(Inputs!$E34-Inputs!$D34)*2)*10000,(Inputs!$E34+(Inputs!$F34-Inputs!$E34)*2)*10000)/10000</f>
        <v>1.2359</v>
      </c>
      <c r="EJ34" s="236">
        <f>RANDBETWEEN((Inputs!$E34-(Inputs!$E34-Inputs!$D34)*2)*10000,(Inputs!$E34+(Inputs!$F34-Inputs!$E34)*2)*10000)/10000</f>
        <v>1.3634</v>
      </c>
      <c r="EK34" s="236">
        <f>RANDBETWEEN((Inputs!$E34-(Inputs!$E34-Inputs!$D34)*2)*10000,(Inputs!$E34+(Inputs!$F34-Inputs!$E34)*2)*10000)/10000</f>
        <v>1.1873</v>
      </c>
      <c r="EL34" s="236">
        <f>RANDBETWEEN((Inputs!$E34-(Inputs!$E34-Inputs!$D34)*2)*10000,(Inputs!$E34+(Inputs!$F34-Inputs!$E34)*2)*10000)/10000</f>
        <v>0.1077</v>
      </c>
      <c r="EM34" s="236">
        <f>RANDBETWEEN((Inputs!$E34-(Inputs!$E34-Inputs!$D34)*2)*10000,(Inputs!$E34+(Inputs!$F34-Inputs!$E34)*2)*10000)/10000</f>
        <v>0.5756</v>
      </c>
      <c r="EN34" s="236">
        <f>RANDBETWEEN((Inputs!$E34-(Inputs!$E34-Inputs!$D34)*2)*10000,(Inputs!$E34+(Inputs!$F34-Inputs!$E34)*2)*10000)/10000</f>
        <v>0.0849</v>
      </c>
      <c r="EO34" s="236">
        <f>RANDBETWEEN((Inputs!$E34-(Inputs!$E34-Inputs!$D34)*2)*10000,(Inputs!$E34+(Inputs!$F34-Inputs!$E34)*2)*10000)/10000</f>
        <v>0.2018</v>
      </c>
      <c r="EP34" s="236">
        <f>RANDBETWEEN((Inputs!$E34-(Inputs!$E34-Inputs!$D34)*2)*10000,(Inputs!$E34+(Inputs!$F34-Inputs!$E34)*2)*10000)/10000</f>
        <v>0.3048</v>
      </c>
      <c r="EQ34" s="236">
        <f>RANDBETWEEN((Inputs!$E34-(Inputs!$E34-Inputs!$D34)*2)*10000,(Inputs!$E34+(Inputs!$F34-Inputs!$E34)*2)*10000)/10000</f>
        <v>0.4465</v>
      </c>
      <c r="ER34" s="236">
        <f>RANDBETWEEN((Inputs!$E34-(Inputs!$E34-Inputs!$D34)*2)*10000,(Inputs!$E34+(Inputs!$F34-Inputs!$E34)*2)*10000)/10000</f>
        <v>0.7422</v>
      </c>
      <c r="ES34" s="236">
        <f>RANDBETWEEN((Inputs!$E34-(Inputs!$E34-Inputs!$D34)*2)*10000,(Inputs!$E34+(Inputs!$F34-Inputs!$E34)*2)*10000)/10000</f>
        <v>0.7676</v>
      </c>
      <c r="ET34" s="236">
        <f>RANDBETWEEN((Inputs!$E34-(Inputs!$E34-Inputs!$D34)*2)*10000,(Inputs!$E34+(Inputs!$F34-Inputs!$E34)*2)*10000)/10000</f>
        <v>1.139</v>
      </c>
      <c r="EU34" s="236">
        <f>RANDBETWEEN((Inputs!$E34-(Inputs!$E34-Inputs!$D34)*2)*10000,(Inputs!$E34+(Inputs!$F34-Inputs!$E34)*2)*10000)/10000</f>
        <v>1.2985</v>
      </c>
      <c r="EV34" s="236">
        <f>RANDBETWEEN((Inputs!$E34-(Inputs!$E34-Inputs!$D34)*2)*10000,(Inputs!$E34+(Inputs!$F34-Inputs!$E34)*2)*10000)/10000</f>
        <v>0.7309</v>
      </c>
      <c r="EW34" s="236">
        <f>RANDBETWEEN((Inputs!$E34-(Inputs!$E34-Inputs!$D34)*2)*10000,(Inputs!$E34+(Inputs!$F34-Inputs!$E34)*2)*10000)/10000</f>
        <v>0.099</v>
      </c>
      <c r="EX34" s="236">
        <f>RANDBETWEEN((Inputs!$E34-(Inputs!$E34-Inputs!$D34)*2)*10000,(Inputs!$E34+(Inputs!$F34-Inputs!$E34)*2)*10000)/10000</f>
        <v>1.1767</v>
      </c>
      <c r="EY34" s="236">
        <f>RANDBETWEEN((Inputs!$E34-(Inputs!$E34-Inputs!$D34)*2)*10000,(Inputs!$E34+(Inputs!$F34-Inputs!$E34)*2)*10000)/10000</f>
        <v>1.2567</v>
      </c>
      <c r="EZ34" s="236">
        <f>RANDBETWEEN((Inputs!$E34-(Inputs!$E34-Inputs!$D34)*2)*10000,(Inputs!$E34+(Inputs!$F34-Inputs!$E34)*2)*10000)/10000</f>
        <v>1.293</v>
      </c>
      <c r="FA34" s="236">
        <f>RANDBETWEEN((Inputs!$E34-(Inputs!$E34-Inputs!$D34)*2)*10000,(Inputs!$E34+(Inputs!$F34-Inputs!$E34)*2)*10000)/10000</f>
        <v>1.6607</v>
      </c>
      <c r="FB34" s="236">
        <f>RANDBETWEEN((Inputs!$E34-(Inputs!$E34-Inputs!$D34)*2)*10000,(Inputs!$E34+(Inputs!$F34-Inputs!$E34)*2)*10000)/10000</f>
        <v>1.7498</v>
      </c>
      <c r="FC34" s="236">
        <f>RANDBETWEEN((Inputs!$E34-(Inputs!$E34-Inputs!$D34)*2)*10000,(Inputs!$E34+(Inputs!$F34-Inputs!$E34)*2)*10000)/10000</f>
        <v>0.3372</v>
      </c>
      <c r="FD34" s="236">
        <f>RANDBETWEEN((Inputs!$E34-(Inputs!$E34-Inputs!$D34)*2)*10000,(Inputs!$E34+(Inputs!$F34-Inputs!$E34)*2)*10000)/10000</f>
        <v>-0.1363</v>
      </c>
      <c r="FE34" s="236">
        <f>RANDBETWEEN((Inputs!$E34-(Inputs!$E34-Inputs!$D34)*2)*10000,(Inputs!$E34+(Inputs!$F34-Inputs!$E34)*2)*10000)/10000</f>
        <v>0.9543</v>
      </c>
      <c r="FF34" s="236">
        <f>RANDBETWEEN((Inputs!$E34-(Inputs!$E34-Inputs!$D34)*2)*10000,(Inputs!$E34+(Inputs!$F34-Inputs!$E34)*2)*10000)/10000</f>
        <v>-0.0564</v>
      </c>
      <c r="FG34" s="236">
        <f>RANDBETWEEN((Inputs!$E34-(Inputs!$E34-Inputs!$D34)*2)*10000,(Inputs!$E34+(Inputs!$F34-Inputs!$E34)*2)*10000)/10000</f>
        <v>0.9041</v>
      </c>
      <c r="FH34" s="236">
        <f>RANDBETWEEN((Inputs!$E34-(Inputs!$E34-Inputs!$D34)*2)*10000,(Inputs!$E34+(Inputs!$F34-Inputs!$E34)*2)*10000)/10000</f>
        <v>1.572</v>
      </c>
      <c r="FI34" s="236">
        <f>RANDBETWEEN((Inputs!$E34-(Inputs!$E34-Inputs!$D34)*2)*10000,(Inputs!$E34+(Inputs!$F34-Inputs!$E34)*2)*10000)/10000</f>
        <v>0.5616</v>
      </c>
      <c r="FJ34" s="236">
        <f>RANDBETWEEN((Inputs!$E34-(Inputs!$E34-Inputs!$D34)*2)*10000,(Inputs!$E34+(Inputs!$F34-Inputs!$E34)*2)*10000)/10000</f>
        <v>0.4585</v>
      </c>
      <c r="FK34" s="236">
        <f>RANDBETWEEN((Inputs!$E34-(Inputs!$E34-Inputs!$D34)*2)*10000,(Inputs!$E34+(Inputs!$F34-Inputs!$E34)*2)*10000)/10000</f>
        <v>-0.0707</v>
      </c>
      <c r="FL34" s="236">
        <f>RANDBETWEEN((Inputs!$E34-(Inputs!$E34-Inputs!$D34)*2)*10000,(Inputs!$E34+(Inputs!$F34-Inputs!$E34)*2)*10000)/10000</f>
        <v>0.2209</v>
      </c>
      <c r="FM34" s="236">
        <f>RANDBETWEEN((Inputs!$E34-(Inputs!$E34-Inputs!$D34)*2)*10000,(Inputs!$E34+(Inputs!$F34-Inputs!$E34)*2)*10000)/10000</f>
        <v>1.7267</v>
      </c>
      <c r="FN34" s="236">
        <f>RANDBETWEEN((Inputs!$E34-(Inputs!$E34-Inputs!$D34)*2)*10000,(Inputs!$E34+(Inputs!$F34-Inputs!$E34)*2)*10000)/10000</f>
        <v>0.5274</v>
      </c>
      <c r="FO34" s="236">
        <f>RANDBETWEEN((Inputs!$E34-(Inputs!$E34-Inputs!$D34)*2)*10000,(Inputs!$E34+(Inputs!$F34-Inputs!$E34)*2)*10000)/10000</f>
        <v>0.8635</v>
      </c>
      <c r="FP34" s="236">
        <f>RANDBETWEEN((Inputs!$E34-(Inputs!$E34-Inputs!$D34)*2)*10000,(Inputs!$E34+(Inputs!$F34-Inputs!$E34)*2)*10000)/10000</f>
        <v>0.8309</v>
      </c>
      <c r="FQ34" s="236">
        <f>RANDBETWEEN((Inputs!$E34-(Inputs!$E34-Inputs!$D34)*2)*10000,(Inputs!$E34+(Inputs!$F34-Inputs!$E34)*2)*10000)/10000</f>
        <v>0.5817</v>
      </c>
      <c r="FR34" s="236">
        <f>RANDBETWEEN((Inputs!$E34-(Inputs!$E34-Inputs!$D34)*2)*10000,(Inputs!$E34+(Inputs!$F34-Inputs!$E34)*2)*10000)/10000</f>
        <v>0.6362</v>
      </c>
      <c r="FS34" s="236">
        <f>RANDBETWEEN((Inputs!$E34-(Inputs!$E34-Inputs!$D34)*2)*10000,(Inputs!$E34+(Inputs!$F34-Inputs!$E34)*2)*10000)/10000</f>
        <v>1.2025</v>
      </c>
      <c r="FT34" s="236">
        <f>RANDBETWEEN((Inputs!$E34-(Inputs!$E34-Inputs!$D34)*2)*10000,(Inputs!$E34+(Inputs!$F34-Inputs!$E34)*2)*10000)/10000</f>
        <v>1.2835</v>
      </c>
      <c r="FU34" s="236">
        <f>RANDBETWEEN((Inputs!$E34-(Inputs!$E34-Inputs!$D34)*2)*10000,(Inputs!$E34+(Inputs!$F34-Inputs!$E34)*2)*10000)/10000</f>
        <v>0.6832</v>
      </c>
      <c r="FV34" s="236">
        <f>RANDBETWEEN((Inputs!$E34-(Inputs!$E34-Inputs!$D34)*2)*10000,(Inputs!$E34+(Inputs!$F34-Inputs!$E34)*2)*10000)/10000</f>
        <v>1.5022</v>
      </c>
      <c r="FW34" s="236">
        <f>RANDBETWEEN((Inputs!$E34-(Inputs!$E34-Inputs!$D34)*2)*10000,(Inputs!$E34+(Inputs!$F34-Inputs!$E34)*2)*10000)/10000</f>
        <v>1.0848</v>
      </c>
      <c r="FX34" s="236">
        <f>RANDBETWEEN((Inputs!$E34-(Inputs!$E34-Inputs!$D34)*2)*10000,(Inputs!$E34+(Inputs!$F34-Inputs!$E34)*2)*10000)/10000</f>
        <v>1.5226</v>
      </c>
      <c r="FY34" s="236">
        <f>RANDBETWEEN((Inputs!$E34-(Inputs!$E34-Inputs!$D34)*2)*10000,(Inputs!$E34+(Inputs!$F34-Inputs!$E34)*2)*10000)/10000</f>
        <v>1.2659</v>
      </c>
      <c r="FZ34" s="236">
        <f>RANDBETWEEN((Inputs!$E34-(Inputs!$E34-Inputs!$D34)*2)*10000,(Inputs!$E34+(Inputs!$F34-Inputs!$E34)*2)*10000)/10000</f>
        <v>0.6136</v>
      </c>
      <c r="GA34" s="236">
        <f>RANDBETWEEN((Inputs!$E34-(Inputs!$E34-Inputs!$D34)*2)*10000,(Inputs!$E34+(Inputs!$F34-Inputs!$E34)*2)*10000)/10000</f>
        <v>0.165</v>
      </c>
      <c r="GB34" s="236">
        <f>RANDBETWEEN((Inputs!$E34-(Inputs!$E34-Inputs!$D34)*2)*10000,(Inputs!$E34+(Inputs!$F34-Inputs!$E34)*2)*10000)/10000</f>
        <v>0.666</v>
      </c>
      <c r="GC34" s="236">
        <f>RANDBETWEEN((Inputs!$E34-(Inputs!$E34-Inputs!$D34)*2)*10000,(Inputs!$E34+(Inputs!$F34-Inputs!$E34)*2)*10000)/10000</f>
        <v>1.5058</v>
      </c>
      <c r="GD34" s="236">
        <f>RANDBETWEEN((Inputs!$E34-(Inputs!$E34-Inputs!$D34)*2)*10000,(Inputs!$E34+(Inputs!$F34-Inputs!$E34)*2)*10000)/10000</f>
        <v>-0.0625</v>
      </c>
      <c r="GE34" s="236">
        <f>RANDBETWEEN((Inputs!$E34-(Inputs!$E34-Inputs!$D34)*2)*10000,(Inputs!$E34+(Inputs!$F34-Inputs!$E34)*2)*10000)/10000</f>
        <v>0.2632</v>
      </c>
      <c r="GF34" s="236">
        <f>RANDBETWEEN((Inputs!$E34-(Inputs!$E34-Inputs!$D34)*2)*10000,(Inputs!$E34+(Inputs!$F34-Inputs!$E34)*2)*10000)/10000</f>
        <v>1.496</v>
      </c>
      <c r="GG34" s="236">
        <f>RANDBETWEEN((Inputs!$E34-(Inputs!$E34-Inputs!$D34)*2)*10000,(Inputs!$E34+(Inputs!$F34-Inputs!$E34)*2)*10000)/10000</f>
        <v>0.5434</v>
      </c>
      <c r="GH34" s="236">
        <f>RANDBETWEEN((Inputs!$E34-(Inputs!$E34-Inputs!$D34)*2)*10000,(Inputs!$E34+(Inputs!$F34-Inputs!$E34)*2)*10000)/10000</f>
        <v>1.2926</v>
      </c>
      <c r="GI34" s="236">
        <f>RANDBETWEEN((Inputs!$E34-(Inputs!$E34-Inputs!$D34)*2)*10000,(Inputs!$E34+(Inputs!$F34-Inputs!$E34)*2)*10000)/10000</f>
        <v>0.6009</v>
      </c>
      <c r="GJ34" s="236">
        <f>RANDBETWEEN((Inputs!$E34-(Inputs!$E34-Inputs!$D34)*2)*10000,(Inputs!$E34+(Inputs!$F34-Inputs!$E34)*2)*10000)/10000</f>
        <v>1.2571</v>
      </c>
      <c r="GK34" s="236">
        <f>RANDBETWEEN((Inputs!$E34-(Inputs!$E34-Inputs!$D34)*2)*10000,(Inputs!$E34+(Inputs!$F34-Inputs!$E34)*2)*10000)/10000</f>
        <v>1.4617</v>
      </c>
      <c r="GL34" s="236">
        <f>RANDBETWEEN((Inputs!$E34-(Inputs!$E34-Inputs!$D34)*2)*10000,(Inputs!$E34+(Inputs!$F34-Inputs!$E34)*2)*10000)/10000</f>
        <v>1.0291</v>
      </c>
      <c r="GM34" s="236">
        <f>RANDBETWEEN((Inputs!$E34-(Inputs!$E34-Inputs!$D34)*2)*10000,(Inputs!$E34+(Inputs!$F34-Inputs!$E34)*2)*10000)/10000</f>
        <v>0.9644</v>
      </c>
      <c r="GN34" s="236">
        <f>RANDBETWEEN((Inputs!$E34-(Inputs!$E34-Inputs!$D34)*2)*10000,(Inputs!$E34+(Inputs!$F34-Inputs!$E34)*2)*10000)/10000</f>
        <v>1.403</v>
      </c>
      <c r="GO34" s="236">
        <f>RANDBETWEEN((Inputs!$E34-(Inputs!$E34-Inputs!$D34)*2)*10000,(Inputs!$E34+(Inputs!$F34-Inputs!$E34)*2)*10000)/10000</f>
        <v>0.8343</v>
      </c>
      <c r="GP34" s="236">
        <f>RANDBETWEEN((Inputs!$E34-(Inputs!$E34-Inputs!$D34)*2)*10000,(Inputs!$E34+(Inputs!$F34-Inputs!$E34)*2)*10000)/10000</f>
        <v>1.2253</v>
      </c>
      <c r="GQ34" s="236">
        <f>RANDBETWEEN((Inputs!$E34-(Inputs!$E34-Inputs!$D34)*2)*10000,(Inputs!$E34+(Inputs!$F34-Inputs!$E34)*2)*10000)/10000</f>
        <v>0.6918</v>
      </c>
      <c r="GR34" s="236">
        <f>RANDBETWEEN((Inputs!$E34-(Inputs!$E34-Inputs!$D34)*2)*10000,(Inputs!$E34+(Inputs!$F34-Inputs!$E34)*2)*10000)/10000</f>
        <v>-0.0462</v>
      </c>
      <c r="GS34" s="236">
        <f>RANDBETWEEN((Inputs!$E34-(Inputs!$E34-Inputs!$D34)*2)*10000,(Inputs!$E34+(Inputs!$F34-Inputs!$E34)*2)*10000)/10000</f>
        <v>0.1818</v>
      </c>
      <c r="GT34" s="236">
        <f>RANDBETWEEN((Inputs!$E34-(Inputs!$E34-Inputs!$D34)*2)*10000,(Inputs!$E34+(Inputs!$F34-Inputs!$E34)*2)*10000)/10000</f>
        <v>-0.1228</v>
      </c>
      <c r="GU34" s="236">
        <f>RANDBETWEEN((Inputs!$E34-(Inputs!$E34-Inputs!$D34)*2)*10000,(Inputs!$E34+(Inputs!$F34-Inputs!$E34)*2)*10000)/10000</f>
        <v>1.6283</v>
      </c>
      <c r="GV34" s="236">
        <f>RANDBETWEEN((Inputs!$E34-(Inputs!$E34-Inputs!$D34)*2)*10000,(Inputs!$E34+(Inputs!$F34-Inputs!$E34)*2)*10000)/10000</f>
        <v>1.4806</v>
      </c>
      <c r="GW34" s="236">
        <f>RANDBETWEEN((Inputs!$E34-(Inputs!$E34-Inputs!$D34)*2)*10000,(Inputs!$E34+(Inputs!$F34-Inputs!$E34)*2)*10000)/10000</f>
        <v>0.4952</v>
      </c>
      <c r="GX34" s="236">
        <f>RANDBETWEEN((Inputs!$E34-(Inputs!$E34-Inputs!$D34)*2)*10000,(Inputs!$E34+(Inputs!$F34-Inputs!$E34)*2)*10000)/10000</f>
        <v>1.4435</v>
      </c>
      <c r="GY34" s="236">
        <f>RANDBETWEEN((Inputs!$E34-(Inputs!$E34-Inputs!$D34)*2)*10000,(Inputs!$E34+(Inputs!$F34-Inputs!$E34)*2)*10000)/10000</f>
        <v>0.908</v>
      </c>
      <c r="GZ34" s="236">
        <f>RANDBETWEEN((Inputs!$E34-(Inputs!$E34-Inputs!$D34)*2)*10000,(Inputs!$E34+(Inputs!$F34-Inputs!$E34)*2)*10000)/10000</f>
        <v>1.5112</v>
      </c>
      <c r="HA34" s="236">
        <f>RANDBETWEEN((Inputs!$E34-(Inputs!$E34-Inputs!$D34)*2)*10000,(Inputs!$E34+(Inputs!$F34-Inputs!$E34)*2)*10000)/10000</f>
        <v>0.8687</v>
      </c>
      <c r="HB34" s="236">
        <f>RANDBETWEEN((Inputs!$E34-(Inputs!$E34-Inputs!$D34)*2)*10000,(Inputs!$E34+(Inputs!$F34-Inputs!$E34)*2)*10000)/10000</f>
        <v>0.1774</v>
      </c>
      <c r="HC34" s="236">
        <f>RANDBETWEEN((Inputs!$E34-(Inputs!$E34-Inputs!$D34)*2)*10000,(Inputs!$E34+(Inputs!$F34-Inputs!$E34)*2)*10000)/10000</f>
        <v>0.1931</v>
      </c>
      <c r="HD34" s="236">
        <f>RANDBETWEEN((Inputs!$E34-(Inputs!$E34-Inputs!$D34)*2)*10000,(Inputs!$E34+(Inputs!$F34-Inputs!$E34)*2)*10000)/10000</f>
        <v>0.7487</v>
      </c>
      <c r="HE34" s="236">
        <f>RANDBETWEEN((Inputs!$E34-(Inputs!$E34-Inputs!$D34)*2)*10000,(Inputs!$E34+(Inputs!$F34-Inputs!$E34)*2)*10000)/10000</f>
        <v>0.265</v>
      </c>
      <c r="HF34" s="236">
        <f>RANDBETWEEN((Inputs!$E34-(Inputs!$E34-Inputs!$D34)*2)*10000,(Inputs!$E34+(Inputs!$F34-Inputs!$E34)*2)*10000)/10000</f>
        <v>0.5607</v>
      </c>
      <c r="HG34" s="236">
        <f>RANDBETWEEN((Inputs!$E34-(Inputs!$E34-Inputs!$D34)*2)*10000,(Inputs!$E34+(Inputs!$F34-Inputs!$E34)*2)*10000)/10000</f>
        <v>0.5507</v>
      </c>
      <c r="HH34" s="236">
        <f>RANDBETWEEN((Inputs!$E34-(Inputs!$E34-Inputs!$D34)*2)*10000,(Inputs!$E34+(Inputs!$F34-Inputs!$E34)*2)*10000)/10000</f>
        <v>1.6701</v>
      </c>
      <c r="HI34" s="236">
        <f>RANDBETWEEN((Inputs!$E34-(Inputs!$E34-Inputs!$D34)*2)*10000,(Inputs!$E34+(Inputs!$F34-Inputs!$E34)*2)*10000)/10000</f>
        <v>1.1969</v>
      </c>
      <c r="HJ34" s="236">
        <f>RANDBETWEEN((Inputs!$E34-(Inputs!$E34-Inputs!$D34)*2)*10000,(Inputs!$E34+(Inputs!$F34-Inputs!$E34)*2)*10000)/10000</f>
        <v>0.6646</v>
      </c>
      <c r="HK34" s="236">
        <f>RANDBETWEEN((Inputs!$E34-(Inputs!$E34-Inputs!$D34)*2)*10000,(Inputs!$E34+(Inputs!$F34-Inputs!$E34)*2)*10000)/10000</f>
        <v>0.002</v>
      </c>
      <c r="HL34" s="236">
        <f>RANDBETWEEN((Inputs!$E34-(Inputs!$E34-Inputs!$D34)*2)*10000,(Inputs!$E34+(Inputs!$F34-Inputs!$E34)*2)*10000)/10000</f>
        <v>0.629</v>
      </c>
      <c r="HM34" s="236">
        <f>RANDBETWEEN((Inputs!$E34-(Inputs!$E34-Inputs!$D34)*2)*10000,(Inputs!$E34+(Inputs!$F34-Inputs!$E34)*2)*10000)/10000</f>
        <v>1.0951</v>
      </c>
      <c r="HN34" s="236">
        <f>RANDBETWEEN((Inputs!$E34-(Inputs!$E34-Inputs!$D34)*2)*10000,(Inputs!$E34+(Inputs!$F34-Inputs!$E34)*2)*10000)/10000</f>
        <v>1.4688</v>
      </c>
      <c r="HO34" s="236">
        <f>RANDBETWEEN((Inputs!$E34-(Inputs!$E34-Inputs!$D34)*2)*10000,(Inputs!$E34+(Inputs!$F34-Inputs!$E34)*2)*10000)/10000</f>
        <v>0.7291</v>
      </c>
      <c r="HP34" s="236">
        <f>RANDBETWEEN((Inputs!$E34-(Inputs!$E34-Inputs!$D34)*2)*10000,(Inputs!$E34+(Inputs!$F34-Inputs!$E34)*2)*10000)/10000</f>
        <v>1.3263</v>
      </c>
      <c r="HQ34" s="236">
        <f>RANDBETWEEN((Inputs!$E34-(Inputs!$E34-Inputs!$D34)*2)*10000,(Inputs!$E34+(Inputs!$F34-Inputs!$E34)*2)*10000)/10000</f>
        <v>0.4479</v>
      </c>
      <c r="HR34" s="236">
        <f>RANDBETWEEN((Inputs!$E34-(Inputs!$E34-Inputs!$D34)*2)*10000,(Inputs!$E34+(Inputs!$F34-Inputs!$E34)*2)*10000)/10000</f>
        <v>1.5936</v>
      </c>
      <c r="HS34" s="236">
        <f>RANDBETWEEN((Inputs!$E34-(Inputs!$E34-Inputs!$D34)*2)*10000,(Inputs!$E34+(Inputs!$F34-Inputs!$E34)*2)*10000)/10000</f>
        <v>1.4557</v>
      </c>
      <c r="HT34" s="236">
        <f>RANDBETWEEN((Inputs!$E34-(Inputs!$E34-Inputs!$D34)*2)*10000,(Inputs!$E34+(Inputs!$F34-Inputs!$E34)*2)*10000)/10000</f>
        <v>0.1043</v>
      </c>
      <c r="HU34" s="236">
        <f>RANDBETWEEN((Inputs!$E34-(Inputs!$E34-Inputs!$D34)*2)*10000,(Inputs!$E34+(Inputs!$F34-Inputs!$E34)*2)*10000)/10000</f>
        <v>0.9456</v>
      </c>
      <c r="HV34" s="236">
        <f>RANDBETWEEN((Inputs!$E34-(Inputs!$E34-Inputs!$D34)*2)*10000,(Inputs!$E34+(Inputs!$F34-Inputs!$E34)*2)*10000)/10000</f>
        <v>1.5133</v>
      </c>
      <c r="HW34" s="236">
        <f>RANDBETWEEN((Inputs!$E34-(Inputs!$E34-Inputs!$D34)*2)*10000,(Inputs!$E34+(Inputs!$F34-Inputs!$E34)*2)*10000)/10000</f>
        <v>1.3136</v>
      </c>
      <c r="HX34" s="236">
        <f>RANDBETWEEN((Inputs!$E34-(Inputs!$E34-Inputs!$D34)*2)*10000,(Inputs!$E34+(Inputs!$F34-Inputs!$E34)*2)*10000)/10000</f>
        <v>0.7022</v>
      </c>
      <c r="HY34" s="236">
        <f>RANDBETWEEN((Inputs!$E34-(Inputs!$E34-Inputs!$D34)*2)*10000,(Inputs!$E34+(Inputs!$F34-Inputs!$E34)*2)*10000)/10000</f>
        <v>-0.0175</v>
      </c>
      <c r="HZ34" s="236">
        <f>RANDBETWEEN((Inputs!$E34-(Inputs!$E34-Inputs!$D34)*2)*10000,(Inputs!$E34+(Inputs!$F34-Inputs!$E34)*2)*10000)/10000</f>
        <v>1.4585</v>
      </c>
      <c r="IA34" s="236">
        <f>RANDBETWEEN((Inputs!$E34-(Inputs!$E34-Inputs!$D34)*2)*10000,(Inputs!$E34+(Inputs!$F34-Inputs!$E34)*2)*10000)/10000</f>
        <v>1.7525</v>
      </c>
      <c r="IB34" s="236">
        <f>RANDBETWEEN((Inputs!$E34-(Inputs!$E34-Inputs!$D34)*2)*10000,(Inputs!$E34+(Inputs!$F34-Inputs!$E34)*2)*10000)/10000</f>
        <v>0.7434</v>
      </c>
      <c r="IC34" s="236">
        <f>RANDBETWEEN((Inputs!$E34-(Inputs!$E34-Inputs!$D34)*2)*10000,(Inputs!$E34+(Inputs!$F34-Inputs!$E34)*2)*10000)/10000</f>
        <v>0.5291</v>
      </c>
      <c r="ID34" s="236">
        <f>RANDBETWEEN((Inputs!$E34-(Inputs!$E34-Inputs!$D34)*2)*10000,(Inputs!$E34+(Inputs!$F34-Inputs!$E34)*2)*10000)/10000</f>
        <v>-0.0522</v>
      </c>
      <c r="IE34" s="236">
        <f>RANDBETWEEN((Inputs!$E34-(Inputs!$E34-Inputs!$D34)*2)*10000,(Inputs!$E34+(Inputs!$F34-Inputs!$E34)*2)*10000)/10000</f>
        <v>1.009</v>
      </c>
      <c r="IF34" s="236">
        <f>RANDBETWEEN((Inputs!$E34-(Inputs!$E34-Inputs!$D34)*2)*10000,(Inputs!$E34+(Inputs!$F34-Inputs!$E34)*2)*10000)/10000</f>
        <v>1.6847</v>
      </c>
      <c r="IG34" s="236">
        <f>RANDBETWEEN((Inputs!$E34-(Inputs!$E34-Inputs!$D34)*2)*10000,(Inputs!$E34+(Inputs!$F34-Inputs!$E34)*2)*10000)/10000</f>
        <v>1.5133</v>
      </c>
      <c r="IH34" s="236">
        <f>RANDBETWEEN((Inputs!$E34-(Inputs!$E34-Inputs!$D34)*2)*10000,(Inputs!$E34+(Inputs!$F34-Inputs!$E34)*2)*10000)/10000</f>
        <v>0.7134</v>
      </c>
      <c r="II34" s="236">
        <f>RANDBETWEEN((Inputs!$E34-(Inputs!$E34-Inputs!$D34)*2)*10000,(Inputs!$E34+(Inputs!$F34-Inputs!$E34)*2)*10000)/10000</f>
        <v>0.5787</v>
      </c>
      <c r="IJ34" s="236">
        <f>RANDBETWEEN((Inputs!$E34-(Inputs!$E34-Inputs!$D34)*2)*10000,(Inputs!$E34+(Inputs!$F34-Inputs!$E34)*2)*10000)/10000</f>
        <v>0.0727</v>
      </c>
      <c r="IK34" s="236">
        <f>RANDBETWEEN((Inputs!$E34-(Inputs!$E34-Inputs!$D34)*2)*10000,(Inputs!$E34+(Inputs!$F34-Inputs!$E34)*2)*10000)/10000</f>
        <v>1.5869</v>
      </c>
      <c r="IL34" s="236">
        <f>RANDBETWEEN((Inputs!$E34-(Inputs!$E34-Inputs!$D34)*2)*10000,(Inputs!$E34+(Inputs!$F34-Inputs!$E34)*2)*10000)/10000</f>
        <v>1.2715</v>
      </c>
      <c r="IM34" s="236">
        <f>RANDBETWEEN((Inputs!$E34-(Inputs!$E34-Inputs!$D34)*2)*10000,(Inputs!$E34+(Inputs!$F34-Inputs!$E34)*2)*10000)/10000</f>
        <v>0.5679</v>
      </c>
      <c r="IN34" s="236">
        <f>RANDBETWEEN((Inputs!$E34-(Inputs!$E34-Inputs!$D34)*2)*10000,(Inputs!$E34+(Inputs!$F34-Inputs!$E34)*2)*10000)/10000</f>
        <v>0.891</v>
      </c>
      <c r="IO34" s="236">
        <f>RANDBETWEEN((Inputs!$E34-(Inputs!$E34-Inputs!$D34)*2)*10000,(Inputs!$E34+(Inputs!$F34-Inputs!$E34)*2)*10000)/10000</f>
        <v>0.4391</v>
      </c>
      <c r="IP34" s="236">
        <f>RANDBETWEEN((Inputs!$E34-(Inputs!$E34-Inputs!$D34)*2)*10000,(Inputs!$E34+(Inputs!$F34-Inputs!$E34)*2)*10000)/10000</f>
        <v>0.9375</v>
      </c>
      <c r="IQ34" s="236">
        <f>RANDBETWEEN((Inputs!$E34-(Inputs!$E34-Inputs!$D34)*2)*10000,(Inputs!$E34+(Inputs!$F34-Inputs!$E34)*2)*10000)/10000</f>
        <v>0.493</v>
      </c>
      <c r="IR34" s="236">
        <f>RANDBETWEEN((Inputs!$E34-(Inputs!$E34-Inputs!$D34)*2)*10000,(Inputs!$E34+(Inputs!$F34-Inputs!$E34)*2)*10000)/10000</f>
        <v>0.257</v>
      </c>
      <c r="IS34" s="236">
        <f>RANDBETWEEN((Inputs!$E34-(Inputs!$E34-Inputs!$D34)*2)*10000,(Inputs!$E34+(Inputs!$F34-Inputs!$E34)*2)*10000)/10000</f>
        <v>0.9578</v>
      </c>
      <c r="IT34" s="236">
        <f>RANDBETWEEN((Inputs!$E34-(Inputs!$E34-Inputs!$D34)*2)*10000,(Inputs!$E34+(Inputs!$F34-Inputs!$E34)*2)*10000)/10000</f>
        <v>1.2115</v>
      </c>
      <c r="IU34" s="236">
        <f>RANDBETWEEN((Inputs!$E34-(Inputs!$E34-Inputs!$D34)*2)*10000,(Inputs!$E34+(Inputs!$F34-Inputs!$E34)*2)*10000)/10000</f>
        <v>0.0501</v>
      </c>
      <c r="IV34" s="236">
        <f>RANDBETWEEN((Inputs!$E34-(Inputs!$E34-Inputs!$D34)*2)*10000,(Inputs!$E34+(Inputs!$F34-Inputs!$E34)*2)*10000)/10000</f>
        <v>0.6655</v>
      </c>
      <c r="IW34" s="236">
        <f>RANDBETWEEN((Inputs!$E34-(Inputs!$E34-Inputs!$D34)*2)*10000,(Inputs!$E34+(Inputs!$F34-Inputs!$E34)*2)*10000)/10000</f>
        <v>0.7839</v>
      </c>
      <c r="IX34" s="236">
        <f>RANDBETWEEN((Inputs!$E34-(Inputs!$E34-Inputs!$D34)*2)*10000,(Inputs!$E34+(Inputs!$F34-Inputs!$E34)*2)*10000)/10000</f>
        <v>-0.1144</v>
      </c>
      <c r="IY34" s="236">
        <f>RANDBETWEEN((Inputs!$E34-(Inputs!$E34-Inputs!$D34)*2)*10000,(Inputs!$E34+(Inputs!$F34-Inputs!$E34)*2)*10000)/10000</f>
        <v>0.8247</v>
      </c>
      <c r="IZ34" s="236">
        <f>RANDBETWEEN((Inputs!$E34-(Inputs!$E34-Inputs!$D34)*2)*10000,(Inputs!$E34+(Inputs!$F34-Inputs!$E34)*2)*10000)/10000</f>
        <v>0.0126</v>
      </c>
      <c r="JA34" s="236">
        <f>RANDBETWEEN((Inputs!$E34-(Inputs!$E34-Inputs!$D34)*2)*10000,(Inputs!$E34+(Inputs!$F34-Inputs!$E34)*2)*10000)/10000</f>
        <v>1.4631</v>
      </c>
      <c r="JB34" s="236">
        <f>RANDBETWEEN((Inputs!$E34-(Inputs!$E34-Inputs!$D34)*2)*10000,(Inputs!$E34+(Inputs!$F34-Inputs!$E34)*2)*10000)/10000</f>
        <v>0.1935</v>
      </c>
      <c r="JC34" s="236">
        <f>RANDBETWEEN((Inputs!$E34-(Inputs!$E34-Inputs!$D34)*2)*10000,(Inputs!$E34+(Inputs!$F34-Inputs!$E34)*2)*10000)/10000</f>
        <v>0.7074</v>
      </c>
      <c r="JD34" s="236">
        <f>RANDBETWEEN((Inputs!$E34-(Inputs!$E34-Inputs!$D34)*2)*10000,(Inputs!$E34+(Inputs!$F34-Inputs!$E34)*2)*10000)/10000</f>
        <v>0.4095</v>
      </c>
      <c r="JE34" s="236">
        <f>RANDBETWEEN((Inputs!$E34-(Inputs!$E34-Inputs!$D34)*2)*10000,(Inputs!$E34+(Inputs!$F34-Inputs!$E34)*2)*10000)/10000</f>
        <v>0.044</v>
      </c>
      <c r="JF34" s="236">
        <f>RANDBETWEEN((Inputs!$E34-(Inputs!$E34-Inputs!$D34)*2)*10000,(Inputs!$E34+(Inputs!$F34-Inputs!$E34)*2)*10000)/10000</f>
        <v>0.6283</v>
      </c>
      <c r="JG34" s="236">
        <f>RANDBETWEEN((Inputs!$E34-(Inputs!$E34-Inputs!$D34)*2)*10000,(Inputs!$E34+(Inputs!$F34-Inputs!$E34)*2)*10000)/10000</f>
        <v>1.6711</v>
      </c>
      <c r="JH34" s="236">
        <f>RANDBETWEEN((Inputs!$E34-(Inputs!$E34-Inputs!$D34)*2)*10000,(Inputs!$E34+(Inputs!$F34-Inputs!$E34)*2)*10000)/10000</f>
        <v>1.5147</v>
      </c>
      <c r="JI34" s="236">
        <f>RANDBETWEEN((Inputs!$E34-(Inputs!$E34-Inputs!$D34)*2)*10000,(Inputs!$E34+(Inputs!$F34-Inputs!$E34)*2)*10000)/10000</f>
        <v>1.5909</v>
      </c>
      <c r="JJ34" s="236">
        <f>RANDBETWEEN((Inputs!$E34-(Inputs!$E34-Inputs!$D34)*2)*10000,(Inputs!$E34+(Inputs!$F34-Inputs!$E34)*2)*10000)/10000</f>
        <v>1.3014</v>
      </c>
      <c r="JK34" s="236">
        <f>RANDBETWEEN((Inputs!$E34-(Inputs!$E34-Inputs!$D34)*2)*10000,(Inputs!$E34+(Inputs!$F34-Inputs!$E34)*2)*10000)/10000</f>
        <v>1.4379</v>
      </c>
      <c r="JL34" s="236">
        <f>RANDBETWEEN((Inputs!$E34-(Inputs!$E34-Inputs!$D34)*2)*10000,(Inputs!$E34+(Inputs!$F34-Inputs!$E34)*2)*10000)/10000</f>
        <v>0.2472</v>
      </c>
      <c r="JM34" s="236">
        <f>RANDBETWEEN((Inputs!$E34-(Inputs!$E34-Inputs!$D34)*2)*10000,(Inputs!$E34+(Inputs!$F34-Inputs!$E34)*2)*10000)/10000</f>
        <v>0.2441</v>
      </c>
      <c r="JN34" s="236">
        <f>RANDBETWEEN((Inputs!$E34-(Inputs!$E34-Inputs!$D34)*2)*10000,(Inputs!$E34+(Inputs!$F34-Inputs!$E34)*2)*10000)/10000</f>
        <v>1.623</v>
      </c>
      <c r="JO34" s="236">
        <f>RANDBETWEEN((Inputs!$E34-(Inputs!$E34-Inputs!$D34)*2)*10000,(Inputs!$E34+(Inputs!$F34-Inputs!$E34)*2)*10000)/10000</f>
        <v>0.4949</v>
      </c>
      <c r="JP34" s="236">
        <f>RANDBETWEEN((Inputs!$E34-(Inputs!$E34-Inputs!$D34)*2)*10000,(Inputs!$E34+(Inputs!$F34-Inputs!$E34)*2)*10000)/10000</f>
        <v>1.1824</v>
      </c>
      <c r="JQ34" s="236">
        <f>RANDBETWEEN((Inputs!$E34-(Inputs!$E34-Inputs!$D34)*2)*10000,(Inputs!$E34+(Inputs!$F34-Inputs!$E34)*2)*10000)/10000</f>
        <v>1.32</v>
      </c>
      <c r="JR34" s="236">
        <f>RANDBETWEEN((Inputs!$E34-(Inputs!$E34-Inputs!$D34)*2)*10000,(Inputs!$E34+(Inputs!$F34-Inputs!$E34)*2)*10000)/10000</f>
        <v>0.1307</v>
      </c>
      <c r="JS34" s="236">
        <f>RANDBETWEEN((Inputs!$E34-(Inputs!$E34-Inputs!$D34)*2)*10000,(Inputs!$E34+(Inputs!$F34-Inputs!$E34)*2)*10000)/10000</f>
        <v>1.3521</v>
      </c>
      <c r="JT34" s="236">
        <f>RANDBETWEEN((Inputs!$E34-(Inputs!$E34-Inputs!$D34)*2)*10000,(Inputs!$E34+(Inputs!$F34-Inputs!$E34)*2)*10000)/10000</f>
        <v>1.5093</v>
      </c>
      <c r="JU34" s="236">
        <f>RANDBETWEEN((Inputs!$E34-(Inputs!$E34-Inputs!$D34)*2)*10000,(Inputs!$E34+(Inputs!$F34-Inputs!$E34)*2)*10000)/10000</f>
        <v>0.2262</v>
      </c>
      <c r="JV34" s="236">
        <f>RANDBETWEEN((Inputs!$E34-(Inputs!$E34-Inputs!$D34)*2)*10000,(Inputs!$E34+(Inputs!$F34-Inputs!$E34)*2)*10000)/10000</f>
        <v>0.3196</v>
      </c>
      <c r="JW34" s="236">
        <f>RANDBETWEEN((Inputs!$E34-(Inputs!$E34-Inputs!$D34)*2)*10000,(Inputs!$E34+(Inputs!$F34-Inputs!$E34)*2)*10000)/10000</f>
        <v>0.7842</v>
      </c>
      <c r="JX34" s="236">
        <f>RANDBETWEEN((Inputs!$E34-(Inputs!$E34-Inputs!$D34)*2)*10000,(Inputs!$E34+(Inputs!$F34-Inputs!$E34)*2)*10000)/10000</f>
        <v>0.9019</v>
      </c>
      <c r="JY34" s="236">
        <f>RANDBETWEEN((Inputs!$E34-(Inputs!$E34-Inputs!$D34)*2)*10000,(Inputs!$E34+(Inputs!$F34-Inputs!$E34)*2)*10000)/10000</f>
        <v>0.4692</v>
      </c>
      <c r="JZ34" s="236">
        <f>RANDBETWEEN((Inputs!$E34-(Inputs!$E34-Inputs!$D34)*2)*10000,(Inputs!$E34+(Inputs!$F34-Inputs!$E34)*2)*10000)/10000</f>
        <v>1.2962</v>
      </c>
      <c r="KA34" s="236">
        <f>RANDBETWEEN((Inputs!$E34-(Inputs!$E34-Inputs!$D34)*2)*10000,(Inputs!$E34+(Inputs!$F34-Inputs!$E34)*2)*10000)/10000</f>
        <v>1.2733</v>
      </c>
      <c r="KB34" s="236">
        <f>RANDBETWEEN((Inputs!$E34-(Inputs!$E34-Inputs!$D34)*2)*10000,(Inputs!$E34+(Inputs!$F34-Inputs!$E34)*2)*10000)/10000</f>
        <v>0.5179</v>
      </c>
      <c r="KC34" s="236">
        <f>RANDBETWEEN((Inputs!$E34-(Inputs!$E34-Inputs!$D34)*2)*10000,(Inputs!$E34+(Inputs!$F34-Inputs!$E34)*2)*10000)/10000</f>
        <v>1.4731</v>
      </c>
      <c r="KD34" s="236">
        <f>RANDBETWEEN((Inputs!$E34-(Inputs!$E34-Inputs!$D34)*2)*10000,(Inputs!$E34+(Inputs!$F34-Inputs!$E34)*2)*10000)/10000</f>
        <v>1.1412</v>
      </c>
      <c r="KE34" s="236">
        <f>RANDBETWEEN((Inputs!$E34-(Inputs!$E34-Inputs!$D34)*2)*10000,(Inputs!$E34+(Inputs!$F34-Inputs!$E34)*2)*10000)/10000</f>
        <v>0.8787</v>
      </c>
      <c r="KF34" s="236">
        <f>RANDBETWEEN((Inputs!$E34-(Inputs!$E34-Inputs!$D34)*2)*10000,(Inputs!$E34+(Inputs!$F34-Inputs!$E34)*2)*10000)/10000</f>
        <v>-0.067</v>
      </c>
      <c r="KG34" s="236">
        <f>RANDBETWEEN((Inputs!$E34-(Inputs!$E34-Inputs!$D34)*2)*10000,(Inputs!$E34+(Inputs!$F34-Inputs!$E34)*2)*10000)/10000</f>
        <v>0.9908</v>
      </c>
      <c r="KH34" s="236">
        <f>RANDBETWEEN((Inputs!$E34-(Inputs!$E34-Inputs!$D34)*2)*10000,(Inputs!$E34+(Inputs!$F34-Inputs!$E34)*2)*10000)/10000</f>
        <v>0.8379</v>
      </c>
      <c r="KI34" s="236">
        <f>RANDBETWEEN((Inputs!$E34-(Inputs!$E34-Inputs!$D34)*2)*10000,(Inputs!$E34+(Inputs!$F34-Inputs!$E34)*2)*10000)/10000</f>
        <v>1.3142</v>
      </c>
      <c r="KJ34" s="236">
        <f>RANDBETWEEN((Inputs!$E34-(Inputs!$E34-Inputs!$D34)*2)*10000,(Inputs!$E34+(Inputs!$F34-Inputs!$E34)*2)*10000)/10000</f>
        <v>1.4345</v>
      </c>
      <c r="KK34" s="236">
        <f>RANDBETWEEN((Inputs!$E34-(Inputs!$E34-Inputs!$D34)*2)*10000,(Inputs!$E34+(Inputs!$F34-Inputs!$E34)*2)*10000)/10000</f>
        <v>0.7291</v>
      </c>
      <c r="KL34" s="236">
        <f>RANDBETWEEN((Inputs!$E34-(Inputs!$E34-Inputs!$D34)*2)*10000,(Inputs!$E34+(Inputs!$F34-Inputs!$E34)*2)*10000)/10000</f>
        <v>-0.0348</v>
      </c>
      <c r="KM34" s="236">
        <f>RANDBETWEEN((Inputs!$E34-(Inputs!$E34-Inputs!$D34)*2)*10000,(Inputs!$E34+(Inputs!$F34-Inputs!$E34)*2)*10000)/10000</f>
        <v>0.663</v>
      </c>
      <c r="KN34" s="236">
        <f>RANDBETWEEN((Inputs!$E34-(Inputs!$E34-Inputs!$D34)*2)*10000,(Inputs!$E34+(Inputs!$F34-Inputs!$E34)*2)*10000)/10000</f>
        <v>1.1795</v>
      </c>
      <c r="KO34" s="236">
        <f>RANDBETWEEN((Inputs!$E34-(Inputs!$E34-Inputs!$D34)*2)*10000,(Inputs!$E34+(Inputs!$F34-Inputs!$E34)*2)*10000)/10000</f>
        <v>0.1541</v>
      </c>
      <c r="KP34" s="236">
        <f>RANDBETWEEN((Inputs!$E34-(Inputs!$E34-Inputs!$D34)*2)*10000,(Inputs!$E34+(Inputs!$F34-Inputs!$E34)*2)*10000)/10000</f>
        <v>0.9663</v>
      </c>
      <c r="KQ34" s="236">
        <f>RANDBETWEEN((Inputs!$E34-(Inputs!$E34-Inputs!$D34)*2)*10000,(Inputs!$E34+(Inputs!$F34-Inputs!$E34)*2)*10000)/10000</f>
        <v>1.7534</v>
      </c>
      <c r="KR34" s="236">
        <f>RANDBETWEEN((Inputs!$E34-(Inputs!$E34-Inputs!$D34)*2)*10000,(Inputs!$E34+(Inputs!$F34-Inputs!$E34)*2)*10000)/10000</f>
        <v>1.4533</v>
      </c>
      <c r="KS34" s="236">
        <f>RANDBETWEEN((Inputs!$E34-(Inputs!$E34-Inputs!$D34)*2)*10000,(Inputs!$E34+(Inputs!$F34-Inputs!$E34)*2)*10000)/10000</f>
        <v>0.7609</v>
      </c>
      <c r="KT34" s="236">
        <f>RANDBETWEEN((Inputs!$E34-(Inputs!$E34-Inputs!$D34)*2)*10000,(Inputs!$E34+(Inputs!$F34-Inputs!$E34)*2)*10000)/10000</f>
        <v>0.2646</v>
      </c>
      <c r="KU34" s="236">
        <f>RANDBETWEEN((Inputs!$E34-(Inputs!$E34-Inputs!$D34)*2)*10000,(Inputs!$E34+(Inputs!$F34-Inputs!$E34)*2)*10000)/10000</f>
        <v>0.9509</v>
      </c>
      <c r="KV34" s="236">
        <f>RANDBETWEEN((Inputs!$E34-(Inputs!$E34-Inputs!$D34)*2)*10000,(Inputs!$E34+(Inputs!$F34-Inputs!$E34)*2)*10000)/10000</f>
        <v>0.7067</v>
      </c>
      <c r="KW34" s="236">
        <f>RANDBETWEEN((Inputs!$E34-(Inputs!$E34-Inputs!$D34)*2)*10000,(Inputs!$E34+(Inputs!$F34-Inputs!$E34)*2)*10000)/10000</f>
        <v>0.439</v>
      </c>
      <c r="KX34" s="236">
        <f>RANDBETWEEN((Inputs!$E34-(Inputs!$E34-Inputs!$D34)*2)*10000,(Inputs!$E34+(Inputs!$F34-Inputs!$E34)*2)*10000)/10000</f>
        <v>1.1915</v>
      </c>
      <c r="KY34" s="236">
        <f>RANDBETWEEN((Inputs!$E34-(Inputs!$E34-Inputs!$D34)*2)*10000,(Inputs!$E34+(Inputs!$F34-Inputs!$E34)*2)*10000)/10000</f>
        <v>1.4726</v>
      </c>
      <c r="KZ34" s="236">
        <f>RANDBETWEEN((Inputs!$E34-(Inputs!$E34-Inputs!$D34)*2)*10000,(Inputs!$E34+(Inputs!$F34-Inputs!$E34)*2)*10000)/10000</f>
        <v>0.0234</v>
      </c>
      <c r="LA34" s="236">
        <f>RANDBETWEEN((Inputs!$E34-(Inputs!$E34-Inputs!$D34)*2)*10000,(Inputs!$E34+(Inputs!$F34-Inputs!$E34)*2)*10000)/10000</f>
        <v>0.0403</v>
      </c>
      <c r="LB34" s="236">
        <f>RANDBETWEEN((Inputs!$E34-(Inputs!$E34-Inputs!$D34)*2)*10000,(Inputs!$E34+(Inputs!$F34-Inputs!$E34)*2)*10000)/10000</f>
        <v>1.3536</v>
      </c>
      <c r="LC34" s="236">
        <f>RANDBETWEEN((Inputs!$E34-(Inputs!$E34-Inputs!$D34)*2)*10000,(Inputs!$E34+(Inputs!$F34-Inputs!$E34)*2)*10000)/10000</f>
        <v>1.5826</v>
      </c>
      <c r="LD34" s="236">
        <f>RANDBETWEEN((Inputs!$E34-(Inputs!$E34-Inputs!$D34)*2)*10000,(Inputs!$E34+(Inputs!$F34-Inputs!$E34)*2)*10000)/10000</f>
        <v>0.9081</v>
      </c>
      <c r="LE34" s="236">
        <f>RANDBETWEEN((Inputs!$E34-(Inputs!$E34-Inputs!$D34)*2)*10000,(Inputs!$E34+(Inputs!$F34-Inputs!$E34)*2)*10000)/10000</f>
        <v>1.0041</v>
      </c>
      <c r="LF34" s="236">
        <f>RANDBETWEEN((Inputs!$E34-(Inputs!$E34-Inputs!$D34)*2)*10000,(Inputs!$E34+(Inputs!$F34-Inputs!$E34)*2)*10000)/10000</f>
        <v>0.5956</v>
      </c>
      <c r="LG34" s="236">
        <f>RANDBETWEEN((Inputs!$E34-(Inputs!$E34-Inputs!$D34)*2)*10000,(Inputs!$E34+(Inputs!$F34-Inputs!$E34)*2)*10000)/10000</f>
        <v>0.2192</v>
      </c>
      <c r="LH34" s="236">
        <f>RANDBETWEEN((Inputs!$E34-(Inputs!$E34-Inputs!$D34)*2)*10000,(Inputs!$E34+(Inputs!$F34-Inputs!$E34)*2)*10000)/10000</f>
        <v>1.7014</v>
      </c>
      <c r="LI34" s="236">
        <f>RANDBETWEEN((Inputs!$E34-(Inputs!$E34-Inputs!$D34)*2)*10000,(Inputs!$E34+(Inputs!$F34-Inputs!$E34)*2)*10000)/10000</f>
        <v>1.3321</v>
      </c>
      <c r="LJ34" s="236">
        <f>RANDBETWEEN((Inputs!$E34-(Inputs!$E34-Inputs!$D34)*2)*10000,(Inputs!$E34+(Inputs!$F34-Inputs!$E34)*2)*10000)/10000</f>
        <v>1.42</v>
      </c>
      <c r="LK34" s="236">
        <f>RANDBETWEEN((Inputs!$E34-(Inputs!$E34-Inputs!$D34)*2)*10000,(Inputs!$E34+(Inputs!$F34-Inputs!$E34)*2)*10000)/10000</f>
        <v>0.8966</v>
      </c>
      <c r="LL34" s="236">
        <f>RANDBETWEEN((Inputs!$E34-(Inputs!$E34-Inputs!$D34)*2)*10000,(Inputs!$E34+(Inputs!$F34-Inputs!$E34)*2)*10000)/10000</f>
        <v>-0.1153</v>
      </c>
      <c r="LM34" s="236">
        <f>RANDBETWEEN((Inputs!$E34-(Inputs!$E34-Inputs!$D34)*2)*10000,(Inputs!$E34+(Inputs!$F34-Inputs!$E34)*2)*10000)/10000</f>
        <v>1.3494</v>
      </c>
      <c r="LN34" s="236">
        <f>RANDBETWEEN((Inputs!$E34-(Inputs!$E34-Inputs!$D34)*2)*10000,(Inputs!$E34+(Inputs!$F34-Inputs!$E34)*2)*10000)/10000</f>
        <v>0.4149</v>
      </c>
      <c r="LO34" s="236">
        <f>RANDBETWEEN((Inputs!$E34-(Inputs!$E34-Inputs!$D34)*2)*10000,(Inputs!$E34+(Inputs!$F34-Inputs!$E34)*2)*10000)/10000</f>
        <v>-0.0857</v>
      </c>
      <c r="LP34" s="236">
        <f>RANDBETWEEN((Inputs!$E34-(Inputs!$E34-Inputs!$D34)*2)*10000,(Inputs!$E34+(Inputs!$F34-Inputs!$E34)*2)*10000)/10000</f>
        <v>-0.003</v>
      </c>
      <c r="LQ34" s="236">
        <f>RANDBETWEEN((Inputs!$E34-(Inputs!$E34-Inputs!$D34)*2)*10000,(Inputs!$E34+(Inputs!$F34-Inputs!$E34)*2)*10000)/10000</f>
        <v>0.9291</v>
      </c>
      <c r="LR34" s="236">
        <f>RANDBETWEEN((Inputs!$E34-(Inputs!$E34-Inputs!$D34)*2)*10000,(Inputs!$E34+(Inputs!$F34-Inputs!$E34)*2)*10000)/10000</f>
        <v>0.9053</v>
      </c>
      <c r="LS34" s="236">
        <f>RANDBETWEEN((Inputs!$E34-(Inputs!$E34-Inputs!$D34)*2)*10000,(Inputs!$E34+(Inputs!$F34-Inputs!$E34)*2)*10000)/10000</f>
        <v>1.6409</v>
      </c>
      <c r="LT34" s="236">
        <f>RANDBETWEEN((Inputs!$E34-(Inputs!$E34-Inputs!$D34)*2)*10000,(Inputs!$E34+(Inputs!$F34-Inputs!$E34)*2)*10000)/10000</f>
        <v>0.3182</v>
      </c>
      <c r="LU34" s="236">
        <f>RANDBETWEEN((Inputs!$E34-(Inputs!$E34-Inputs!$D34)*2)*10000,(Inputs!$E34+(Inputs!$F34-Inputs!$E34)*2)*10000)/10000</f>
        <v>0.2795</v>
      </c>
      <c r="LV34" s="236">
        <f>RANDBETWEEN((Inputs!$E34-(Inputs!$E34-Inputs!$D34)*2)*10000,(Inputs!$E34+(Inputs!$F34-Inputs!$E34)*2)*10000)/10000</f>
        <v>0.4103</v>
      </c>
      <c r="LW34" s="236">
        <f>RANDBETWEEN((Inputs!$E34-(Inputs!$E34-Inputs!$D34)*2)*10000,(Inputs!$E34+(Inputs!$F34-Inputs!$E34)*2)*10000)/10000</f>
        <v>0.7109</v>
      </c>
      <c r="LX34" s="236">
        <f>RANDBETWEEN((Inputs!$E34-(Inputs!$E34-Inputs!$D34)*2)*10000,(Inputs!$E34+(Inputs!$F34-Inputs!$E34)*2)*10000)/10000</f>
        <v>1.0953</v>
      </c>
      <c r="LY34" s="236">
        <f>RANDBETWEEN((Inputs!$E34-(Inputs!$E34-Inputs!$D34)*2)*10000,(Inputs!$E34+(Inputs!$F34-Inputs!$E34)*2)*10000)/10000</f>
        <v>1.397</v>
      </c>
      <c r="LZ34" s="236">
        <f>RANDBETWEEN((Inputs!$E34-(Inputs!$E34-Inputs!$D34)*2)*10000,(Inputs!$E34+(Inputs!$F34-Inputs!$E34)*2)*10000)/10000</f>
        <v>-0.0423</v>
      </c>
      <c r="MA34" s="236">
        <f>RANDBETWEEN((Inputs!$E34-(Inputs!$E34-Inputs!$D34)*2)*10000,(Inputs!$E34+(Inputs!$F34-Inputs!$E34)*2)*10000)/10000</f>
        <v>0.0631</v>
      </c>
      <c r="MB34" s="236">
        <f>RANDBETWEEN((Inputs!$E34-(Inputs!$E34-Inputs!$D34)*2)*10000,(Inputs!$E34+(Inputs!$F34-Inputs!$E34)*2)*10000)/10000</f>
        <v>0.9614</v>
      </c>
      <c r="MC34" s="236">
        <f>RANDBETWEEN((Inputs!$E34-(Inputs!$E34-Inputs!$D34)*2)*10000,(Inputs!$E34+(Inputs!$F34-Inputs!$E34)*2)*10000)/10000</f>
        <v>0.6259</v>
      </c>
      <c r="MD34" s="236">
        <f>RANDBETWEEN((Inputs!$E34-(Inputs!$E34-Inputs!$D34)*2)*10000,(Inputs!$E34+(Inputs!$F34-Inputs!$E34)*2)*10000)/10000</f>
        <v>0.2715</v>
      </c>
      <c r="ME34" s="236">
        <f>RANDBETWEEN((Inputs!$E34-(Inputs!$E34-Inputs!$D34)*2)*10000,(Inputs!$E34+(Inputs!$F34-Inputs!$E34)*2)*10000)/10000</f>
        <v>1.4233</v>
      </c>
      <c r="MF34" s="236">
        <f>RANDBETWEEN((Inputs!$E34-(Inputs!$E34-Inputs!$D34)*2)*10000,(Inputs!$E34+(Inputs!$F34-Inputs!$E34)*2)*10000)/10000</f>
        <v>0.8958</v>
      </c>
      <c r="MG34" s="236">
        <f>RANDBETWEEN((Inputs!$E34-(Inputs!$E34-Inputs!$D34)*2)*10000,(Inputs!$E34+(Inputs!$F34-Inputs!$E34)*2)*10000)/10000</f>
        <v>0.9317</v>
      </c>
      <c r="MH34" s="236">
        <f>RANDBETWEEN((Inputs!$E34-(Inputs!$E34-Inputs!$D34)*2)*10000,(Inputs!$E34+(Inputs!$F34-Inputs!$E34)*2)*10000)/10000</f>
        <v>1.4375</v>
      </c>
      <c r="MI34" s="236">
        <f>RANDBETWEEN((Inputs!$E34-(Inputs!$E34-Inputs!$D34)*2)*10000,(Inputs!$E34+(Inputs!$F34-Inputs!$E34)*2)*10000)/10000</f>
        <v>0.6847</v>
      </c>
      <c r="MJ34" s="236">
        <f>RANDBETWEEN((Inputs!$E34-(Inputs!$E34-Inputs!$D34)*2)*10000,(Inputs!$E34+(Inputs!$F34-Inputs!$E34)*2)*10000)/10000</f>
        <v>1.5486</v>
      </c>
      <c r="MK34" s="236">
        <f>RANDBETWEEN((Inputs!$E34-(Inputs!$E34-Inputs!$D34)*2)*10000,(Inputs!$E34+(Inputs!$F34-Inputs!$E34)*2)*10000)/10000</f>
        <v>-0.0456</v>
      </c>
      <c r="ML34" s="236">
        <f>RANDBETWEEN((Inputs!$E34-(Inputs!$E34-Inputs!$D34)*2)*10000,(Inputs!$E34+(Inputs!$F34-Inputs!$E34)*2)*10000)/10000</f>
        <v>0.496</v>
      </c>
      <c r="MM34" s="236">
        <f>RANDBETWEEN((Inputs!$E34-(Inputs!$E34-Inputs!$D34)*2)*10000,(Inputs!$E34+(Inputs!$F34-Inputs!$E34)*2)*10000)/10000</f>
        <v>0.9908</v>
      </c>
      <c r="MN34" s="236">
        <f>RANDBETWEEN((Inputs!$E34-(Inputs!$E34-Inputs!$D34)*2)*10000,(Inputs!$E34+(Inputs!$F34-Inputs!$E34)*2)*10000)/10000</f>
        <v>0.1737</v>
      </c>
      <c r="MO34" s="236">
        <f>RANDBETWEEN((Inputs!$E34-(Inputs!$E34-Inputs!$D34)*2)*10000,(Inputs!$E34+(Inputs!$F34-Inputs!$E34)*2)*10000)/10000</f>
        <v>1.2309</v>
      </c>
      <c r="MP34" s="236">
        <f>RANDBETWEEN((Inputs!$E34-(Inputs!$E34-Inputs!$D34)*2)*10000,(Inputs!$E34+(Inputs!$F34-Inputs!$E34)*2)*10000)/10000</f>
        <v>0.7202</v>
      </c>
      <c r="MQ34" s="236">
        <f>RANDBETWEEN((Inputs!$E34-(Inputs!$E34-Inputs!$D34)*2)*10000,(Inputs!$E34+(Inputs!$F34-Inputs!$E34)*2)*10000)/10000</f>
        <v>-0.1002</v>
      </c>
      <c r="MR34" s="236">
        <f>RANDBETWEEN((Inputs!$E34-(Inputs!$E34-Inputs!$D34)*2)*10000,(Inputs!$E34+(Inputs!$F34-Inputs!$E34)*2)*10000)/10000</f>
        <v>0.5666</v>
      </c>
      <c r="MS34" s="236">
        <f>RANDBETWEEN((Inputs!$E34-(Inputs!$E34-Inputs!$D34)*2)*10000,(Inputs!$E34+(Inputs!$F34-Inputs!$E34)*2)*10000)/10000</f>
        <v>1.7174</v>
      </c>
      <c r="MT34" s="236">
        <f>RANDBETWEEN((Inputs!$E34-(Inputs!$E34-Inputs!$D34)*2)*10000,(Inputs!$E34+(Inputs!$F34-Inputs!$E34)*2)*10000)/10000</f>
        <v>1.5053</v>
      </c>
      <c r="MU34" s="236">
        <f>RANDBETWEEN((Inputs!$E34-(Inputs!$E34-Inputs!$D34)*2)*10000,(Inputs!$E34+(Inputs!$F34-Inputs!$E34)*2)*10000)/10000</f>
        <v>0.0377</v>
      </c>
      <c r="MV34" s="236">
        <f>RANDBETWEEN((Inputs!$E34-(Inputs!$E34-Inputs!$D34)*2)*10000,(Inputs!$E34+(Inputs!$F34-Inputs!$E34)*2)*10000)/10000</f>
        <v>1.0634</v>
      </c>
      <c r="MW34" s="236">
        <f>RANDBETWEEN((Inputs!$E34-(Inputs!$E34-Inputs!$D34)*2)*10000,(Inputs!$E34+(Inputs!$F34-Inputs!$E34)*2)*10000)/10000</f>
        <v>1.3838</v>
      </c>
      <c r="MX34" s="236">
        <f>RANDBETWEEN((Inputs!$E34-(Inputs!$E34-Inputs!$D34)*2)*10000,(Inputs!$E34+(Inputs!$F34-Inputs!$E34)*2)*10000)/10000</f>
        <v>1.6171</v>
      </c>
      <c r="MY34" s="236">
        <f>RANDBETWEEN((Inputs!$E34-(Inputs!$E34-Inputs!$D34)*2)*10000,(Inputs!$E34+(Inputs!$F34-Inputs!$E34)*2)*10000)/10000</f>
        <v>1.0627</v>
      </c>
      <c r="MZ34" s="236">
        <f>RANDBETWEEN((Inputs!$E34-(Inputs!$E34-Inputs!$D34)*2)*10000,(Inputs!$E34+(Inputs!$F34-Inputs!$E34)*2)*10000)/10000</f>
        <v>0.3722</v>
      </c>
      <c r="NA34" s="236">
        <f>RANDBETWEEN((Inputs!$E34-(Inputs!$E34-Inputs!$D34)*2)*10000,(Inputs!$E34+(Inputs!$F34-Inputs!$E34)*2)*10000)/10000</f>
        <v>1.1557</v>
      </c>
      <c r="NB34" s="236">
        <f>RANDBETWEEN((Inputs!$E34-(Inputs!$E34-Inputs!$D34)*2)*10000,(Inputs!$E34+(Inputs!$F34-Inputs!$E34)*2)*10000)/10000</f>
        <v>0.2419</v>
      </c>
      <c r="NC34" s="236">
        <f>RANDBETWEEN((Inputs!$E34-(Inputs!$E34-Inputs!$D34)*2)*10000,(Inputs!$E34+(Inputs!$F34-Inputs!$E34)*2)*10000)/10000</f>
        <v>0.1534</v>
      </c>
      <c r="ND34" s="236">
        <f>RANDBETWEEN((Inputs!$E34-(Inputs!$E34-Inputs!$D34)*2)*10000,(Inputs!$E34+(Inputs!$F34-Inputs!$E34)*2)*10000)/10000</f>
        <v>1.5082</v>
      </c>
      <c r="NE34" s="236">
        <f>RANDBETWEEN((Inputs!$E34-(Inputs!$E34-Inputs!$D34)*2)*10000,(Inputs!$E34+(Inputs!$F34-Inputs!$E34)*2)*10000)/10000</f>
        <v>1.4398</v>
      </c>
      <c r="NF34" s="236">
        <f>RANDBETWEEN((Inputs!$E34-(Inputs!$E34-Inputs!$D34)*2)*10000,(Inputs!$E34+(Inputs!$F34-Inputs!$E34)*2)*10000)/10000</f>
        <v>0.2985</v>
      </c>
      <c r="NG34" s="236">
        <f>RANDBETWEEN((Inputs!$E34-(Inputs!$E34-Inputs!$D34)*2)*10000,(Inputs!$E34+(Inputs!$F34-Inputs!$E34)*2)*10000)/10000</f>
        <v>1.3252</v>
      </c>
      <c r="NH34" s="236">
        <f>RANDBETWEEN((Inputs!$E34-(Inputs!$E34-Inputs!$D34)*2)*10000,(Inputs!$E34+(Inputs!$F34-Inputs!$E34)*2)*10000)/10000</f>
        <v>0.0549</v>
      </c>
      <c r="NI34" s="236">
        <f>RANDBETWEEN((Inputs!$E34-(Inputs!$E34-Inputs!$D34)*2)*10000,(Inputs!$E34+(Inputs!$F34-Inputs!$E34)*2)*10000)/10000</f>
        <v>0.5707</v>
      </c>
      <c r="NJ34" s="236">
        <f>RANDBETWEEN((Inputs!$E34-(Inputs!$E34-Inputs!$D34)*2)*10000,(Inputs!$E34+(Inputs!$F34-Inputs!$E34)*2)*10000)/10000</f>
        <v>1.2485</v>
      </c>
      <c r="NK34" s="236">
        <f>RANDBETWEEN((Inputs!$E34-(Inputs!$E34-Inputs!$D34)*2)*10000,(Inputs!$E34+(Inputs!$F34-Inputs!$E34)*2)*10000)/10000</f>
        <v>0.9131</v>
      </c>
      <c r="NL34" s="236">
        <f>RANDBETWEEN((Inputs!$E34-(Inputs!$E34-Inputs!$D34)*2)*10000,(Inputs!$E34+(Inputs!$F34-Inputs!$E34)*2)*10000)/10000</f>
        <v>0.9582</v>
      </c>
      <c r="NM34" s="236">
        <f>RANDBETWEEN((Inputs!$E34-(Inputs!$E34-Inputs!$D34)*2)*10000,(Inputs!$E34+(Inputs!$F34-Inputs!$E34)*2)*10000)/10000</f>
        <v>1.4002</v>
      </c>
      <c r="NN34" s="236">
        <f>RANDBETWEEN((Inputs!$E34-(Inputs!$E34-Inputs!$D34)*2)*10000,(Inputs!$E34+(Inputs!$F34-Inputs!$E34)*2)*10000)/10000</f>
        <v>0.5399</v>
      </c>
      <c r="NO34" s="236">
        <f>RANDBETWEEN((Inputs!$E34-(Inputs!$E34-Inputs!$D34)*2)*10000,(Inputs!$E34+(Inputs!$F34-Inputs!$E34)*2)*10000)/10000</f>
        <v>0.4071</v>
      </c>
      <c r="NP34" s="236">
        <f>RANDBETWEEN((Inputs!$E34-(Inputs!$E34-Inputs!$D34)*2)*10000,(Inputs!$E34+(Inputs!$F34-Inputs!$E34)*2)*10000)/10000</f>
        <v>1.0898</v>
      </c>
      <c r="NQ34" s="236">
        <f>RANDBETWEEN((Inputs!$E34-(Inputs!$E34-Inputs!$D34)*2)*10000,(Inputs!$E34+(Inputs!$F34-Inputs!$E34)*2)*10000)/10000</f>
        <v>1.5503</v>
      </c>
      <c r="NR34" s="236">
        <f>RANDBETWEEN((Inputs!$E34-(Inputs!$E34-Inputs!$D34)*2)*10000,(Inputs!$E34+(Inputs!$F34-Inputs!$E34)*2)*10000)/10000</f>
        <v>0.1924</v>
      </c>
      <c r="NS34" s="236">
        <f>RANDBETWEEN((Inputs!$E34-(Inputs!$E34-Inputs!$D34)*2)*10000,(Inputs!$E34+(Inputs!$F34-Inputs!$E34)*2)*10000)/10000</f>
        <v>0.9035</v>
      </c>
      <c r="NT34" s="236">
        <f>RANDBETWEEN((Inputs!$E34-(Inputs!$E34-Inputs!$D34)*2)*10000,(Inputs!$E34+(Inputs!$F34-Inputs!$E34)*2)*10000)/10000</f>
        <v>0.3586</v>
      </c>
      <c r="NU34" s="236">
        <f>RANDBETWEEN((Inputs!$E34-(Inputs!$E34-Inputs!$D34)*2)*10000,(Inputs!$E34+(Inputs!$F34-Inputs!$E34)*2)*10000)/10000</f>
        <v>1.0542</v>
      </c>
      <c r="NV34" s="236">
        <f>RANDBETWEEN((Inputs!$E34-(Inputs!$E34-Inputs!$D34)*2)*10000,(Inputs!$E34+(Inputs!$F34-Inputs!$E34)*2)*10000)/10000</f>
        <v>1.2151</v>
      </c>
      <c r="NW34" s="236">
        <f>RANDBETWEEN((Inputs!$E34-(Inputs!$E34-Inputs!$D34)*2)*10000,(Inputs!$E34+(Inputs!$F34-Inputs!$E34)*2)*10000)/10000</f>
        <v>1.3221</v>
      </c>
      <c r="NX34" s="236">
        <f>RANDBETWEEN((Inputs!$E34-(Inputs!$E34-Inputs!$D34)*2)*10000,(Inputs!$E34+(Inputs!$F34-Inputs!$E34)*2)*10000)/10000</f>
        <v>1.3828</v>
      </c>
      <c r="NY34" s="236">
        <f>RANDBETWEEN((Inputs!$E34-(Inputs!$E34-Inputs!$D34)*2)*10000,(Inputs!$E34+(Inputs!$F34-Inputs!$E34)*2)*10000)/10000</f>
        <v>0.9313</v>
      </c>
      <c r="NZ34" s="236">
        <f>RANDBETWEEN((Inputs!$E34-(Inputs!$E34-Inputs!$D34)*2)*10000,(Inputs!$E34+(Inputs!$F34-Inputs!$E34)*2)*10000)/10000</f>
        <v>0.0375</v>
      </c>
      <c r="OA34" s="236">
        <f>RANDBETWEEN((Inputs!$E34-(Inputs!$E34-Inputs!$D34)*2)*10000,(Inputs!$E34+(Inputs!$F34-Inputs!$E34)*2)*10000)/10000</f>
        <v>-0.1052</v>
      </c>
      <c r="OB34" s="236">
        <f>RANDBETWEEN((Inputs!$E34-(Inputs!$E34-Inputs!$D34)*2)*10000,(Inputs!$E34+(Inputs!$F34-Inputs!$E34)*2)*10000)/10000</f>
        <v>1.0721</v>
      </c>
      <c r="OC34" s="236">
        <f>RANDBETWEEN((Inputs!$E34-(Inputs!$E34-Inputs!$D34)*2)*10000,(Inputs!$E34+(Inputs!$F34-Inputs!$E34)*2)*10000)/10000</f>
        <v>0.8027</v>
      </c>
      <c r="OD34" s="236">
        <f>RANDBETWEEN((Inputs!$E34-(Inputs!$E34-Inputs!$D34)*2)*10000,(Inputs!$E34+(Inputs!$F34-Inputs!$E34)*2)*10000)/10000</f>
        <v>1.1181</v>
      </c>
      <c r="OE34" s="236">
        <f>RANDBETWEEN((Inputs!$E34-(Inputs!$E34-Inputs!$D34)*2)*10000,(Inputs!$E34+(Inputs!$F34-Inputs!$E34)*2)*10000)/10000</f>
        <v>0.4416</v>
      </c>
      <c r="OF34" s="236">
        <f>RANDBETWEEN((Inputs!$E34-(Inputs!$E34-Inputs!$D34)*2)*10000,(Inputs!$E34+(Inputs!$F34-Inputs!$E34)*2)*10000)/10000</f>
        <v>-0.1302</v>
      </c>
      <c r="OG34" s="236">
        <f>RANDBETWEEN((Inputs!$E34-(Inputs!$E34-Inputs!$D34)*2)*10000,(Inputs!$E34+(Inputs!$F34-Inputs!$E34)*2)*10000)/10000</f>
        <v>0.4794</v>
      </c>
      <c r="OH34" s="236">
        <f>RANDBETWEEN((Inputs!$E34-(Inputs!$E34-Inputs!$D34)*2)*10000,(Inputs!$E34+(Inputs!$F34-Inputs!$E34)*2)*10000)/10000</f>
        <v>1.5065</v>
      </c>
      <c r="OI34" s="236">
        <f>RANDBETWEEN((Inputs!$E34-(Inputs!$E34-Inputs!$D34)*2)*10000,(Inputs!$E34+(Inputs!$F34-Inputs!$E34)*2)*10000)/10000</f>
        <v>1.7017</v>
      </c>
      <c r="OJ34" s="236">
        <f>RANDBETWEEN((Inputs!$E34-(Inputs!$E34-Inputs!$D34)*2)*10000,(Inputs!$E34+(Inputs!$F34-Inputs!$E34)*2)*10000)/10000</f>
        <v>0.1758</v>
      </c>
      <c r="OK34" s="236">
        <f>RANDBETWEEN((Inputs!$E34-(Inputs!$E34-Inputs!$D34)*2)*10000,(Inputs!$E34+(Inputs!$F34-Inputs!$E34)*2)*10000)/10000</f>
        <v>0.2511</v>
      </c>
      <c r="OL34" s="236">
        <f>RANDBETWEEN((Inputs!$E34-(Inputs!$E34-Inputs!$D34)*2)*10000,(Inputs!$E34+(Inputs!$F34-Inputs!$E34)*2)*10000)/10000</f>
        <v>1.3958</v>
      </c>
      <c r="OM34" s="236">
        <f>RANDBETWEEN((Inputs!$E34-(Inputs!$E34-Inputs!$D34)*2)*10000,(Inputs!$E34+(Inputs!$F34-Inputs!$E34)*2)*10000)/10000</f>
        <v>1.2392</v>
      </c>
      <c r="ON34" s="236">
        <f>RANDBETWEEN((Inputs!$E34-(Inputs!$E34-Inputs!$D34)*2)*10000,(Inputs!$E34+(Inputs!$F34-Inputs!$E34)*2)*10000)/10000</f>
        <v>1.6733</v>
      </c>
      <c r="OO34" s="236">
        <f>RANDBETWEEN((Inputs!$E34-(Inputs!$E34-Inputs!$D34)*2)*10000,(Inputs!$E34+(Inputs!$F34-Inputs!$E34)*2)*10000)/10000</f>
        <v>0.4315</v>
      </c>
      <c r="OP34" s="236">
        <f>RANDBETWEEN((Inputs!$E34-(Inputs!$E34-Inputs!$D34)*2)*10000,(Inputs!$E34+(Inputs!$F34-Inputs!$E34)*2)*10000)/10000</f>
        <v>0.1955</v>
      </c>
      <c r="OQ34" s="236">
        <f>RANDBETWEEN((Inputs!$E34-(Inputs!$E34-Inputs!$D34)*2)*10000,(Inputs!$E34+(Inputs!$F34-Inputs!$E34)*2)*10000)/10000</f>
        <v>0.4765</v>
      </c>
      <c r="OR34" s="236">
        <f>RANDBETWEEN((Inputs!$E34-(Inputs!$E34-Inputs!$D34)*2)*10000,(Inputs!$E34+(Inputs!$F34-Inputs!$E34)*2)*10000)/10000</f>
        <v>1.1773</v>
      </c>
      <c r="OS34" s="236">
        <f>RANDBETWEEN((Inputs!$E34-(Inputs!$E34-Inputs!$D34)*2)*10000,(Inputs!$E34+(Inputs!$F34-Inputs!$E34)*2)*10000)/10000</f>
        <v>1.4351</v>
      </c>
      <c r="OT34" s="236">
        <f>RANDBETWEEN((Inputs!$E34-(Inputs!$E34-Inputs!$D34)*2)*10000,(Inputs!$E34+(Inputs!$F34-Inputs!$E34)*2)*10000)/10000</f>
        <v>1.7155</v>
      </c>
      <c r="OU34" s="236">
        <f>RANDBETWEEN((Inputs!$E34-(Inputs!$E34-Inputs!$D34)*2)*10000,(Inputs!$E34+(Inputs!$F34-Inputs!$E34)*2)*10000)/10000</f>
        <v>0.1375</v>
      </c>
      <c r="OV34" s="236">
        <f>RANDBETWEEN((Inputs!$E34-(Inputs!$E34-Inputs!$D34)*2)*10000,(Inputs!$E34+(Inputs!$F34-Inputs!$E34)*2)*10000)/10000</f>
        <v>0.8578</v>
      </c>
      <c r="OW34" s="236">
        <f>RANDBETWEEN((Inputs!$E34-(Inputs!$E34-Inputs!$D34)*2)*10000,(Inputs!$E34+(Inputs!$F34-Inputs!$E34)*2)*10000)/10000</f>
        <v>1.2805</v>
      </c>
      <c r="OX34" s="236">
        <f>RANDBETWEEN((Inputs!$E34-(Inputs!$E34-Inputs!$D34)*2)*10000,(Inputs!$E34+(Inputs!$F34-Inputs!$E34)*2)*10000)/10000</f>
        <v>0.1444</v>
      </c>
      <c r="OY34" s="236">
        <f>RANDBETWEEN((Inputs!$E34-(Inputs!$E34-Inputs!$D34)*2)*10000,(Inputs!$E34+(Inputs!$F34-Inputs!$E34)*2)*10000)/10000</f>
        <v>0.8565</v>
      </c>
      <c r="OZ34" s="236">
        <f>RANDBETWEEN((Inputs!$E34-(Inputs!$E34-Inputs!$D34)*2)*10000,(Inputs!$E34+(Inputs!$F34-Inputs!$E34)*2)*10000)/10000</f>
        <v>0.1514</v>
      </c>
      <c r="PA34" s="236">
        <f>RANDBETWEEN((Inputs!$E34-(Inputs!$E34-Inputs!$D34)*2)*10000,(Inputs!$E34+(Inputs!$F34-Inputs!$E34)*2)*10000)/10000</f>
        <v>0.9816</v>
      </c>
      <c r="PB34" s="236">
        <f>RANDBETWEEN((Inputs!$E34-(Inputs!$E34-Inputs!$D34)*2)*10000,(Inputs!$E34+(Inputs!$F34-Inputs!$E34)*2)*10000)/10000</f>
        <v>0.2079</v>
      </c>
      <c r="PC34" s="236">
        <f>RANDBETWEEN((Inputs!$E34-(Inputs!$E34-Inputs!$D34)*2)*10000,(Inputs!$E34+(Inputs!$F34-Inputs!$E34)*2)*10000)/10000</f>
        <v>0.8811</v>
      </c>
      <c r="PD34" s="236">
        <f>RANDBETWEEN((Inputs!$E34-(Inputs!$E34-Inputs!$D34)*2)*10000,(Inputs!$E34+(Inputs!$F34-Inputs!$E34)*2)*10000)/10000</f>
        <v>0.8681</v>
      </c>
      <c r="PE34" s="236">
        <f>RANDBETWEEN((Inputs!$E34-(Inputs!$E34-Inputs!$D34)*2)*10000,(Inputs!$E34+(Inputs!$F34-Inputs!$E34)*2)*10000)/10000</f>
        <v>0.2663</v>
      </c>
      <c r="PF34" s="236">
        <f>RANDBETWEEN((Inputs!$E34-(Inputs!$E34-Inputs!$D34)*2)*10000,(Inputs!$E34+(Inputs!$F34-Inputs!$E34)*2)*10000)/10000</f>
        <v>0.3834</v>
      </c>
      <c r="PG34" s="236">
        <f>RANDBETWEEN((Inputs!$E34-(Inputs!$E34-Inputs!$D34)*2)*10000,(Inputs!$E34+(Inputs!$F34-Inputs!$E34)*2)*10000)/10000</f>
        <v>-0.0129</v>
      </c>
      <c r="PH34" s="236">
        <f>RANDBETWEEN((Inputs!$E34-(Inputs!$E34-Inputs!$D34)*2)*10000,(Inputs!$E34+(Inputs!$F34-Inputs!$E34)*2)*10000)/10000</f>
        <v>-0.0603</v>
      </c>
      <c r="PI34" s="236">
        <f>RANDBETWEEN((Inputs!$E34-(Inputs!$E34-Inputs!$D34)*2)*10000,(Inputs!$E34+(Inputs!$F34-Inputs!$E34)*2)*10000)/10000</f>
        <v>0.1455</v>
      </c>
      <c r="PJ34" s="236">
        <f>RANDBETWEEN((Inputs!$E34-(Inputs!$E34-Inputs!$D34)*2)*10000,(Inputs!$E34+(Inputs!$F34-Inputs!$E34)*2)*10000)/10000</f>
        <v>0.0296</v>
      </c>
      <c r="PK34" s="236">
        <f>RANDBETWEEN((Inputs!$E34-(Inputs!$E34-Inputs!$D34)*2)*10000,(Inputs!$E34+(Inputs!$F34-Inputs!$E34)*2)*10000)/10000</f>
        <v>1.057</v>
      </c>
      <c r="PL34" s="236">
        <f>RANDBETWEEN((Inputs!$E34-(Inputs!$E34-Inputs!$D34)*2)*10000,(Inputs!$E34+(Inputs!$F34-Inputs!$E34)*2)*10000)/10000</f>
        <v>0.7314</v>
      </c>
      <c r="PM34" s="236">
        <f>RANDBETWEEN((Inputs!$E34-(Inputs!$E34-Inputs!$D34)*2)*10000,(Inputs!$E34+(Inputs!$F34-Inputs!$E34)*2)*10000)/10000</f>
        <v>0.2365</v>
      </c>
      <c r="PN34" s="236">
        <f>RANDBETWEEN((Inputs!$E34-(Inputs!$E34-Inputs!$D34)*2)*10000,(Inputs!$E34+(Inputs!$F34-Inputs!$E34)*2)*10000)/10000</f>
        <v>1.7018</v>
      </c>
      <c r="PO34" s="236">
        <f>RANDBETWEEN((Inputs!$E34-(Inputs!$E34-Inputs!$D34)*2)*10000,(Inputs!$E34+(Inputs!$F34-Inputs!$E34)*2)*10000)/10000</f>
        <v>0.0854</v>
      </c>
      <c r="PP34" s="236">
        <f>RANDBETWEEN((Inputs!$E34-(Inputs!$E34-Inputs!$D34)*2)*10000,(Inputs!$E34+(Inputs!$F34-Inputs!$E34)*2)*10000)/10000</f>
        <v>-0.0639</v>
      </c>
      <c r="PQ34" s="236">
        <f>RANDBETWEEN((Inputs!$E34-(Inputs!$E34-Inputs!$D34)*2)*10000,(Inputs!$E34+(Inputs!$F34-Inputs!$E34)*2)*10000)/10000</f>
        <v>0.7082</v>
      </c>
      <c r="PR34" s="236">
        <f>RANDBETWEEN((Inputs!$E34-(Inputs!$E34-Inputs!$D34)*2)*10000,(Inputs!$E34+(Inputs!$F34-Inputs!$E34)*2)*10000)/10000</f>
        <v>0.9064</v>
      </c>
      <c r="PS34" s="236">
        <f>RANDBETWEEN((Inputs!$E34-(Inputs!$E34-Inputs!$D34)*2)*10000,(Inputs!$E34+(Inputs!$F34-Inputs!$E34)*2)*10000)/10000</f>
        <v>0.4656</v>
      </c>
      <c r="PT34" s="236">
        <f>RANDBETWEEN((Inputs!$E34-(Inputs!$E34-Inputs!$D34)*2)*10000,(Inputs!$E34+(Inputs!$F34-Inputs!$E34)*2)*10000)/10000</f>
        <v>0.3868</v>
      </c>
      <c r="PU34" s="236">
        <f>RANDBETWEEN((Inputs!$E34-(Inputs!$E34-Inputs!$D34)*2)*10000,(Inputs!$E34+(Inputs!$F34-Inputs!$E34)*2)*10000)/10000</f>
        <v>1.0161</v>
      </c>
      <c r="PV34" s="236">
        <f>RANDBETWEEN((Inputs!$E34-(Inputs!$E34-Inputs!$D34)*2)*10000,(Inputs!$E34+(Inputs!$F34-Inputs!$E34)*2)*10000)/10000</f>
        <v>0.7172</v>
      </c>
      <c r="PW34" s="236">
        <f>RANDBETWEEN((Inputs!$E34-(Inputs!$E34-Inputs!$D34)*2)*10000,(Inputs!$E34+(Inputs!$F34-Inputs!$E34)*2)*10000)/10000</f>
        <v>1.6445</v>
      </c>
      <c r="PX34" s="236">
        <f>RANDBETWEEN((Inputs!$E34-(Inputs!$E34-Inputs!$D34)*2)*10000,(Inputs!$E34+(Inputs!$F34-Inputs!$E34)*2)*10000)/10000</f>
        <v>1.6207</v>
      </c>
      <c r="PY34" s="236">
        <f>RANDBETWEEN((Inputs!$E34-(Inputs!$E34-Inputs!$D34)*2)*10000,(Inputs!$E34+(Inputs!$F34-Inputs!$E34)*2)*10000)/10000</f>
        <v>1.2765</v>
      </c>
      <c r="PZ34" s="236">
        <f>RANDBETWEEN((Inputs!$E34-(Inputs!$E34-Inputs!$D34)*2)*10000,(Inputs!$E34+(Inputs!$F34-Inputs!$E34)*2)*10000)/10000</f>
        <v>0.5813</v>
      </c>
      <c r="QA34" s="236">
        <f>RANDBETWEEN((Inputs!$E34-(Inputs!$E34-Inputs!$D34)*2)*10000,(Inputs!$E34+(Inputs!$F34-Inputs!$E34)*2)*10000)/10000</f>
        <v>0.8846</v>
      </c>
      <c r="QB34" s="236">
        <f>RANDBETWEEN((Inputs!$E34-(Inputs!$E34-Inputs!$D34)*2)*10000,(Inputs!$E34+(Inputs!$F34-Inputs!$E34)*2)*10000)/10000</f>
        <v>0.2639</v>
      </c>
      <c r="QC34" s="236">
        <f>RANDBETWEEN((Inputs!$E34-(Inputs!$E34-Inputs!$D34)*2)*10000,(Inputs!$E34+(Inputs!$F34-Inputs!$E34)*2)*10000)/10000</f>
        <v>1.5129</v>
      </c>
      <c r="QD34" s="236">
        <f>RANDBETWEEN((Inputs!$E34-(Inputs!$E34-Inputs!$D34)*2)*10000,(Inputs!$E34+(Inputs!$F34-Inputs!$E34)*2)*10000)/10000</f>
        <v>0.2517</v>
      </c>
      <c r="QE34" s="236">
        <f>RANDBETWEEN((Inputs!$E34-(Inputs!$E34-Inputs!$D34)*2)*10000,(Inputs!$E34+(Inputs!$F34-Inputs!$E34)*2)*10000)/10000</f>
        <v>0.8225</v>
      </c>
      <c r="QF34" s="236">
        <f>RANDBETWEEN((Inputs!$E34-(Inputs!$E34-Inputs!$D34)*2)*10000,(Inputs!$E34+(Inputs!$F34-Inputs!$E34)*2)*10000)/10000</f>
        <v>1.3642</v>
      </c>
      <c r="QG34" s="236">
        <f>RANDBETWEEN((Inputs!$E34-(Inputs!$E34-Inputs!$D34)*2)*10000,(Inputs!$E34+(Inputs!$F34-Inputs!$E34)*2)*10000)/10000</f>
        <v>1.328</v>
      </c>
      <c r="QH34" s="236">
        <f>RANDBETWEEN((Inputs!$E34-(Inputs!$E34-Inputs!$D34)*2)*10000,(Inputs!$E34+(Inputs!$F34-Inputs!$E34)*2)*10000)/10000</f>
        <v>0.8478</v>
      </c>
      <c r="QI34" s="236">
        <f>RANDBETWEEN((Inputs!$E34-(Inputs!$E34-Inputs!$D34)*2)*10000,(Inputs!$E34+(Inputs!$F34-Inputs!$E34)*2)*10000)/10000</f>
        <v>-0.1118</v>
      </c>
      <c r="QJ34" s="236">
        <f>RANDBETWEEN((Inputs!$E34-(Inputs!$E34-Inputs!$D34)*2)*10000,(Inputs!$E34+(Inputs!$F34-Inputs!$E34)*2)*10000)/10000</f>
        <v>1.4341</v>
      </c>
      <c r="QK34" s="236">
        <f>RANDBETWEEN((Inputs!$E34-(Inputs!$E34-Inputs!$D34)*2)*10000,(Inputs!$E34+(Inputs!$F34-Inputs!$E34)*2)*10000)/10000</f>
        <v>0.9374</v>
      </c>
      <c r="QL34" s="236">
        <f>RANDBETWEEN((Inputs!$E34-(Inputs!$E34-Inputs!$D34)*2)*10000,(Inputs!$E34+(Inputs!$F34-Inputs!$E34)*2)*10000)/10000</f>
        <v>0.2141</v>
      </c>
      <c r="QM34" s="236">
        <f>RANDBETWEEN((Inputs!$E34-(Inputs!$E34-Inputs!$D34)*2)*10000,(Inputs!$E34+(Inputs!$F34-Inputs!$E34)*2)*10000)/10000</f>
        <v>1.5976</v>
      </c>
      <c r="QN34" s="236">
        <f>RANDBETWEEN((Inputs!$E34-(Inputs!$E34-Inputs!$D34)*2)*10000,(Inputs!$E34+(Inputs!$F34-Inputs!$E34)*2)*10000)/10000</f>
        <v>0.1059</v>
      </c>
      <c r="QO34" s="236">
        <f>RANDBETWEEN((Inputs!$E34-(Inputs!$E34-Inputs!$D34)*2)*10000,(Inputs!$E34+(Inputs!$F34-Inputs!$E34)*2)*10000)/10000</f>
        <v>1.6226</v>
      </c>
      <c r="QP34" s="236">
        <f>RANDBETWEEN((Inputs!$E34-(Inputs!$E34-Inputs!$D34)*2)*10000,(Inputs!$E34+(Inputs!$F34-Inputs!$E34)*2)*10000)/10000</f>
        <v>-0.1073</v>
      </c>
      <c r="QQ34" s="236">
        <f>RANDBETWEEN((Inputs!$E34-(Inputs!$E34-Inputs!$D34)*2)*10000,(Inputs!$E34+(Inputs!$F34-Inputs!$E34)*2)*10000)/10000</f>
        <v>1.0649</v>
      </c>
      <c r="QR34" s="236">
        <f>RANDBETWEEN((Inputs!$E34-(Inputs!$E34-Inputs!$D34)*2)*10000,(Inputs!$E34+(Inputs!$F34-Inputs!$E34)*2)*10000)/10000</f>
        <v>1.6153</v>
      </c>
      <c r="QS34" s="236">
        <f>RANDBETWEEN((Inputs!$E34-(Inputs!$E34-Inputs!$D34)*2)*10000,(Inputs!$E34+(Inputs!$F34-Inputs!$E34)*2)*10000)/10000</f>
        <v>1.4422</v>
      </c>
      <c r="QT34" s="236">
        <f>RANDBETWEEN((Inputs!$E34-(Inputs!$E34-Inputs!$D34)*2)*10000,(Inputs!$E34+(Inputs!$F34-Inputs!$E34)*2)*10000)/10000</f>
        <v>0.8735</v>
      </c>
      <c r="QU34" s="236">
        <f>RANDBETWEEN((Inputs!$E34-(Inputs!$E34-Inputs!$D34)*2)*10000,(Inputs!$E34+(Inputs!$F34-Inputs!$E34)*2)*10000)/10000</f>
        <v>-0.0065</v>
      </c>
      <c r="QV34" s="236">
        <f>RANDBETWEEN((Inputs!$E34-(Inputs!$E34-Inputs!$D34)*2)*10000,(Inputs!$E34+(Inputs!$F34-Inputs!$E34)*2)*10000)/10000</f>
        <v>0.4669</v>
      </c>
      <c r="QW34" s="236">
        <f>RANDBETWEEN((Inputs!$E34-(Inputs!$E34-Inputs!$D34)*2)*10000,(Inputs!$E34+(Inputs!$F34-Inputs!$E34)*2)*10000)/10000</f>
        <v>1.6042</v>
      </c>
      <c r="QX34" s="236">
        <f>RANDBETWEEN((Inputs!$E34-(Inputs!$E34-Inputs!$D34)*2)*10000,(Inputs!$E34+(Inputs!$F34-Inputs!$E34)*2)*10000)/10000</f>
        <v>1.1507</v>
      </c>
      <c r="QY34" s="236">
        <f>RANDBETWEEN((Inputs!$E34-(Inputs!$E34-Inputs!$D34)*2)*10000,(Inputs!$E34+(Inputs!$F34-Inputs!$E34)*2)*10000)/10000</f>
        <v>0.0945</v>
      </c>
      <c r="QZ34" s="236">
        <f>RANDBETWEEN((Inputs!$E34-(Inputs!$E34-Inputs!$D34)*2)*10000,(Inputs!$E34+(Inputs!$F34-Inputs!$E34)*2)*10000)/10000</f>
        <v>0.0746</v>
      </c>
      <c r="RA34" s="236">
        <f>RANDBETWEEN((Inputs!$E34-(Inputs!$E34-Inputs!$D34)*2)*10000,(Inputs!$E34+(Inputs!$F34-Inputs!$E34)*2)*10000)/10000</f>
        <v>1.5215</v>
      </c>
      <c r="RB34" s="236">
        <f>RANDBETWEEN((Inputs!$E34-(Inputs!$E34-Inputs!$D34)*2)*10000,(Inputs!$E34+(Inputs!$F34-Inputs!$E34)*2)*10000)/10000</f>
        <v>0.9649</v>
      </c>
      <c r="RC34" s="236">
        <f>RANDBETWEEN((Inputs!$E34-(Inputs!$E34-Inputs!$D34)*2)*10000,(Inputs!$E34+(Inputs!$F34-Inputs!$E34)*2)*10000)/10000</f>
        <v>-0.085</v>
      </c>
      <c r="RD34" s="236">
        <f>RANDBETWEEN((Inputs!$E34-(Inputs!$E34-Inputs!$D34)*2)*10000,(Inputs!$E34+(Inputs!$F34-Inputs!$E34)*2)*10000)/10000</f>
        <v>0.742</v>
      </c>
      <c r="RE34" s="236">
        <f>RANDBETWEEN((Inputs!$E34-(Inputs!$E34-Inputs!$D34)*2)*10000,(Inputs!$E34+(Inputs!$F34-Inputs!$E34)*2)*10000)/10000</f>
        <v>0.6553</v>
      </c>
      <c r="RF34" s="236">
        <f>RANDBETWEEN((Inputs!$E34-(Inputs!$E34-Inputs!$D34)*2)*10000,(Inputs!$E34+(Inputs!$F34-Inputs!$E34)*2)*10000)/10000</f>
        <v>0.2316</v>
      </c>
      <c r="RG34" s="236">
        <f>RANDBETWEEN((Inputs!$E34-(Inputs!$E34-Inputs!$D34)*2)*10000,(Inputs!$E34+(Inputs!$F34-Inputs!$E34)*2)*10000)/10000</f>
        <v>0.7093</v>
      </c>
      <c r="RH34" s="236">
        <f>RANDBETWEEN((Inputs!$E34-(Inputs!$E34-Inputs!$D34)*2)*10000,(Inputs!$E34+(Inputs!$F34-Inputs!$E34)*2)*10000)/10000</f>
        <v>-0.0099</v>
      </c>
      <c r="RI34" s="236">
        <f>RANDBETWEEN((Inputs!$E34-(Inputs!$E34-Inputs!$D34)*2)*10000,(Inputs!$E34+(Inputs!$F34-Inputs!$E34)*2)*10000)/10000</f>
        <v>0.7154</v>
      </c>
      <c r="RJ34" s="236">
        <f>RANDBETWEEN((Inputs!$E34-(Inputs!$E34-Inputs!$D34)*2)*10000,(Inputs!$E34+(Inputs!$F34-Inputs!$E34)*2)*10000)/10000</f>
        <v>0.4298</v>
      </c>
      <c r="RK34" s="236">
        <f>RANDBETWEEN((Inputs!$E34-(Inputs!$E34-Inputs!$D34)*2)*10000,(Inputs!$E34+(Inputs!$F34-Inputs!$E34)*2)*10000)/10000</f>
        <v>1.5791</v>
      </c>
      <c r="RL34" s="236">
        <f>RANDBETWEEN((Inputs!$E34-(Inputs!$E34-Inputs!$D34)*2)*10000,(Inputs!$E34+(Inputs!$F34-Inputs!$E34)*2)*10000)/10000</f>
        <v>1.452</v>
      </c>
      <c r="RM34" s="236">
        <f>RANDBETWEEN((Inputs!$E34-(Inputs!$E34-Inputs!$D34)*2)*10000,(Inputs!$E34+(Inputs!$F34-Inputs!$E34)*2)*10000)/10000</f>
        <v>0.9449</v>
      </c>
      <c r="RN34" s="236">
        <f>RANDBETWEEN((Inputs!$E34-(Inputs!$E34-Inputs!$D34)*2)*10000,(Inputs!$E34+(Inputs!$F34-Inputs!$E34)*2)*10000)/10000</f>
        <v>0.2852</v>
      </c>
      <c r="RO34" s="236">
        <f>RANDBETWEEN((Inputs!$E34-(Inputs!$E34-Inputs!$D34)*2)*10000,(Inputs!$E34+(Inputs!$F34-Inputs!$E34)*2)*10000)/10000</f>
        <v>1.7598</v>
      </c>
      <c r="RP34" s="236">
        <f>RANDBETWEEN((Inputs!$E34-(Inputs!$E34-Inputs!$D34)*2)*10000,(Inputs!$E34+(Inputs!$F34-Inputs!$E34)*2)*10000)/10000</f>
        <v>1.1544</v>
      </c>
      <c r="RQ34" s="236">
        <f>RANDBETWEEN((Inputs!$E34-(Inputs!$E34-Inputs!$D34)*2)*10000,(Inputs!$E34+(Inputs!$F34-Inputs!$E34)*2)*10000)/10000</f>
        <v>0.1593</v>
      </c>
      <c r="RR34" s="236">
        <f>RANDBETWEEN((Inputs!$E34-(Inputs!$E34-Inputs!$D34)*2)*10000,(Inputs!$E34+(Inputs!$F34-Inputs!$E34)*2)*10000)/10000</f>
        <v>0.795</v>
      </c>
      <c r="RS34" s="236">
        <f>RANDBETWEEN((Inputs!$E34-(Inputs!$E34-Inputs!$D34)*2)*10000,(Inputs!$E34+(Inputs!$F34-Inputs!$E34)*2)*10000)/10000</f>
        <v>0.0018</v>
      </c>
      <c r="RT34" s="236">
        <f>RANDBETWEEN((Inputs!$E34-(Inputs!$E34-Inputs!$D34)*2)*10000,(Inputs!$E34+(Inputs!$F34-Inputs!$E34)*2)*10000)/10000</f>
        <v>0.2999</v>
      </c>
      <c r="RU34" s="236">
        <f>RANDBETWEEN((Inputs!$E34-(Inputs!$E34-Inputs!$D34)*2)*10000,(Inputs!$E34+(Inputs!$F34-Inputs!$E34)*2)*10000)/10000</f>
        <v>0.4956</v>
      </c>
      <c r="RV34" s="236">
        <f>RANDBETWEEN((Inputs!$E34-(Inputs!$E34-Inputs!$D34)*2)*10000,(Inputs!$E34+(Inputs!$F34-Inputs!$E34)*2)*10000)/10000</f>
        <v>1.0441</v>
      </c>
      <c r="RW34" s="236">
        <f>RANDBETWEEN((Inputs!$E34-(Inputs!$E34-Inputs!$D34)*2)*10000,(Inputs!$E34+(Inputs!$F34-Inputs!$E34)*2)*10000)/10000</f>
        <v>0.7688</v>
      </c>
      <c r="RX34" s="236">
        <f>RANDBETWEEN((Inputs!$E34-(Inputs!$E34-Inputs!$D34)*2)*10000,(Inputs!$E34+(Inputs!$F34-Inputs!$E34)*2)*10000)/10000</f>
        <v>1.3434</v>
      </c>
      <c r="RY34" s="236">
        <f>RANDBETWEEN((Inputs!$E34-(Inputs!$E34-Inputs!$D34)*2)*10000,(Inputs!$E34+(Inputs!$F34-Inputs!$E34)*2)*10000)/10000</f>
        <v>1.2821</v>
      </c>
      <c r="RZ34" s="236">
        <f>RANDBETWEEN((Inputs!$E34-(Inputs!$E34-Inputs!$D34)*2)*10000,(Inputs!$E34+(Inputs!$F34-Inputs!$E34)*2)*10000)/10000</f>
        <v>0.5108</v>
      </c>
      <c r="SA34" s="236">
        <f>RANDBETWEEN((Inputs!$E34-(Inputs!$E34-Inputs!$D34)*2)*10000,(Inputs!$E34+(Inputs!$F34-Inputs!$E34)*2)*10000)/10000</f>
        <v>0.7648</v>
      </c>
      <c r="SB34" s="236">
        <f>RANDBETWEEN((Inputs!$E34-(Inputs!$E34-Inputs!$D34)*2)*10000,(Inputs!$E34+(Inputs!$F34-Inputs!$E34)*2)*10000)/10000</f>
        <v>-0.1483</v>
      </c>
      <c r="SC34" s="236">
        <f>RANDBETWEEN((Inputs!$E34-(Inputs!$E34-Inputs!$D34)*2)*10000,(Inputs!$E34+(Inputs!$F34-Inputs!$E34)*2)*10000)/10000</f>
        <v>0.129</v>
      </c>
      <c r="SD34" s="236">
        <f>RANDBETWEEN((Inputs!$E34-(Inputs!$E34-Inputs!$D34)*2)*10000,(Inputs!$E34+(Inputs!$F34-Inputs!$E34)*2)*10000)/10000</f>
        <v>1.3483</v>
      </c>
      <c r="SE34" s="236">
        <f>RANDBETWEEN((Inputs!$E34-(Inputs!$E34-Inputs!$D34)*2)*10000,(Inputs!$E34+(Inputs!$F34-Inputs!$E34)*2)*10000)/10000</f>
        <v>0.316</v>
      </c>
      <c r="SF34" s="236">
        <f>RANDBETWEEN((Inputs!$E34-(Inputs!$E34-Inputs!$D34)*2)*10000,(Inputs!$E34+(Inputs!$F34-Inputs!$E34)*2)*10000)/10000</f>
        <v>0.1911</v>
      </c>
      <c r="SG34" s="236">
        <f>RANDBETWEEN((Inputs!$E34-(Inputs!$E34-Inputs!$D34)*2)*10000,(Inputs!$E34+(Inputs!$F34-Inputs!$E34)*2)*10000)/10000</f>
        <v>1.5953</v>
      </c>
      <c r="SH34" s="236">
        <f>RANDBETWEEN((Inputs!$E34-(Inputs!$E34-Inputs!$D34)*2)*10000,(Inputs!$E34+(Inputs!$F34-Inputs!$E34)*2)*10000)/10000</f>
        <v>0.3323</v>
      </c>
      <c r="SI34" s="236">
        <f>RANDBETWEEN((Inputs!$E34-(Inputs!$E34-Inputs!$D34)*2)*10000,(Inputs!$E34+(Inputs!$F34-Inputs!$E34)*2)*10000)/10000</f>
        <v>1.2435</v>
      </c>
      <c r="SJ34" s="236">
        <f>RANDBETWEEN((Inputs!$E34-(Inputs!$E34-Inputs!$D34)*2)*10000,(Inputs!$E34+(Inputs!$F34-Inputs!$E34)*2)*10000)/10000</f>
        <v>0.9068</v>
      </c>
      <c r="SK34" s="236">
        <f>RANDBETWEEN((Inputs!$E34-(Inputs!$E34-Inputs!$D34)*2)*10000,(Inputs!$E34+(Inputs!$F34-Inputs!$E34)*2)*10000)/10000</f>
        <v>0.4341</v>
      </c>
      <c r="SL34" s="236">
        <f>RANDBETWEEN((Inputs!$E34-(Inputs!$E34-Inputs!$D34)*2)*10000,(Inputs!$E34+(Inputs!$F34-Inputs!$E34)*2)*10000)/10000</f>
        <v>1.6741</v>
      </c>
    </row>
    <row r="35" ht="15.75" customHeight="1">
      <c r="A35" s="53" t="s">
        <v>111</v>
      </c>
      <c r="B35" s="75">
        <f t="array" ref="B35">INDEX('New CEA'!$B35:$F35,MATCH($B$2,'New CEA'!B$2:F$2,0))</f>
        <v>0.8</v>
      </c>
      <c r="C35" s="233">
        <f t="shared" si="25"/>
        <v>0.80576</v>
      </c>
      <c r="D35" s="271">
        <f t="shared" si="26"/>
        <v>0.6003</v>
      </c>
      <c r="E35" s="272">
        <f t="shared" si="27"/>
        <v>1.00695</v>
      </c>
      <c r="F35" s="75"/>
      <c r="G35" s="236">
        <f>RANDBETWEEN((Inputs!$E35-(Inputs!$E35-Inputs!$D35)*2)*10000,(Inputs!$E35+(Inputs!$F35-Inputs!$E35)*2)*10000)/10000</f>
        <v>0.5452</v>
      </c>
      <c r="H35" s="236">
        <f>RANDBETWEEN((Inputs!$E35-(Inputs!$E35-Inputs!$D35)*2)*10000,(Inputs!$E35+(Inputs!$F35-Inputs!$E35)*2)*10000)/10000</f>
        <v>0.7726</v>
      </c>
      <c r="I35" s="236">
        <f>RANDBETWEEN((Inputs!$E35-(Inputs!$E35-Inputs!$D35)*2)*10000,(Inputs!$E35+(Inputs!$F35-Inputs!$E35)*2)*10000)/10000</f>
        <v>0.9993</v>
      </c>
      <c r="J35" s="236">
        <f>RANDBETWEEN((Inputs!$E35-(Inputs!$E35-Inputs!$D35)*2)*10000,(Inputs!$E35+(Inputs!$F35-Inputs!$E35)*2)*10000)/10000</f>
        <v>0.8575</v>
      </c>
      <c r="K35" s="236">
        <f>RANDBETWEEN((Inputs!$E35-(Inputs!$E35-Inputs!$D35)*2)*10000,(Inputs!$E35+(Inputs!$F35-Inputs!$E35)*2)*10000)/10000</f>
        <v>0.5581</v>
      </c>
      <c r="L35" s="236">
        <f>RANDBETWEEN((Inputs!$E35-(Inputs!$E35-Inputs!$D35)*2)*10000,(Inputs!$E35+(Inputs!$F35-Inputs!$E35)*2)*10000)/10000</f>
        <v>0.6819</v>
      </c>
      <c r="M35" s="236">
        <f>RANDBETWEEN((Inputs!$E35-(Inputs!$E35-Inputs!$D35)*2)*10000,(Inputs!$E35+(Inputs!$F35-Inputs!$E35)*2)*10000)/10000</f>
        <v>0.9749</v>
      </c>
      <c r="N35" s="236">
        <f>RANDBETWEEN((Inputs!$E35-(Inputs!$E35-Inputs!$D35)*2)*10000,(Inputs!$E35+(Inputs!$F35-Inputs!$E35)*2)*10000)/10000</f>
        <v>1.1299</v>
      </c>
      <c r="O35" s="236">
        <f>RANDBETWEEN((Inputs!$E35-(Inputs!$E35-Inputs!$D35)*2)*10000,(Inputs!$E35+(Inputs!$F35-Inputs!$E35)*2)*10000)/10000</f>
        <v>1.0157</v>
      </c>
      <c r="P35" s="236">
        <f>RANDBETWEEN((Inputs!$E35-(Inputs!$E35-Inputs!$D35)*2)*10000,(Inputs!$E35+(Inputs!$F35-Inputs!$E35)*2)*10000)/10000</f>
        <v>0.9769</v>
      </c>
      <c r="Q35" s="236">
        <f>RANDBETWEEN((Inputs!$E35-(Inputs!$E35-Inputs!$D35)*2)*10000,(Inputs!$E35+(Inputs!$F35-Inputs!$E35)*2)*10000)/10000</f>
        <v>0.9336</v>
      </c>
      <c r="R35" s="236">
        <f>RANDBETWEEN((Inputs!$E35-(Inputs!$E35-Inputs!$D35)*2)*10000,(Inputs!$E35+(Inputs!$F35-Inputs!$E35)*2)*10000)/10000</f>
        <v>1.1514</v>
      </c>
      <c r="S35" s="236">
        <f>RANDBETWEEN((Inputs!$E35-(Inputs!$E35-Inputs!$D35)*2)*10000,(Inputs!$E35+(Inputs!$F35-Inputs!$E35)*2)*10000)/10000</f>
        <v>0.8704</v>
      </c>
      <c r="T35" s="236">
        <f>RANDBETWEEN((Inputs!$E35-(Inputs!$E35-Inputs!$D35)*2)*10000,(Inputs!$E35+(Inputs!$F35-Inputs!$E35)*2)*10000)/10000</f>
        <v>1.1041</v>
      </c>
      <c r="U35" s="236">
        <f>RANDBETWEEN((Inputs!$E35-(Inputs!$E35-Inputs!$D35)*2)*10000,(Inputs!$E35+(Inputs!$F35-Inputs!$E35)*2)*10000)/10000</f>
        <v>0.5887</v>
      </c>
      <c r="V35" s="236">
        <f>RANDBETWEEN((Inputs!$E35-(Inputs!$E35-Inputs!$D35)*2)*10000,(Inputs!$E35+(Inputs!$F35-Inputs!$E35)*2)*10000)/10000</f>
        <v>0.9713</v>
      </c>
      <c r="W35" s="236">
        <f>RANDBETWEEN((Inputs!$E35-(Inputs!$E35-Inputs!$D35)*2)*10000,(Inputs!$E35+(Inputs!$F35-Inputs!$E35)*2)*10000)/10000</f>
        <v>0.4884</v>
      </c>
      <c r="X35" s="236">
        <f>RANDBETWEEN((Inputs!$E35-(Inputs!$E35-Inputs!$D35)*2)*10000,(Inputs!$E35+(Inputs!$F35-Inputs!$E35)*2)*10000)/10000</f>
        <v>1.0699</v>
      </c>
      <c r="Y35" s="236">
        <f>RANDBETWEEN((Inputs!$E35-(Inputs!$E35-Inputs!$D35)*2)*10000,(Inputs!$E35+(Inputs!$F35-Inputs!$E35)*2)*10000)/10000</f>
        <v>0.7543</v>
      </c>
      <c r="Z35" s="236">
        <f>RANDBETWEEN((Inputs!$E35-(Inputs!$E35-Inputs!$D35)*2)*10000,(Inputs!$E35+(Inputs!$F35-Inputs!$E35)*2)*10000)/10000</f>
        <v>0.7645</v>
      </c>
      <c r="AA35" s="236">
        <f>RANDBETWEEN((Inputs!$E35-(Inputs!$E35-Inputs!$D35)*2)*10000,(Inputs!$E35+(Inputs!$F35-Inputs!$E35)*2)*10000)/10000</f>
        <v>0.4806</v>
      </c>
      <c r="AB35" s="236">
        <f>RANDBETWEEN((Inputs!$E35-(Inputs!$E35-Inputs!$D35)*2)*10000,(Inputs!$E35+(Inputs!$F35-Inputs!$E35)*2)*10000)/10000</f>
        <v>0.4557</v>
      </c>
      <c r="AC35" s="236">
        <f>RANDBETWEEN((Inputs!$E35-(Inputs!$E35-Inputs!$D35)*2)*10000,(Inputs!$E35+(Inputs!$F35-Inputs!$E35)*2)*10000)/10000</f>
        <v>1.1011</v>
      </c>
      <c r="AD35" s="236">
        <f>RANDBETWEEN((Inputs!$E35-(Inputs!$E35-Inputs!$D35)*2)*10000,(Inputs!$E35+(Inputs!$F35-Inputs!$E35)*2)*10000)/10000</f>
        <v>0.8271</v>
      </c>
      <c r="AE35" s="236">
        <f>RANDBETWEEN((Inputs!$E35-(Inputs!$E35-Inputs!$D35)*2)*10000,(Inputs!$E35+(Inputs!$F35-Inputs!$E35)*2)*10000)/10000</f>
        <v>0.8531</v>
      </c>
      <c r="AF35" s="236">
        <f>RANDBETWEEN((Inputs!$E35-(Inputs!$E35-Inputs!$D35)*2)*10000,(Inputs!$E35+(Inputs!$F35-Inputs!$E35)*2)*10000)/10000</f>
        <v>1.1833</v>
      </c>
      <c r="AG35" s="236">
        <f>RANDBETWEEN((Inputs!$E35-(Inputs!$E35-Inputs!$D35)*2)*10000,(Inputs!$E35+(Inputs!$F35-Inputs!$E35)*2)*10000)/10000</f>
        <v>0.9776</v>
      </c>
      <c r="AH35" s="236">
        <f>RANDBETWEEN((Inputs!$E35-(Inputs!$E35-Inputs!$D35)*2)*10000,(Inputs!$E35+(Inputs!$F35-Inputs!$E35)*2)*10000)/10000</f>
        <v>0.4652</v>
      </c>
      <c r="AI35" s="236">
        <f>RANDBETWEEN((Inputs!$E35-(Inputs!$E35-Inputs!$D35)*2)*10000,(Inputs!$E35+(Inputs!$F35-Inputs!$E35)*2)*10000)/10000</f>
        <v>0.611</v>
      </c>
      <c r="AJ35" s="236">
        <f>RANDBETWEEN((Inputs!$E35-(Inputs!$E35-Inputs!$D35)*2)*10000,(Inputs!$E35+(Inputs!$F35-Inputs!$E35)*2)*10000)/10000</f>
        <v>0.6381</v>
      </c>
      <c r="AK35" s="236">
        <f>RANDBETWEEN((Inputs!$E35-(Inputs!$E35-Inputs!$D35)*2)*10000,(Inputs!$E35+(Inputs!$F35-Inputs!$E35)*2)*10000)/10000</f>
        <v>0.9958</v>
      </c>
      <c r="AL35" s="236">
        <f>RANDBETWEEN((Inputs!$E35-(Inputs!$E35-Inputs!$D35)*2)*10000,(Inputs!$E35+(Inputs!$F35-Inputs!$E35)*2)*10000)/10000</f>
        <v>1.0417</v>
      </c>
      <c r="AM35" s="236">
        <f>RANDBETWEEN((Inputs!$E35-(Inputs!$E35-Inputs!$D35)*2)*10000,(Inputs!$E35+(Inputs!$F35-Inputs!$E35)*2)*10000)/10000</f>
        <v>0.8945</v>
      </c>
      <c r="AN35" s="236">
        <f>RANDBETWEEN((Inputs!$E35-(Inputs!$E35-Inputs!$D35)*2)*10000,(Inputs!$E35+(Inputs!$F35-Inputs!$E35)*2)*10000)/10000</f>
        <v>1.1469</v>
      </c>
      <c r="AO35" s="236">
        <f>RANDBETWEEN((Inputs!$E35-(Inputs!$E35-Inputs!$D35)*2)*10000,(Inputs!$E35+(Inputs!$F35-Inputs!$E35)*2)*10000)/10000</f>
        <v>0.9612</v>
      </c>
      <c r="AP35" s="236">
        <f>RANDBETWEEN((Inputs!$E35-(Inputs!$E35-Inputs!$D35)*2)*10000,(Inputs!$E35+(Inputs!$F35-Inputs!$E35)*2)*10000)/10000</f>
        <v>0.4758</v>
      </c>
      <c r="AQ35" s="236">
        <f>RANDBETWEEN((Inputs!$E35-(Inputs!$E35-Inputs!$D35)*2)*10000,(Inputs!$E35+(Inputs!$F35-Inputs!$E35)*2)*10000)/10000</f>
        <v>0.5472</v>
      </c>
      <c r="AR35" s="236">
        <f>RANDBETWEEN((Inputs!$E35-(Inputs!$E35-Inputs!$D35)*2)*10000,(Inputs!$E35+(Inputs!$F35-Inputs!$E35)*2)*10000)/10000</f>
        <v>1.0679</v>
      </c>
      <c r="AS35" s="236">
        <f>RANDBETWEEN((Inputs!$E35-(Inputs!$E35-Inputs!$D35)*2)*10000,(Inputs!$E35+(Inputs!$F35-Inputs!$E35)*2)*10000)/10000</f>
        <v>0.4819</v>
      </c>
      <c r="AT35" s="236">
        <f>RANDBETWEEN((Inputs!$E35-(Inputs!$E35-Inputs!$D35)*2)*10000,(Inputs!$E35+(Inputs!$F35-Inputs!$E35)*2)*10000)/10000</f>
        <v>0.7876</v>
      </c>
      <c r="AU35" s="236">
        <f>RANDBETWEEN((Inputs!$E35-(Inputs!$E35-Inputs!$D35)*2)*10000,(Inputs!$E35+(Inputs!$F35-Inputs!$E35)*2)*10000)/10000</f>
        <v>0.9088</v>
      </c>
      <c r="AV35" s="236">
        <f>RANDBETWEEN((Inputs!$E35-(Inputs!$E35-Inputs!$D35)*2)*10000,(Inputs!$E35+(Inputs!$F35-Inputs!$E35)*2)*10000)/10000</f>
        <v>0.6908</v>
      </c>
      <c r="AW35" s="236">
        <f>RANDBETWEEN((Inputs!$E35-(Inputs!$E35-Inputs!$D35)*2)*10000,(Inputs!$E35+(Inputs!$F35-Inputs!$E35)*2)*10000)/10000</f>
        <v>1.0276</v>
      </c>
      <c r="AX35" s="236">
        <f>RANDBETWEEN((Inputs!$E35-(Inputs!$E35-Inputs!$D35)*2)*10000,(Inputs!$E35+(Inputs!$F35-Inputs!$E35)*2)*10000)/10000</f>
        <v>0.8589</v>
      </c>
      <c r="AY35" s="236">
        <f>RANDBETWEEN((Inputs!$E35-(Inputs!$E35-Inputs!$D35)*2)*10000,(Inputs!$E35+(Inputs!$F35-Inputs!$E35)*2)*10000)/10000</f>
        <v>0.9944</v>
      </c>
      <c r="AZ35" s="236">
        <f>RANDBETWEEN((Inputs!$E35-(Inputs!$E35-Inputs!$D35)*2)*10000,(Inputs!$E35+(Inputs!$F35-Inputs!$E35)*2)*10000)/10000</f>
        <v>0.7585</v>
      </c>
      <c r="BA35" s="236">
        <f>RANDBETWEEN((Inputs!$E35-(Inputs!$E35-Inputs!$D35)*2)*10000,(Inputs!$E35+(Inputs!$F35-Inputs!$E35)*2)*10000)/10000</f>
        <v>0.7128</v>
      </c>
      <c r="BB35" s="236">
        <f>RANDBETWEEN((Inputs!$E35-(Inputs!$E35-Inputs!$D35)*2)*10000,(Inputs!$E35+(Inputs!$F35-Inputs!$E35)*2)*10000)/10000</f>
        <v>0.6291</v>
      </c>
      <c r="BC35" s="236">
        <f>RANDBETWEEN((Inputs!$E35-(Inputs!$E35-Inputs!$D35)*2)*10000,(Inputs!$E35+(Inputs!$F35-Inputs!$E35)*2)*10000)/10000</f>
        <v>1.0701</v>
      </c>
      <c r="BD35" s="236">
        <f>RANDBETWEEN((Inputs!$E35-(Inputs!$E35-Inputs!$D35)*2)*10000,(Inputs!$E35+(Inputs!$F35-Inputs!$E35)*2)*10000)/10000</f>
        <v>0.7076</v>
      </c>
      <c r="BE35" s="236">
        <f>RANDBETWEEN((Inputs!$E35-(Inputs!$E35-Inputs!$D35)*2)*10000,(Inputs!$E35+(Inputs!$F35-Inputs!$E35)*2)*10000)/10000</f>
        <v>0.8625</v>
      </c>
      <c r="BF35" s="236">
        <f>RANDBETWEEN((Inputs!$E35-(Inputs!$E35-Inputs!$D35)*2)*10000,(Inputs!$E35+(Inputs!$F35-Inputs!$E35)*2)*10000)/10000</f>
        <v>0.4734</v>
      </c>
      <c r="BG35" s="236">
        <f>RANDBETWEEN((Inputs!$E35-(Inputs!$E35-Inputs!$D35)*2)*10000,(Inputs!$E35+(Inputs!$F35-Inputs!$E35)*2)*10000)/10000</f>
        <v>1.1487</v>
      </c>
      <c r="BH35" s="236">
        <f>RANDBETWEEN((Inputs!$E35-(Inputs!$E35-Inputs!$D35)*2)*10000,(Inputs!$E35+(Inputs!$F35-Inputs!$E35)*2)*10000)/10000</f>
        <v>0.8912</v>
      </c>
      <c r="BI35" s="236">
        <f>RANDBETWEEN((Inputs!$E35-(Inputs!$E35-Inputs!$D35)*2)*10000,(Inputs!$E35+(Inputs!$F35-Inputs!$E35)*2)*10000)/10000</f>
        <v>0.8742</v>
      </c>
      <c r="BJ35" s="236">
        <f>RANDBETWEEN((Inputs!$E35-(Inputs!$E35-Inputs!$D35)*2)*10000,(Inputs!$E35+(Inputs!$F35-Inputs!$E35)*2)*10000)/10000</f>
        <v>0.5099</v>
      </c>
      <c r="BK35" s="236">
        <f>RANDBETWEEN((Inputs!$E35-(Inputs!$E35-Inputs!$D35)*2)*10000,(Inputs!$E35+(Inputs!$F35-Inputs!$E35)*2)*10000)/10000</f>
        <v>1.1292</v>
      </c>
      <c r="BL35" s="236">
        <f>RANDBETWEEN((Inputs!$E35-(Inputs!$E35-Inputs!$D35)*2)*10000,(Inputs!$E35+(Inputs!$F35-Inputs!$E35)*2)*10000)/10000</f>
        <v>0.4846</v>
      </c>
      <c r="BM35" s="236">
        <f>RANDBETWEEN((Inputs!$E35-(Inputs!$E35-Inputs!$D35)*2)*10000,(Inputs!$E35+(Inputs!$F35-Inputs!$E35)*2)*10000)/10000</f>
        <v>1.0246</v>
      </c>
      <c r="BN35" s="236">
        <f>RANDBETWEEN((Inputs!$E35-(Inputs!$E35-Inputs!$D35)*2)*10000,(Inputs!$E35+(Inputs!$F35-Inputs!$E35)*2)*10000)/10000</f>
        <v>1.0583</v>
      </c>
      <c r="BO35" s="236">
        <f>RANDBETWEEN((Inputs!$E35-(Inputs!$E35-Inputs!$D35)*2)*10000,(Inputs!$E35+(Inputs!$F35-Inputs!$E35)*2)*10000)/10000</f>
        <v>1.1695</v>
      </c>
      <c r="BP35" s="236">
        <f>RANDBETWEEN((Inputs!$E35-(Inputs!$E35-Inputs!$D35)*2)*10000,(Inputs!$E35+(Inputs!$F35-Inputs!$E35)*2)*10000)/10000</f>
        <v>0.4859</v>
      </c>
      <c r="BQ35" s="236">
        <f>RANDBETWEEN((Inputs!$E35-(Inputs!$E35-Inputs!$D35)*2)*10000,(Inputs!$E35+(Inputs!$F35-Inputs!$E35)*2)*10000)/10000</f>
        <v>0.8731</v>
      </c>
      <c r="BR35" s="236">
        <f>RANDBETWEEN((Inputs!$E35-(Inputs!$E35-Inputs!$D35)*2)*10000,(Inputs!$E35+(Inputs!$F35-Inputs!$E35)*2)*10000)/10000</f>
        <v>0.6236</v>
      </c>
      <c r="BS35" s="236">
        <f>RANDBETWEEN((Inputs!$E35-(Inputs!$E35-Inputs!$D35)*2)*10000,(Inputs!$E35+(Inputs!$F35-Inputs!$E35)*2)*10000)/10000</f>
        <v>0.4291</v>
      </c>
      <c r="BT35" s="236">
        <f>RANDBETWEEN((Inputs!$E35-(Inputs!$E35-Inputs!$D35)*2)*10000,(Inputs!$E35+(Inputs!$F35-Inputs!$E35)*2)*10000)/10000</f>
        <v>0.4161</v>
      </c>
      <c r="BU35" s="236">
        <f>RANDBETWEEN((Inputs!$E35-(Inputs!$E35-Inputs!$D35)*2)*10000,(Inputs!$E35+(Inputs!$F35-Inputs!$E35)*2)*10000)/10000</f>
        <v>0.9991</v>
      </c>
      <c r="BV35" s="236">
        <f>RANDBETWEEN((Inputs!$E35-(Inputs!$E35-Inputs!$D35)*2)*10000,(Inputs!$E35+(Inputs!$F35-Inputs!$E35)*2)*10000)/10000</f>
        <v>0.8047</v>
      </c>
      <c r="BW35" s="236">
        <f>RANDBETWEEN((Inputs!$E35-(Inputs!$E35-Inputs!$D35)*2)*10000,(Inputs!$E35+(Inputs!$F35-Inputs!$E35)*2)*10000)/10000</f>
        <v>1.1352</v>
      </c>
      <c r="BX35" s="236">
        <f>RANDBETWEEN((Inputs!$E35-(Inputs!$E35-Inputs!$D35)*2)*10000,(Inputs!$E35+(Inputs!$F35-Inputs!$E35)*2)*10000)/10000</f>
        <v>1.1813</v>
      </c>
      <c r="BY35" s="236">
        <f>RANDBETWEEN((Inputs!$E35-(Inputs!$E35-Inputs!$D35)*2)*10000,(Inputs!$E35+(Inputs!$F35-Inputs!$E35)*2)*10000)/10000</f>
        <v>0.7648</v>
      </c>
      <c r="BZ35" s="236">
        <f>RANDBETWEEN((Inputs!$E35-(Inputs!$E35-Inputs!$D35)*2)*10000,(Inputs!$E35+(Inputs!$F35-Inputs!$E35)*2)*10000)/10000</f>
        <v>0.827</v>
      </c>
      <c r="CA35" s="236">
        <f>RANDBETWEEN((Inputs!$E35-(Inputs!$E35-Inputs!$D35)*2)*10000,(Inputs!$E35+(Inputs!$F35-Inputs!$E35)*2)*10000)/10000</f>
        <v>0.6229</v>
      </c>
      <c r="CB35" s="236">
        <f>RANDBETWEEN((Inputs!$E35-(Inputs!$E35-Inputs!$D35)*2)*10000,(Inputs!$E35+(Inputs!$F35-Inputs!$E35)*2)*10000)/10000</f>
        <v>0.7033</v>
      </c>
      <c r="CC35" s="236">
        <f>RANDBETWEEN((Inputs!$E35-(Inputs!$E35-Inputs!$D35)*2)*10000,(Inputs!$E35+(Inputs!$F35-Inputs!$E35)*2)*10000)/10000</f>
        <v>1.0302</v>
      </c>
      <c r="CD35" s="236">
        <f>RANDBETWEEN((Inputs!$E35-(Inputs!$E35-Inputs!$D35)*2)*10000,(Inputs!$E35+(Inputs!$F35-Inputs!$E35)*2)*10000)/10000</f>
        <v>1.1756</v>
      </c>
      <c r="CE35" s="236">
        <f>RANDBETWEEN((Inputs!$E35-(Inputs!$E35-Inputs!$D35)*2)*10000,(Inputs!$E35+(Inputs!$F35-Inputs!$E35)*2)*10000)/10000</f>
        <v>0.5684</v>
      </c>
      <c r="CF35" s="236">
        <f>RANDBETWEEN((Inputs!$E35-(Inputs!$E35-Inputs!$D35)*2)*10000,(Inputs!$E35+(Inputs!$F35-Inputs!$E35)*2)*10000)/10000</f>
        <v>0.5329</v>
      </c>
      <c r="CG35" s="236">
        <f>RANDBETWEEN((Inputs!$E35-(Inputs!$E35-Inputs!$D35)*2)*10000,(Inputs!$E35+(Inputs!$F35-Inputs!$E35)*2)*10000)/10000</f>
        <v>1.0499</v>
      </c>
      <c r="CH35" s="236">
        <f>RANDBETWEEN((Inputs!$E35-(Inputs!$E35-Inputs!$D35)*2)*10000,(Inputs!$E35+(Inputs!$F35-Inputs!$E35)*2)*10000)/10000</f>
        <v>0.8557</v>
      </c>
      <c r="CI35" s="236">
        <f>RANDBETWEEN((Inputs!$E35-(Inputs!$E35-Inputs!$D35)*2)*10000,(Inputs!$E35+(Inputs!$F35-Inputs!$E35)*2)*10000)/10000</f>
        <v>0.8774</v>
      </c>
      <c r="CJ35" s="236">
        <f>RANDBETWEEN((Inputs!$E35-(Inputs!$E35-Inputs!$D35)*2)*10000,(Inputs!$E35+(Inputs!$F35-Inputs!$E35)*2)*10000)/10000</f>
        <v>1.1531</v>
      </c>
      <c r="CK35" s="236">
        <f>RANDBETWEEN((Inputs!$E35-(Inputs!$E35-Inputs!$D35)*2)*10000,(Inputs!$E35+(Inputs!$F35-Inputs!$E35)*2)*10000)/10000</f>
        <v>0.7676</v>
      </c>
      <c r="CL35" s="236">
        <f>RANDBETWEEN((Inputs!$E35-(Inputs!$E35-Inputs!$D35)*2)*10000,(Inputs!$E35+(Inputs!$F35-Inputs!$E35)*2)*10000)/10000</f>
        <v>0.5319</v>
      </c>
      <c r="CM35" s="236">
        <f>RANDBETWEEN((Inputs!$E35-(Inputs!$E35-Inputs!$D35)*2)*10000,(Inputs!$E35+(Inputs!$F35-Inputs!$E35)*2)*10000)/10000</f>
        <v>0.4142</v>
      </c>
      <c r="CN35" s="236">
        <f>RANDBETWEEN((Inputs!$E35-(Inputs!$E35-Inputs!$D35)*2)*10000,(Inputs!$E35+(Inputs!$F35-Inputs!$E35)*2)*10000)/10000</f>
        <v>0.6394</v>
      </c>
      <c r="CO35" s="236">
        <f>RANDBETWEEN((Inputs!$E35-(Inputs!$E35-Inputs!$D35)*2)*10000,(Inputs!$E35+(Inputs!$F35-Inputs!$E35)*2)*10000)/10000</f>
        <v>0.978</v>
      </c>
      <c r="CP35" s="236">
        <f>RANDBETWEEN((Inputs!$E35-(Inputs!$E35-Inputs!$D35)*2)*10000,(Inputs!$E35+(Inputs!$F35-Inputs!$E35)*2)*10000)/10000</f>
        <v>0.6007</v>
      </c>
      <c r="CQ35" s="236">
        <f>RANDBETWEEN((Inputs!$E35-(Inputs!$E35-Inputs!$D35)*2)*10000,(Inputs!$E35+(Inputs!$F35-Inputs!$E35)*2)*10000)/10000</f>
        <v>1.1467</v>
      </c>
      <c r="CR35" s="236">
        <f>RANDBETWEEN((Inputs!$E35-(Inputs!$E35-Inputs!$D35)*2)*10000,(Inputs!$E35+(Inputs!$F35-Inputs!$E35)*2)*10000)/10000</f>
        <v>0.9843</v>
      </c>
      <c r="CS35" s="236">
        <f>RANDBETWEEN((Inputs!$E35-(Inputs!$E35-Inputs!$D35)*2)*10000,(Inputs!$E35+(Inputs!$F35-Inputs!$E35)*2)*10000)/10000</f>
        <v>0.76</v>
      </c>
      <c r="CT35" s="236">
        <f>RANDBETWEEN((Inputs!$E35-(Inputs!$E35-Inputs!$D35)*2)*10000,(Inputs!$E35+(Inputs!$F35-Inputs!$E35)*2)*10000)/10000</f>
        <v>1.1244</v>
      </c>
      <c r="CU35" s="236">
        <f>RANDBETWEEN((Inputs!$E35-(Inputs!$E35-Inputs!$D35)*2)*10000,(Inputs!$E35+(Inputs!$F35-Inputs!$E35)*2)*10000)/10000</f>
        <v>0.7559</v>
      </c>
      <c r="CV35" s="236">
        <f>RANDBETWEEN((Inputs!$E35-(Inputs!$E35-Inputs!$D35)*2)*10000,(Inputs!$E35+(Inputs!$F35-Inputs!$E35)*2)*10000)/10000</f>
        <v>0.706</v>
      </c>
      <c r="CW35" s="236">
        <f>RANDBETWEEN((Inputs!$E35-(Inputs!$E35-Inputs!$D35)*2)*10000,(Inputs!$E35+(Inputs!$F35-Inputs!$E35)*2)*10000)/10000</f>
        <v>0.9903</v>
      </c>
      <c r="CX35" s="236">
        <f>RANDBETWEEN((Inputs!$E35-(Inputs!$E35-Inputs!$D35)*2)*10000,(Inputs!$E35+(Inputs!$F35-Inputs!$E35)*2)*10000)/10000</f>
        <v>0.7058</v>
      </c>
      <c r="CY35" s="236">
        <f>RANDBETWEEN((Inputs!$E35-(Inputs!$E35-Inputs!$D35)*2)*10000,(Inputs!$E35+(Inputs!$F35-Inputs!$E35)*2)*10000)/10000</f>
        <v>0.5011</v>
      </c>
      <c r="CZ35" s="236">
        <f>RANDBETWEEN((Inputs!$E35-(Inputs!$E35-Inputs!$D35)*2)*10000,(Inputs!$E35+(Inputs!$F35-Inputs!$E35)*2)*10000)/10000</f>
        <v>0.95</v>
      </c>
      <c r="DA35" s="236">
        <f>RANDBETWEEN((Inputs!$E35-(Inputs!$E35-Inputs!$D35)*2)*10000,(Inputs!$E35+(Inputs!$F35-Inputs!$E35)*2)*10000)/10000</f>
        <v>1.0308</v>
      </c>
      <c r="DB35" s="236">
        <f>RANDBETWEEN((Inputs!$E35-(Inputs!$E35-Inputs!$D35)*2)*10000,(Inputs!$E35+(Inputs!$F35-Inputs!$E35)*2)*10000)/10000</f>
        <v>1.0113</v>
      </c>
      <c r="DC35" s="236">
        <f>RANDBETWEEN((Inputs!$E35-(Inputs!$E35-Inputs!$D35)*2)*10000,(Inputs!$E35+(Inputs!$F35-Inputs!$E35)*2)*10000)/10000</f>
        <v>0.5523</v>
      </c>
      <c r="DD35" s="236">
        <f>RANDBETWEEN((Inputs!$E35-(Inputs!$E35-Inputs!$D35)*2)*10000,(Inputs!$E35+(Inputs!$F35-Inputs!$E35)*2)*10000)/10000</f>
        <v>0.754</v>
      </c>
      <c r="DE35" s="236">
        <f>RANDBETWEEN((Inputs!$E35-(Inputs!$E35-Inputs!$D35)*2)*10000,(Inputs!$E35+(Inputs!$F35-Inputs!$E35)*2)*10000)/10000</f>
        <v>0.437</v>
      </c>
      <c r="DF35" s="236">
        <f>RANDBETWEEN((Inputs!$E35-(Inputs!$E35-Inputs!$D35)*2)*10000,(Inputs!$E35+(Inputs!$F35-Inputs!$E35)*2)*10000)/10000</f>
        <v>0.7452</v>
      </c>
      <c r="DG35" s="236">
        <f>RANDBETWEEN((Inputs!$E35-(Inputs!$E35-Inputs!$D35)*2)*10000,(Inputs!$E35+(Inputs!$F35-Inputs!$E35)*2)*10000)/10000</f>
        <v>0.8949</v>
      </c>
      <c r="DH35" s="236">
        <f>RANDBETWEEN((Inputs!$E35-(Inputs!$E35-Inputs!$D35)*2)*10000,(Inputs!$E35+(Inputs!$F35-Inputs!$E35)*2)*10000)/10000</f>
        <v>0.6873</v>
      </c>
      <c r="DI35" s="236">
        <f>RANDBETWEEN((Inputs!$E35-(Inputs!$E35-Inputs!$D35)*2)*10000,(Inputs!$E35+(Inputs!$F35-Inputs!$E35)*2)*10000)/10000</f>
        <v>0.7706</v>
      </c>
      <c r="DJ35" s="236">
        <f>RANDBETWEEN((Inputs!$E35-(Inputs!$E35-Inputs!$D35)*2)*10000,(Inputs!$E35+(Inputs!$F35-Inputs!$E35)*2)*10000)/10000</f>
        <v>1.0612</v>
      </c>
      <c r="DK35" s="236">
        <f>RANDBETWEEN((Inputs!$E35-(Inputs!$E35-Inputs!$D35)*2)*10000,(Inputs!$E35+(Inputs!$F35-Inputs!$E35)*2)*10000)/10000</f>
        <v>1.0824</v>
      </c>
      <c r="DL35" s="236">
        <f>RANDBETWEEN((Inputs!$E35-(Inputs!$E35-Inputs!$D35)*2)*10000,(Inputs!$E35+(Inputs!$F35-Inputs!$E35)*2)*10000)/10000</f>
        <v>0.6867</v>
      </c>
      <c r="DM35" s="236">
        <f>RANDBETWEEN((Inputs!$E35-(Inputs!$E35-Inputs!$D35)*2)*10000,(Inputs!$E35+(Inputs!$F35-Inputs!$E35)*2)*10000)/10000</f>
        <v>1.103</v>
      </c>
      <c r="DN35" s="236">
        <f>RANDBETWEEN((Inputs!$E35-(Inputs!$E35-Inputs!$D35)*2)*10000,(Inputs!$E35+(Inputs!$F35-Inputs!$E35)*2)*10000)/10000</f>
        <v>0.4407</v>
      </c>
      <c r="DO35" s="236">
        <f>RANDBETWEEN((Inputs!$E35-(Inputs!$E35-Inputs!$D35)*2)*10000,(Inputs!$E35+(Inputs!$F35-Inputs!$E35)*2)*10000)/10000</f>
        <v>0.5574</v>
      </c>
      <c r="DP35" s="236">
        <f>RANDBETWEEN((Inputs!$E35-(Inputs!$E35-Inputs!$D35)*2)*10000,(Inputs!$E35+(Inputs!$F35-Inputs!$E35)*2)*10000)/10000</f>
        <v>0.4013</v>
      </c>
      <c r="DQ35" s="236">
        <f>RANDBETWEEN((Inputs!$E35-(Inputs!$E35-Inputs!$D35)*2)*10000,(Inputs!$E35+(Inputs!$F35-Inputs!$E35)*2)*10000)/10000</f>
        <v>0.9803</v>
      </c>
      <c r="DR35" s="236">
        <f>RANDBETWEEN((Inputs!$E35-(Inputs!$E35-Inputs!$D35)*2)*10000,(Inputs!$E35+(Inputs!$F35-Inputs!$E35)*2)*10000)/10000</f>
        <v>0.5991</v>
      </c>
      <c r="DS35" s="236">
        <f>RANDBETWEEN((Inputs!$E35-(Inputs!$E35-Inputs!$D35)*2)*10000,(Inputs!$E35+(Inputs!$F35-Inputs!$E35)*2)*10000)/10000</f>
        <v>0.5792</v>
      </c>
      <c r="DT35" s="236">
        <f>RANDBETWEEN((Inputs!$E35-(Inputs!$E35-Inputs!$D35)*2)*10000,(Inputs!$E35+(Inputs!$F35-Inputs!$E35)*2)*10000)/10000</f>
        <v>0.7201</v>
      </c>
      <c r="DU35" s="236">
        <f>RANDBETWEEN((Inputs!$E35-(Inputs!$E35-Inputs!$D35)*2)*10000,(Inputs!$E35+(Inputs!$F35-Inputs!$E35)*2)*10000)/10000</f>
        <v>0.8774</v>
      </c>
      <c r="DV35" s="236">
        <f>RANDBETWEEN((Inputs!$E35-(Inputs!$E35-Inputs!$D35)*2)*10000,(Inputs!$E35+(Inputs!$F35-Inputs!$E35)*2)*10000)/10000</f>
        <v>0.7776</v>
      </c>
      <c r="DW35" s="236">
        <f>RANDBETWEEN((Inputs!$E35-(Inputs!$E35-Inputs!$D35)*2)*10000,(Inputs!$E35+(Inputs!$F35-Inputs!$E35)*2)*10000)/10000</f>
        <v>0.5924</v>
      </c>
      <c r="DX35" s="236">
        <f>RANDBETWEEN((Inputs!$E35-(Inputs!$E35-Inputs!$D35)*2)*10000,(Inputs!$E35+(Inputs!$F35-Inputs!$E35)*2)*10000)/10000</f>
        <v>0.9954</v>
      </c>
      <c r="DY35" s="236">
        <f>RANDBETWEEN((Inputs!$E35-(Inputs!$E35-Inputs!$D35)*2)*10000,(Inputs!$E35+(Inputs!$F35-Inputs!$E35)*2)*10000)/10000</f>
        <v>0.8995</v>
      </c>
      <c r="DZ35" s="236">
        <f>RANDBETWEEN((Inputs!$E35-(Inputs!$E35-Inputs!$D35)*2)*10000,(Inputs!$E35+(Inputs!$F35-Inputs!$E35)*2)*10000)/10000</f>
        <v>1.0569</v>
      </c>
      <c r="EA35" s="236">
        <f>RANDBETWEEN((Inputs!$E35-(Inputs!$E35-Inputs!$D35)*2)*10000,(Inputs!$E35+(Inputs!$F35-Inputs!$E35)*2)*10000)/10000</f>
        <v>0.54</v>
      </c>
      <c r="EB35" s="236">
        <f>RANDBETWEEN((Inputs!$E35-(Inputs!$E35-Inputs!$D35)*2)*10000,(Inputs!$E35+(Inputs!$F35-Inputs!$E35)*2)*10000)/10000</f>
        <v>0.589</v>
      </c>
      <c r="EC35" s="236">
        <f>RANDBETWEEN((Inputs!$E35-(Inputs!$E35-Inputs!$D35)*2)*10000,(Inputs!$E35+(Inputs!$F35-Inputs!$E35)*2)*10000)/10000</f>
        <v>0.499</v>
      </c>
      <c r="ED35" s="236">
        <f>RANDBETWEEN((Inputs!$E35-(Inputs!$E35-Inputs!$D35)*2)*10000,(Inputs!$E35+(Inputs!$F35-Inputs!$E35)*2)*10000)/10000</f>
        <v>0.4788</v>
      </c>
      <c r="EE35" s="236">
        <f>RANDBETWEEN((Inputs!$E35-(Inputs!$E35-Inputs!$D35)*2)*10000,(Inputs!$E35+(Inputs!$F35-Inputs!$E35)*2)*10000)/10000</f>
        <v>0.569</v>
      </c>
      <c r="EF35" s="236">
        <f>RANDBETWEEN((Inputs!$E35-(Inputs!$E35-Inputs!$D35)*2)*10000,(Inputs!$E35+(Inputs!$F35-Inputs!$E35)*2)*10000)/10000</f>
        <v>0.9548</v>
      </c>
      <c r="EG35" s="236">
        <f>RANDBETWEEN((Inputs!$E35-(Inputs!$E35-Inputs!$D35)*2)*10000,(Inputs!$E35+(Inputs!$F35-Inputs!$E35)*2)*10000)/10000</f>
        <v>0.8539</v>
      </c>
      <c r="EH35" s="236">
        <f>RANDBETWEEN((Inputs!$E35-(Inputs!$E35-Inputs!$D35)*2)*10000,(Inputs!$E35+(Inputs!$F35-Inputs!$E35)*2)*10000)/10000</f>
        <v>1.1865</v>
      </c>
      <c r="EI35" s="236">
        <f>RANDBETWEEN((Inputs!$E35-(Inputs!$E35-Inputs!$D35)*2)*10000,(Inputs!$E35+(Inputs!$F35-Inputs!$E35)*2)*10000)/10000</f>
        <v>1.1952</v>
      </c>
      <c r="EJ35" s="236">
        <f>RANDBETWEEN((Inputs!$E35-(Inputs!$E35-Inputs!$D35)*2)*10000,(Inputs!$E35+(Inputs!$F35-Inputs!$E35)*2)*10000)/10000</f>
        <v>0.7364</v>
      </c>
      <c r="EK35" s="236">
        <f>RANDBETWEEN((Inputs!$E35-(Inputs!$E35-Inputs!$D35)*2)*10000,(Inputs!$E35+(Inputs!$F35-Inputs!$E35)*2)*10000)/10000</f>
        <v>0.9151</v>
      </c>
      <c r="EL35" s="236">
        <f>RANDBETWEEN((Inputs!$E35-(Inputs!$E35-Inputs!$D35)*2)*10000,(Inputs!$E35+(Inputs!$F35-Inputs!$E35)*2)*10000)/10000</f>
        <v>1.0971</v>
      </c>
      <c r="EM35" s="236">
        <f>RANDBETWEEN((Inputs!$E35-(Inputs!$E35-Inputs!$D35)*2)*10000,(Inputs!$E35+(Inputs!$F35-Inputs!$E35)*2)*10000)/10000</f>
        <v>0.6902</v>
      </c>
      <c r="EN35" s="236">
        <f>RANDBETWEEN((Inputs!$E35-(Inputs!$E35-Inputs!$D35)*2)*10000,(Inputs!$E35+(Inputs!$F35-Inputs!$E35)*2)*10000)/10000</f>
        <v>0.4948</v>
      </c>
      <c r="EO35" s="236">
        <f>RANDBETWEEN((Inputs!$E35-(Inputs!$E35-Inputs!$D35)*2)*10000,(Inputs!$E35+(Inputs!$F35-Inputs!$E35)*2)*10000)/10000</f>
        <v>1.158</v>
      </c>
      <c r="EP35" s="236">
        <f>RANDBETWEEN((Inputs!$E35-(Inputs!$E35-Inputs!$D35)*2)*10000,(Inputs!$E35+(Inputs!$F35-Inputs!$E35)*2)*10000)/10000</f>
        <v>1.195</v>
      </c>
      <c r="EQ35" s="236">
        <f>RANDBETWEEN((Inputs!$E35-(Inputs!$E35-Inputs!$D35)*2)*10000,(Inputs!$E35+(Inputs!$F35-Inputs!$E35)*2)*10000)/10000</f>
        <v>0.6213</v>
      </c>
      <c r="ER35" s="236">
        <f>RANDBETWEEN((Inputs!$E35-(Inputs!$E35-Inputs!$D35)*2)*10000,(Inputs!$E35+(Inputs!$F35-Inputs!$E35)*2)*10000)/10000</f>
        <v>0.8968</v>
      </c>
      <c r="ES35" s="236">
        <f>RANDBETWEEN((Inputs!$E35-(Inputs!$E35-Inputs!$D35)*2)*10000,(Inputs!$E35+(Inputs!$F35-Inputs!$E35)*2)*10000)/10000</f>
        <v>0.9853</v>
      </c>
      <c r="ET35" s="236">
        <f>RANDBETWEEN((Inputs!$E35-(Inputs!$E35-Inputs!$D35)*2)*10000,(Inputs!$E35+(Inputs!$F35-Inputs!$E35)*2)*10000)/10000</f>
        <v>0.5835</v>
      </c>
      <c r="EU35" s="236">
        <f>RANDBETWEEN((Inputs!$E35-(Inputs!$E35-Inputs!$D35)*2)*10000,(Inputs!$E35+(Inputs!$F35-Inputs!$E35)*2)*10000)/10000</f>
        <v>1.1212</v>
      </c>
      <c r="EV35" s="236">
        <f>RANDBETWEEN((Inputs!$E35-(Inputs!$E35-Inputs!$D35)*2)*10000,(Inputs!$E35+(Inputs!$F35-Inputs!$E35)*2)*10000)/10000</f>
        <v>0.4808</v>
      </c>
      <c r="EW35" s="236">
        <f>RANDBETWEEN((Inputs!$E35-(Inputs!$E35-Inputs!$D35)*2)*10000,(Inputs!$E35+(Inputs!$F35-Inputs!$E35)*2)*10000)/10000</f>
        <v>0.5046</v>
      </c>
      <c r="EX35" s="236">
        <f>RANDBETWEEN((Inputs!$E35-(Inputs!$E35-Inputs!$D35)*2)*10000,(Inputs!$E35+(Inputs!$F35-Inputs!$E35)*2)*10000)/10000</f>
        <v>0.5621</v>
      </c>
      <c r="EY35" s="236">
        <f>RANDBETWEEN((Inputs!$E35-(Inputs!$E35-Inputs!$D35)*2)*10000,(Inputs!$E35+(Inputs!$F35-Inputs!$E35)*2)*10000)/10000</f>
        <v>0.982</v>
      </c>
      <c r="EZ35" s="236">
        <f>RANDBETWEEN((Inputs!$E35-(Inputs!$E35-Inputs!$D35)*2)*10000,(Inputs!$E35+(Inputs!$F35-Inputs!$E35)*2)*10000)/10000</f>
        <v>0.4817</v>
      </c>
      <c r="FA35" s="236">
        <f>RANDBETWEEN((Inputs!$E35-(Inputs!$E35-Inputs!$D35)*2)*10000,(Inputs!$E35+(Inputs!$F35-Inputs!$E35)*2)*10000)/10000</f>
        <v>0.6664</v>
      </c>
      <c r="FB35" s="236">
        <f>RANDBETWEEN((Inputs!$E35-(Inputs!$E35-Inputs!$D35)*2)*10000,(Inputs!$E35+(Inputs!$F35-Inputs!$E35)*2)*10000)/10000</f>
        <v>0.9927</v>
      </c>
      <c r="FC35" s="236">
        <f>RANDBETWEEN((Inputs!$E35-(Inputs!$E35-Inputs!$D35)*2)*10000,(Inputs!$E35+(Inputs!$F35-Inputs!$E35)*2)*10000)/10000</f>
        <v>0.4644</v>
      </c>
      <c r="FD35" s="236">
        <f>RANDBETWEEN((Inputs!$E35-(Inputs!$E35-Inputs!$D35)*2)*10000,(Inputs!$E35+(Inputs!$F35-Inputs!$E35)*2)*10000)/10000</f>
        <v>0.6326</v>
      </c>
      <c r="FE35" s="236">
        <f>RANDBETWEEN((Inputs!$E35-(Inputs!$E35-Inputs!$D35)*2)*10000,(Inputs!$E35+(Inputs!$F35-Inputs!$E35)*2)*10000)/10000</f>
        <v>0.6777</v>
      </c>
      <c r="FF35" s="236">
        <f>RANDBETWEEN((Inputs!$E35-(Inputs!$E35-Inputs!$D35)*2)*10000,(Inputs!$E35+(Inputs!$F35-Inputs!$E35)*2)*10000)/10000</f>
        <v>0.8983</v>
      </c>
      <c r="FG35" s="236">
        <f>RANDBETWEEN((Inputs!$E35-(Inputs!$E35-Inputs!$D35)*2)*10000,(Inputs!$E35+(Inputs!$F35-Inputs!$E35)*2)*10000)/10000</f>
        <v>0.7818</v>
      </c>
      <c r="FH35" s="236">
        <f>RANDBETWEEN((Inputs!$E35-(Inputs!$E35-Inputs!$D35)*2)*10000,(Inputs!$E35+(Inputs!$F35-Inputs!$E35)*2)*10000)/10000</f>
        <v>0.5781</v>
      </c>
      <c r="FI35" s="236">
        <f>RANDBETWEEN((Inputs!$E35-(Inputs!$E35-Inputs!$D35)*2)*10000,(Inputs!$E35+(Inputs!$F35-Inputs!$E35)*2)*10000)/10000</f>
        <v>0.6121</v>
      </c>
      <c r="FJ35" s="236">
        <f>RANDBETWEEN((Inputs!$E35-(Inputs!$E35-Inputs!$D35)*2)*10000,(Inputs!$E35+(Inputs!$F35-Inputs!$E35)*2)*10000)/10000</f>
        <v>0.9843</v>
      </c>
      <c r="FK35" s="236">
        <f>RANDBETWEEN((Inputs!$E35-(Inputs!$E35-Inputs!$D35)*2)*10000,(Inputs!$E35+(Inputs!$F35-Inputs!$E35)*2)*10000)/10000</f>
        <v>1.1627</v>
      </c>
      <c r="FL35" s="236">
        <f>RANDBETWEEN((Inputs!$E35-(Inputs!$E35-Inputs!$D35)*2)*10000,(Inputs!$E35+(Inputs!$F35-Inputs!$E35)*2)*10000)/10000</f>
        <v>0.9185</v>
      </c>
      <c r="FM35" s="236">
        <f>RANDBETWEEN((Inputs!$E35-(Inputs!$E35-Inputs!$D35)*2)*10000,(Inputs!$E35+(Inputs!$F35-Inputs!$E35)*2)*10000)/10000</f>
        <v>0.6232</v>
      </c>
      <c r="FN35" s="236">
        <f>RANDBETWEEN((Inputs!$E35-(Inputs!$E35-Inputs!$D35)*2)*10000,(Inputs!$E35+(Inputs!$F35-Inputs!$E35)*2)*10000)/10000</f>
        <v>0.6032</v>
      </c>
      <c r="FO35" s="236">
        <f>RANDBETWEEN((Inputs!$E35-(Inputs!$E35-Inputs!$D35)*2)*10000,(Inputs!$E35+(Inputs!$F35-Inputs!$E35)*2)*10000)/10000</f>
        <v>1.0164</v>
      </c>
      <c r="FP35" s="236">
        <f>RANDBETWEEN((Inputs!$E35-(Inputs!$E35-Inputs!$D35)*2)*10000,(Inputs!$E35+(Inputs!$F35-Inputs!$E35)*2)*10000)/10000</f>
        <v>1.168</v>
      </c>
      <c r="FQ35" s="236">
        <f>RANDBETWEEN((Inputs!$E35-(Inputs!$E35-Inputs!$D35)*2)*10000,(Inputs!$E35+(Inputs!$F35-Inputs!$E35)*2)*10000)/10000</f>
        <v>0.5216</v>
      </c>
      <c r="FR35" s="236">
        <f>RANDBETWEEN((Inputs!$E35-(Inputs!$E35-Inputs!$D35)*2)*10000,(Inputs!$E35+(Inputs!$F35-Inputs!$E35)*2)*10000)/10000</f>
        <v>0.7784</v>
      </c>
      <c r="FS35" s="236">
        <f>RANDBETWEEN((Inputs!$E35-(Inputs!$E35-Inputs!$D35)*2)*10000,(Inputs!$E35+(Inputs!$F35-Inputs!$E35)*2)*10000)/10000</f>
        <v>1.0182</v>
      </c>
      <c r="FT35" s="236">
        <f>RANDBETWEEN((Inputs!$E35-(Inputs!$E35-Inputs!$D35)*2)*10000,(Inputs!$E35+(Inputs!$F35-Inputs!$E35)*2)*10000)/10000</f>
        <v>0.6524</v>
      </c>
      <c r="FU35" s="236">
        <f>RANDBETWEEN((Inputs!$E35-(Inputs!$E35-Inputs!$D35)*2)*10000,(Inputs!$E35+(Inputs!$F35-Inputs!$E35)*2)*10000)/10000</f>
        <v>0.7094</v>
      </c>
      <c r="FV35" s="236">
        <f>RANDBETWEEN((Inputs!$E35-(Inputs!$E35-Inputs!$D35)*2)*10000,(Inputs!$E35+(Inputs!$F35-Inputs!$E35)*2)*10000)/10000</f>
        <v>1.0843</v>
      </c>
      <c r="FW35" s="236">
        <f>RANDBETWEEN((Inputs!$E35-(Inputs!$E35-Inputs!$D35)*2)*10000,(Inputs!$E35+(Inputs!$F35-Inputs!$E35)*2)*10000)/10000</f>
        <v>0.5048</v>
      </c>
      <c r="FX35" s="236">
        <f>RANDBETWEEN((Inputs!$E35-(Inputs!$E35-Inputs!$D35)*2)*10000,(Inputs!$E35+(Inputs!$F35-Inputs!$E35)*2)*10000)/10000</f>
        <v>0.9784</v>
      </c>
      <c r="FY35" s="236">
        <f>RANDBETWEEN((Inputs!$E35-(Inputs!$E35-Inputs!$D35)*2)*10000,(Inputs!$E35+(Inputs!$F35-Inputs!$E35)*2)*10000)/10000</f>
        <v>1.1726</v>
      </c>
      <c r="FZ35" s="236">
        <f>RANDBETWEEN((Inputs!$E35-(Inputs!$E35-Inputs!$D35)*2)*10000,(Inputs!$E35+(Inputs!$F35-Inputs!$E35)*2)*10000)/10000</f>
        <v>1.0265</v>
      </c>
      <c r="GA35" s="236">
        <f>RANDBETWEEN((Inputs!$E35-(Inputs!$E35-Inputs!$D35)*2)*10000,(Inputs!$E35+(Inputs!$F35-Inputs!$E35)*2)*10000)/10000</f>
        <v>0.6087</v>
      </c>
      <c r="GB35" s="236">
        <f>RANDBETWEEN((Inputs!$E35-(Inputs!$E35-Inputs!$D35)*2)*10000,(Inputs!$E35+(Inputs!$F35-Inputs!$E35)*2)*10000)/10000</f>
        <v>0.4006</v>
      </c>
      <c r="GC35" s="236">
        <f>RANDBETWEEN((Inputs!$E35-(Inputs!$E35-Inputs!$D35)*2)*10000,(Inputs!$E35+(Inputs!$F35-Inputs!$E35)*2)*10000)/10000</f>
        <v>0.6149</v>
      </c>
      <c r="GD35" s="236">
        <f>RANDBETWEEN((Inputs!$E35-(Inputs!$E35-Inputs!$D35)*2)*10000,(Inputs!$E35+(Inputs!$F35-Inputs!$E35)*2)*10000)/10000</f>
        <v>0.4944</v>
      </c>
      <c r="GE35" s="236">
        <f>RANDBETWEEN((Inputs!$E35-(Inputs!$E35-Inputs!$D35)*2)*10000,(Inputs!$E35+(Inputs!$F35-Inputs!$E35)*2)*10000)/10000</f>
        <v>0.6869</v>
      </c>
      <c r="GF35" s="236">
        <f>RANDBETWEEN((Inputs!$E35-(Inputs!$E35-Inputs!$D35)*2)*10000,(Inputs!$E35+(Inputs!$F35-Inputs!$E35)*2)*10000)/10000</f>
        <v>1.1727</v>
      </c>
      <c r="GG35" s="236">
        <f>RANDBETWEEN((Inputs!$E35-(Inputs!$E35-Inputs!$D35)*2)*10000,(Inputs!$E35+(Inputs!$F35-Inputs!$E35)*2)*10000)/10000</f>
        <v>0.8715</v>
      </c>
      <c r="GH35" s="236">
        <f>RANDBETWEEN((Inputs!$E35-(Inputs!$E35-Inputs!$D35)*2)*10000,(Inputs!$E35+(Inputs!$F35-Inputs!$E35)*2)*10000)/10000</f>
        <v>0.4564</v>
      </c>
      <c r="GI35" s="236">
        <f>RANDBETWEEN((Inputs!$E35-(Inputs!$E35-Inputs!$D35)*2)*10000,(Inputs!$E35+(Inputs!$F35-Inputs!$E35)*2)*10000)/10000</f>
        <v>0.5871</v>
      </c>
      <c r="GJ35" s="236">
        <f>RANDBETWEEN((Inputs!$E35-(Inputs!$E35-Inputs!$D35)*2)*10000,(Inputs!$E35+(Inputs!$F35-Inputs!$E35)*2)*10000)/10000</f>
        <v>0.8085</v>
      </c>
      <c r="GK35" s="236">
        <f>RANDBETWEEN((Inputs!$E35-(Inputs!$E35-Inputs!$D35)*2)*10000,(Inputs!$E35+(Inputs!$F35-Inputs!$E35)*2)*10000)/10000</f>
        <v>0.8757</v>
      </c>
      <c r="GL35" s="236">
        <f>RANDBETWEEN((Inputs!$E35-(Inputs!$E35-Inputs!$D35)*2)*10000,(Inputs!$E35+(Inputs!$F35-Inputs!$E35)*2)*10000)/10000</f>
        <v>0.7479</v>
      </c>
      <c r="GM35" s="236">
        <f>RANDBETWEEN((Inputs!$E35-(Inputs!$E35-Inputs!$D35)*2)*10000,(Inputs!$E35+(Inputs!$F35-Inputs!$E35)*2)*10000)/10000</f>
        <v>1.1705</v>
      </c>
      <c r="GN35" s="236">
        <f>RANDBETWEEN((Inputs!$E35-(Inputs!$E35-Inputs!$D35)*2)*10000,(Inputs!$E35+(Inputs!$F35-Inputs!$E35)*2)*10000)/10000</f>
        <v>0.6909</v>
      </c>
      <c r="GO35" s="236">
        <f>RANDBETWEEN((Inputs!$E35-(Inputs!$E35-Inputs!$D35)*2)*10000,(Inputs!$E35+(Inputs!$F35-Inputs!$E35)*2)*10000)/10000</f>
        <v>0.4564</v>
      </c>
      <c r="GP35" s="236">
        <f>RANDBETWEEN((Inputs!$E35-(Inputs!$E35-Inputs!$D35)*2)*10000,(Inputs!$E35+(Inputs!$F35-Inputs!$E35)*2)*10000)/10000</f>
        <v>0.5489</v>
      </c>
      <c r="GQ35" s="236">
        <f>RANDBETWEEN((Inputs!$E35-(Inputs!$E35-Inputs!$D35)*2)*10000,(Inputs!$E35+(Inputs!$F35-Inputs!$E35)*2)*10000)/10000</f>
        <v>0.6482</v>
      </c>
      <c r="GR35" s="236">
        <f>RANDBETWEEN((Inputs!$E35-(Inputs!$E35-Inputs!$D35)*2)*10000,(Inputs!$E35+(Inputs!$F35-Inputs!$E35)*2)*10000)/10000</f>
        <v>0.657</v>
      </c>
      <c r="GS35" s="236">
        <f>RANDBETWEEN((Inputs!$E35-(Inputs!$E35-Inputs!$D35)*2)*10000,(Inputs!$E35+(Inputs!$F35-Inputs!$E35)*2)*10000)/10000</f>
        <v>0.7275</v>
      </c>
      <c r="GT35" s="236">
        <f>RANDBETWEEN((Inputs!$E35-(Inputs!$E35-Inputs!$D35)*2)*10000,(Inputs!$E35+(Inputs!$F35-Inputs!$E35)*2)*10000)/10000</f>
        <v>0.9751</v>
      </c>
      <c r="GU35" s="236">
        <f>RANDBETWEEN((Inputs!$E35-(Inputs!$E35-Inputs!$D35)*2)*10000,(Inputs!$E35+(Inputs!$F35-Inputs!$E35)*2)*10000)/10000</f>
        <v>1.1141</v>
      </c>
      <c r="GV35" s="236">
        <f>RANDBETWEEN((Inputs!$E35-(Inputs!$E35-Inputs!$D35)*2)*10000,(Inputs!$E35+(Inputs!$F35-Inputs!$E35)*2)*10000)/10000</f>
        <v>0.8488</v>
      </c>
      <c r="GW35" s="236">
        <f>RANDBETWEEN((Inputs!$E35-(Inputs!$E35-Inputs!$D35)*2)*10000,(Inputs!$E35+(Inputs!$F35-Inputs!$E35)*2)*10000)/10000</f>
        <v>0.7871</v>
      </c>
      <c r="GX35" s="236">
        <f>RANDBETWEEN((Inputs!$E35-(Inputs!$E35-Inputs!$D35)*2)*10000,(Inputs!$E35+(Inputs!$F35-Inputs!$E35)*2)*10000)/10000</f>
        <v>0.9094</v>
      </c>
      <c r="GY35" s="236">
        <f>RANDBETWEEN((Inputs!$E35-(Inputs!$E35-Inputs!$D35)*2)*10000,(Inputs!$E35+(Inputs!$F35-Inputs!$E35)*2)*10000)/10000</f>
        <v>0.9471</v>
      </c>
      <c r="GZ35" s="236">
        <f>RANDBETWEEN((Inputs!$E35-(Inputs!$E35-Inputs!$D35)*2)*10000,(Inputs!$E35+(Inputs!$F35-Inputs!$E35)*2)*10000)/10000</f>
        <v>0.6577</v>
      </c>
      <c r="HA35" s="236">
        <f>RANDBETWEEN((Inputs!$E35-(Inputs!$E35-Inputs!$D35)*2)*10000,(Inputs!$E35+(Inputs!$F35-Inputs!$E35)*2)*10000)/10000</f>
        <v>1.0766</v>
      </c>
      <c r="HB35" s="236">
        <f>RANDBETWEEN((Inputs!$E35-(Inputs!$E35-Inputs!$D35)*2)*10000,(Inputs!$E35+(Inputs!$F35-Inputs!$E35)*2)*10000)/10000</f>
        <v>1.1731</v>
      </c>
      <c r="HC35" s="236">
        <f>RANDBETWEEN((Inputs!$E35-(Inputs!$E35-Inputs!$D35)*2)*10000,(Inputs!$E35+(Inputs!$F35-Inputs!$E35)*2)*10000)/10000</f>
        <v>0.927</v>
      </c>
      <c r="HD35" s="236">
        <f>RANDBETWEEN((Inputs!$E35-(Inputs!$E35-Inputs!$D35)*2)*10000,(Inputs!$E35+(Inputs!$F35-Inputs!$E35)*2)*10000)/10000</f>
        <v>1.0062</v>
      </c>
      <c r="HE35" s="236">
        <f>RANDBETWEEN((Inputs!$E35-(Inputs!$E35-Inputs!$D35)*2)*10000,(Inputs!$E35+(Inputs!$F35-Inputs!$E35)*2)*10000)/10000</f>
        <v>0.8557</v>
      </c>
      <c r="HF35" s="236">
        <f>RANDBETWEEN((Inputs!$E35-(Inputs!$E35-Inputs!$D35)*2)*10000,(Inputs!$E35+(Inputs!$F35-Inputs!$E35)*2)*10000)/10000</f>
        <v>1.1892</v>
      </c>
      <c r="HG35" s="236">
        <f>RANDBETWEEN((Inputs!$E35-(Inputs!$E35-Inputs!$D35)*2)*10000,(Inputs!$E35+(Inputs!$F35-Inputs!$E35)*2)*10000)/10000</f>
        <v>0.5533</v>
      </c>
      <c r="HH35" s="236">
        <f>RANDBETWEEN((Inputs!$E35-(Inputs!$E35-Inputs!$D35)*2)*10000,(Inputs!$E35+(Inputs!$F35-Inputs!$E35)*2)*10000)/10000</f>
        <v>0.4955</v>
      </c>
      <c r="HI35" s="236">
        <f>RANDBETWEEN((Inputs!$E35-(Inputs!$E35-Inputs!$D35)*2)*10000,(Inputs!$E35+(Inputs!$F35-Inputs!$E35)*2)*10000)/10000</f>
        <v>0.834</v>
      </c>
      <c r="HJ35" s="236">
        <f>RANDBETWEEN((Inputs!$E35-(Inputs!$E35-Inputs!$D35)*2)*10000,(Inputs!$E35+(Inputs!$F35-Inputs!$E35)*2)*10000)/10000</f>
        <v>0.8145</v>
      </c>
      <c r="HK35" s="236">
        <f>RANDBETWEEN((Inputs!$E35-(Inputs!$E35-Inputs!$D35)*2)*10000,(Inputs!$E35+(Inputs!$F35-Inputs!$E35)*2)*10000)/10000</f>
        <v>0.5737</v>
      </c>
      <c r="HL35" s="236">
        <f>RANDBETWEEN((Inputs!$E35-(Inputs!$E35-Inputs!$D35)*2)*10000,(Inputs!$E35+(Inputs!$F35-Inputs!$E35)*2)*10000)/10000</f>
        <v>0.9126</v>
      </c>
      <c r="HM35" s="236">
        <f>RANDBETWEEN((Inputs!$E35-(Inputs!$E35-Inputs!$D35)*2)*10000,(Inputs!$E35+(Inputs!$F35-Inputs!$E35)*2)*10000)/10000</f>
        <v>0.853</v>
      </c>
      <c r="HN35" s="236">
        <f>RANDBETWEEN((Inputs!$E35-(Inputs!$E35-Inputs!$D35)*2)*10000,(Inputs!$E35+(Inputs!$F35-Inputs!$E35)*2)*10000)/10000</f>
        <v>0.82</v>
      </c>
      <c r="HO35" s="236">
        <f>RANDBETWEEN((Inputs!$E35-(Inputs!$E35-Inputs!$D35)*2)*10000,(Inputs!$E35+(Inputs!$F35-Inputs!$E35)*2)*10000)/10000</f>
        <v>0.5259</v>
      </c>
      <c r="HP35" s="236">
        <f>RANDBETWEEN((Inputs!$E35-(Inputs!$E35-Inputs!$D35)*2)*10000,(Inputs!$E35+(Inputs!$F35-Inputs!$E35)*2)*10000)/10000</f>
        <v>0.8297</v>
      </c>
      <c r="HQ35" s="236">
        <f>RANDBETWEEN((Inputs!$E35-(Inputs!$E35-Inputs!$D35)*2)*10000,(Inputs!$E35+(Inputs!$F35-Inputs!$E35)*2)*10000)/10000</f>
        <v>0.648</v>
      </c>
      <c r="HR35" s="236">
        <f>RANDBETWEEN((Inputs!$E35-(Inputs!$E35-Inputs!$D35)*2)*10000,(Inputs!$E35+(Inputs!$F35-Inputs!$E35)*2)*10000)/10000</f>
        <v>0.5716</v>
      </c>
      <c r="HS35" s="236">
        <f>RANDBETWEEN((Inputs!$E35-(Inputs!$E35-Inputs!$D35)*2)*10000,(Inputs!$E35+(Inputs!$F35-Inputs!$E35)*2)*10000)/10000</f>
        <v>0.5651</v>
      </c>
      <c r="HT35" s="236">
        <f>RANDBETWEEN((Inputs!$E35-(Inputs!$E35-Inputs!$D35)*2)*10000,(Inputs!$E35+(Inputs!$F35-Inputs!$E35)*2)*10000)/10000</f>
        <v>0.7395</v>
      </c>
      <c r="HU35" s="236">
        <f>RANDBETWEEN((Inputs!$E35-(Inputs!$E35-Inputs!$D35)*2)*10000,(Inputs!$E35+(Inputs!$F35-Inputs!$E35)*2)*10000)/10000</f>
        <v>1.1248</v>
      </c>
      <c r="HV35" s="236">
        <f>RANDBETWEEN((Inputs!$E35-(Inputs!$E35-Inputs!$D35)*2)*10000,(Inputs!$E35+(Inputs!$F35-Inputs!$E35)*2)*10000)/10000</f>
        <v>0.818</v>
      </c>
      <c r="HW35" s="236">
        <f>RANDBETWEEN((Inputs!$E35-(Inputs!$E35-Inputs!$D35)*2)*10000,(Inputs!$E35+(Inputs!$F35-Inputs!$E35)*2)*10000)/10000</f>
        <v>0.9925</v>
      </c>
      <c r="HX35" s="236">
        <f>RANDBETWEEN((Inputs!$E35-(Inputs!$E35-Inputs!$D35)*2)*10000,(Inputs!$E35+(Inputs!$F35-Inputs!$E35)*2)*10000)/10000</f>
        <v>0.5609</v>
      </c>
      <c r="HY35" s="236">
        <f>RANDBETWEEN((Inputs!$E35-(Inputs!$E35-Inputs!$D35)*2)*10000,(Inputs!$E35+(Inputs!$F35-Inputs!$E35)*2)*10000)/10000</f>
        <v>1.0676</v>
      </c>
      <c r="HZ35" s="236">
        <f>RANDBETWEEN((Inputs!$E35-(Inputs!$E35-Inputs!$D35)*2)*10000,(Inputs!$E35+(Inputs!$F35-Inputs!$E35)*2)*10000)/10000</f>
        <v>1.1153</v>
      </c>
      <c r="IA35" s="236">
        <f>RANDBETWEEN((Inputs!$E35-(Inputs!$E35-Inputs!$D35)*2)*10000,(Inputs!$E35+(Inputs!$F35-Inputs!$E35)*2)*10000)/10000</f>
        <v>0.7225</v>
      </c>
      <c r="IB35" s="236">
        <f>RANDBETWEEN((Inputs!$E35-(Inputs!$E35-Inputs!$D35)*2)*10000,(Inputs!$E35+(Inputs!$F35-Inputs!$E35)*2)*10000)/10000</f>
        <v>0.4104</v>
      </c>
      <c r="IC35" s="236">
        <f>RANDBETWEEN((Inputs!$E35-(Inputs!$E35-Inputs!$D35)*2)*10000,(Inputs!$E35+(Inputs!$F35-Inputs!$E35)*2)*10000)/10000</f>
        <v>0.9526</v>
      </c>
      <c r="ID35" s="236">
        <f>RANDBETWEEN((Inputs!$E35-(Inputs!$E35-Inputs!$D35)*2)*10000,(Inputs!$E35+(Inputs!$F35-Inputs!$E35)*2)*10000)/10000</f>
        <v>0.9188</v>
      </c>
      <c r="IE35" s="236">
        <f>RANDBETWEEN((Inputs!$E35-(Inputs!$E35-Inputs!$D35)*2)*10000,(Inputs!$E35+(Inputs!$F35-Inputs!$E35)*2)*10000)/10000</f>
        <v>1.0181</v>
      </c>
      <c r="IF35" s="236">
        <f>RANDBETWEEN((Inputs!$E35-(Inputs!$E35-Inputs!$D35)*2)*10000,(Inputs!$E35+(Inputs!$F35-Inputs!$E35)*2)*10000)/10000</f>
        <v>0.6752</v>
      </c>
      <c r="IG35" s="236">
        <f>RANDBETWEEN((Inputs!$E35-(Inputs!$E35-Inputs!$D35)*2)*10000,(Inputs!$E35+(Inputs!$F35-Inputs!$E35)*2)*10000)/10000</f>
        <v>0.7736</v>
      </c>
      <c r="IH35" s="236">
        <f>RANDBETWEEN((Inputs!$E35-(Inputs!$E35-Inputs!$D35)*2)*10000,(Inputs!$E35+(Inputs!$F35-Inputs!$E35)*2)*10000)/10000</f>
        <v>1.1508</v>
      </c>
      <c r="II35" s="236">
        <f>RANDBETWEEN((Inputs!$E35-(Inputs!$E35-Inputs!$D35)*2)*10000,(Inputs!$E35+(Inputs!$F35-Inputs!$E35)*2)*10000)/10000</f>
        <v>0.7964</v>
      </c>
      <c r="IJ35" s="236">
        <f>RANDBETWEEN((Inputs!$E35-(Inputs!$E35-Inputs!$D35)*2)*10000,(Inputs!$E35+(Inputs!$F35-Inputs!$E35)*2)*10000)/10000</f>
        <v>0.8356</v>
      </c>
      <c r="IK35" s="236">
        <f>RANDBETWEEN((Inputs!$E35-(Inputs!$E35-Inputs!$D35)*2)*10000,(Inputs!$E35+(Inputs!$F35-Inputs!$E35)*2)*10000)/10000</f>
        <v>0.4926</v>
      </c>
      <c r="IL35" s="236">
        <f>RANDBETWEEN((Inputs!$E35-(Inputs!$E35-Inputs!$D35)*2)*10000,(Inputs!$E35+(Inputs!$F35-Inputs!$E35)*2)*10000)/10000</f>
        <v>0.7011</v>
      </c>
      <c r="IM35" s="236">
        <f>RANDBETWEEN((Inputs!$E35-(Inputs!$E35-Inputs!$D35)*2)*10000,(Inputs!$E35+(Inputs!$F35-Inputs!$E35)*2)*10000)/10000</f>
        <v>0.6468</v>
      </c>
      <c r="IN35" s="236">
        <f>RANDBETWEEN((Inputs!$E35-(Inputs!$E35-Inputs!$D35)*2)*10000,(Inputs!$E35+(Inputs!$F35-Inputs!$E35)*2)*10000)/10000</f>
        <v>0.5728</v>
      </c>
      <c r="IO35" s="236">
        <f>RANDBETWEEN((Inputs!$E35-(Inputs!$E35-Inputs!$D35)*2)*10000,(Inputs!$E35+(Inputs!$F35-Inputs!$E35)*2)*10000)/10000</f>
        <v>0.7099</v>
      </c>
      <c r="IP35" s="236">
        <f>RANDBETWEEN((Inputs!$E35-(Inputs!$E35-Inputs!$D35)*2)*10000,(Inputs!$E35+(Inputs!$F35-Inputs!$E35)*2)*10000)/10000</f>
        <v>1.0449</v>
      </c>
      <c r="IQ35" s="236">
        <f>RANDBETWEEN((Inputs!$E35-(Inputs!$E35-Inputs!$D35)*2)*10000,(Inputs!$E35+(Inputs!$F35-Inputs!$E35)*2)*10000)/10000</f>
        <v>0.828</v>
      </c>
      <c r="IR35" s="236">
        <f>RANDBETWEEN((Inputs!$E35-(Inputs!$E35-Inputs!$D35)*2)*10000,(Inputs!$E35+(Inputs!$F35-Inputs!$E35)*2)*10000)/10000</f>
        <v>1.0628</v>
      </c>
      <c r="IS35" s="236">
        <f>RANDBETWEEN((Inputs!$E35-(Inputs!$E35-Inputs!$D35)*2)*10000,(Inputs!$E35+(Inputs!$F35-Inputs!$E35)*2)*10000)/10000</f>
        <v>0.6079</v>
      </c>
      <c r="IT35" s="236">
        <f>RANDBETWEEN((Inputs!$E35-(Inputs!$E35-Inputs!$D35)*2)*10000,(Inputs!$E35+(Inputs!$F35-Inputs!$E35)*2)*10000)/10000</f>
        <v>0.7603</v>
      </c>
      <c r="IU35" s="236">
        <f>RANDBETWEEN((Inputs!$E35-(Inputs!$E35-Inputs!$D35)*2)*10000,(Inputs!$E35+(Inputs!$F35-Inputs!$E35)*2)*10000)/10000</f>
        <v>0.7021</v>
      </c>
      <c r="IV35" s="236">
        <f>RANDBETWEEN((Inputs!$E35-(Inputs!$E35-Inputs!$D35)*2)*10000,(Inputs!$E35+(Inputs!$F35-Inputs!$E35)*2)*10000)/10000</f>
        <v>0.9927</v>
      </c>
      <c r="IW35" s="236">
        <f>RANDBETWEEN((Inputs!$E35-(Inputs!$E35-Inputs!$D35)*2)*10000,(Inputs!$E35+(Inputs!$F35-Inputs!$E35)*2)*10000)/10000</f>
        <v>0.95</v>
      </c>
      <c r="IX35" s="236">
        <f>RANDBETWEEN((Inputs!$E35-(Inputs!$E35-Inputs!$D35)*2)*10000,(Inputs!$E35+(Inputs!$F35-Inputs!$E35)*2)*10000)/10000</f>
        <v>1.0092</v>
      </c>
      <c r="IY35" s="236">
        <f>RANDBETWEEN((Inputs!$E35-(Inputs!$E35-Inputs!$D35)*2)*10000,(Inputs!$E35+(Inputs!$F35-Inputs!$E35)*2)*10000)/10000</f>
        <v>0.9338</v>
      </c>
      <c r="IZ35" s="236">
        <f>RANDBETWEEN((Inputs!$E35-(Inputs!$E35-Inputs!$D35)*2)*10000,(Inputs!$E35+(Inputs!$F35-Inputs!$E35)*2)*10000)/10000</f>
        <v>0.7525</v>
      </c>
      <c r="JA35" s="236">
        <f>RANDBETWEEN((Inputs!$E35-(Inputs!$E35-Inputs!$D35)*2)*10000,(Inputs!$E35+(Inputs!$F35-Inputs!$E35)*2)*10000)/10000</f>
        <v>1.1284</v>
      </c>
      <c r="JB35" s="236">
        <f>RANDBETWEEN((Inputs!$E35-(Inputs!$E35-Inputs!$D35)*2)*10000,(Inputs!$E35+(Inputs!$F35-Inputs!$E35)*2)*10000)/10000</f>
        <v>0.9892</v>
      </c>
      <c r="JC35" s="236">
        <f>RANDBETWEEN((Inputs!$E35-(Inputs!$E35-Inputs!$D35)*2)*10000,(Inputs!$E35+(Inputs!$F35-Inputs!$E35)*2)*10000)/10000</f>
        <v>0.9286</v>
      </c>
      <c r="JD35" s="236">
        <f>RANDBETWEEN((Inputs!$E35-(Inputs!$E35-Inputs!$D35)*2)*10000,(Inputs!$E35+(Inputs!$F35-Inputs!$E35)*2)*10000)/10000</f>
        <v>0.6408</v>
      </c>
      <c r="JE35" s="236">
        <f>RANDBETWEEN((Inputs!$E35-(Inputs!$E35-Inputs!$D35)*2)*10000,(Inputs!$E35+(Inputs!$F35-Inputs!$E35)*2)*10000)/10000</f>
        <v>0.533</v>
      </c>
      <c r="JF35" s="236">
        <f>RANDBETWEEN((Inputs!$E35-(Inputs!$E35-Inputs!$D35)*2)*10000,(Inputs!$E35+(Inputs!$F35-Inputs!$E35)*2)*10000)/10000</f>
        <v>0.595</v>
      </c>
      <c r="JG35" s="236">
        <f>RANDBETWEEN((Inputs!$E35-(Inputs!$E35-Inputs!$D35)*2)*10000,(Inputs!$E35+(Inputs!$F35-Inputs!$E35)*2)*10000)/10000</f>
        <v>0.401</v>
      </c>
      <c r="JH35" s="236">
        <f>RANDBETWEEN((Inputs!$E35-(Inputs!$E35-Inputs!$D35)*2)*10000,(Inputs!$E35+(Inputs!$F35-Inputs!$E35)*2)*10000)/10000</f>
        <v>0.7871</v>
      </c>
      <c r="JI35" s="236">
        <f>RANDBETWEEN((Inputs!$E35-(Inputs!$E35-Inputs!$D35)*2)*10000,(Inputs!$E35+(Inputs!$F35-Inputs!$E35)*2)*10000)/10000</f>
        <v>0.6716</v>
      </c>
      <c r="JJ35" s="236">
        <f>RANDBETWEEN((Inputs!$E35-(Inputs!$E35-Inputs!$D35)*2)*10000,(Inputs!$E35+(Inputs!$F35-Inputs!$E35)*2)*10000)/10000</f>
        <v>0.4272</v>
      </c>
      <c r="JK35" s="236">
        <f>RANDBETWEEN((Inputs!$E35-(Inputs!$E35-Inputs!$D35)*2)*10000,(Inputs!$E35+(Inputs!$F35-Inputs!$E35)*2)*10000)/10000</f>
        <v>0.4612</v>
      </c>
      <c r="JL35" s="236">
        <f>RANDBETWEEN((Inputs!$E35-(Inputs!$E35-Inputs!$D35)*2)*10000,(Inputs!$E35+(Inputs!$F35-Inputs!$E35)*2)*10000)/10000</f>
        <v>1.0326</v>
      </c>
      <c r="JM35" s="236">
        <f>RANDBETWEEN((Inputs!$E35-(Inputs!$E35-Inputs!$D35)*2)*10000,(Inputs!$E35+(Inputs!$F35-Inputs!$E35)*2)*10000)/10000</f>
        <v>1.1043</v>
      </c>
      <c r="JN35" s="236">
        <f>RANDBETWEEN((Inputs!$E35-(Inputs!$E35-Inputs!$D35)*2)*10000,(Inputs!$E35+(Inputs!$F35-Inputs!$E35)*2)*10000)/10000</f>
        <v>0.8604</v>
      </c>
      <c r="JO35" s="236">
        <f>RANDBETWEEN((Inputs!$E35-(Inputs!$E35-Inputs!$D35)*2)*10000,(Inputs!$E35+(Inputs!$F35-Inputs!$E35)*2)*10000)/10000</f>
        <v>0.9758</v>
      </c>
      <c r="JP35" s="236">
        <f>RANDBETWEEN((Inputs!$E35-(Inputs!$E35-Inputs!$D35)*2)*10000,(Inputs!$E35+(Inputs!$F35-Inputs!$E35)*2)*10000)/10000</f>
        <v>0.6233</v>
      </c>
      <c r="JQ35" s="236">
        <f>RANDBETWEEN((Inputs!$E35-(Inputs!$E35-Inputs!$D35)*2)*10000,(Inputs!$E35+(Inputs!$F35-Inputs!$E35)*2)*10000)/10000</f>
        <v>0.5608</v>
      </c>
      <c r="JR35" s="236">
        <f>RANDBETWEEN((Inputs!$E35-(Inputs!$E35-Inputs!$D35)*2)*10000,(Inputs!$E35+(Inputs!$F35-Inputs!$E35)*2)*10000)/10000</f>
        <v>0.9362</v>
      </c>
      <c r="JS35" s="236">
        <f>RANDBETWEEN((Inputs!$E35-(Inputs!$E35-Inputs!$D35)*2)*10000,(Inputs!$E35+(Inputs!$F35-Inputs!$E35)*2)*10000)/10000</f>
        <v>0.8043</v>
      </c>
      <c r="JT35" s="236">
        <f>RANDBETWEEN((Inputs!$E35-(Inputs!$E35-Inputs!$D35)*2)*10000,(Inputs!$E35+(Inputs!$F35-Inputs!$E35)*2)*10000)/10000</f>
        <v>0.6582</v>
      </c>
      <c r="JU35" s="236">
        <f>RANDBETWEEN((Inputs!$E35-(Inputs!$E35-Inputs!$D35)*2)*10000,(Inputs!$E35+(Inputs!$F35-Inputs!$E35)*2)*10000)/10000</f>
        <v>0.9934</v>
      </c>
      <c r="JV35" s="236">
        <f>RANDBETWEEN((Inputs!$E35-(Inputs!$E35-Inputs!$D35)*2)*10000,(Inputs!$E35+(Inputs!$F35-Inputs!$E35)*2)*10000)/10000</f>
        <v>1.1699</v>
      </c>
      <c r="JW35" s="236">
        <f>RANDBETWEEN((Inputs!$E35-(Inputs!$E35-Inputs!$D35)*2)*10000,(Inputs!$E35+(Inputs!$F35-Inputs!$E35)*2)*10000)/10000</f>
        <v>1.0308</v>
      </c>
      <c r="JX35" s="236">
        <f>RANDBETWEEN((Inputs!$E35-(Inputs!$E35-Inputs!$D35)*2)*10000,(Inputs!$E35+(Inputs!$F35-Inputs!$E35)*2)*10000)/10000</f>
        <v>0.7981</v>
      </c>
      <c r="JY35" s="236">
        <f>RANDBETWEEN((Inputs!$E35-(Inputs!$E35-Inputs!$D35)*2)*10000,(Inputs!$E35+(Inputs!$F35-Inputs!$E35)*2)*10000)/10000</f>
        <v>1.1723</v>
      </c>
      <c r="JZ35" s="236">
        <f>RANDBETWEEN((Inputs!$E35-(Inputs!$E35-Inputs!$D35)*2)*10000,(Inputs!$E35+(Inputs!$F35-Inputs!$E35)*2)*10000)/10000</f>
        <v>1.1626</v>
      </c>
      <c r="KA35" s="236">
        <f>RANDBETWEEN((Inputs!$E35-(Inputs!$E35-Inputs!$D35)*2)*10000,(Inputs!$E35+(Inputs!$F35-Inputs!$E35)*2)*10000)/10000</f>
        <v>0.5076</v>
      </c>
      <c r="KB35" s="236">
        <f>RANDBETWEEN((Inputs!$E35-(Inputs!$E35-Inputs!$D35)*2)*10000,(Inputs!$E35+(Inputs!$F35-Inputs!$E35)*2)*10000)/10000</f>
        <v>0.5803</v>
      </c>
      <c r="KC35" s="236">
        <f>RANDBETWEEN((Inputs!$E35-(Inputs!$E35-Inputs!$D35)*2)*10000,(Inputs!$E35+(Inputs!$F35-Inputs!$E35)*2)*10000)/10000</f>
        <v>0.9656</v>
      </c>
      <c r="KD35" s="236">
        <f>RANDBETWEEN((Inputs!$E35-(Inputs!$E35-Inputs!$D35)*2)*10000,(Inputs!$E35+(Inputs!$F35-Inputs!$E35)*2)*10000)/10000</f>
        <v>1.1843</v>
      </c>
      <c r="KE35" s="236">
        <f>RANDBETWEEN((Inputs!$E35-(Inputs!$E35-Inputs!$D35)*2)*10000,(Inputs!$E35+(Inputs!$F35-Inputs!$E35)*2)*10000)/10000</f>
        <v>1.0938</v>
      </c>
      <c r="KF35" s="236">
        <f>RANDBETWEEN((Inputs!$E35-(Inputs!$E35-Inputs!$D35)*2)*10000,(Inputs!$E35+(Inputs!$F35-Inputs!$E35)*2)*10000)/10000</f>
        <v>0.7956</v>
      </c>
      <c r="KG35" s="236">
        <f>RANDBETWEEN((Inputs!$E35-(Inputs!$E35-Inputs!$D35)*2)*10000,(Inputs!$E35+(Inputs!$F35-Inputs!$E35)*2)*10000)/10000</f>
        <v>0.8493</v>
      </c>
      <c r="KH35" s="236">
        <f>RANDBETWEEN((Inputs!$E35-(Inputs!$E35-Inputs!$D35)*2)*10000,(Inputs!$E35+(Inputs!$F35-Inputs!$E35)*2)*10000)/10000</f>
        <v>1.0457</v>
      </c>
      <c r="KI35" s="236">
        <f>RANDBETWEEN((Inputs!$E35-(Inputs!$E35-Inputs!$D35)*2)*10000,(Inputs!$E35+(Inputs!$F35-Inputs!$E35)*2)*10000)/10000</f>
        <v>0.5199</v>
      </c>
      <c r="KJ35" s="236">
        <f>RANDBETWEEN((Inputs!$E35-(Inputs!$E35-Inputs!$D35)*2)*10000,(Inputs!$E35+(Inputs!$F35-Inputs!$E35)*2)*10000)/10000</f>
        <v>0.5738</v>
      </c>
      <c r="KK35" s="236">
        <f>RANDBETWEEN((Inputs!$E35-(Inputs!$E35-Inputs!$D35)*2)*10000,(Inputs!$E35+(Inputs!$F35-Inputs!$E35)*2)*10000)/10000</f>
        <v>0.68</v>
      </c>
      <c r="KL35" s="236">
        <f>RANDBETWEEN((Inputs!$E35-(Inputs!$E35-Inputs!$D35)*2)*10000,(Inputs!$E35+(Inputs!$F35-Inputs!$E35)*2)*10000)/10000</f>
        <v>0.4017</v>
      </c>
      <c r="KM35" s="236">
        <f>RANDBETWEEN((Inputs!$E35-(Inputs!$E35-Inputs!$D35)*2)*10000,(Inputs!$E35+(Inputs!$F35-Inputs!$E35)*2)*10000)/10000</f>
        <v>0.6245</v>
      </c>
      <c r="KN35" s="236">
        <f>RANDBETWEEN((Inputs!$E35-(Inputs!$E35-Inputs!$D35)*2)*10000,(Inputs!$E35+(Inputs!$F35-Inputs!$E35)*2)*10000)/10000</f>
        <v>1.0868</v>
      </c>
      <c r="KO35" s="236">
        <f>RANDBETWEEN((Inputs!$E35-(Inputs!$E35-Inputs!$D35)*2)*10000,(Inputs!$E35+(Inputs!$F35-Inputs!$E35)*2)*10000)/10000</f>
        <v>0.5132</v>
      </c>
      <c r="KP35" s="236">
        <f>RANDBETWEEN((Inputs!$E35-(Inputs!$E35-Inputs!$D35)*2)*10000,(Inputs!$E35+(Inputs!$F35-Inputs!$E35)*2)*10000)/10000</f>
        <v>0.5305</v>
      </c>
      <c r="KQ35" s="236">
        <f>RANDBETWEEN((Inputs!$E35-(Inputs!$E35-Inputs!$D35)*2)*10000,(Inputs!$E35+(Inputs!$F35-Inputs!$E35)*2)*10000)/10000</f>
        <v>1.0092</v>
      </c>
      <c r="KR35" s="236">
        <f>RANDBETWEEN((Inputs!$E35-(Inputs!$E35-Inputs!$D35)*2)*10000,(Inputs!$E35+(Inputs!$F35-Inputs!$E35)*2)*10000)/10000</f>
        <v>1.1167</v>
      </c>
      <c r="KS35" s="236">
        <f>RANDBETWEEN((Inputs!$E35-(Inputs!$E35-Inputs!$D35)*2)*10000,(Inputs!$E35+(Inputs!$F35-Inputs!$E35)*2)*10000)/10000</f>
        <v>1.0892</v>
      </c>
      <c r="KT35" s="236">
        <f>RANDBETWEEN((Inputs!$E35-(Inputs!$E35-Inputs!$D35)*2)*10000,(Inputs!$E35+(Inputs!$F35-Inputs!$E35)*2)*10000)/10000</f>
        <v>0.6077</v>
      </c>
      <c r="KU35" s="236">
        <f>RANDBETWEEN((Inputs!$E35-(Inputs!$E35-Inputs!$D35)*2)*10000,(Inputs!$E35+(Inputs!$F35-Inputs!$E35)*2)*10000)/10000</f>
        <v>0.5221</v>
      </c>
      <c r="KV35" s="236">
        <f>RANDBETWEEN((Inputs!$E35-(Inputs!$E35-Inputs!$D35)*2)*10000,(Inputs!$E35+(Inputs!$F35-Inputs!$E35)*2)*10000)/10000</f>
        <v>0.7492</v>
      </c>
      <c r="KW35" s="236">
        <f>RANDBETWEEN((Inputs!$E35-(Inputs!$E35-Inputs!$D35)*2)*10000,(Inputs!$E35+(Inputs!$F35-Inputs!$E35)*2)*10000)/10000</f>
        <v>0.5099</v>
      </c>
      <c r="KX35" s="236">
        <f>RANDBETWEEN((Inputs!$E35-(Inputs!$E35-Inputs!$D35)*2)*10000,(Inputs!$E35+(Inputs!$F35-Inputs!$E35)*2)*10000)/10000</f>
        <v>1.1456</v>
      </c>
      <c r="KY35" s="236">
        <f>RANDBETWEEN((Inputs!$E35-(Inputs!$E35-Inputs!$D35)*2)*10000,(Inputs!$E35+(Inputs!$F35-Inputs!$E35)*2)*10000)/10000</f>
        <v>1.0291</v>
      </c>
      <c r="KZ35" s="236">
        <f>RANDBETWEEN((Inputs!$E35-(Inputs!$E35-Inputs!$D35)*2)*10000,(Inputs!$E35+(Inputs!$F35-Inputs!$E35)*2)*10000)/10000</f>
        <v>1.1417</v>
      </c>
      <c r="LA35" s="236">
        <f>RANDBETWEEN((Inputs!$E35-(Inputs!$E35-Inputs!$D35)*2)*10000,(Inputs!$E35+(Inputs!$F35-Inputs!$E35)*2)*10000)/10000</f>
        <v>1.0151</v>
      </c>
      <c r="LB35" s="236">
        <f>RANDBETWEEN((Inputs!$E35-(Inputs!$E35-Inputs!$D35)*2)*10000,(Inputs!$E35+(Inputs!$F35-Inputs!$E35)*2)*10000)/10000</f>
        <v>0.7949</v>
      </c>
      <c r="LC35" s="236">
        <f>RANDBETWEEN((Inputs!$E35-(Inputs!$E35-Inputs!$D35)*2)*10000,(Inputs!$E35+(Inputs!$F35-Inputs!$E35)*2)*10000)/10000</f>
        <v>0.4484</v>
      </c>
      <c r="LD35" s="236">
        <f>RANDBETWEEN((Inputs!$E35-(Inputs!$E35-Inputs!$D35)*2)*10000,(Inputs!$E35+(Inputs!$F35-Inputs!$E35)*2)*10000)/10000</f>
        <v>0.6774</v>
      </c>
      <c r="LE35" s="236">
        <f>RANDBETWEEN((Inputs!$E35-(Inputs!$E35-Inputs!$D35)*2)*10000,(Inputs!$E35+(Inputs!$F35-Inputs!$E35)*2)*10000)/10000</f>
        <v>0.4235</v>
      </c>
      <c r="LF35" s="236">
        <f>RANDBETWEEN((Inputs!$E35-(Inputs!$E35-Inputs!$D35)*2)*10000,(Inputs!$E35+(Inputs!$F35-Inputs!$E35)*2)*10000)/10000</f>
        <v>0.9044</v>
      </c>
      <c r="LG35" s="236">
        <f>RANDBETWEEN((Inputs!$E35-(Inputs!$E35-Inputs!$D35)*2)*10000,(Inputs!$E35+(Inputs!$F35-Inputs!$E35)*2)*10000)/10000</f>
        <v>0.62</v>
      </c>
      <c r="LH35" s="236">
        <f>RANDBETWEEN((Inputs!$E35-(Inputs!$E35-Inputs!$D35)*2)*10000,(Inputs!$E35+(Inputs!$F35-Inputs!$E35)*2)*10000)/10000</f>
        <v>0.8574</v>
      </c>
      <c r="LI35" s="236">
        <f>RANDBETWEEN((Inputs!$E35-(Inputs!$E35-Inputs!$D35)*2)*10000,(Inputs!$E35+(Inputs!$F35-Inputs!$E35)*2)*10000)/10000</f>
        <v>1.1342</v>
      </c>
      <c r="LJ35" s="236">
        <f>RANDBETWEEN((Inputs!$E35-(Inputs!$E35-Inputs!$D35)*2)*10000,(Inputs!$E35+(Inputs!$F35-Inputs!$E35)*2)*10000)/10000</f>
        <v>0.7118</v>
      </c>
      <c r="LK35" s="236">
        <f>RANDBETWEEN((Inputs!$E35-(Inputs!$E35-Inputs!$D35)*2)*10000,(Inputs!$E35+(Inputs!$F35-Inputs!$E35)*2)*10000)/10000</f>
        <v>1.0515</v>
      </c>
      <c r="LL35" s="236">
        <f>RANDBETWEEN((Inputs!$E35-(Inputs!$E35-Inputs!$D35)*2)*10000,(Inputs!$E35+(Inputs!$F35-Inputs!$E35)*2)*10000)/10000</f>
        <v>0.9927</v>
      </c>
      <c r="LM35" s="236">
        <f>RANDBETWEEN((Inputs!$E35-(Inputs!$E35-Inputs!$D35)*2)*10000,(Inputs!$E35+(Inputs!$F35-Inputs!$E35)*2)*10000)/10000</f>
        <v>0.7927</v>
      </c>
      <c r="LN35" s="236">
        <f>RANDBETWEEN((Inputs!$E35-(Inputs!$E35-Inputs!$D35)*2)*10000,(Inputs!$E35+(Inputs!$F35-Inputs!$E35)*2)*10000)/10000</f>
        <v>1.1903</v>
      </c>
      <c r="LO35" s="236">
        <f>RANDBETWEEN((Inputs!$E35-(Inputs!$E35-Inputs!$D35)*2)*10000,(Inputs!$E35+(Inputs!$F35-Inputs!$E35)*2)*10000)/10000</f>
        <v>1.1256</v>
      </c>
      <c r="LP35" s="236">
        <f>RANDBETWEEN((Inputs!$E35-(Inputs!$E35-Inputs!$D35)*2)*10000,(Inputs!$E35+(Inputs!$F35-Inputs!$E35)*2)*10000)/10000</f>
        <v>0.7494</v>
      </c>
      <c r="LQ35" s="236">
        <f>RANDBETWEEN((Inputs!$E35-(Inputs!$E35-Inputs!$D35)*2)*10000,(Inputs!$E35+(Inputs!$F35-Inputs!$E35)*2)*10000)/10000</f>
        <v>0.8082</v>
      </c>
      <c r="LR35" s="236">
        <f>RANDBETWEEN((Inputs!$E35-(Inputs!$E35-Inputs!$D35)*2)*10000,(Inputs!$E35+(Inputs!$F35-Inputs!$E35)*2)*10000)/10000</f>
        <v>0.5982</v>
      </c>
      <c r="LS35" s="236">
        <f>RANDBETWEEN((Inputs!$E35-(Inputs!$E35-Inputs!$D35)*2)*10000,(Inputs!$E35+(Inputs!$F35-Inputs!$E35)*2)*10000)/10000</f>
        <v>0.5732</v>
      </c>
      <c r="LT35" s="236">
        <f>RANDBETWEEN((Inputs!$E35-(Inputs!$E35-Inputs!$D35)*2)*10000,(Inputs!$E35+(Inputs!$F35-Inputs!$E35)*2)*10000)/10000</f>
        <v>0.6623</v>
      </c>
      <c r="LU35" s="236">
        <f>RANDBETWEEN((Inputs!$E35-(Inputs!$E35-Inputs!$D35)*2)*10000,(Inputs!$E35+(Inputs!$F35-Inputs!$E35)*2)*10000)/10000</f>
        <v>1.0636</v>
      </c>
      <c r="LV35" s="236">
        <f>RANDBETWEEN((Inputs!$E35-(Inputs!$E35-Inputs!$D35)*2)*10000,(Inputs!$E35+(Inputs!$F35-Inputs!$E35)*2)*10000)/10000</f>
        <v>0.4838</v>
      </c>
      <c r="LW35" s="236">
        <f>RANDBETWEEN((Inputs!$E35-(Inputs!$E35-Inputs!$D35)*2)*10000,(Inputs!$E35+(Inputs!$F35-Inputs!$E35)*2)*10000)/10000</f>
        <v>0.5131</v>
      </c>
      <c r="LX35" s="236">
        <f>RANDBETWEEN((Inputs!$E35-(Inputs!$E35-Inputs!$D35)*2)*10000,(Inputs!$E35+(Inputs!$F35-Inputs!$E35)*2)*10000)/10000</f>
        <v>0.8696</v>
      </c>
      <c r="LY35" s="236">
        <f>RANDBETWEEN((Inputs!$E35-(Inputs!$E35-Inputs!$D35)*2)*10000,(Inputs!$E35+(Inputs!$F35-Inputs!$E35)*2)*10000)/10000</f>
        <v>0.5935</v>
      </c>
      <c r="LZ35" s="236">
        <f>RANDBETWEEN((Inputs!$E35-(Inputs!$E35-Inputs!$D35)*2)*10000,(Inputs!$E35+(Inputs!$F35-Inputs!$E35)*2)*10000)/10000</f>
        <v>0.8692</v>
      </c>
      <c r="MA35" s="236">
        <f>RANDBETWEEN((Inputs!$E35-(Inputs!$E35-Inputs!$D35)*2)*10000,(Inputs!$E35+(Inputs!$F35-Inputs!$E35)*2)*10000)/10000</f>
        <v>1.1259</v>
      </c>
      <c r="MB35" s="236">
        <f>RANDBETWEEN((Inputs!$E35-(Inputs!$E35-Inputs!$D35)*2)*10000,(Inputs!$E35+(Inputs!$F35-Inputs!$E35)*2)*10000)/10000</f>
        <v>1.1368</v>
      </c>
      <c r="MC35" s="236">
        <f>RANDBETWEEN((Inputs!$E35-(Inputs!$E35-Inputs!$D35)*2)*10000,(Inputs!$E35+(Inputs!$F35-Inputs!$E35)*2)*10000)/10000</f>
        <v>1.1138</v>
      </c>
      <c r="MD35" s="236">
        <f>RANDBETWEEN((Inputs!$E35-(Inputs!$E35-Inputs!$D35)*2)*10000,(Inputs!$E35+(Inputs!$F35-Inputs!$E35)*2)*10000)/10000</f>
        <v>1.1919</v>
      </c>
      <c r="ME35" s="236">
        <f>RANDBETWEEN((Inputs!$E35-(Inputs!$E35-Inputs!$D35)*2)*10000,(Inputs!$E35+(Inputs!$F35-Inputs!$E35)*2)*10000)/10000</f>
        <v>0.6774</v>
      </c>
      <c r="MF35" s="236">
        <f>RANDBETWEEN((Inputs!$E35-(Inputs!$E35-Inputs!$D35)*2)*10000,(Inputs!$E35+(Inputs!$F35-Inputs!$E35)*2)*10000)/10000</f>
        <v>0.7239</v>
      </c>
      <c r="MG35" s="236">
        <f>RANDBETWEEN((Inputs!$E35-(Inputs!$E35-Inputs!$D35)*2)*10000,(Inputs!$E35+(Inputs!$F35-Inputs!$E35)*2)*10000)/10000</f>
        <v>1.0633</v>
      </c>
      <c r="MH35" s="236">
        <f>RANDBETWEEN((Inputs!$E35-(Inputs!$E35-Inputs!$D35)*2)*10000,(Inputs!$E35+(Inputs!$F35-Inputs!$E35)*2)*10000)/10000</f>
        <v>0.9049</v>
      </c>
      <c r="MI35" s="236">
        <f>RANDBETWEEN((Inputs!$E35-(Inputs!$E35-Inputs!$D35)*2)*10000,(Inputs!$E35+(Inputs!$F35-Inputs!$E35)*2)*10000)/10000</f>
        <v>0.9222</v>
      </c>
      <c r="MJ35" s="236">
        <f>RANDBETWEEN((Inputs!$E35-(Inputs!$E35-Inputs!$D35)*2)*10000,(Inputs!$E35+(Inputs!$F35-Inputs!$E35)*2)*10000)/10000</f>
        <v>0.8151</v>
      </c>
      <c r="MK35" s="236">
        <f>RANDBETWEEN((Inputs!$E35-(Inputs!$E35-Inputs!$D35)*2)*10000,(Inputs!$E35+(Inputs!$F35-Inputs!$E35)*2)*10000)/10000</f>
        <v>1.0824</v>
      </c>
      <c r="ML35" s="236">
        <f>RANDBETWEEN((Inputs!$E35-(Inputs!$E35-Inputs!$D35)*2)*10000,(Inputs!$E35+(Inputs!$F35-Inputs!$E35)*2)*10000)/10000</f>
        <v>0.8391</v>
      </c>
      <c r="MM35" s="236">
        <f>RANDBETWEEN((Inputs!$E35-(Inputs!$E35-Inputs!$D35)*2)*10000,(Inputs!$E35+(Inputs!$F35-Inputs!$E35)*2)*10000)/10000</f>
        <v>0.7173</v>
      </c>
      <c r="MN35" s="236">
        <f>RANDBETWEEN((Inputs!$E35-(Inputs!$E35-Inputs!$D35)*2)*10000,(Inputs!$E35+(Inputs!$F35-Inputs!$E35)*2)*10000)/10000</f>
        <v>1.0673</v>
      </c>
      <c r="MO35" s="236">
        <f>RANDBETWEEN((Inputs!$E35-(Inputs!$E35-Inputs!$D35)*2)*10000,(Inputs!$E35+(Inputs!$F35-Inputs!$E35)*2)*10000)/10000</f>
        <v>0.7782</v>
      </c>
      <c r="MP35" s="236">
        <f>RANDBETWEEN((Inputs!$E35-(Inputs!$E35-Inputs!$D35)*2)*10000,(Inputs!$E35+(Inputs!$F35-Inputs!$E35)*2)*10000)/10000</f>
        <v>1.1072</v>
      </c>
      <c r="MQ35" s="236">
        <f>RANDBETWEEN((Inputs!$E35-(Inputs!$E35-Inputs!$D35)*2)*10000,(Inputs!$E35+(Inputs!$F35-Inputs!$E35)*2)*10000)/10000</f>
        <v>0.942</v>
      </c>
      <c r="MR35" s="236">
        <f>RANDBETWEEN((Inputs!$E35-(Inputs!$E35-Inputs!$D35)*2)*10000,(Inputs!$E35+(Inputs!$F35-Inputs!$E35)*2)*10000)/10000</f>
        <v>0.9472</v>
      </c>
      <c r="MS35" s="236">
        <f>RANDBETWEEN((Inputs!$E35-(Inputs!$E35-Inputs!$D35)*2)*10000,(Inputs!$E35+(Inputs!$F35-Inputs!$E35)*2)*10000)/10000</f>
        <v>0.8392</v>
      </c>
      <c r="MT35" s="236">
        <f>RANDBETWEEN((Inputs!$E35-(Inputs!$E35-Inputs!$D35)*2)*10000,(Inputs!$E35+(Inputs!$F35-Inputs!$E35)*2)*10000)/10000</f>
        <v>0.6787</v>
      </c>
      <c r="MU35" s="236">
        <f>RANDBETWEEN((Inputs!$E35-(Inputs!$E35-Inputs!$D35)*2)*10000,(Inputs!$E35+(Inputs!$F35-Inputs!$E35)*2)*10000)/10000</f>
        <v>0.7652</v>
      </c>
      <c r="MV35" s="236">
        <f>RANDBETWEEN((Inputs!$E35-(Inputs!$E35-Inputs!$D35)*2)*10000,(Inputs!$E35+(Inputs!$F35-Inputs!$E35)*2)*10000)/10000</f>
        <v>1.1159</v>
      </c>
      <c r="MW35" s="236">
        <f>RANDBETWEEN((Inputs!$E35-(Inputs!$E35-Inputs!$D35)*2)*10000,(Inputs!$E35+(Inputs!$F35-Inputs!$E35)*2)*10000)/10000</f>
        <v>0.4387</v>
      </c>
      <c r="MX35" s="236">
        <f>RANDBETWEEN((Inputs!$E35-(Inputs!$E35-Inputs!$D35)*2)*10000,(Inputs!$E35+(Inputs!$F35-Inputs!$E35)*2)*10000)/10000</f>
        <v>0.5811</v>
      </c>
      <c r="MY35" s="236">
        <f>RANDBETWEEN((Inputs!$E35-(Inputs!$E35-Inputs!$D35)*2)*10000,(Inputs!$E35+(Inputs!$F35-Inputs!$E35)*2)*10000)/10000</f>
        <v>1.1222</v>
      </c>
      <c r="MZ35" s="236">
        <f>RANDBETWEEN((Inputs!$E35-(Inputs!$E35-Inputs!$D35)*2)*10000,(Inputs!$E35+(Inputs!$F35-Inputs!$E35)*2)*10000)/10000</f>
        <v>0.5823</v>
      </c>
      <c r="NA35" s="236">
        <f>RANDBETWEEN((Inputs!$E35-(Inputs!$E35-Inputs!$D35)*2)*10000,(Inputs!$E35+(Inputs!$F35-Inputs!$E35)*2)*10000)/10000</f>
        <v>0.6288</v>
      </c>
      <c r="NB35" s="236">
        <f>RANDBETWEEN((Inputs!$E35-(Inputs!$E35-Inputs!$D35)*2)*10000,(Inputs!$E35+(Inputs!$F35-Inputs!$E35)*2)*10000)/10000</f>
        <v>0.9846</v>
      </c>
      <c r="NC35" s="236">
        <f>RANDBETWEEN((Inputs!$E35-(Inputs!$E35-Inputs!$D35)*2)*10000,(Inputs!$E35+(Inputs!$F35-Inputs!$E35)*2)*10000)/10000</f>
        <v>1.1566</v>
      </c>
      <c r="ND35" s="236">
        <f>RANDBETWEEN((Inputs!$E35-(Inputs!$E35-Inputs!$D35)*2)*10000,(Inputs!$E35+(Inputs!$F35-Inputs!$E35)*2)*10000)/10000</f>
        <v>0.8848</v>
      </c>
      <c r="NE35" s="236">
        <f>RANDBETWEEN((Inputs!$E35-(Inputs!$E35-Inputs!$D35)*2)*10000,(Inputs!$E35+(Inputs!$F35-Inputs!$E35)*2)*10000)/10000</f>
        <v>0.4539</v>
      </c>
      <c r="NF35" s="236">
        <f>RANDBETWEEN((Inputs!$E35-(Inputs!$E35-Inputs!$D35)*2)*10000,(Inputs!$E35+(Inputs!$F35-Inputs!$E35)*2)*10000)/10000</f>
        <v>0.6012</v>
      </c>
      <c r="NG35" s="236">
        <f>RANDBETWEEN((Inputs!$E35-(Inputs!$E35-Inputs!$D35)*2)*10000,(Inputs!$E35+(Inputs!$F35-Inputs!$E35)*2)*10000)/10000</f>
        <v>0.5518</v>
      </c>
      <c r="NH35" s="236">
        <f>RANDBETWEEN((Inputs!$E35-(Inputs!$E35-Inputs!$D35)*2)*10000,(Inputs!$E35+(Inputs!$F35-Inputs!$E35)*2)*10000)/10000</f>
        <v>0.7745</v>
      </c>
      <c r="NI35" s="236">
        <f>RANDBETWEEN((Inputs!$E35-(Inputs!$E35-Inputs!$D35)*2)*10000,(Inputs!$E35+(Inputs!$F35-Inputs!$E35)*2)*10000)/10000</f>
        <v>0.6229</v>
      </c>
      <c r="NJ35" s="236">
        <f>RANDBETWEEN((Inputs!$E35-(Inputs!$E35-Inputs!$D35)*2)*10000,(Inputs!$E35+(Inputs!$F35-Inputs!$E35)*2)*10000)/10000</f>
        <v>0.4823</v>
      </c>
      <c r="NK35" s="236">
        <f>RANDBETWEEN((Inputs!$E35-(Inputs!$E35-Inputs!$D35)*2)*10000,(Inputs!$E35+(Inputs!$F35-Inputs!$E35)*2)*10000)/10000</f>
        <v>1.1231</v>
      </c>
      <c r="NL35" s="236">
        <f>RANDBETWEEN((Inputs!$E35-(Inputs!$E35-Inputs!$D35)*2)*10000,(Inputs!$E35+(Inputs!$F35-Inputs!$E35)*2)*10000)/10000</f>
        <v>0.9621</v>
      </c>
      <c r="NM35" s="236">
        <f>RANDBETWEEN((Inputs!$E35-(Inputs!$E35-Inputs!$D35)*2)*10000,(Inputs!$E35+(Inputs!$F35-Inputs!$E35)*2)*10000)/10000</f>
        <v>0.9609</v>
      </c>
      <c r="NN35" s="236">
        <f>RANDBETWEEN((Inputs!$E35-(Inputs!$E35-Inputs!$D35)*2)*10000,(Inputs!$E35+(Inputs!$F35-Inputs!$E35)*2)*10000)/10000</f>
        <v>1.0225</v>
      </c>
      <c r="NO35" s="236">
        <f>RANDBETWEEN((Inputs!$E35-(Inputs!$E35-Inputs!$D35)*2)*10000,(Inputs!$E35+(Inputs!$F35-Inputs!$E35)*2)*10000)/10000</f>
        <v>1.1584</v>
      </c>
      <c r="NP35" s="236">
        <f>RANDBETWEEN((Inputs!$E35-(Inputs!$E35-Inputs!$D35)*2)*10000,(Inputs!$E35+(Inputs!$F35-Inputs!$E35)*2)*10000)/10000</f>
        <v>0.8521</v>
      </c>
      <c r="NQ35" s="236">
        <f>RANDBETWEEN((Inputs!$E35-(Inputs!$E35-Inputs!$D35)*2)*10000,(Inputs!$E35+(Inputs!$F35-Inputs!$E35)*2)*10000)/10000</f>
        <v>0.5158</v>
      </c>
      <c r="NR35" s="236">
        <f>RANDBETWEEN((Inputs!$E35-(Inputs!$E35-Inputs!$D35)*2)*10000,(Inputs!$E35+(Inputs!$F35-Inputs!$E35)*2)*10000)/10000</f>
        <v>0.7794</v>
      </c>
      <c r="NS35" s="236">
        <f>RANDBETWEEN((Inputs!$E35-(Inputs!$E35-Inputs!$D35)*2)*10000,(Inputs!$E35+(Inputs!$F35-Inputs!$E35)*2)*10000)/10000</f>
        <v>0.5928</v>
      </c>
      <c r="NT35" s="236">
        <f>RANDBETWEEN((Inputs!$E35-(Inputs!$E35-Inputs!$D35)*2)*10000,(Inputs!$E35+(Inputs!$F35-Inputs!$E35)*2)*10000)/10000</f>
        <v>1.0277</v>
      </c>
      <c r="NU35" s="236">
        <f>RANDBETWEEN((Inputs!$E35-(Inputs!$E35-Inputs!$D35)*2)*10000,(Inputs!$E35+(Inputs!$F35-Inputs!$E35)*2)*10000)/10000</f>
        <v>0.7305</v>
      </c>
      <c r="NV35" s="236">
        <f>RANDBETWEEN((Inputs!$E35-(Inputs!$E35-Inputs!$D35)*2)*10000,(Inputs!$E35+(Inputs!$F35-Inputs!$E35)*2)*10000)/10000</f>
        <v>0.9947</v>
      </c>
      <c r="NW35" s="236">
        <f>RANDBETWEEN((Inputs!$E35-(Inputs!$E35-Inputs!$D35)*2)*10000,(Inputs!$E35+(Inputs!$F35-Inputs!$E35)*2)*10000)/10000</f>
        <v>0.9691</v>
      </c>
      <c r="NX35" s="236">
        <f>RANDBETWEEN((Inputs!$E35-(Inputs!$E35-Inputs!$D35)*2)*10000,(Inputs!$E35+(Inputs!$F35-Inputs!$E35)*2)*10000)/10000</f>
        <v>0.9629</v>
      </c>
      <c r="NY35" s="236">
        <f>RANDBETWEEN((Inputs!$E35-(Inputs!$E35-Inputs!$D35)*2)*10000,(Inputs!$E35+(Inputs!$F35-Inputs!$E35)*2)*10000)/10000</f>
        <v>0.4972</v>
      </c>
      <c r="NZ35" s="236">
        <f>RANDBETWEEN((Inputs!$E35-(Inputs!$E35-Inputs!$D35)*2)*10000,(Inputs!$E35+(Inputs!$F35-Inputs!$E35)*2)*10000)/10000</f>
        <v>0.8531</v>
      </c>
      <c r="OA35" s="236">
        <f>RANDBETWEEN((Inputs!$E35-(Inputs!$E35-Inputs!$D35)*2)*10000,(Inputs!$E35+(Inputs!$F35-Inputs!$E35)*2)*10000)/10000</f>
        <v>0.8833</v>
      </c>
      <c r="OB35" s="236">
        <f>RANDBETWEEN((Inputs!$E35-(Inputs!$E35-Inputs!$D35)*2)*10000,(Inputs!$E35+(Inputs!$F35-Inputs!$E35)*2)*10000)/10000</f>
        <v>1.0261</v>
      </c>
      <c r="OC35" s="236">
        <f>RANDBETWEEN((Inputs!$E35-(Inputs!$E35-Inputs!$D35)*2)*10000,(Inputs!$E35+(Inputs!$F35-Inputs!$E35)*2)*10000)/10000</f>
        <v>1.1908</v>
      </c>
      <c r="OD35" s="236">
        <f>RANDBETWEEN((Inputs!$E35-(Inputs!$E35-Inputs!$D35)*2)*10000,(Inputs!$E35+(Inputs!$F35-Inputs!$E35)*2)*10000)/10000</f>
        <v>1.1391</v>
      </c>
      <c r="OE35" s="236">
        <f>RANDBETWEEN((Inputs!$E35-(Inputs!$E35-Inputs!$D35)*2)*10000,(Inputs!$E35+(Inputs!$F35-Inputs!$E35)*2)*10000)/10000</f>
        <v>0.8315</v>
      </c>
      <c r="OF35" s="236">
        <f>RANDBETWEEN((Inputs!$E35-(Inputs!$E35-Inputs!$D35)*2)*10000,(Inputs!$E35+(Inputs!$F35-Inputs!$E35)*2)*10000)/10000</f>
        <v>0.5026</v>
      </c>
      <c r="OG35" s="236">
        <f>RANDBETWEEN((Inputs!$E35-(Inputs!$E35-Inputs!$D35)*2)*10000,(Inputs!$E35+(Inputs!$F35-Inputs!$E35)*2)*10000)/10000</f>
        <v>1.1373</v>
      </c>
      <c r="OH35" s="236">
        <f>RANDBETWEEN((Inputs!$E35-(Inputs!$E35-Inputs!$D35)*2)*10000,(Inputs!$E35+(Inputs!$F35-Inputs!$E35)*2)*10000)/10000</f>
        <v>0.4567</v>
      </c>
      <c r="OI35" s="236">
        <f>RANDBETWEEN((Inputs!$E35-(Inputs!$E35-Inputs!$D35)*2)*10000,(Inputs!$E35+(Inputs!$F35-Inputs!$E35)*2)*10000)/10000</f>
        <v>1.0712</v>
      </c>
      <c r="OJ35" s="236">
        <f>RANDBETWEEN((Inputs!$E35-(Inputs!$E35-Inputs!$D35)*2)*10000,(Inputs!$E35+(Inputs!$F35-Inputs!$E35)*2)*10000)/10000</f>
        <v>1.1032</v>
      </c>
      <c r="OK35" s="236">
        <f>RANDBETWEEN((Inputs!$E35-(Inputs!$E35-Inputs!$D35)*2)*10000,(Inputs!$E35+(Inputs!$F35-Inputs!$E35)*2)*10000)/10000</f>
        <v>0.4059</v>
      </c>
      <c r="OL35" s="236">
        <f>RANDBETWEEN((Inputs!$E35-(Inputs!$E35-Inputs!$D35)*2)*10000,(Inputs!$E35+(Inputs!$F35-Inputs!$E35)*2)*10000)/10000</f>
        <v>0.5483</v>
      </c>
      <c r="OM35" s="236">
        <f>RANDBETWEEN((Inputs!$E35-(Inputs!$E35-Inputs!$D35)*2)*10000,(Inputs!$E35+(Inputs!$F35-Inputs!$E35)*2)*10000)/10000</f>
        <v>0.6779</v>
      </c>
      <c r="ON35" s="236">
        <f>RANDBETWEEN((Inputs!$E35-(Inputs!$E35-Inputs!$D35)*2)*10000,(Inputs!$E35+(Inputs!$F35-Inputs!$E35)*2)*10000)/10000</f>
        <v>0.6369</v>
      </c>
      <c r="OO35" s="236">
        <f>RANDBETWEEN((Inputs!$E35-(Inputs!$E35-Inputs!$D35)*2)*10000,(Inputs!$E35+(Inputs!$F35-Inputs!$E35)*2)*10000)/10000</f>
        <v>0.7168</v>
      </c>
      <c r="OP35" s="236">
        <f>RANDBETWEEN((Inputs!$E35-(Inputs!$E35-Inputs!$D35)*2)*10000,(Inputs!$E35+(Inputs!$F35-Inputs!$E35)*2)*10000)/10000</f>
        <v>1.1026</v>
      </c>
      <c r="OQ35" s="236">
        <f>RANDBETWEEN((Inputs!$E35-(Inputs!$E35-Inputs!$D35)*2)*10000,(Inputs!$E35+(Inputs!$F35-Inputs!$E35)*2)*10000)/10000</f>
        <v>0.6229</v>
      </c>
      <c r="OR35" s="236">
        <f>RANDBETWEEN((Inputs!$E35-(Inputs!$E35-Inputs!$D35)*2)*10000,(Inputs!$E35+(Inputs!$F35-Inputs!$E35)*2)*10000)/10000</f>
        <v>0.6164</v>
      </c>
      <c r="OS35" s="236">
        <f>RANDBETWEEN((Inputs!$E35-(Inputs!$E35-Inputs!$D35)*2)*10000,(Inputs!$E35+(Inputs!$F35-Inputs!$E35)*2)*10000)/10000</f>
        <v>0.443</v>
      </c>
      <c r="OT35" s="236">
        <f>RANDBETWEEN((Inputs!$E35-(Inputs!$E35-Inputs!$D35)*2)*10000,(Inputs!$E35+(Inputs!$F35-Inputs!$E35)*2)*10000)/10000</f>
        <v>0.5674</v>
      </c>
      <c r="OU35" s="236">
        <f>RANDBETWEEN((Inputs!$E35-(Inputs!$E35-Inputs!$D35)*2)*10000,(Inputs!$E35+(Inputs!$F35-Inputs!$E35)*2)*10000)/10000</f>
        <v>0.8183</v>
      </c>
      <c r="OV35" s="236">
        <f>RANDBETWEEN((Inputs!$E35-(Inputs!$E35-Inputs!$D35)*2)*10000,(Inputs!$E35+(Inputs!$F35-Inputs!$E35)*2)*10000)/10000</f>
        <v>0.9268</v>
      </c>
      <c r="OW35" s="236">
        <f>RANDBETWEEN((Inputs!$E35-(Inputs!$E35-Inputs!$D35)*2)*10000,(Inputs!$E35+(Inputs!$F35-Inputs!$E35)*2)*10000)/10000</f>
        <v>0.739</v>
      </c>
      <c r="OX35" s="236">
        <f>RANDBETWEEN((Inputs!$E35-(Inputs!$E35-Inputs!$D35)*2)*10000,(Inputs!$E35+(Inputs!$F35-Inputs!$E35)*2)*10000)/10000</f>
        <v>0.6812</v>
      </c>
      <c r="OY35" s="236">
        <f>RANDBETWEEN((Inputs!$E35-(Inputs!$E35-Inputs!$D35)*2)*10000,(Inputs!$E35+(Inputs!$F35-Inputs!$E35)*2)*10000)/10000</f>
        <v>0.6698</v>
      </c>
      <c r="OZ35" s="236">
        <f>RANDBETWEEN((Inputs!$E35-(Inputs!$E35-Inputs!$D35)*2)*10000,(Inputs!$E35+(Inputs!$F35-Inputs!$E35)*2)*10000)/10000</f>
        <v>0.7268</v>
      </c>
      <c r="PA35" s="236">
        <f>RANDBETWEEN((Inputs!$E35-(Inputs!$E35-Inputs!$D35)*2)*10000,(Inputs!$E35+(Inputs!$F35-Inputs!$E35)*2)*10000)/10000</f>
        <v>0.5615</v>
      </c>
      <c r="PB35" s="236">
        <f>RANDBETWEEN((Inputs!$E35-(Inputs!$E35-Inputs!$D35)*2)*10000,(Inputs!$E35+(Inputs!$F35-Inputs!$E35)*2)*10000)/10000</f>
        <v>1.1163</v>
      </c>
      <c r="PC35" s="236">
        <f>RANDBETWEEN((Inputs!$E35-(Inputs!$E35-Inputs!$D35)*2)*10000,(Inputs!$E35+(Inputs!$F35-Inputs!$E35)*2)*10000)/10000</f>
        <v>0.7452</v>
      </c>
      <c r="PD35" s="236">
        <f>RANDBETWEEN((Inputs!$E35-(Inputs!$E35-Inputs!$D35)*2)*10000,(Inputs!$E35+(Inputs!$F35-Inputs!$E35)*2)*10000)/10000</f>
        <v>1.0654</v>
      </c>
      <c r="PE35" s="236">
        <f>RANDBETWEEN((Inputs!$E35-(Inputs!$E35-Inputs!$D35)*2)*10000,(Inputs!$E35+(Inputs!$F35-Inputs!$E35)*2)*10000)/10000</f>
        <v>0.9554</v>
      </c>
      <c r="PF35" s="236">
        <f>RANDBETWEEN((Inputs!$E35-(Inputs!$E35-Inputs!$D35)*2)*10000,(Inputs!$E35+(Inputs!$F35-Inputs!$E35)*2)*10000)/10000</f>
        <v>1.176</v>
      </c>
      <c r="PG35" s="236">
        <f>RANDBETWEEN((Inputs!$E35-(Inputs!$E35-Inputs!$D35)*2)*10000,(Inputs!$E35+(Inputs!$F35-Inputs!$E35)*2)*10000)/10000</f>
        <v>0.5147</v>
      </c>
      <c r="PH35" s="236">
        <f>RANDBETWEEN((Inputs!$E35-(Inputs!$E35-Inputs!$D35)*2)*10000,(Inputs!$E35+(Inputs!$F35-Inputs!$E35)*2)*10000)/10000</f>
        <v>0.8837</v>
      </c>
      <c r="PI35" s="236">
        <f>RANDBETWEEN((Inputs!$E35-(Inputs!$E35-Inputs!$D35)*2)*10000,(Inputs!$E35+(Inputs!$F35-Inputs!$E35)*2)*10000)/10000</f>
        <v>0.8594</v>
      </c>
      <c r="PJ35" s="236">
        <f>RANDBETWEEN((Inputs!$E35-(Inputs!$E35-Inputs!$D35)*2)*10000,(Inputs!$E35+(Inputs!$F35-Inputs!$E35)*2)*10000)/10000</f>
        <v>1.1121</v>
      </c>
      <c r="PK35" s="236">
        <f>RANDBETWEEN((Inputs!$E35-(Inputs!$E35-Inputs!$D35)*2)*10000,(Inputs!$E35+(Inputs!$F35-Inputs!$E35)*2)*10000)/10000</f>
        <v>0.9358</v>
      </c>
      <c r="PL35" s="236">
        <f>RANDBETWEEN((Inputs!$E35-(Inputs!$E35-Inputs!$D35)*2)*10000,(Inputs!$E35+(Inputs!$F35-Inputs!$E35)*2)*10000)/10000</f>
        <v>0.5369</v>
      </c>
      <c r="PM35" s="236">
        <f>RANDBETWEEN((Inputs!$E35-(Inputs!$E35-Inputs!$D35)*2)*10000,(Inputs!$E35+(Inputs!$F35-Inputs!$E35)*2)*10000)/10000</f>
        <v>0.6417</v>
      </c>
      <c r="PN35" s="236">
        <f>RANDBETWEEN((Inputs!$E35-(Inputs!$E35-Inputs!$D35)*2)*10000,(Inputs!$E35+(Inputs!$F35-Inputs!$E35)*2)*10000)/10000</f>
        <v>1.134</v>
      </c>
      <c r="PO35" s="236">
        <f>RANDBETWEEN((Inputs!$E35-(Inputs!$E35-Inputs!$D35)*2)*10000,(Inputs!$E35+(Inputs!$F35-Inputs!$E35)*2)*10000)/10000</f>
        <v>0.5509</v>
      </c>
      <c r="PP35" s="236">
        <f>RANDBETWEEN((Inputs!$E35-(Inputs!$E35-Inputs!$D35)*2)*10000,(Inputs!$E35+(Inputs!$F35-Inputs!$E35)*2)*10000)/10000</f>
        <v>0.5093</v>
      </c>
      <c r="PQ35" s="236">
        <f>RANDBETWEEN((Inputs!$E35-(Inputs!$E35-Inputs!$D35)*2)*10000,(Inputs!$E35+(Inputs!$F35-Inputs!$E35)*2)*10000)/10000</f>
        <v>0.4117</v>
      </c>
      <c r="PR35" s="236">
        <f>RANDBETWEEN((Inputs!$E35-(Inputs!$E35-Inputs!$D35)*2)*10000,(Inputs!$E35+(Inputs!$F35-Inputs!$E35)*2)*10000)/10000</f>
        <v>1.1519</v>
      </c>
      <c r="PS35" s="236">
        <f>RANDBETWEEN((Inputs!$E35-(Inputs!$E35-Inputs!$D35)*2)*10000,(Inputs!$E35+(Inputs!$F35-Inputs!$E35)*2)*10000)/10000</f>
        <v>0.5357</v>
      </c>
      <c r="PT35" s="236">
        <f>RANDBETWEEN((Inputs!$E35-(Inputs!$E35-Inputs!$D35)*2)*10000,(Inputs!$E35+(Inputs!$F35-Inputs!$E35)*2)*10000)/10000</f>
        <v>0.4056</v>
      </c>
      <c r="PU35" s="236">
        <f>RANDBETWEEN((Inputs!$E35-(Inputs!$E35-Inputs!$D35)*2)*10000,(Inputs!$E35+(Inputs!$F35-Inputs!$E35)*2)*10000)/10000</f>
        <v>0.6562</v>
      </c>
      <c r="PV35" s="236">
        <f>RANDBETWEEN((Inputs!$E35-(Inputs!$E35-Inputs!$D35)*2)*10000,(Inputs!$E35+(Inputs!$F35-Inputs!$E35)*2)*10000)/10000</f>
        <v>0.7504</v>
      </c>
      <c r="PW35" s="236">
        <f>RANDBETWEEN((Inputs!$E35-(Inputs!$E35-Inputs!$D35)*2)*10000,(Inputs!$E35+(Inputs!$F35-Inputs!$E35)*2)*10000)/10000</f>
        <v>0.5808</v>
      </c>
      <c r="PX35" s="236">
        <f>RANDBETWEEN((Inputs!$E35-(Inputs!$E35-Inputs!$D35)*2)*10000,(Inputs!$E35+(Inputs!$F35-Inputs!$E35)*2)*10000)/10000</f>
        <v>0.5955</v>
      </c>
      <c r="PY35" s="236">
        <f>RANDBETWEEN((Inputs!$E35-(Inputs!$E35-Inputs!$D35)*2)*10000,(Inputs!$E35+(Inputs!$F35-Inputs!$E35)*2)*10000)/10000</f>
        <v>0.534</v>
      </c>
      <c r="PZ35" s="236">
        <f>RANDBETWEEN((Inputs!$E35-(Inputs!$E35-Inputs!$D35)*2)*10000,(Inputs!$E35+(Inputs!$F35-Inputs!$E35)*2)*10000)/10000</f>
        <v>0.4143</v>
      </c>
      <c r="QA35" s="236">
        <f>RANDBETWEEN((Inputs!$E35-(Inputs!$E35-Inputs!$D35)*2)*10000,(Inputs!$E35+(Inputs!$F35-Inputs!$E35)*2)*10000)/10000</f>
        <v>0.8077</v>
      </c>
      <c r="QB35" s="236">
        <f>RANDBETWEEN((Inputs!$E35-(Inputs!$E35-Inputs!$D35)*2)*10000,(Inputs!$E35+(Inputs!$F35-Inputs!$E35)*2)*10000)/10000</f>
        <v>0.4461</v>
      </c>
      <c r="QC35" s="236">
        <f>RANDBETWEEN((Inputs!$E35-(Inputs!$E35-Inputs!$D35)*2)*10000,(Inputs!$E35+(Inputs!$F35-Inputs!$E35)*2)*10000)/10000</f>
        <v>1.0178</v>
      </c>
      <c r="QD35" s="236">
        <f>RANDBETWEEN((Inputs!$E35-(Inputs!$E35-Inputs!$D35)*2)*10000,(Inputs!$E35+(Inputs!$F35-Inputs!$E35)*2)*10000)/10000</f>
        <v>0.4269</v>
      </c>
      <c r="QE35" s="236">
        <f>RANDBETWEEN((Inputs!$E35-(Inputs!$E35-Inputs!$D35)*2)*10000,(Inputs!$E35+(Inputs!$F35-Inputs!$E35)*2)*10000)/10000</f>
        <v>1.1167</v>
      </c>
      <c r="QF35" s="236">
        <f>RANDBETWEEN((Inputs!$E35-(Inputs!$E35-Inputs!$D35)*2)*10000,(Inputs!$E35+(Inputs!$F35-Inputs!$E35)*2)*10000)/10000</f>
        <v>0.9195</v>
      </c>
      <c r="QG35" s="236">
        <f>RANDBETWEEN((Inputs!$E35-(Inputs!$E35-Inputs!$D35)*2)*10000,(Inputs!$E35+(Inputs!$F35-Inputs!$E35)*2)*10000)/10000</f>
        <v>0.8065</v>
      </c>
      <c r="QH35" s="236">
        <f>RANDBETWEEN((Inputs!$E35-(Inputs!$E35-Inputs!$D35)*2)*10000,(Inputs!$E35+(Inputs!$F35-Inputs!$E35)*2)*10000)/10000</f>
        <v>0.7399</v>
      </c>
      <c r="QI35" s="236">
        <f>RANDBETWEEN((Inputs!$E35-(Inputs!$E35-Inputs!$D35)*2)*10000,(Inputs!$E35+(Inputs!$F35-Inputs!$E35)*2)*10000)/10000</f>
        <v>0.431</v>
      </c>
      <c r="QJ35" s="236">
        <f>RANDBETWEEN((Inputs!$E35-(Inputs!$E35-Inputs!$D35)*2)*10000,(Inputs!$E35+(Inputs!$F35-Inputs!$E35)*2)*10000)/10000</f>
        <v>1.0228</v>
      </c>
      <c r="QK35" s="236">
        <f>RANDBETWEEN((Inputs!$E35-(Inputs!$E35-Inputs!$D35)*2)*10000,(Inputs!$E35+(Inputs!$F35-Inputs!$E35)*2)*10000)/10000</f>
        <v>0.9348</v>
      </c>
      <c r="QL35" s="236">
        <f>RANDBETWEEN((Inputs!$E35-(Inputs!$E35-Inputs!$D35)*2)*10000,(Inputs!$E35+(Inputs!$F35-Inputs!$E35)*2)*10000)/10000</f>
        <v>1.0635</v>
      </c>
      <c r="QM35" s="236">
        <f>RANDBETWEEN((Inputs!$E35-(Inputs!$E35-Inputs!$D35)*2)*10000,(Inputs!$E35+(Inputs!$F35-Inputs!$E35)*2)*10000)/10000</f>
        <v>1.0491</v>
      </c>
      <c r="QN35" s="236">
        <f>RANDBETWEEN((Inputs!$E35-(Inputs!$E35-Inputs!$D35)*2)*10000,(Inputs!$E35+(Inputs!$F35-Inputs!$E35)*2)*10000)/10000</f>
        <v>0.7892</v>
      </c>
      <c r="QO35" s="236">
        <f>RANDBETWEEN((Inputs!$E35-(Inputs!$E35-Inputs!$D35)*2)*10000,(Inputs!$E35+(Inputs!$F35-Inputs!$E35)*2)*10000)/10000</f>
        <v>0.4927</v>
      </c>
      <c r="QP35" s="236">
        <f>RANDBETWEEN((Inputs!$E35-(Inputs!$E35-Inputs!$D35)*2)*10000,(Inputs!$E35+(Inputs!$F35-Inputs!$E35)*2)*10000)/10000</f>
        <v>0.6493</v>
      </c>
      <c r="QQ35" s="236">
        <f>RANDBETWEEN((Inputs!$E35-(Inputs!$E35-Inputs!$D35)*2)*10000,(Inputs!$E35+(Inputs!$F35-Inputs!$E35)*2)*10000)/10000</f>
        <v>0.9346</v>
      </c>
      <c r="QR35" s="236">
        <f>RANDBETWEEN((Inputs!$E35-(Inputs!$E35-Inputs!$D35)*2)*10000,(Inputs!$E35+(Inputs!$F35-Inputs!$E35)*2)*10000)/10000</f>
        <v>0.9284</v>
      </c>
      <c r="QS35" s="236">
        <f>RANDBETWEEN((Inputs!$E35-(Inputs!$E35-Inputs!$D35)*2)*10000,(Inputs!$E35+(Inputs!$F35-Inputs!$E35)*2)*10000)/10000</f>
        <v>0.4215</v>
      </c>
      <c r="QT35" s="236">
        <f>RANDBETWEEN((Inputs!$E35-(Inputs!$E35-Inputs!$D35)*2)*10000,(Inputs!$E35+(Inputs!$F35-Inputs!$E35)*2)*10000)/10000</f>
        <v>0.9434</v>
      </c>
      <c r="QU35" s="236">
        <f>RANDBETWEEN((Inputs!$E35-(Inputs!$E35-Inputs!$D35)*2)*10000,(Inputs!$E35+(Inputs!$F35-Inputs!$E35)*2)*10000)/10000</f>
        <v>0.4671</v>
      </c>
      <c r="QV35" s="236">
        <f>RANDBETWEEN((Inputs!$E35-(Inputs!$E35-Inputs!$D35)*2)*10000,(Inputs!$E35+(Inputs!$F35-Inputs!$E35)*2)*10000)/10000</f>
        <v>1.0272</v>
      </c>
      <c r="QW35" s="236">
        <f>RANDBETWEEN((Inputs!$E35-(Inputs!$E35-Inputs!$D35)*2)*10000,(Inputs!$E35+(Inputs!$F35-Inputs!$E35)*2)*10000)/10000</f>
        <v>0.5869</v>
      </c>
      <c r="QX35" s="236">
        <f>RANDBETWEEN((Inputs!$E35-(Inputs!$E35-Inputs!$D35)*2)*10000,(Inputs!$E35+(Inputs!$F35-Inputs!$E35)*2)*10000)/10000</f>
        <v>0.6586</v>
      </c>
      <c r="QY35" s="236">
        <f>RANDBETWEEN((Inputs!$E35-(Inputs!$E35-Inputs!$D35)*2)*10000,(Inputs!$E35+(Inputs!$F35-Inputs!$E35)*2)*10000)/10000</f>
        <v>0.7502</v>
      </c>
      <c r="QZ35" s="236">
        <f>RANDBETWEEN((Inputs!$E35-(Inputs!$E35-Inputs!$D35)*2)*10000,(Inputs!$E35+(Inputs!$F35-Inputs!$E35)*2)*10000)/10000</f>
        <v>0.9905</v>
      </c>
      <c r="RA35" s="236">
        <f>RANDBETWEEN((Inputs!$E35-(Inputs!$E35-Inputs!$D35)*2)*10000,(Inputs!$E35+(Inputs!$F35-Inputs!$E35)*2)*10000)/10000</f>
        <v>0.4356</v>
      </c>
      <c r="RB35" s="236">
        <f>RANDBETWEEN((Inputs!$E35-(Inputs!$E35-Inputs!$D35)*2)*10000,(Inputs!$E35+(Inputs!$F35-Inputs!$E35)*2)*10000)/10000</f>
        <v>1.0688</v>
      </c>
      <c r="RC35" s="236">
        <f>RANDBETWEEN((Inputs!$E35-(Inputs!$E35-Inputs!$D35)*2)*10000,(Inputs!$E35+(Inputs!$F35-Inputs!$E35)*2)*10000)/10000</f>
        <v>0.8134</v>
      </c>
      <c r="RD35" s="236">
        <f>RANDBETWEEN((Inputs!$E35-(Inputs!$E35-Inputs!$D35)*2)*10000,(Inputs!$E35+(Inputs!$F35-Inputs!$E35)*2)*10000)/10000</f>
        <v>1.1032</v>
      </c>
      <c r="RE35" s="236">
        <f>RANDBETWEEN((Inputs!$E35-(Inputs!$E35-Inputs!$D35)*2)*10000,(Inputs!$E35+(Inputs!$F35-Inputs!$E35)*2)*10000)/10000</f>
        <v>1.1251</v>
      </c>
      <c r="RF35" s="236">
        <f>RANDBETWEEN((Inputs!$E35-(Inputs!$E35-Inputs!$D35)*2)*10000,(Inputs!$E35+(Inputs!$F35-Inputs!$E35)*2)*10000)/10000</f>
        <v>0.6516</v>
      </c>
      <c r="RG35" s="236">
        <f>RANDBETWEEN((Inputs!$E35-(Inputs!$E35-Inputs!$D35)*2)*10000,(Inputs!$E35+(Inputs!$F35-Inputs!$E35)*2)*10000)/10000</f>
        <v>0.567</v>
      </c>
      <c r="RH35" s="236">
        <f>RANDBETWEEN((Inputs!$E35-(Inputs!$E35-Inputs!$D35)*2)*10000,(Inputs!$E35+(Inputs!$F35-Inputs!$E35)*2)*10000)/10000</f>
        <v>1.0569</v>
      </c>
      <c r="RI35" s="236">
        <f>RANDBETWEEN((Inputs!$E35-(Inputs!$E35-Inputs!$D35)*2)*10000,(Inputs!$E35+(Inputs!$F35-Inputs!$E35)*2)*10000)/10000</f>
        <v>1.0712</v>
      </c>
      <c r="RJ35" s="236">
        <f>RANDBETWEEN((Inputs!$E35-(Inputs!$E35-Inputs!$D35)*2)*10000,(Inputs!$E35+(Inputs!$F35-Inputs!$E35)*2)*10000)/10000</f>
        <v>0.6091</v>
      </c>
      <c r="RK35" s="236">
        <f>RANDBETWEEN((Inputs!$E35-(Inputs!$E35-Inputs!$D35)*2)*10000,(Inputs!$E35+(Inputs!$F35-Inputs!$E35)*2)*10000)/10000</f>
        <v>1.1615</v>
      </c>
      <c r="RL35" s="236">
        <f>RANDBETWEEN((Inputs!$E35-(Inputs!$E35-Inputs!$D35)*2)*10000,(Inputs!$E35+(Inputs!$F35-Inputs!$E35)*2)*10000)/10000</f>
        <v>0.7231</v>
      </c>
      <c r="RM35" s="236">
        <f>RANDBETWEEN((Inputs!$E35-(Inputs!$E35-Inputs!$D35)*2)*10000,(Inputs!$E35+(Inputs!$F35-Inputs!$E35)*2)*10000)/10000</f>
        <v>0.5935</v>
      </c>
      <c r="RN35" s="236">
        <f>RANDBETWEEN((Inputs!$E35-(Inputs!$E35-Inputs!$D35)*2)*10000,(Inputs!$E35+(Inputs!$F35-Inputs!$E35)*2)*10000)/10000</f>
        <v>0.6683</v>
      </c>
      <c r="RO35" s="236">
        <f>RANDBETWEEN((Inputs!$E35-(Inputs!$E35-Inputs!$D35)*2)*10000,(Inputs!$E35+(Inputs!$F35-Inputs!$E35)*2)*10000)/10000</f>
        <v>0.4754</v>
      </c>
      <c r="RP35" s="236">
        <f>RANDBETWEEN((Inputs!$E35-(Inputs!$E35-Inputs!$D35)*2)*10000,(Inputs!$E35+(Inputs!$F35-Inputs!$E35)*2)*10000)/10000</f>
        <v>0.567</v>
      </c>
      <c r="RQ35" s="236">
        <f>RANDBETWEEN((Inputs!$E35-(Inputs!$E35-Inputs!$D35)*2)*10000,(Inputs!$E35+(Inputs!$F35-Inputs!$E35)*2)*10000)/10000</f>
        <v>0.7414</v>
      </c>
      <c r="RR35" s="236">
        <f>RANDBETWEEN((Inputs!$E35-(Inputs!$E35-Inputs!$D35)*2)*10000,(Inputs!$E35+(Inputs!$F35-Inputs!$E35)*2)*10000)/10000</f>
        <v>1.1193</v>
      </c>
      <c r="RS35" s="236">
        <f>RANDBETWEEN((Inputs!$E35-(Inputs!$E35-Inputs!$D35)*2)*10000,(Inputs!$E35+(Inputs!$F35-Inputs!$E35)*2)*10000)/10000</f>
        <v>0.796</v>
      </c>
      <c r="RT35" s="236">
        <f>RANDBETWEEN((Inputs!$E35-(Inputs!$E35-Inputs!$D35)*2)*10000,(Inputs!$E35+(Inputs!$F35-Inputs!$E35)*2)*10000)/10000</f>
        <v>0.9861</v>
      </c>
      <c r="RU35" s="236">
        <f>RANDBETWEEN((Inputs!$E35-(Inputs!$E35-Inputs!$D35)*2)*10000,(Inputs!$E35+(Inputs!$F35-Inputs!$E35)*2)*10000)/10000</f>
        <v>0.4695</v>
      </c>
      <c r="RV35" s="236">
        <f>RANDBETWEEN((Inputs!$E35-(Inputs!$E35-Inputs!$D35)*2)*10000,(Inputs!$E35+(Inputs!$F35-Inputs!$E35)*2)*10000)/10000</f>
        <v>0.6683</v>
      </c>
      <c r="RW35" s="236">
        <f>RANDBETWEEN((Inputs!$E35-(Inputs!$E35-Inputs!$D35)*2)*10000,(Inputs!$E35+(Inputs!$F35-Inputs!$E35)*2)*10000)/10000</f>
        <v>0.7816</v>
      </c>
      <c r="RX35" s="236">
        <f>RANDBETWEEN((Inputs!$E35-(Inputs!$E35-Inputs!$D35)*2)*10000,(Inputs!$E35+(Inputs!$F35-Inputs!$E35)*2)*10000)/10000</f>
        <v>1.1203</v>
      </c>
      <c r="RY35" s="236">
        <f>RANDBETWEEN((Inputs!$E35-(Inputs!$E35-Inputs!$D35)*2)*10000,(Inputs!$E35+(Inputs!$F35-Inputs!$E35)*2)*10000)/10000</f>
        <v>1.0857</v>
      </c>
      <c r="RZ35" s="236">
        <f>RANDBETWEEN((Inputs!$E35-(Inputs!$E35-Inputs!$D35)*2)*10000,(Inputs!$E35+(Inputs!$F35-Inputs!$E35)*2)*10000)/10000</f>
        <v>0.789</v>
      </c>
      <c r="SA35" s="236">
        <f>RANDBETWEEN((Inputs!$E35-(Inputs!$E35-Inputs!$D35)*2)*10000,(Inputs!$E35+(Inputs!$F35-Inputs!$E35)*2)*10000)/10000</f>
        <v>0.8832</v>
      </c>
      <c r="SB35" s="236">
        <f>RANDBETWEEN((Inputs!$E35-(Inputs!$E35-Inputs!$D35)*2)*10000,(Inputs!$E35+(Inputs!$F35-Inputs!$E35)*2)*10000)/10000</f>
        <v>0.4169</v>
      </c>
      <c r="SC35" s="236">
        <f>RANDBETWEEN((Inputs!$E35-(Inputs!$E35-Inputs!$D35)*2)*10000,(Inputs!$E35+(Inputs!$F35-Inputs!$E35)*2)*10000)/10000</f>
        <v>0.5284</v>
      </c>
      <c r="SD35" s="236">
        <f>RANDBETWEEN((Inputs!$E35-(Inputs!$E35-Inputs!$D35)*2)*10000,(Inputs!$E35+(Inputs!$F35-Inputs!$E35)*2)*10000)/10000</f>
        <v>0.6294</v>
      </c>
      <c r="SE35" s="236">
        <f>RANDBETWEEN((Inputs!$E35-(Inputs!$E35-Inputs!$D35)*2)*10000,(Inputs!$E35+(Inputs!$F35-Inputs!$E35)*2)*10000)/10000</f>
        <v>0.9791</v>
      </c>
      <c r="SF35" s="236">
        <f>RANDBETWEEN((Inputs!$E35-(Inputs!$E35-Inputs!$D35)*2)*10000,(Inputs!$E35+(Inputs!$F35-Inputs!$E35)*2)*10000)/10000</f>
        <v>0.8508</v>
      </c>
      <c r="SG35" s="236">
        <f>RANDBETWEEN((Inputs!$E35-(Inputs!$E35-Inputs!$D35)*2)*10000,(Inputs!$E35+(Inputs!$F35-Inputs!$E35)*2)*10000)/10000</f>
        <v>0.9356</v>
      </c>
      <c r="SH35" s="236">
        <f>RANDBETWEEN((Inputs!$E35-(Inputs!$E35-Inputs!$D35)*2)*10000,(Inputs!$E35+(Inputs!$F35-Inputs!$E35)*2)*10000)/10000</f>
        <v>0.9801</v>
      </c>
      <c r="SI35" s="236">
        <f>RANDBETWEEN((Inputs!$E35-(Inputs!$E35-Inputs!$D35)*2)*10000,(Inputs!$E35+(Inputs!$F35-Inputs!$E35)*2)*10000)/10000</f>
        <v>0.6143</v>
      </c>
      <c r="SJ35" s="236">
        <f>RANDBETWEEN((Inputs!$E35-(Inputs!$E35-Inputs!$D35)*2)*10000,(Inputs!$E35+(Inputs!$F35-Inputs!$E35)*2)*10000)/10000</f>
        <v>0.5842</v>
      </c>
      <c r="SK35" s="236">
        <f>RANDBETWEEN((Inputs!$E35-(Inputs!$E35-Inputs!$D35)*2)*10000,(Inputs!$E35+(Inputs!$F35-Inputs!$E35)*2)*10000)/10000</f>
        <v>1.1516</v>
      </c>
      <c r="SL35" s="236">
        <f>RANDBETWEEN((Inputs!$E35-(Inputs!$E35-Inputs!$D35)*2)*10000,(Inputs!$E35+(Inputs!$F35-Inputs!$E35)*2)*10000)/10000</f>
        <v>0.9404</v>
      </c>
    </row>
    <row r="36">
      <c r="A36" s="53" t="s">
        <v>112</v>
      </c>
      <c r="B36" s="75">
        <f>B31*B35*B32*B33*B34</f>
        <v>0.675072</v>
      </c>
      <c r="C36" s="273"/>
      <c r="D36" s="274"/>
      <c r="E36" s="275"/>
      <c r="F36" s="75"/>
      <c r="G36" s="75">
        <f t="shared" ref="G36:SL36" si="28">G31*G35*G32*G33*G34</f>
        <v>1.118984749</v>
      </c>
      <c r="H36" s="75">
        <f t="shared" si="28"/>
        <v>0.4698815751</v>
      </c>
      <c r="I36" s="75">
        <f t="shared" si="28"/>
        <v>0.2297442764</v>
      </c>
      <c r="J36" s="75">
        <f t="shared" si="28"/>
        <v>1.060013072</v>
      </c>
      <c r="K36" s="75">
        <f t="shared" si="28"/>
        <v>1.046662425</v>
      </c>
      <c r="L36" s="75">
        <f t="shared" si="28"/>
        <v>1.113795099</v>
      </c>
      <c r="M36" s="75">
        <f t="shared" si="28"/>
        <v>-0.2457378707</v>
      </c>
      <c r="N36" s="75">
        <f t="shared" si="28"/>
        <v>0.3658164587</v>
      </c>
      <c r="O36" s="75">
        <f t="shared" si="28"/>
        <v>0.7049863649</v>
      </c>
      <c r="P36" s="75">
        <f t="shared" si="28"/>
        <v>0.5557112661</v>
      </c>
      <c r="Q36" s="75">
        <f t="shared" si="28"/>
        <v>0.4557351288</v>
      </c>
      <c r="R36" s="75">
        <f t="shared" si="28"/>
        <v>0.2621194833</v>
      </c>
      <c r="S36" s="75">
        <f t="shared" si="28"/>
        <v>0.6245125762</v>
      </c>
      <c r="T36" s="75">
        <f t="shared" si="28"/>
        <v>1.313432307</v>
      </c>
      <c r="U36" s="75">
        <f t="shared" si="28"/>
        <v>0.9774267617</v>
      </c>
      <c r="V36" s="75">
        <f t="shared" si="28"/>
        <v>0.5285238918</v>
      </c>
      <c r="W36" s="75">
        <f t="shared" si="28"/>
        <v>1.547395771</v>
      </c>
      <c r="X36" s="75">
        <f t="shared" si="28"/>
        <v>2.668000231</v>
      </c>
      <c r="Y36" s="75">
        <f t="shared" si="28"/>
        <v>0.2319475871</v>
      </c>
      <c r="Z36" s="75">
        <f t="shared" si="28"/>
        <v>1.533927034</v>
      </c>
      <c r="AA36" s="75">
        <f t="shared" si="28"/>
        <v>0.3371685855</v>
      </c>
      <c r="AB36" s="75">
        <f t="shared" si="28"/>
        <v>0.5410144299</v>
      </c>
      <c r="AC36" s="75">
        <f t="shared" si="28"/>
        <v>-0.004908943487</v>
      </c>
      <c r="AD36" s="75">
        <f t="shared" si="28"/>
        <v>0.182976591</v>
      </c>
      <c r="AE36" s="75">
        <f t="shared" si="28"/>
        <v>0.130032267</v>
      </c>
      <c r="AF36" s="75">
        <f t="shared" si="28"/>
        <v>0.2823688473</v>
      </c>
      <c r="AG36" s="75">
        <f t="shared" si="28"/>
        <v>2.371667212</v>
      </c>
      <c r="AH36" s="75">
        <f t="shared" si="28"/>
        <v>0.09488016176</v>
      </c>
      <c r="AI36" s="75">
        <f t="shared" si="28"/>
        <v>0.09314790469</v>
      </c>
      <c r="AJ36" s="75">
        <f t="shared" si="28"/>
        <v>0.18820867</v>
      </c>
      <c r="AK36" s="75">
        <f t="shared" si="28"/>
        <v>0.1127289474</v>
      </c>
      <c r="AL36" s="75">
        <f t="shared" si="28"/>
        <v>0.6682780577</v>
      </c>
      <c r="AM36" s="75">
        <f t="shared" si="28"/>
        <v>0.9035542028</v>
      </c>
      <c r="AN36" s="75">
        <f t="shared" si="28"/>
        <v>2.465368117</v>
      </c>
      <c r="AO36" s="75">
        <f t="shared" si="28"/>
        <v>-0.002698796766</v>
      </c>
      <c r="AP36" s="75">
        <f t="shared" si="28"/>
        <v>0.3932117966</v>
      </c>
      <c r="AQ36" s="75">
        <f t="shared" si="28"/>
        <v>0.217829823</v>
      </c>
      <c r="AR36" s="75">
        <f t="shared" si="28"/>
        <v>0.5566716992</v>
      </c>
      <c r="AS36" s="75">
        <f t="shared" si="28"/>
        <v>0.05600969234</v>
      </c>
      <c r="AT36" s="75">
        <f t="shared" si="28"/>
        <v>1.190242503</v>
      </c>
      <c r="AU36" s="75">
        <f t="shared" si="28"/>
        <v>2.00085291</v>
      </c>
      <c r="AV36" s="75">
        <f t="shared" si="28"/>
        <v>0.128072971</v>
      </c>
      <c r="AW36" s="75">
        <f t="shared" si="28"/>
        <v>0.7960287938</v>
      </c>
      <c r="AX36" s="75">
        <f t="shared" si="28"/>
        <v>0.4413563079</v>
      </c>
      <c r="AY36" s="75">
        <f t="shared" si="28"/>
        <v>0.1190316079</v>
      </c>
      <c r="AZ36" s="75">
        <f t="shared" si="28"/>
        <v>0.3575248173</v>
      </c>
      <c r="BA36" s="75">
        <f t="shared" si="28"/>
        <v>1.57470355</v>
      </c>
      <c r="BB36" s="75">
        <f t="shared" si="28"/>
        <v>-0.1560268896</v>
      </c>
      <c r="BC36" s="75">
        <f t="shared" si="28"/>
        <v>1.852920304</v>
      </c>
      <c r="BD36" s="75">
        <f t="shared" si="28"/>
        <v>0.282769979</v>
      </c>
      <c r="BE36" s="75">
        <f t="shared" si="28"/>
        <v>0.9424331145</v>
      </c>
      <c r="BF36" s="75">
        <f t="shared" si="28"/>
        <v>0.1342036414</v>
      </c>
      <c r="BG36" s="75">
        <f t="shared" si="28"/>
        <v>0.03927357514</v>
      </c>
      <c r="BH36" s="75">
        <f t="shared" si="28"/>
        <v>0.1391679528</v>
      </c>
      <c r="BI36" s="75">
        <f t="shared" si="28"/>
        <v>0.5826778989</v>
      </c>
      <c r="BJ36" s="75">
        <f t="shared" si="28"/>
        <v>0.7731465608</v>
      </c>
      <c r="BK36" s="75">
        <f t="shared" si="28"/>
        <v>0.02138806762</v>
      </c>
      <c r="BL36" s="75">
        <f t="shared" si="28"/>
        <v>0.04906467942</v>
      </c>
      <c r="BM36" s="75">
        <f t="shared" si="28"/>
        <v>0.4192403368</v>
      </c>
      <c r="BN36" s="75">
        <f t="shared" si="28"/>
        <v>0.6279967789</v>
      </c>
      <c r="BO36" s="75">
        <f t="shared" si="28"/>
        <v>1.751581931</v>
      </c>
      <c r="BP36" s="75">
        <f t="shared" si="28"/>
        <v>-0.008131143426</v>
      </c>
      <c r="BQ36" s="75">
        <f t="shared" si="28"/>
        <v>0.1190926537</v>
      </c>
      <c r="BR36" s="75">
        <f t="shared" si="28"/>
        <v>0.2665559782</v>
      </c>
      <c r="BS36" s="75">
        <f t="shared" si="28"/>
        <v>0.05885612709</v>
      </c>
      <c r="BT36" s="75">
        <f t="shared" si="28"/>
        <v>0.3717932436</v>
      </c>
      <c r="BU36" s="75">
        <f t="shared" si="28"/>
        <v>0.6984462828</v>
      </c>
      <c r="BV36" s="75">
        <f t="shared" si="28"/>
        <v>0.7784173883</v>
      </c>
      <c r="BW36" s="75">
        <f t="shared" si="28"/>
        <v>0.9407548268</v>
      </c>
      <c r="BX36" s="75">
        <f t="shared" si="28"/>
        <v>0.6530637662</v>
      </c>
      <c r="BY36" s="75">
        <f t="shared" si="28"/>
        <v>-0.03142926044</v>
      </c>
      <c r="BZ36" s="75">
        <f t="shared" si="28"/>
        <v>1.077936205</v>
      </c>
      <c r="CA36" s="75">
        <f t="shared" si="28"/>
        <v>0.004919308051</v>
      </c>
      <c r="CB36" s="75">
        <f t="shared" si="28"/>
        <v>0.7353533182</v>
      </c>
      <c r="CC36" s="75">
        <f t="shared" si="28"/>
        <v>1.419108786</v>
      </c>
      <c r="CD36" s="75">
        <f t="shared" si="28"/>
        <v>1.200293415</v>
      </c>
      <c r="CE36" s="75">
        <f t="shared" si="28"/>
        <v>0.6366760992</v>
      </c>
      <c r="CF36" s="75">
        <f t="shared" si="28"/>
        <v>0.1011627118</v>
      </c>
      <c r="CG36" s="75">
        <f t="shared" si="28"/>
        <v>2.437098368</v>
      </c>
      <c r="CH36" s="75">
        <f t="shared" si="28"/>
        <v>1.507270091</v>
      </c>
      <c r="CI36" s="75">
        <f t="shared" si="28"/>
        <v>0.3299094824</v>
      </c>
      <c r="CJ36" s="75">
        <f t="shared" si="28"/>
        <v>1.12588804</v>
      </c>
      <c r="CK36" s="75">
        <f t="shared" si="28"/>
        <v>0.05138441161</v>
      </c>
      <c r="CL36" s="75">
        <f t="shared" si="28"/>
        <v>0.6401974973</v>
      </c>
      <c r="CM36" s="75">
        <f t="shared" si="28"/>
        <v>0.9421375686</v>
      </c>
      <c r="CN36" s="75">
        <f t="shared" si="28"/>
        <v>0.08346512337</v>
      </c>
      <c r="CO36" s="75">
        <f t="shared" si="28"/>
        <v>1.302655113</v>
      </c>
      <c r="CP36" s="75">
        <f t="shared" si="28"/>
        <v>0.398637633</v>
      </c>
      <c r="CQ36" s="75">
        <f t="shared" si="28"/>
        <v>0.8157207893</v>
      </c>
      <c r="CR36" s="75">
        <f t="shared" si="28"/>
        <v>-0.009923909775</v>
      </c>
      <c r="CS36" s="75">
        <f t="shared" si="28"/>
        <v>1.716019573</v>
      </c>
      <c r="CT36" s="75">
        <f t="shared" si="28"/>
        <v>0.4941973227</v>
      </c>
      <c r="CU36" s="75">
        <f t="shared" si="28"/>
        <v>0.2335935406</v>
      </c>
      <c r="CV36" s="75">
        <f t="shared" si="28"/>
        <v>-0.006193762922</v>
      </c>
      <c r="CW36" s="75">
        <f t="shared" si="28"/>
        <v>0.03972239599</v>
      </c>
      <c r="CX36" s="75">
        <f t="shared" si="28"/>
        <v>0.1076526868</v>
      </c>
      <c r="CY36" s="75">
        <f t="shared" si="28"/>
        <v>-0.07124675438</v>
      </c>
      <c r="CZ36" s="75">
        <f t="shared" si="28"/>
        <v>0.4105525997</v>
      </c>
      <c r="DA36" s="75">
        <f t="shared" si="28"/>
        <v>1.86634045</v>
      </c>
      <c r="DB36" s="75">
        <f t="shared" si="28"/>
        <v>3.187999841</v>
      </c>
      <c r="DC36" s="75">
        <f t="shared" si="28"/>
        <v>0.514140639</v>
      </c>
      <c r="DD36" s="75">
        <f t="shared" si="28"/>
        <v>0.853470607</v>
      </c>
      <c r="DE36" s="75">
        <f t="shared" si="28"/>
        <v>0.4368215565</v>
      </c>
      <c r="DF36" s="75">
        <f t="shared" si="28"/>
        <v>1.568329358</v>
      </c>
      <c r="DG36" s="75">
        <f t="shared" si="28"/>
        <v>1.632294403</v>
      </c>
      <c r="DH36" s="75">
        <f t="shared" si="28"/>
        <v>0.09906445116</v>
      </c>
      <c r="DI36" s="75">
        <f t="shared" si="28"/>
        <v>0.1091985747</v>
      </c>
      <c r="DJ36" s="75">
        <f t="shared" si="28"/>
        <v>2.997519244</v>
      </c>
      <c r="DK36" s="75">
        <f t="shared" si="28"/>
        <v>0.6378959653</v>
      </c>
      <c r="DL36" s="75">
        <f t="shared" si="28"/>
        <v>0.01569717372</v>
      </c>
      <c r="DM36" s="75">
        <f t="shared" si="28"/>
        <v>0.04066657018</v>
      </c>
      <c r="DN36" s="75">
        <f t="shared" si="28"/>
        <v>-0.05405850203</v>
      </c>
      <c r="DO36" s="75">
        <f t="shared" si="28"/>
        <v>1.665126338</v>
      </c>
      <c r="DP36" s="75">
        <f t="shared" si="28"/>
        <v>0.2199781081</v>
      </c>
      <c r="DQ36" s="75">
        <f t="shared" si="28"/>
        <v>0.3005337325</v>
      </c>
      <c r="DR36" s="75">
        <f t="shared" si="28"/>
        <v>0.6810520104</v>
      </c>
      <c r="DS36" s="75">
        <f t="shared" si="28"/>
        <v>-0.03875061065</v>
      </c>
      <c r="DT36" s="75">
        <f t="shared" si="28"/>
        <v>1.371803479</v>
      </c>
      <c r="DU36" s="75">
        <f t="shared" si="28"/>
        <v>0.1318632085</v>
      </c>
      <c r="DV36" s="75">
        <f t="shared" si="28"/>
        <v>0.4432529948</v>
      </c>
      <c r="DW36" s="75">
        <f t="shared" si="28"/>
        <v>1.311529291</v>
      </c>
      <c r="DX36" s="75">
        <f t="shared" si="28"/>
        <v>0.249423388</v>
      </c>
      <c r="DY36" s="75">
        <f t="shared" si="28"/>
        <v>0.02724805842</v>
      </c>
      <c r="DZ36" s="75">
        <f t="shared" si="28"/>
        <v>0.1320604626</v>
      </c>
      <c r="EA36" s="75">
        <f t="shared" si="28"/>
        <v>1.140376868</v>
      </c>
      <c r="EB36" s="75">
        <f t="shared" si="28"/>
        <v>0.0007344739058</v>
      </c>
      <c r="EC36" s="75">
        <f t="shared" si="28"/>
        <v>0.6037573501</v>
      </c>
      <c r="ED36" s="75">
        <f t="shared" si="28"/>
        <v>0.9916268439</v>
      </c>
      <c r="EE36" s="75">
        <f t="shared" si="28"/>
        <v>-0.04450013498</v>
      </c>
      <c r="EF36" s="75">
        <f t="shared" si="28"/>
        <v>3.313323414</v>
      </c>
      <c r="EG36" s="75">
        <f t="shared" si="28"/>
        <v>1.26392116</v>
      </c>
      <c r="EH36" s="75">
        <f t="shared" si="28"/>
        <v>2.688207945</v>
      </c>
      <c r="EI36" s="75">
        <f t="shared" si="28"/>
        <v>1.399948693</v>
      </c>
      <c r="EJ36" s="75">
        <f t="shared" si="28"/>
        <v>0.772383973</v>
      </c>
      <c r="EK36" s="75">
        <f t="shared" si="28"/>
        <v>0.4788530168</v>
      </c>
      <c r="EL36" s="75">
        <f t="shared" si="28"/>
        <v>0.1386746623</v>
      </c>
      <c r="EM36" s="75">
        <f t="shared" si="28"/>
        <v>0.2566681347</v>
      </c>
      <c r="EN36" s="75">
        <f t="shared" si="28"/>
        <v>0.05753729708</v>
      </c>
      <c r="EO36" s="75">
        <f t="shared" si="28"/>
        <v>0.08787379378</v>
      </c>
      <c r="EP36" s="75">
        <f t="shared" si="28"/>
        <v>0.02324386603</v>
      </c>
      <c r="EQ36" s="75">
        <f t="shared" si="28"/>
        <v>0.4683263745</v>
      </c>
      <c r="ER36" s="75">
        <f t="shared" si="28"/>
        <v>0.5468033937</v>
      </c>
      <c r="ES36" s="75">
        <f t="shared" si="28"/>
        <v>0.8478884837</v>
      </c>
      <c r="ET36" s="75">
        <f t="shared" si="28"/>
        <v>0.2673249383</v>
      </c>
      <c r="EU36" s="75">
        <f t="shared" si="28"/>
        <v>1.859172767</v>
      </c>
      <c r="EV36" s="75">
        <f t="shared" si="28"/>
        <v>0.4383224263</v>
      </c>
      <c r="EW36" s="75">
        <f t="shared" si="28"/>
        <v>0.1046482105</v>
      </c>
      <c r="EX36" s="75">
        <f t="shared" si="28"/>
        <v>-0.03383694913</v>
      </c>
      <c r="EY36" s="75">
        <f t="shared" si="28"/>
        <v>2.537894652</v>
      </c>
      <c r="EZ36" s="75">
        <f t="shared" si="28"/>
        <v>1.161960282</v>
      </c>
      <c r="FA36" s="75">
        <f t="shared" si="28"/>
        <v>2.195566563</v>
      </c>
      <c r="FB36" s="75">
        <f t="shared" si="28"/>
        <v>2.99506162</v>
      </c>
      <c r="FC36" s="75">
        <f t="shared" si="28"/>
        <v>0.305577678</v>
      </c>
      <c r="FD36" s="75">
        <f t="shared" si="28"/>
        <v>-0.08532477718</v>
      </c>
      <c r="FE36" s="75">
        <f t="shared" si="28"/>
        <v>0.5045783103</v>
      </c>
      <c r="FF36" s="75">
        <f t="shared" si="28"/>
        <v>-0.1091878764</v>
      </c>
      <c r="FG36" s="75">
        <f t="shared" si="28"/>
        <v>0.617571712</v>
      </c>
      <c r="FH36" s="75">
        <f t="shared" si="28"/>
        <v>1.107472462</v>
      </c>
      <c r="FI36" s="75">
        <f t="shared" si="28"/>
        <v>0.2634239262</v>
      </c>
      <c r="FJ36" s="75">
        <f t="shared" si="28"/>
        <v>0.9874508603</v>
      </c>
      <c r="FK36" s="75">
        <f t="shared" si="28"/>
        <v>-0.1553800342</v>
      </c>
      <c r="FL36" s="75">
        <f t="shared" si="28"/>
        <v>0.3360754951</v>
      </c>
      <c r="FM36" s="75">
        <f t="shared" si="28"/>
        <v>1.226987529</v>
      </c>
      <c r="FN36" s="75">
        <f t="shared" si="28"/>
        <v>0.2125779422</v>
      </c>
      <c r="FO36" s="75">
        <f t="shared" si="28"/>
        <v>1.382927031</v>
      </c>
      <c r="FP36" s="75">
        <f t="shared" si="28"/>
        <v>1.126553367</v>
      </c>
      <c r="FQ36" s="75">
        <f t="shared" si="28"/>
        <v>0.4245355096</v>
      </c>
      <c r="FR36" s="75">
        <f t="shared" si="28"/>
        <v>1.014241293</v>
      </c>
      <c r="FS36" s="75">
        <f t="shared" si="28"/>
        <v>0.2397851256</v>
      </c>
      <c r="FT36" s="75">
        <f t="shared" si="28"/>
        <v>0.8635167273</v>
      </c>
      <c r="FU36" s="75">
        <f t="shared" si="28"/>
        <v>0.8191473495</v>
      </c>
      <c r="FV36" s="75">
        <f t="shared" si="28"/>
        <v>2.202312265</v>
      </c>
      <c r="FW36" s="75">
        <f t="shared" si="28"/>
        <v>0.5651008945</v>
      </c>
      <c r="FX36" s="75">
        <f t="shared" si="28"/>
        <v>0.2697480817</v>
      </c>
      <c r="FY36" s="75">
        <f t="shared" si="28"/>
        <v>-0.1304782625</v>
      </c>
      <c r="FZ36" s="75">
        <f t="shared" si="28"/>
        <v>-0.04030552283</v>
      </c>
      <c r="GA36" s="75">
        <f t="shared" si="28"/>
        <v>0.2202832538</v>
      </c>
      <c r="GB36" s="75">
        <f t="shared" si="28"/>
        <v>0.5785061616</v>
      </c>
      <c r="GC36" s="75">
        <f t="shared" si="28"/>
        <v>0.6011321618</v>
      </c>
      <c r="GD36" s="75">
        <f t="shared" si="28"/>
        <v>-0.02774234754</v>
      </c>
      <c r="GE36" s="75">
        <f t="shared" si="28"/>
        <v>-0.009979939766</v>
      </c>
      <c r="GF36" s="75">
        <f t="shared" si="28"/>
        <v>2.954320191</v>
      </c>
      <c r="GG36" s="75">
        <f t="shared" si="28"/>
        <v>0.1778308665</v>
      </c>
      <c r="GH36" s="75">
        <f t="shared" si="28"/>
        <v>1.183975234</v>
      </c>
      <c r="GI36" s="75">
        <f t="shared" si="28"/>
        <v>0.4771213906</v>
      </c>
      <c r="GJ36" s="75">
        <f t="shared" si="28"/>
        <v>1.737634102</v>
      </c>
      <c r="GK36" s="75">
        <f t="shared" si="28"/>
        <v>1.319551756</v>
      </c>
      <c r="GL36" s="75">
        <f t="shared" si="28"/>
        <v>0.5517815866</v>
      </c>
      <c r="GM36" s="75">
        <f t="shared" si="28"/>
        <v>2.429007794</v>
      </c>
      <c r="GN36" s="75">
        <f t="shared" si="28"/>
        <v>1.983557136</v>
      </c>
      <c r="GO36" s="75">
        <f t="shared" si="28"/>
        <v>0.1899092357</v>
      </c>
      <c r="GP36" s="75">
        <f t="shared" si="28"/>
        <v>0.8619499789</v>
      </c>
      <c r="GQ36" s="75">
        <f t="shared" si="28"/>
        <v>0.8382320632</v>
      </c>
      <c r="GR36" s="75">
        <f t="shared" si="28"/>
        <v>-0.04140301498</v>
      </c>
      <c r="GS36" s="75">
        <f t="shared" si="28"/>
        <v>0.165013909</v>
      </c>
      <c r="GT36" s="75">
        <f t="shared" si="28"/>
        <v>-0.08287657765</v>
      </c>
      <c r="GU36" s="75">
        <f t="shared" si="28"/>
        <v>1.633492113</v>
      </c>
      <c r="GV36" s="75">
        <f t="shared" si="28"/>
        <v>2.140405789</v>
      </c>
      <c r="GW36" s="75">
        <f t="shared" si="28"/>
        <v>0.3083485659</v>
      </c>
      <c r="GX36" s="75">
        <f t="shared" si="28"/>
        <v>0.03207786158</v>
      </c>
      <c r="GY36" s="75">
        <f t="shared" si="28"/>
        <v>1.172720042</v>
      </c>
      <c r="GZ36" s="75">
        <f t="shared" si="28"/>
        <v>0.6538414374</v>
      </c>
      <c r="HA36" s="75">
        <f t="shared" si="28"/>
        <v>-0.09092183644</v>
      </c>
      <c r="HB36" s="75">
        <f t="shared" si="28"/>
        <v>0.3783293717</v>
      </c>
      <c r="HC36" s="75">
        <f t="shared" si="28"/>
        <v>0.321328432</v>
      </c>
      <c r="HD36" s="75">
        <f t="shared" si="28"/>
        <v>-0.01099231358</v>
      </c>
      <c r="HE36" s="75">
        <f t="shared" si="28"/>
        <v>0.2888980018</v>
      </c>
      <c r="HF36" s="75">
        <f t="shared" si="28"/>
        <v>0.03481454925</v>
      </c>
      <c r="HG36" s="75">
        <f t="shared" si="28"/>
        <v>-0.02099813311</v>
      </c>
      <c r="HH36" s="75">
        <f t="shared" si="28"/>
        <v>1.317326597</v>
      </c>
      <c r="HI36" s="75">
        <f t="shared" si="28"/>
        <v>-0.07054542293</v>
      </c>
      <c r="HJ36" s="75">
        <f t="shared" si="28"/>
        <v>0.5075068168</v>
      </c>
      <c r="HK36" s="75">
        <f t="shared" si="28"/>
        <v>0.000491776099</v>
      </c>
      <c r="HL36" s="75">
        <f t="shared" si="28"/>
        <v>-0.005045683266</v>
      </c>
      <c r="HM36" s="75">
        <f t="shared" si="28"/>
        <v>1.271050019</v>
      </c>
      <c r="HN36" s="75">
        <f t="shared" si="28"/>
        <v>0.1979734712</v>
      </c>
      <c r="HO36" s="75">
        <f t="shared" si="28"/>
        <v>0.09915664241</v>
      </c>
      <c r="HP36" s="75">
        <f t="shared" si="28"/>
        <v>0.7862043271</v>
      </c>
      <c r="HQ36" s="75">
        <f t="shared" si="28"/>
        <v>0.04010490437</v>
      </c>
      <c r="HR36" s="75">
        <f t="shared" si="28"/>
        <v>0.7345462604</v>
      </c>
      <c r="HS36" s="75">
        <f t="shared" si="28"/>
        <v>0.3022472417</v>
      </c>
      <c r="HT36" s="75">
        <f t="shared" si="28"/>
        <v>0.1244213079</v>
      </c>
      <c r="HU36" s="75">
        <f t="shared" si="28"/>
        <v>0.5719803629</v>
      </c>
      <c r="HV36" s="75">
        <f t="shared" si="28"/>
        <v>1.247610865</v>
      </c>
      <c r="HW36" s="75">
        <f t="shared" si="28"/>
        <v>1.599349913</v>
      </c>
      <c r="HX36" s="75">
        <f t="shared" si="28"/>
        <v>0.1601550984</v>
      </c>
      <c r="HY36" s="75">
        <f t="shared" si="28"/>
        <v>0.001001763777</v>
      </c>
      <c r="HZ36" s="75">
        <f t="shared" si="28"/>
        <v>2.084990616</v>
      </c>
      <c r="IA36" s="75">
        <f t="shared" si="28"/>
        <v>-0.07189807639</v>
      </c>
      <c r="IB36" s="75">
        <f t="shared" si="28"/>
        <v>0.2690871015</v>
      </c>
      <c r="IC36" s="75">
        <f t="shared" si="28"/>
        <v>0.1938717485</v>
      </c>
      <c r="ID36" s="75">
        <f t="shared" si="28"/>
        <v>-0.09751153597</v>
      </c>
      <c r="IE36" s="75">
        <f t="shared" si="28"/>
        <v>1.970990014</v>
      </c>
      <c r="IF36" s="75">
        <f t="shared" si="28"/>
        <v>2.421287124</v>
      </c>
      <c r="IG36" s="75">
        <f t="shared" si="28"/>
        <v>2.185465649</v>
      </c>
      <c r="IH36" s="75">
        <f t="shared" si="28"/>
        <v>0.5533551261</v>
      </c>
      <c r="II36" s="75">
        <f t="shared" si="28"/>
        <v>1.010588907</v>
      </c>
      <c r="IJ36" s="75">
        <f t="shared" si="28"/>
        <v>0.02660268306</v>
      </c>
      <c r="IK36" s="75">
        <f t="shared" si="28"/>
        <v>1.628750197</v>
      </c>
      <c r="IL36" s="75">
        <f t="shared" si="28"/>
        <v>1.158606361</v>
      </c>
      <c r="IM36" s="75">
        <f t="shared" si="28"/>
        <v>0.3876404544</v>
      </c>
      <c r="IN36" s="75">
        <f t="shared" si="28"/>
        <v>0.3343046632</v>
      </c>
      <c r="IO36" s="75">
        <f t="shared" si="28"/>
        <v>0.4866775959</v>
      </c>
      <c r="IP36" s="75">
        <f t="shared" si="28"/>
        <v>2.020225791</v>
      </c>
      <c r="IQ36" s="75">
        <f t="shared" si="28"/>
        <v>0.3129552298</v>
      </c>
      <c r="IR36" s="75">
        <f t="shared" si="28"/>
        <v>0.4683189852</v>
      </c>
      <c r="IS36" s="75">
        <f t="shared" si="28"/>
        <v>0.6491604977</v>
      </c>
      <c r="IT36" s="75">
        <f t="shared" si="28"/>
        <v>0.1745605255</v>
      </c>
      <c r="IU36" s="75">
        <f t="shared" si="28"/>
        <v>0.02308413256</v>
      </c>
      <c r="IV36" s="75">
        <f t="shared" si="28"/>
        <v>0.8118244522</v>
      </c>
      <c r="IW36" s="75">
        <f t="shared" si="28"/>
        <v>-0.05249857474</v>
      </c>
      <c r="IX36" s="75">
        <f t="shared" si="28"/>
        <v>-0.161783768</v>
      </c>
      <c r="IY36" s="75">
        <f t="shared" si="28"/>
        <v>1.500330302</v>
      </c>
      <c r="IZ36" s="75">
        <f t="shared" si="28"/>
        <v>0.0100044199</v>
      </c>
      <c r="JA36" s="75">
        <f t="shared" si="28"/>
        <v>-0.03744084734</v>
      </c>
      <c r="JB36" s="75">
        <f t="shared" si="28"/>
        <v>0.3333360398</v>
      </c>
      <c r="JC36" s="75">
        <f t="shared" si="28"/>
        <v>0.06801863313</v>
      </c>
      <c r="JD36" s="75">
        <f t="shared" si="28"/>
        <v>0.2407590255</v>
      </c>
      <c r="JE36" s="75">
        <f t="shared" si="28"/>
        <v>0.008229231754</v>
      </c>
      <c r="JF36" s="75">
        <f t="shared" si="28"/>
        <v>0.7889783036</v>
      </c>
      <c r="JG36" s="75">
        <f t="shared" si="28"/>
        <v>1.309879703</v>
      </c>
      <c r="JH36" s="75">
        <f t="shared" si="28"/>
        <v>1.136409673</v>
      </c>
      <c r="JI36" s="75">
        <f t="shared" si="28"/>
        <v>0.0204738227</v>
      </c>
      <c r="JJ36" s="75">
        <f t="shared" si="28"/>
        <v>0.6595321808</v>
      </c>
      <c r="JK36" s="75">
        <f t="shared" si="28"/>
        <v>1.441670777</v>
      </c>
      <c r="JL36" s="75">
        <f t="shared" si="28"/>
        <v>0.3458925148</v>
      </c>
      <c r="JM36" s="75">
        <f t="shared" si="28"/>
        <v>0.319635992</v>
      </c>
      <c r="JN36" s="75">
        <f t="shared" si="28"/>
        <v>2.299034953</v>
      </c>
      <c r="JO36" s="75">
        <f t="shared" si="28"/>
        <v>0.8260569293</v>
      </c>
      <c r="JP36" s="75">
        <f t="shared" si="28"/>
        <v>1.313896638</v>
      </c>
      <c r="JQ36" s="75">
        <f t="shared" si="28"/>
        <v>0.9933357576</v>
      </c>
      <c r="JR36" s="75">
        <f t="shared" si="28"/>
        <v>0.03955895625</v>
      </c>
      <c r="JS36" s="75">
        <f t="shared" si="28"/>
        <v>2.317692724</v>
      </c>
      <c r="JT36" s="75">
        <f t="shared" si="28"/>
        <v>-0.04470872512</v>
      </c>
      <c r="JU36" s="75">
        <f t="shared" si="28"/>
        <v>0.2660166004</v>
      </c>
      <c r="JV36" s="75">
        <f t="shared" si="28"/>
        <v>0.2064630405</v>
      </c>
      <c r="JW36" s="75">
        <f t="shared" si="28"/>
        <v>0.2471267175</v>
      </c>
      <c r="JX36" s="75">
        <f t="shared" si="28"/>
        <v>0.2146151699</v>
      </c>
      <c r="JY36" s="75">
        <f t="shared" si="28"/>
        <v>0.477299292</v>
      </c>
      <c r="JZ36" s="75">
        <f t="shared" si="28"/>
        <v>2.092899131</v>
      </c>
      <c r="KA36" s="75">
        <f t="shared" si="28"/>
        <v>0.7552607265</v>
      </c>
      <c r="KB36" s="75">
        <f t="shared" si="28"/>
        <v>0.02647006929</v>
      </c>
      <c r="KC36" s="75">
        <f t="shared" si="28"/>
        <v>1.738933779</v>
      </c>
      <c r="KD36" s="75">
        <f t="shared" si="28"/>
        <v>2.065437428</v>
      </c>
      <c r="KE36" s="75">
        <f t="shared" si="28"/>
        <v>1.692018095</v>
      </c>
      <c r="KF36" s="75">
        <f t="shared" si="28"/>
        <v>-0.04654602601</v>
      </c>
      <c r="KG36" s="75">
        <f t="shared" si="28"/>
        <v>0.1093227206</v>
      </c>
      <c r="KH36" s="75">
        <f t="shared" si="28"/>
        <v>1.415885665</v>
      </c>
      <c r="KI36" s="75">
        <f t="shared" si="28"/>
        <v>0.1437786169</v>
      </c>
      <c r="KJ36" s="75">
        <f t="shared" si="28"/>
        <v>0.064103788</v>
      </c>
      <c r="KK36" s="75">
        <f t="shared" si="28"/>
        <v>0.1478225636</v>
      </c>
      <c r="KL36" s="75">
        <f t="shared" si="28"/>
        <v>-0.02022552398</v>
      </c>
      <c r="KM36" s="75">
        <f t="shared" si="28"/>
        <v>0.2797275402</v>
      </c>
      <c r="KN36" s="75">
        <f t="shared" si="28"/>
        <v>2.496027655</v>
      </c>
      <c r="KO36" s="75">
        <f t="shared" si="28"/>
        <v>0.008995233428</v>
      </c>
      <c r="KP36" s="75">
        <f t="shared" si="28"/>
        <v>0.5063785147</v>
      </c>
      <c r="KQ36" s="75">
        <f t="shared" si="28"/>
        <v>0.4940007553</v>
      </c>
      <c r="KR36" s="75">
        <f t="shared" si="28"/>
        <v>0.5591994451</v>
      </c>
      <c r="KS36" s="75">
        <f t="shared" si="28"/>
        <v>0.4298095921</v>
      </c>
      <c r="KT36" s="75">
        <f t="shared" si="28"/>
        <v>0.1139207913</v>
      </c>
      <c r="KU36" s="75">
        <f t="shared" si="28"/>
        <v>0.5522112445</v>
      </c>
      <c r="KV36" s="75">
        <f t="shared" si="28"/>
        <v>1.025730632</v>
      </c>
      <c r="KW36" s="75">
        <f t="shared" si="28"/>
        <v>0.1136883451</v>
      </c>
      <c r="KX36" s="75">
        <f t="shared" si="28"/>
        <v>1.986661177</v>
      </c>
      <c r="KY36" s="75">
        <f t="shared" si="28"/>
        <v>2.130000538</v>
      </c>
      <c r="KZ36" s="75">
        <f t="shared" si="28"/>
        <v>0.03507916027</v>
      </c>
      <c r="LA36" s="75">
        <f t="shared" si="28"/>
        <v>0.06615662836</v>
      </c>
      <c r="LB36" s="75">
        <f t="shared" si="28"/>
        <v>1.65493191</v>
      </c>
      <c r="LC36" s="75">
        <f t="shared" si="28"/>
        <v>0.4491155962</v>
      </c>
      <c r="LD36" s="75">
        <f t="shared" si="28"/>
        <v>1.332644119</v>
      </c>
      <c r="LE36" s="75">
        <f t="shared" si="28"/>
        <v>0.1783691291</v>
      </c>
      <c r="LF36" s="75">
        <f t="shared" si="28"/>
        <v>1.0757527</v>
      </c>
      <c r="LG36" s="75">
        <f t="shared" si="28"/>
        <v>0.2611148287</v>
      </c>
      <c r="LH36" s="75">
        <f t="shared" si="28"/>
        <v>0.1315606903</v>
      </c>
      <c r="LI36" s="75">
        <f t="shared" si="28"/>
        <v>1.353817038</v>
      </c>
      <c r="LJ36" s="75">
        <f t="shared" si="28"/>
        <v>2.232330837</v>
      </c>
      <c r="LK36" s="75">
        <f t="shared" si="28"/>
        <v>1.857777726</v>
      </c>
      <c r="LL36" s="75">
        <f t="shared" si="28"/>
        <v>-0.1345140385</v>
      </c>
      <c r="LM36" s="75">
        <f t="shared" si="28"/>
        <v>0.5440225082</v>
      </c>
      <c r="LN36" s="75">
        <f t="shared" si="28"/>
        <v>0.7122695705</v>
      </c>
      <c r="LO36" s="75">
        <f t="shared" si="28"/>
        <v>-0.05367320034</v>
      </c>
      <c r="LP36" s="75">
        <f t="shared" si="28"/>
        <v>-0.003271348176</v>
      </c>
      <c r="LQ36" s="75">
        <f t="shared" si="28"/>
        <v>0.8756089141</v>
      </c>
      <c r="LR36" s="75">
        <f t="shared" si="28"/>
        <v>0.9352897042</v>
      </c>
      <c r="LS36" s="75">
        <f t="shared" si="28"/>
        <v>1.563229584</v>
      </c>
      <c r="LT36" s="75">
        <f t="shared" si="28"/>
        <v>0.1891710226</v>
      </c>
      <c r="LU36" s="75">
        <f t="shared" si="28"/>
        <v>0.03407427369</v>
      </c>
      <c r="LV36" s="75">
        <f t="shared" si="28"/>
        <v>0.1336549432</v>
      </c>
      <c r="LW36" s="75">
        <f t="shared" si="28"/>
        <v>0.736030176</v>
      </c>
      <c r="LX36" s="75">
        <f t="shared" si="28"/>
        <v>1.216988314</v>
      </c>
      <c r="LY36" s="75">
        <f t="shared" si="28"/>
        <v>1.640665646</v>
      </c>
      <c r="LZ36" s="75">
        <f t="shared" si="28"/>
        <v>0.002908650028</v>
      </c>
      <c r="MA36" s="75">
        <f t="shared" si="28"/>
        <v>0.05013319893</v>
      </c>
      <c r="MB36" s="75">
        <f t="shared" si="28"/>
        <v>1.819712968</v>
      </c>
      <c r="MC36" s="75">
        <f t="shared" si="28"/>
        <v>1.45754662</v>
      </c>
      <c r="MD36" s="75">
        <f t="shared" si="28"/>
        <v>0.3367261652</v>
      </c>
      <c r="ME36" s="75">
        <f t="shared" si="28"/>
        <v>1.723100537</v>
      </c>
      <c r="MF36" s="75">
        <f t="shared" si="28"/>
        <v>0.5440125773</v>
      </c>
      <c r="MG36" s="75">
        <f t="shared" si="28"/>
        <v>1.075269693</v>
      </c>
      <c r="MH36" s="75">
        <f t="shared" si="28"/>
        <v>2.157362792</v>
      </c>
      <c r="MI36" s="75">
        <f t="shared" si="28"/>
        <v>1.052553713</v>
      </c>
      <c r="MJ36" s="75">
        <f t="shared" si="28"/>
        <v>0.9022697415</v>
      </c>
      <c r="MK36" s="75">
        <f t="shared" si="28"/>
        <v>-0.0750129931</v>
      </c>
      <c r="ML36" s="75">
        <f t="shared" si="28"/>
        <v>0.4374645057</v>
      </c>
      <c r="MM36" s="75">
        <f t="shared" si="28"/>
        <v>0.5016389488</v>
      </c>
      <c r="MN36" s="75">
        <f t="shared" si="28"/>
        <v>0.3788443371</v>
      </c>
      <c r="MO36" s="75">
        <f t="shared" si="28"/>
        <v>1.094239974</v>
      </c>
      <c r="MP36" s="75">
        <f t="shared" si="28"/>
        <v>1.614077152</v>
      </c>
      <c r="MQ36" s="75">
        <f t="shared" si="28"/>
        <v>-0.1245672598</v>
      </c>
      <c r="MR36" s="75">
        <f t="shared" si="28"/>
        <v>0.09529245244</v>
      </c>
      <c r="MS36" s="75">
        <f t="shared" si="28"/>
        <v>0.04433981259</v>
      </c>
      <c r="MT36" s="75">
        <f t="shared" si="28"/>
        <v>0.9477785503</v>
      </c>
      <c r="MU36" s="75">
        <f t="shared" si="28"/>
        <v>0.02073223245</v>
      </c>
      <c r="MV36" s="75">
        <f t="shared" si="28"/>
        <v>1.653881715</v>
      </c>
      <c r="MW36" s="75">
        <f t="shared" si="28"/>
        <v>0.623585083</v>
      </c>
      <c r="MX36" s="75">
        <f t="shared" si="28"/>
        <v>1.677097194</v>
      </c>
      <c r="MY36" s="75">
        <f t="shared" si="28"/>
        <v>0.1222273428</v>
      </c>
      <c r="MZ36" s="75">
        <f t="shared" si="28"/>
        <v>0.2015188131</v>
      </c>
      <c r="NA36" s="75">
        <f t="shared" si="28"/>
        <v>1.572659019</v>
      </c>
      <c r="NB36" s="75">
        <f t="shared" si="28"/>
        <v>0.4799267693</v>
      </c>
      <c r="NC36" s="75">
        <f t="shared" si="28"/>
        <v>0.1803455812</v>
      </c>
      <c r="ND36" s="75">
        <f t="shared" si="28"/>
        <v>1.558429547</v>
      </c>
      <c r="NE36" s="75">
        <f t="shared" si="28"/>
        <v>0.282973414</v>
      </c>
      <c r="NF36" s="75">
        <f t="shared" si="28"/>
        <v>0.1731079998</v>
      </c>
      <c r="NG36" s="75">
        <f t="shared" si="28"/>
        <v>1.1040126</v>
      </c>
      <c r="NH36" s="75">
        <f t="shared" si="28"/>
        <v>0.0445361977</v>
      </c>
      <c r="NI36" s="75">
        <f t="shared" si="28"/>
        <v>0.6618842429</v>
      </c>
      <c r="NJ36" s="75">
        <f t="shared" si="28"/>
        <v>0.1129507447</v>
      </c>
      <c r="NK36" s="75">
        <f t="shared" si="28"/>
        <v>0.4963200869</v>
      </c>
      <c r="NL36" s="75">
        <f t="shared" si="28"/>
        <v>1.048737148</v>
      </c>
      <c r="NM36" s="75">
        <f t="shared" si="28"/>
        <v>0.7855177681</v>
      </c>
      <c r="NN36" s="75">
        <f t="shared" si="28"/>
        <v>0.07967804544</v>
      </c>
      <c r="NO36" s="75">
        <f t="shared" si="28"/>
        <v>0.3059178991</v>
      </c>
      <c r="NP36" s="75">
        <f t="shared" si="28"/>
        <v>1.795925861</v>
      </c>
      <c r="NQ36" s="75">
        <f t="shared" si="28"/>
        <v>0.1796581029</v>
      </c>
      <c r="NR36" s="75">
        <f t="shared" si="28"/>
        <v>0.1266184307</v>
      </c>
      <c r="NS36" s="75">
        <f t="shared" si="28"/>
        <v>0.710042204</v>
      </c>
      <c r="NT36" s="75">
        <f t="shared" si="28"/>
        <v>0.7506353909</v>
      </c>
      <c r="NU36" s="75">
        <f t="shared" si="28"/>
        <v>0.5660336763</v>
      </c>
      <c r="NV36" s="75">
        <f t="shared" si="28"/>
        <v>0.2707026066</v>
      </c>
      <c r="NW36" s="75">
        <f t="shared" si="28"/>
        <v>1.564539559</v>
      </c>
      <c r="NX36" s="75">
        <f t="shared" si="28"/>
        <v>0.3330920968</v>
      </c>
      <c r="NY36" s="75">
        <f t="shared" si="28"/>
        <v>0.5193501631</v>
      </c>
      <c r="NZ36" s="75">
        <f t="shared" si="28"/>
        <v>0.003644392014</v>
      </c>
      <c r="OA36" s="75">
        <f t="shared" si="28"/>
        <v>-0.004770080326</v>
      </c>
      <c r="OB36" s="75">
        <f t="shared" si="28"/>
        <v>1.666092603</v>
      </c>
      <c r="OC36" s="75">
        <f t="shared" si="28"/>
        <v>-0.01411530432</v>
      </c>
      <c r="OD36" s="75">
        <f t="shared" si="28"/>
        <v>1.607852839</v>
      </c>
      <c r="OE36" s="75">
        <f t="shared" si="28"/>
        <v>0.3617498133</v>
      </c>
      <c r="OF36" s="75">
        <f t="shared" si="28"/>
        <v>-0.003037080239</v>
      </c>
      <c r="OG36" s="75">
        <f t="shared" si="28"/>
        <v>0.7780141318</v>
      </c>
      <c r="OH36" s="75">
        <f t="shared" si="28"/>
        <v>0.3191967116</v>
      </c>
      <c r="OI36" s="75">
        <f t="shared" si="28"/>
        <v>2.377485105</v>
      </c>
      <c r="OJ36" s="75">
        <f t="shared" si="28"/>
        <v>0.1983312086</v>
      </c>
      <c r="OK36" s="75">
        <f t="shared" si="28"/>
        <v>0.05966626715</v>
      </c>
      <c r="OL36" s="75">
        <f t="shared" si="28"/>
        <v>1.20752121</v>
      </c>
      <c r="OM36" s="75">
        <f t="shared" si="28"/>
        <v>0.0339667305</v>
      </c>
      <c r="ON36" s="75">
        <f t="shared" si="28"/>
        <v>1.25452516</v>
      </c>
      <c r="OO36" s="75">
        <f t="shared" si="28"/>
        <v>0.06470601124</v>
      </c>
      <c r="OP36" s="75">
        <f t="shared" si="28"/>
        <v>0.4002864604</v>
      </c>
      <c r="OQ36" s="75">
        <f t="shared" si="28"/>
        <v>0.0309946368</v>
      </c>
      <c r="OR36" s="75">
        <f t="shared" si="28"/>
        <v>0.6479580021</v>
      </c>
      <c r="OS36" s="75">
        <f t="shared" si="28"/>
        <v>0.1425000268</v>
      </c>
      <c r="OT36" s="75">
        <f t="shared" si="28"/>
        <v>1.167204556</v>
      </c>
      <c r="OU36" s="75">
        <f t="shared" si="28"/>
        <v>0.1120755013</v>
      </c>
      <c r="OV36" s="75">
        <f t="shared" si="28"/>
        <v>1.495878993</v>
      </c>
      <c r="OW36" s="75">
        <f t="shared" si="28"/>
        <v>0.6782403188</v>
      </c>
      <c r="OX36" s="75">
        <f t="shared" si="28"/>
        <v>0.06676679124</v>
      </c>
      <c r="OY36" s="75">
        <f t="shared" si="28"/>
        <v>0.9396529396</v>
      </c>
      <c r="OZ36" s="75">
        <f t="shared" si="28"/>
        <v>0.09801906801</v>
      </c>
      <c r="PA36" s="75">
        <f t="shared" si="28"/>
        <v>0.4419399409</v>
      </c>
      <c r="PB36" s="75">
        <f t="shared" si="28"/>
        <v>0.09530750998</v>
      </c>
      <c r="PC36" s="75">
        <f t="shared" si="28"/>
        <v>0.5492136922</v>
      </c>
      <c r="PD36" s="75">
        <f t="shared" si="28"/>
        <v>0.570050369</v>
      </c>
      <c r="PE36" s="75">
        <f t="shared" si="28"/>
        <v>0.1209433409</v>
      </c>
      <c r="PF36" s="75">
        <f t="shared" si="28"/>
        <v>0.6298351029</v>
      </c>
      <c r="PG36" s="75">
        <f t="shared" si="28"/>
        <v>-0.01405248608</v>
      </c>
      <c r="PH36" s="75">
        <f t="shared" si="28"/>
        <v>-0.04829139015</v>
      </c>
      <c r="PI36" s="75">
        <f t="shared" si="28"/>
        <v>0.181487575</v>
      </c>
      <c r="PJ36" s="75">
        <f t="shared" si="28"/>
        <v>0.03171282865</v>
      </c>
      <c r="PK36" s="75">
        <f t="shared" si="28"/>
        <v>0.3902112188</v>
      </c>
      <c r="PL36" s="75">
        <f t="shared" si="28"/>
        <v>0.5405414381</v>
      </c>
      <c r="PM36" s="75">
        <f t="shared" si="28"/>
        <v>0.03049497527</v>
      </c>
      <c r="PN36" s="75">
        <f t="shared" si="28"/>
        <v>0.1482592783</v>
      </c>
      <c r="PO36" s="75">
        <f t="shared" si="28"/>
        <v>0.04720994324</v>
      </c>
      <c r="PP36" s="75">
        <f t="shared" si="28"/>
        <v>-0.05414049787</v>
      </c>
      <c r="PQ36" s="75">
        <f t="shared" si="28"/>
        <v>0.628414403</v>
      </c>
      <c r="PR36" s="75">
        <f t="shared" si="28"/>
        <v>1.934613245</v>
      </c>
      <c r="PS36" s="75">
        <f t="shared" si="28"/>
        <v>-0.02003870671</v>
      </c>
      <c r="PT36" s="75">
        <f t="shared" si="28"/>
        <v>0.2807426512</v>
      </c>
      <c r="PU36" s="75">
        <f t="shared" si="28"/>
        <v>0.1010412741</v>
      </c>
      <c r="PV36" s="75">
        <f t="shared" si="28"/>
        <v>0.843855608</v>
      </c>
      <c r="PW36" s="75">
        <f t="shared" si="28"/>
        <v>1.695901913</v>
      </c>
      <c r="PX36" s="75">
        <f t="shared" si="28"/>
        <v>1.228914742</v>
      </c>
      <c r="PY36" s="75">
        <f t="shared" si="28"/>
        <v>0.5448863157</v>
      </c>
      <c r="PZ36" s="75">
        <f t="shared" si="28"/>
        <v>0.1729522387</v>
      </c>
      <c r="QA36" s="75">
        <f t="shared" si="28"/>
        <v>0.609322427</v>
      </c>
      <c r="QB36" s="75">
        <f t="shared" si="28"/>
        <v>0.2193382628</v>
      </c>
      <c r="QC36" s="75">
        <f t="shared" si="28"/>
        <v>2.865110468</v>
      </c>
      <c r="QD36" s="75">
        <f t="shared" si="28"/>
        <v>0.05155036881</v>
      </c>
      <c r="QE36" s="75">
        <f t="shared" si="28"/>
        <v>0.6786575478</v>
      </c>
      <c r="QF36" s="75">
        <f t="shared" si="28"/>
        <v>0.3356319545</v>
      </c>
      <c r="QG36" s="75">
        <f t="shared" si="28"/>
        <v>2.028608723</v>
      </c>
      <c r="QH36" s="75">
        <f t="shared" si="28"/>
        <v>0.5555759959</v>
      </c>
      <c r="QI36" s="75">
        <f t="shared" si="28"/>
        <v>-0.09702756293</v>
      </c>
      <c r="QJ36" s="75">
        <f t="shared" si="28"/>
        <v>-0.1235163756</v>
      </c>
      <c r="QK36" s="75">
        <f t="shared" si="28"/>
        <v>1.123026623</v>
      </c>
      <c r="QL36" s="75">
        <f t="shared" si="28"/>
        <v>0.1190858065</v>
      </c>
      <c r="QM36" s="75">
        <f t="shared" si="28"/>
        <v>1.893704057</v>
      </c>
      <c r="QN36" s="75">
        <f t="shared" si="28"/>
        <v>0.04196237983</v>
      </c>
      <c r="QO36" s="75">
        <f t="shared" si="28"/>
        <v>0.06141781213</v>
      </c>
      <c r="QP36" s="75">
        <f t="shared" si="28"/>
        <v>-0.1019030826</v>
      </c>
      <c r="QQ36" s="75">
        <f t="shared" si="28"/>
        <v>2.18619922</v>
      </c>
      <c r="QR36" s="75">
        <f t="shared" si="28"/>
        <v>1.200868843</v>
      </c>
      <c r="QS36" s="75">
        <f t="shared" si="28"/>
        <v>1.048040622</v>
      </c>
      <c r="QT36" s="75">
        <f t="shared" si="28"/>
        <v>0.9699028452</v>
      </c>
      <c r="QU36" s="75">
        <f t="shared" si="28"/>
        <v>-0.006456836291</v>
      </c>
      <c r="QV36" s="75">
        <f t="shared" si="28"/>
        <v>0.05969404561</v>
      </c>
      <c r="QW36" s="75">
        <f t="shared" si="28"/>
        <v>1.767717026</v>
      </c>
      <c r="QX36" s="75">
        <f t="shared" si="28"/>
        <v>1.388392011</v>
      </c>
      <c r="QY36" s="75">
        <f t="shared" si="28"/>
        <v>0.06099464445</v>
      </c>
      <c r="QZ36" s="75">
        <f t="shared" si="28"/>
        <v>0.1326028442</v>
      </c>
      <c r="RA36" s="75">
        <f t="shared" si="28"/>
        <v>0.8540487732</v>
      </c>
      <c r="RB36" s="75">
        <f t="shared" si="28"/>
        <v>1.949699384</v>
      </c>
      <c r="RC36" s="75">
        <f t="shared" si="28"/>
        <v>-0.0802813721</v>
      </c>
      <c r="RD36" s="75">
        <f t="shared" si="28"/>
        <v>1.076843955</v>
      </c>
      <c r="RE36" s="75">
        <f t="shared" si="28"/>
        <v>0.9511036992</v>
      </c>
      <c r="RF36" s="75">
        <f t="shared" si="28"/>
        <v>0.2162201231</v>
      </c>
      <c r="RG36" s="75">
        <f t="shared" si="28"/>
        <v>0.3143412297</v>
      </c>
      <c r="RH36" s="75">
        <f t="shared" si="28"/>
        <v>-0.01033770843</v>
      </c>
      <c r="RI36" s="75">
        <f t="shared" si="28"/>
        <v>0.446064387</v>
      </c>
      <c r="RJ36" s="75">
        <f t="shared" si="28"/>
        <v>0.09144748133</v>
      </c>
      <c r="RK36" s="75">
        <f t="shared" si="28"/>
        <v>3.83347862</v>
      </c>
      <c r="RL36" s="75">
        <f t="shared" si="28"/>
        <v>1.76365868</v>
      </c>
      <c r="RM36" s="75">
        <f t="shared" si="28"/>
        <v>0.9178572105</v>
      </c>
      <c r="RN36" s="75">
        <f t="shared" si="28"/>
        <v>0.3460637283</v>
      </c>
      <c r="RO36" s="75">
        <f t="shared" si="28"/>
        <v>0.7375853784</v>
      </c>
      <c r="RP36" s="75">
        <f t="shared" si="28"/>
        <v>1.092234719</v>
      </c>
      <c r="RQ36" s="75">
        <f t="shared" si="28"/>
        <v>0.0595478897</v>
      </c>
      <c r="RR36" s="75">
        <f t="shared" si="28"/>
        <v>1.220345435</v>
      </c>
      <c r="RS36" s="75">
        <f t="shared" si="28"/>
        <v>0.002113325554</v>
      </c>
      <c r="RT36" s="75">
        <f t="shared" si="28"/>
        <v>0.3178642821</v>
      </c>
      <c r="RU36" s="75">
        <f t="shared" si="28"/>
        <v>0.1006284706</v>
      </c>
      <c r="RV36" s="75">
        <f t="shared" si="28"/>
        <v>-0.01631488694</v>
      </c>
      <c r="RW36" s="75">
        <f t="shared" si="28"/>
        <v>0.2994814032</v>
      </c>
      <c r="RX36" s="75">
        <f t="shared" si="28"/>
        <v>1.025515713</v>
      </c>
      <c r="RY36" s="75">
        <f t="shared" si="28"/>
        <v>-0.1115874752</v>
      </c>
      <c r="RZ36" s="75">
        <f t="shared" si="28"/>
        <v>0.07977836896</v>
      </c>
      <c r="SA36" s="75">
        <f t="shared" si="28"/>
        <v>0.04548043233</v>
      </c>
      <c r="SB36" s="75">
        <f t="shared" si="28"/>
        <v>-0.03425927165</v>
      </c>
      <c r="SC36" s="75">
        <f t="shared" si="28"/>
        <v>0.04944252179</v>
      </c>
      <c r="SD36" s="75">
        <f t="shared" si="28"/>
        <v>1.700139605</v>
      </c>
      <c r="SE36" s="75">
        <f t="shared" si="28"/>
        <v>0.6662445026</v>
      </c>
      <c r="SF36" s="75">
        <f t="shared" si="28"/>
        <v>0.06356847925</v>
      </c>
      <c r="SG36" s="75">
        <f t="shared" si="28"/>
        <v>1.933308081</v>
      </c>
      <c r="SH36" s="75">
        <f t="shared" si="28"/>
        <v>0.6484793611</v>
      </c>
      <c r="SI36" s="75">
        <f t="shared" si="28"/>
        <v>0.9963009553</v>
      </c>
      <c r="SJ36" s="75">
        <f t="shared" si="28"/>
        <v>0.4505653592</v>
      </c>
      <c r="SK36" s="75">
        <f t="shared" si="28"/>
        <v>0.7943843858</v>
      </c>
      <c r="SL36" s="75">
        <f t="shared" si="28"/>
        <v>1.242126238</v>
      </c>
    </row>
    <row r="37">
      <c r="A37" s="53" t="s">
        <v>113</v>
      </c>
      <c r="B37" s="60">
        <f>B26*B36</f>
        <v>2832.868579</v>
      </c>
      <c r="C37" s="238"/>
      <c r="D37" s="239"/>
      <c r="E37" s="240"/>
      <c r="F37" s="60"/>
      <c r="G37" s="60">
        <f t="shared" ref="G37:SL37" si="29">G26*G36</f>
        <v>4080.666153</v>
      </c>
      <c r="H37" s="60">
        <f t="shared" si="29"/>
        <v>1352.314358</v>
      </c>
      <c r="I37" s="60">
        <f t="shared" si="29"/>
        <v>640.8511124</v>
      </c>
      <c r="J37" s="60">
        <f t="shared" si="29"/>
        <v>6725.177013</v>
      </c>
      <c r="K37" s="60">
        <f t="shared" si="29"/>
        <v>3403.860336</v>
      </c>
      <c r="L37" s="60">
        <f t="shared" si="29"/>
        <v>3590.699576</v>
      </c>
      <c r="M37" s="60">
        <f t="shared" si="29"/>
        <v>-1160.514245</v>
      </c>
      <c r="N37" s="60">
        <f t="shared" si="29"/>
        <v>2377.628436</v>
      </c>
      <c r="O37" s="60">
        <f t="shared" si="29"/>
        <v>6671.126105</v>
      </c>
      <c r="P37" s="60">
        <f t="shared" si="29"/>
        <v>2045.889338</v>
      </c>
      <c r="Q37" s="60">
        <f t="shared" si="29"/>
        <v>3423.512658</v>
      </c>
      <c r="R37" s="60">
        <f t="shared" si="29"/>
        <v>1818.353751</v>
      </c>
      <c r="S37" s="60">
        <f t="shared" si="29"/>
        <v>2581.544988</v>
      </c>
      <c r="T37" s="60">
        <f t="shared" si="29"/>
        <v>3235.068829</v>
      </c>
      <c r="U37" s="60">
        <f t="shared" si="29"/>
        <v>8007.115655</v>
      </c>
      <c r="V37" s="60">
        <f t="shared" si="29"/>
        <v>1330.759653</v>
      </c>
      <c r="W37" s="60">
        <f t="shared" si="29"/>
        <v>3274.436424</v>
      </c>
      <c r="X37" s="60">
        <f t="shared" si="29"/>
        <v>13677.8503</v>
      </c>
      <c r="Y37" s="60">
        <f t="shared" si="29"/>
        <v>1930.501625</v>
      </c>
      <c r="Z37" s="60">
        <f t="shared" si="29"/>
        <v>5963.174229</v>
      </c>
      <c r="AA37" s="60">
        <f t="shared" si="29"/>
        <v>1494.327889</v>
      </c>
      <c r="AB37" s="60">
        <f t="shared" si="29"/>
        <v>2830.799754</v>
      </c>
      <c r="AC37" s="60">
        <f t="shared" si="29"/>
        <v>-9.569830906</v>
      </c>
      <c r="AD37" s="60">
        <f t="shared" si="29"/>
        <v>332.2496911</v>
      </c>
      <c r="AE37" s="60">
        <f t="shared" si="29"/>
        <v>554.3321326</v>
      </c>
      <c r="AF37" s="60">
        <f t="shared" si="29"/>
        <v>1204.421004</v>
      </c>
      <c r="AG37" s="60">
        <f t="shared" si="29"/>
        <v>11179.67533</v>
      </c>
      <c r="AH37" s="60">
        <f t="shared" si="29"/>
        <v>317.6896105</v>
      </c>
      <c r="AI37" s="60">
        <f t="shared" si="29"/>
        <v>535.4273599</v>
      </c>
      <c r="AJ37" s="60">
        <f t="shared" si="29"/>
        <v>488.0288152</v>
      </c>
      <c r="AK37" s="60">
        <f t="shared" si="29"/>
        <v>563.6419412</v>
      </c>
      <c r="AL37" s="60">
        <f t="shared" si="29"/>
        <v>3106.920702</v>
      </c>
      <c r="AM37" s="60">
        <f t="shared" si="29"/>
        <v>3805.041264</v>
      </c>
      <c r="AN37" s="60">
        <f t="shared" si="29"/>
        <v>7468.321198</v>
      </c>
      <c r="AO37" s="60">
        <f t="shared" si="29"/>
        <v>-7.545247392</v>
      </c>
      <c r="AP37" s="60">
        <f t="shared" si="29"/>
        <v>1269.694826</v>
      </c>
      <c r="AQ37" s="60">
        <f t="shared" si="29"/>
        <v>476.3765364</v>
      </c>
      <c r="AR37" s="60">
        <f t="shared" si="29"/>
        <v>4818.883892</v>
      </c>
      <c r="AS37" s="60">
        <f t="shared" si="29"/>
        <v>221.6102246</v>
      </c>
      <c r="AT37" s="60">
        <f t="shared" si="29"/>
        <v>3297.898422</v>
      </c>
      <c r="AU37" s="60">
        <f t="shared" si="29"/>
        <v>8530.077158</v>
      </c>
      <c r="AV37" s="60">
        <f t="shared" si="29"/>
        <v>396.1537271</v>
      </c>
      <c r="AW37" s="60">
        <f t="shared" si="29"/>
        <v>2800.412257</v>
      </c>
      <c r="AX37" s="60">
        <f t="shared" si="29"/>
        <v>968.5124507</v>
      </c>
      <c r="AY37" s="60">
        <f t="shared" si="29"/>
        <v>1152.798166</v>
      </c>
      <c r="AZ37" s="60">
        <f t="shared" si="29"/>
        <v>776.0252457</v>
      </c>
      <c r="BA37" s="60">
        <f t="shared" si="29"/>
        <v>8580.509576</v>
      </c>
      <c r="BB37" s="60">
        <f t="shared" si="29"/>
        <v>-903.1709175</v>
      </c>
      <c r="BC37" s="60">
        <f t="shared" si="29"/>
        <v>6463.51268</v>
      </c>
      <c r="BD37" s="60">
        <f t="shared" si="29"/>
        <v>1163.910128</v>
      </c>
      <c r="BE37" s="60">
        <f t="shared" si="29"/>
        <v>3026.34674</v>
      </c>
      <c r="BF37" s="60">
        <f t="shared" si="29"/>
        <v>401.459013</v>
      </c>
      <c r="BG37" s="60">
        <f t="shared" si="29"/>
        <v>295.9775796</v>
      </c>
      <c r="BH37" s="60">
        <f t="shared" si="29"/>
        <v>169.7749174</v>
      </c>
      <c r="BI37" s="60">
        <f t="shared" si="29"/>
        <v>3033.257945</v>
      </c>
      <c r="BJ37" s="60">
        <f t="shared" si="29"/>
        <v>1126.252725</v>
      </c>
      <c r="BK37" s="60">
        <f t="shared" si="29"/>
        <v>67.41261055</v>
      </c>
      <c r="BL37" s="60">
        <f t="shared" si="29"/>
        <v>135.2051956</v>
      </c>
      <c r="BM37" s="60">
        <f t="shared" si="29"/>
        <v>1336.240734</v>
      </c>
      <c r="BN37" s="60">
        <f t="shared" si="29"/>
        <v>4039.051539</v>
      </c>
      <c r="BO37" s="60">
        <f t="shared" si="29"/>
        <v>3046.275759</v>
      </c>
      <c r="BP37" s="60">
        <f t="shared" si="29"/>
        <v>-34.16286949</v>
      </c>
      <c r="BQ37" s="60">
        <f t="shared" si="29"/>
        <v>278.3048566</v>
      </c>
      <c r="BR37" s="60">
        <f t="shared" si="29"/>
        <v>1493.066038</v>
      </c>
      <c r="BS37" s="60">
        <f t="shared" si="29"/>
        <v>98.36810032</v>
      </c>
      <c r="BT37" s="60">
        <f t="shared" si="29"/>
        <v>1082.840826</v>
      </c>
      <c r="BU37" s="60">
        <f t="shared" si="29"/>
        <v>6047.587578</v>
      </c>
      <c r="BV37" s="60">
        <f t="shared" si="29"/>
        <v>4435.757455</v>
      </c>
      <c r="BW37" s="60">
        <f t="shared" si="29"/>
        <v>4100.015494</v>
      </c>
      <c r="BX37" s="60">
        <f t="shared" si="29"/>
        <v>2866.733956</v>
      </c>
      <c r="BY37" s="60">
        <f t="shared" si="29"/>
        <v>-100.6147256</v>
      </c>
      <c r="BZ37" s="60">
        <f t="shared" si="29"/>
        <v>3729.464394</v>
      </c>
      <c r="CA37" s="60">
        <f t="shared" si="29"/>
        <v>15.62984593</v>
      </c>
      <c r="CB37" s="60">
        <f t="shared" si="29"/>
        <v>2045.582219</v>
      </c>
      <c r="CC37" s="60">
        <f t="shared" si="29"/>
        <v>3304.027787</v>
      </c>
      <c r="CD37" s="60">
        <f t="shared" si="29"/>
        <v>4384.477845</v>
      </c>
      <c r="CE37" s="60">
        <f t="shared" si="29"/>
        <v>2068.270406</v>
      </c>
      <c r="CF37" s="60">
        <f t="shared" si="29"/>
        <v>458.4673454</v>
      </c>
      <c r="CG37" s="60">
        <f t="shared" si="29"/>
        <v>5518.306387</v>
      </c>
      <c r="CH37" s="60">
        <f t="shared" si="29"/>
        <v>3081.823051</v>
      </c>
      <c r="CI37" s="60">
        <f t="shared" si="29"/>
        <v>1599.977608</v>
      </c>
      <c r="CJ37" s="60">
        <f t="shared" si="29"/>
        <v>9406.827355</v>
      </c>
      <c r="CK37" s="60">
        <f t="shared" si="29"/>
        <v>266.48139</v>
      </c>
      <c r="CL37" s="60">
        <f t="shared" si="29"/>
        <v>2556.329099</v>
      </c>
      <c r="CM37" s="60">
        <f t="shared" si="29"/>
        <v>3556.340851</v>
      </c>
      <c r="CN37" s="60">
        <f t="shared" si="29"/>
        <v>542.7697964</v>
      </c>
      <c r="CO37" s="60">
        <f t="shared" si="29"/>
        <v>3679.626727</v>
      </c>
      <c r="CP37" s="60">
        <f t="shared" si="29"/>
        <v>1036.397399</v>
      </c>
      <c r="CQ37" s="60">
        <f t="shared" si="29"/>
        <v>4167.926438</v>
      </c>
      <c r="CR37" s="60">
        <f t="shared" si="29"/>
        <v>-68.34664736</v>
      </c>
      <c r="CS37" s="60">
        <f t="shared" si="29"/>
        <v>5246.764923</v>
      </c>
      <c r="CT37" s="60">
        <f t="shared" si="29"/>
        <v>1988.642005</v>
      </c>
      <c r="CU37" s="60">
        <f t="shared" si="29"/>
        <v>1122.443997</v>
      </c>
      <c r="CV37" s="60">
        <f t="shared" si="29"/>
        <v>-22.56231279</v>
      </c>
      <c r="CW37" s="60">
        <f t="shared" si="29"/>
        <v>157.2349373</v>
      </c>
      <c r="CX37" s="60">
        <f t="shared" si="29"/>
        <v>370.6513161</v>
      </c>
      <c r="CY37" s="60">
        <f t="shared" si="29"/>
        <v>-396.524316</v>
      </c>
      <c r="CZ37" s="60">
        <f t="shared" si="29"/>
        <v>2958.319968</v>
      </c>
      <c r="DA37" s="60">
        <f t="shared" si="29"/>
        <v>10198.64133</v>
      </c>
      <c r="DB37" s="60">
        <f t="shared" si="29"/>
        <v>9379.32664</v>
      </c>
      <c r="DC37" s="60">
        <f t="shared" si="29"/>
        <v>1195.552823</v>
      </c>
      <c r="DD37" s="60">
        <f t="shared" si="29"/>
        <v>2857.288975</v>
      </c>
      <c r="DE37" s="60">
        <f t="shared" si="29"/>
        <v>980.87436</v>
      </c>
      <c r="DF37" s="60">
        <f t="shared" si="29"/>
        <v>6416.493497</v>
      </c>
      <c r="DG37" s="60">
        <f t="shared" si="29"/>
        <v>5232.470732</v>
      </c>
      <c r="DH37" s="60">
        <f t="shared" si="29"/>
        <v>594.413269</v>
      </c>
      <c r="DI37" s="60">
        <f t="shared" si="29"/>
        <v>240.2228864</v>
      </c>
      <c r="DJ37" s="60">
        <f t="shared" si="29"/>
        <v>13502.17539</v>
      </c>
      <c r="DK37" s="60">
        <f t="shared" si="29"/>
        <v>2571.450973</v>
      </c>
      <c r="DL37" s="60">
        <f t="shared" si="29"/>
        <v>30.41778614</v>
      </c>
      <c r="DM37" s="60">
        <f t="shared" si="29"/>
        <v>180.507009</v>
      </c>
      <c r="DN37" s="60">
        <f t="shared" si="29"/>
        <v>-121.9628494</v>
      </c>
      <c r="DO37" s="60">
        <f t="shared" si="29"/>
        <v>3463.980573</v>
      </c>
      <c r="DP37" s="60">
        <f t="shared" si="29"/>
        <v>578.0043338</v>
      </c>
      <c r="DQ37" s="60">
        <f t="shared" si="29"/>
        <v>1864.422882</v>
      </c>
      <c r="DR37" s="60">
        <f t="shared" si="29"/>
        <v>4432.895289</v>
      </c>
      <c r="DS37" s="60">
        <f t="shared" si="29"/>
        <v>-277.2468911</v>
      </c>
      <c r="DT37" s="60">
        <f t="shared" si="29"/>
        <v>7455.44114</v>
      </c>
      <c r="DU37" s="60">
        <f t="shared" si="29"/>
        <v>431.7182693</v>
      </c>
      <c r="DV37" s="60">
        <f t="shared" si="29"/>
        <v>2380.860926</v>
      </c>
      <c r="DW37" s="60">
        <f t="shared" si="29"/>
        <v>6380.478368</v>
      </c>
      <c r="DX37" s="60">
        <f t="shared" si="29"/>
        <v>1052.709921</v>
      </c>
      <c r="DY37" s="60">
        <f t="shared" si="29"/>
        <v>121.2437447</v>
      </c>
      <c r="DZ37" s="60">
        <f t="shared" si="29"/>
        <v>389.6163443</v>
      </c>
      <c r="EA37" s="60">
        <f t="shared" si="29"/>
        <v>3707.939504</v>
      </c>
      <c r="EB37" s="60">
        <f t="shared" si="29"/>
        <v>3.046193409</v>
      </c>
      <c r="EC37" s="60">
        <f t="shared" si="29"/>
        <v>2718.861542</v>
      </c>
      <c r="ED37" s="60">
        <f t="shared" si="29"/>
        <v>3269.069385</v>
      </c>
      <c r="EE37" s="60">
        <f t="shared" si="29"/>
        <v>-204.2833702</v>
      </c>
      <c r="EF37" s="60">
        <f t="shared" si="29"/>
        <v>20960.25004</v>
      </c>
      <c r="EG37" s="60">
        <f t="shared" si="29"/>
        <v>4657.902591</v>
      </c>
      <c r="EH37" s="60">
        <f t="shared" si="29"/>
        <v>7269.283814</v>
      </c>
      <c r="EI37" s="60">
        <f t="shared" si="29"/>
        <v>5824.095939</v>
      </c>
      <c r="EJ37" s="60">
        <f t="shared" si="29"/>
        <v>1368.805535</v>
      </c>
      <c r="EK37" s="60">
        <f t="shared" si="29"/>
        <v>3259.605045</v>
      </c>
      <c r="EL37" s="60">
        <f t="shared" si="29"/>
        <v>732.3362751</v>
      </c>
      <c r="EM37" s="60">
        <f t="shared" si="29"/>
        <v>272.8234727</v>
      </c>
      <c r="EN37" s="60">
        <f t="shared" si="29"/>
        <v>249.3792652</v>
      </c>
      <c r="EO37" s="60">
        <f t="shared" si="29"/>
        <v>531.5611104</v>
      </c>
      <c r="EP37" s="60">
        <f t="shared" si="29"/>
        <v>55.85720563</v>
      </c>
      <c r="EQ37" s="60">
        <f t="shared" si="29"/>
        <v>2631.099081</v>
      </c>
      <c r="ER37" s="60">
        <f t="shared" si="29"/>
        <v>2024.827851</v>
      </c>
      <c r="ES37" s="60">
        <f t="shared" si="29"/>
        <v>3037.474762</v>
      </c>
      <c r="ET37" s="60">
        <f t="shared" si="29"/>
        <v>1017.98807</v>
      </c>
      <c r="EU37" s="60">
        <f t="shared" si="29"/>
        <v>10472.28838</v>
      </c>
      <c r="EV37" s="60">
        <f t="shared" si="29"/>
        <v>1588.340713</v>
      </c>
      <c r="EW37" s="60">
        <f t="shared" si="29"/>
        <v>441.8880515</v>
      </c>
      <c r="EX37" s="60">
        <f t="shared" si="29"/>
        <v>-109.2036955</v>
      </c>
      <c r="EY37" s="60">
        <f t="shared" si="29"/>
        <v>11562.03488</v>
      </c>
      <c r="EZ37" s="60">
        <f t="shared" si="29"/>
        <v>4414.600564</v>
      </c>
      <c r="FA37" s="60">
        <f t="shared" si="29"/>
        <v>9200.103135</v>
      </c>
      <c r="FB37" s="60">
        <f t="shared" si="29"/>
        <v>18057.58814</v>
      </c>
      <c r="FC37" s="60">
        <f t="shared" si="29"/>
        <v>1518.241234</v>
      </c>
      <c r="FD37" s="60">
        <f t="shared" si="29"/>
        <v>-165.624043</v>
      </c>
      <c r="FE37" s="60">
        <f t="shared" si="29"/>
        <v>913.0651552</v>
      </c>
      <c r="FF37" s="60">
        <f t="shared" si="29"/>
        <v>-212.3907959</v>
      </c>
      <c r="FG37" s="60">
        <f t="shared" si="29"/>
        <v>1239.984642</v>
      </c>
      <c r="FH37" s="60">
        <f t="shared" si="29"/>
        <v>5822.025892</v>
      </c>
      <c r="FI37" s="60">
        <f t="shared" si="29"/>
        <v>832.7595118</v>
      </c>
      <c r="FJ37" s="60">
        <f t="shared" si="29"/>
        <v>1150.864517</v>
      </c>
      <c r="FK37" s="60">
        <f t="shared" si="29"/>
        <v>-982.7858843</v>
      </c>
      <c r="FL37" s="60">
        <f t="shared" si="29"/>
        <v>1909.249208</v>
      </c>
      <c r="FM37" s="60">
        <f t="shared" si="29"/>
        <v>8292.219989</v>
      </c>
      <c r="FN37" s="60">
        <f t="shared" si="29"/>
        <v>1207.733143</v>
      </c>
      <c r="FO37" s="60">
        <f t="shared" si="29"/>
        <v>6900.757643</v>
      </c>
      <c r="FP37" s="60">
        <f t="shared" si="29"/>
        <v>3867.931593</v>
      </c>
      <c r="FQ37" s="60">
        <f t="shared" si="29"/>
        <v>2750.888736</v>
      </c>
      <c r="FR37" s="60">
        <f t="shared" si="29"/>
        <v>3747.596036</v>
      </c>
      <c r="FS37" s="60">
        <f t="shared" si="29"/>
        <v>1176.110358</v>
      </c>
      <c r="FT37" s="60">
        <f t="shared" si="29"/>
        <v>3698.212815</v>
      </c>
      <c r="FU37" s="60">
        <f t="shared" si="29"/>
        <v>2497.882322</v>
      </c>
      <c r="FV37" s="60">
        <f t="shared" si="29"/>
        <v>5840.479945</v>
      </c>
      <c r="FW37" s="60">
        <f t="shared" si="29"/>
        <v>2420.97669</v>
      </c>
      <c r="FX37" s="60">
        <f t="shared" si="29"/>
        <v>762.8902979</v>
      </c>
      <c r="FY37" s="60">
        <f t="shared" si="29"/>
        <v>-571.9785894</v>
      </c>
      <c r="FZ37" s="60">
        <f t="shared" si="29"/>
        <v>-186.4170357</v>
      </c>
      <c r="GA37" s="60">
        <f t="shared" si="29"/>
        <v>764.1036429</v>
      </c>
      <c r="GB37" s="60">
        <f t="shared" si="29"/>
        <v>943.5842304</v>
      </c>
      <c r="GC37" s="60">
        <f t="shared" si="29"/>
        <v>2619.61687</v>
      </c>
      <c r="GD37" s="60">
        <f t="shared" si="29"/>
        <v>-75.66576057</v>
      </c>
      <c r="GE37" s="60">
        <f t="shared" si="29"/>
        <v>-20.53763707</v>
      </c>
      <c r="GF37" s="60">
        <f t="shared" si="29"/>
        <v>12050.22187</v>
      </c>
      <c r="GG37" s="60">
        <f t="shared" si="29"/>
        <v>445.3561482</v>
      </c>
      <c r="GH37" s="60">
        <f t="shared" si="29"/>
        <v>4329.109349</v>
      </c>
      <c r="GI37" s="60">
        <f t="shared" si="29"/>
        <v>1286.665638</v>
      </c>
      <c r="GJ37" s="60">
        <f t="shared" si="29"/>
        <v>7066.43874</v>
      </c>
      <c r="GK37" s="60">
        <f t="shared" si="29"/>
        <v>6257.91147</v>
      </c>
      <c r="GL37" s="60">
        <f t="shared" si="29"/>
        <v>1648.231561</v>
      </c>
      <c r="GM37" s="60">
        <f t="shared" si="29"/>
        <v>8334.613272</v>
      </c>
      <c r="GN37" s="60">
        <f t="shared" si="29"/>
        <v>14723.22228</v>
      </c>
      <c r="GO37" s="60">
        <f t="shared" si="29"/>
        <v>255.7564909</v>
      </c>
      <c r="GP37" s="60">
        <f t="shared" si="29"/>
        <v>2693.465425</v>
      </c>
      <c r="GQ37" s="60">
        <f t="shared" si="29"/>
        <v>4167.951885</v>
      </c>
      <c r="GR37" s="60">
        <f t="shared" si="29"/>
        <v>-229.2160413</v>
      </c>
      <c r="GS37" s="60">
        <f t="shared" si="29"/>
        <v>1240.127623</v>
      </c>
      <c r="GT37" s="60">
        <f t="shared" si="29"/>
        <v>-190.1107063</v>
      </c>
      <c r="GU37" s="60">
        <f t="shared" si="29"/>
        <v>5758.857731</v>
      </c>
      <c r="GV37" s="60">
        <f t="shared" si="29"/>
        <v>7108.88407</v>
      </c>
      <c r="GW37" s="60">
        <f t="shared" si="29"/>
        <v>585.6408752</v>
      </c>
      <c r="GX37" s="60">
        <f t="shared" si="29"/>
        <v>163.822421</v>
      </c>
      <c r="GY37" s="60">
        <f t="shared" si="29"/>
        <v>2912.486377</v>
      </c>
      <c r="GZ37" s="60">
        <f t="shared" si="29"/>
        <v>3800.952013</v>
      </c>
      <c r="HA37" s="60">
        <f t="shared" si="29"/>
        <v>-387.3238898</v>
      </c>
      <c r="HB37" s="60">
        <f t="shared" si="29"/>
        <v>1020.804216</v>
      </c>
      <c r="HC37" s="60">
        <f t="shared" si="29"/>
        <v>2253.965696</v>
      </c>
      <c r="HD37" s="60">
        <f t="shared" si="29"/>
        <v>-48.55241603</v>
      </c>
      <c r="HE37" s="60">
        <f t="shared" si="29"/>
        <v>2267.576943</v>
      </c>
      <c r="HF37" s="60">
        <f t="shared" si="29"/>
        <v>61.33405236</v>
      </c>
      <c r="HG37" s="60">
        <f t="shared" si="29"/>
        <v>-57.87170757</v>
      </c>
      <c r="HH37" s="60">
        <f t="shared" si="29"/>
        <v>5180.468993</v>
      </c>
      <c r="HI37" s="60">
        <f t="shared" si="29"/>
        <v>-347.3353747</v>
      </c>
      <c r="HJ37" s="60">
        <f t="shared" si="29"/>
        <v>1576.323066</v>
      </c>
      <c r="HK37" s="60">
        <f t="shared" si="29"/>
        <v>1.398440164</v>
      </c>
      <c r="HL37" s="60">
        <f t="shared" si="29"/>
        <v>-23.83920994</v>
      </c>
      <c r="HM37" s="60">
        <f t="shared" si="29"/>
        <v>7754.705429</v>
      </c>
      <c r="HN37" s="60">
        <f t="shared" si="29"/>
        <v>620.9518475</v>
      </c>
      <c r="HO37" s="60">
        <f t="shared" si="29"/>
        <v>210.5818505</v>
      </c>
      <c r="HP37" s="60">
        <f t="shared" si="29"/>
        <v>3972.105185</v>
      </c>
      <c r="HQ37" s="60">
        <f t="shared" si="29"/>
        <v>109.8315415</v>
      </c>
      <c r="HR37" s="60">
        <f t="shared" si="29"/>
        <v>5522.754532</v>
      </c>
      <c r="HS37" s="60">
        <f t="shared" si="29"/>
        <v>2120.461615</v>
      </c>
      <c r="HT37" s="60">
        <f t="shared" si="29"/>
        <v>567.97935</v>
      </c>
      <c r="HU37" s="60">
        <f t="shared" si="29"/>
        <v>3728.69261</v>
      </c>
      <c r="HV37" s="60">
        <f t="shared" si="29"/>
        <v>7349.825875</v>
      </c>
      <c r="HW37" s="60">
        <f t="shared" si="29"/>
        <v>3421.409601</v>
      </c>
      <c r="HX37" s="60">
        <f t="shared" si="29"/>
        <v>417.9380797</v>
      </c>
      <c r="HY37" s="60">
        <f t="shared" si="29"/>
        <v>9.811011517</v>
      </c>
      <c r="HZ37" s="60">
        <f t="shared" si="29"/>
        <v>4474.542279</v>
      </c>
      <c r="IA37" s="60">
        <f t="shared" si="29"/>
        <v>-328.1518264</v>
      </c>
      <c r="IB37" s="60">
        <f t="shared" si="29"/>
        <v>1885.396036</v>
      </c>
      <c r="IC37" s="60">
        <f t="shared" si="29"/>
        <v>481.2721201</v>
      </c>
      <c r="ID37" s="60">
        <f t="shared" si="29"/>
        <v>-380.3977388</v>
      </c>
      <c r="IE37" s="60">
        <f t="shared" si="29"/>
        <v>3487.99623</v>
      </c>
      <c r="IF37" s="60">
        <f t="shared" si="29"/>
        <v>8310.817229</v>
      </c>
      <c r="IG37" s="60">
        <f t="shared" si="29"/>
        <v>21926.767</v>
      </c>
      <c r="IH37" s="60">
        <f t="shared" si="29"/>
        <v>2135.818011</v>
      </c>
      <c r="II37" s="60">
        <f t="shared" si="29"/>
        <v>3467.790217</v>
      </c>
      <c r="IJ37" s="60">
        <f t="shared" si="29"/>
        <v>63.56193551</v>
      </c>
      <c r="IK37" s="60">
        <f t="shared" si="29"/>
        <v>3695.581675</v>
      </c>
      <c r="IL37" s="60">
        <f t="shared" si="29"/>
        <v>5531.961574</v>
      </c>
      <c r="IM37" s="60">
        <f t="shared" si="29"/>
        <v>1432.065509</v>
      </c>
      <c r="IN37" s="60">
        <f t="shared" si="29"/>
        <v>703.7960201</v>
      </c>
      <c r="IO37" s="60">
        <f t="shared" si="29"/>
        <v>1507.447109</v>
      </c>
      <c r="IP37" s="60">
        <f t="shared" si="29"/>
        <v>4928.304541</v>
      </c>
      <c r="IQ37" s="60">
        <f t="shared" si="29"/>
        <v>735.7240799</v>
      </c>
      <c r="IR37" s="60">
        <f t="shared" si="29"/>
        <v>2990.19643</v>
      </c>
      <c r="IS37" s="60">
        <f t="shared" si="29"/>
        <v>2958.818527</v>
      </c>
      <c r="IT37" s="60">
        <f t="shared" si="29"/>
        <v>1080.902173</v>
      </c>
      <c r="IU37" s="60">
        <f t="shared" si="29"/>
        <v>70.48747683</v>
      </c>
      <c r="IV37" s="60">
        <f t="shared" si="29"/>
        <v>4658.759439</v>
      </c>
      <c r="IW37" s="60">
        <f t="shared" si="29"/>
        <v>-160.603502</v>
      </c>
      <c r="IX37" s="60">
        <f t="shared" si="29"/>
        <v>-590.9593306</v>
      </c>
      <c r="IY37" s="60">
        <f t="shared" si="29"/>
        <v>5548.196291</v>
      </c>
      <c r="IZ37" s="60">
        <f t="shared" si="29"/>
        <v>65.27718455</v>
      </c>
      <c r="JA37" s="60">
        <f t="shared" si="29"/>
        <v>-175.9368919</v>
      </c>
      <c r="JB37" s="60">
        <f t="shared" si="29"/>
        <v>1465.896074</v>
      </c>
      <c r="JC37" s="60">
        <f t="shared" si="29"/>
        <v>437.869741</v>
      </c>
      <c r="JD37" s="60">
        <f t="shared" si="29"/>
        <v>1352.075392</v>
      </c>
      <c r="JE37" s="60">
        <f t="shared" si="29"/>
        <v>18.13811706</v>
      </c>
      <c r="JF37" s="60">
        <f t="shared" si="29"/>
        <v>1387.617287</v>
      </c>
      <c r="JG37" s="60">
        <f t="shared" si="29"/>
        <v>4578.477241</v>
      </c>
      <c r="JH37" s="60">
        <f t="shared" si="29"/>
        <v>4106.651634</v>
      </c>
      <c r="JI37" s="60">
        <f t="shared" si="29"/>
        <v>104.5438107</v>
      </c>
      <c r="JJ37" s="60">
        <f t="shared" si="29"/>
        <v>3147.598623</v>
      </c>
      <c r="JK37" s="60">
        <f t="shared" si="29"/>
        <v>7692.396428</v>
      </c>
      <c r="JL37" s="60">
        <f t="shared" si="29"/>
        <v>817.043833</v>
      </c>
      <c r="JM37" s="60">
        <f t="shared" si="29"/>
        <v>879.0965861</v>
      </c>
      <c r="JN37" s="60">
        <f t="shared" si="29"/>
        <v>8680.164329</v>
      </c>
      <c r="JO37" s="60">
        <f t="shared" si="29"/>
        <v>6260.961265</v>
      </c>
      <c r="JP37" s="60">
        <f t="shared" si="29"/>
        <v>4962.763579</v>
      </c>
      <c r="JQ37" s="60">
        <f t="shared" si="29"/>
        <v>1416.820735</v>
      </c>
      <c r="JR37" s="60">
        <f t="shared" si="29"/>
        <v>194.3533303</v>
      </c>
      <c r="JS37" s="60">
        <f t="shared" si="29"/>
        <v>6509.05824</v>
      </c>
      <c r="JT37" s="60">
        <f t="shared" si="29"/>
        <v>-321.6480295</v>
      </c>
      <c r="JU37" s="60">
        <f t="shared" si="29"/>
        <v>715.373743</v>
      </c>
      <c r="JV37" s="60">
        <f t="shared" si="29"/>
        <v>893.5401264</v>
      </c>
      <c r="JW37" s="60">
        <f t="shared" si="29"/>
        <v>763.3515564</v>
      </c>
      <c r="JX37" s="60">
        <f t="shared" si="29"/>
        <v>463.6376155</v>
      </c>
      <c r="JY37" s="60">
        <f t="shared" si="29"/>
        <v>3523.201458</v>
      </c>
      <c r="JZ37" s="60">
        <f t="shared" si="29"/>
        <v>13745.3622</v>
      </c>
      <c r="KA37" s="60">
        <f t="shared" si="29"/>
        <v>5381.642231</v>
      </c>
      <c r="KB37" s="60">
        <f t="shared" si="29"/>
        <v>77.54068236</v>
      </c>
      <c r="KC37" s="60">
        <f t="shared" si="29"/>
        <v>2842.973759</v>
      </c>
      <c r="KD37" s="60">
        <f t="shared" si="29"/>
        <v>7080.089825</v>
      </c>
      <c r="KE37" s="60">
        <f t="shared" si="29"/>
        <v>11336.45719</v>
      </c>
      <c r="KF37" s="60">
        <f t="shared" si="29"/>
        <v>-266.757137</v>
      </c>
      <c r="KG37" s="60">
        <f t="shared" si="29"/>
        <v>257.5722138</v>
      </c>
      <c r="KH37" s="60">
        <f t="shared" si="29"/>
        <v>3002.025671</v>
      </c>
      <c r="KI37" s="60">
        <f t="shared" si="29"/>
        <v>393.913203</v>
      </c>
      <c r="KJ37" s="60">
        <f t="shared" si="29"/>
        <v>444.0764167</v>
      </c>
      <c r="KK37" s="60">
        <f t="shared" si="29"/>
        <v>670.3400649</v>
      </c>
      <c r="KL37" s="60">
        <f t="shared" si="29"/>
        <v>-49.45626945</v>
      </c>
      <c r="KM37" s="60">
        <f t="shared" si="29"/>
        <v>1010.260511</v>
      </c>
      <c r="KN37" s="60">
        <f t="shared" si="29"/>
        <v>11621.80976</v>
      </c>
      <c r="KO37" s="60">
        <f t="shared" si="29"/>
        <v>60.73442459</v>
      </c>
      <c r="KP37" s="60">
        <f t="shared" si="29"/>
        <v>1564.192734</v>
      </c>
      <c r="KQ37" s="60">
        <f t="shared" si="29"/>
        <v>3087.94241</v>
      </c>
      <c r="KR37" s="60">
        <f t="shared" si="29"/>
        <v>1130.223227</v>
      </c>
      <c r="KS37" s="60">
        <f t="shared" si="29"/>
        <v>1166.793482</v>
      </c>
      <c r="KT37" s="60">
        <f t="shared" si="29"/>
        <v>649.1023503</v>
      </c>
      <c r="KU37" s="60">
        <f t="shared" si="29"/>
        <v>2389.965482</v>
      </c>
      <c r="KV37" s="60">
        <f t="shared" si="29"/>
        <v>3550.383599</v>
      </c>
      <c r="KW37" s="60">
        <f t="shared" si="29"/>
        <v>490.6899146</v>
      </c>
      <c r="KX37" s="60">
        <f t="shared" si="29"/>
        <v>13561.51939</v>
      </c>
      <c r="KY37" s="60">
        <f t="shared" si="29"/>
        <v>5426.359148</v>
      </c>
      <c r="KZ37" s="60">
        <f t="shared" si="29"/>
        <v>178.5344629</v>
      </c>
      <c r="LA37" s="60">
        <f t="shared" si="29"/>
        <v>253.5783506</v>
      </c>
      <c r="LB37" s="60">
        <f t="shared" si="29"/>
        <v>9381.8862</v>
      </c>
      <c r="LC37" s="60">
        <f t="shared" si="29"/>
        <v>2149.644727</v>
      </c>
      <c r="LD37" s="60">
        <f t="shared" si="29"/>
        <v>4934.123263</v>
      </c>
      <c r="LE37" s="60">
        <f t="shared" si="29"/>
        <v>940.3818515</v>
      </c>
      <c r="LF37" s="60">
        <f t="shared" si="29"/>
        <v>2244.540532</v>
      </c>
      <c r="LG37" s="60">
        <f t="shared" si="29"/>
        <v>1340.454799</v>
      </c>
      <c r="LH37" s="60">
        <f t="shared" si="29"/>
        <v>585.7927278</v>
      </c>
      <c r="LI37" s="60">
        <f t="shared" si="29"/>
        <v>9075.401036</v>
      </c>
      <c r="LJ37" s="60">
        <f t="shared" si="29"/>
        <v>6068.793344</v>
      </c>
      <c r="LK37" s="60">
        <f t="shared" si="29"/>
        <v>7784.305634</v>
      </c>
      <c r="LL37" s="60">
        <f t="shared" si="29"/>
        <v>-658.3353195</v>
      </c>
      <c r="LM37" s="60">
        <f t="shared" si="29"/>
        <v>3086.99699</v>
      </c>
      <c r="LN37" s="60">
        <f t="shared" si="29"/>
        <v>3977.06786</v>
      </c>
      <c r="LO37" s="60">
        <f t="shared" si="29"/>
        <v>-152.4010202</v>
      </c>
      <c r="LP37" s="60">
        <f t="shared" si="29"/>
        <v>-8.351694343</v>
      </c>
      <c r="LQ37" s="60">
        <f t="shared" si="29"/>
        <v>2526.475239</v>
      </c>
      <c r="LR37" s="60">
        <f t="shared" si="29"/>
        <v>4146.719246</v>
      </c>
      <c r="LS37" s="60">
        <f t="shared" si="29"/>
        <v>8319.501698</v>
      </c>
      <c r="LT37" s="60">
        <f t="shared" si="29"/>
        <v>694.5868288</v>
      </c>
      <c r="LU37" s="60">
        <f t="shared" si="29"/>
        <v>96.71947513</v>
      </c>
      <c r="LV37" s="60">
        <f t="shared" si="29"/>
        <v>509.1790325</v>
      </c>
      <c r="LW37" s="60">
        <f t="shared" si="29"/>
        <v>1240.550348</v>
      </c>
      <c r="LX37" s="60">
        <f t="shared" si="29"/>
        <v>1731.154168</v>
      </c>
      <c r="LY37" s="60">
        <f t="shared" si="29"/>
        <v>7506.14954</v>
      </c>
      <c r="LZ37" s="60">
        <f t="shared" si="29"/>
        <v>10.59378655</v>
      </c>
      <c r="MA37" s="60">
        <f t="shared" si="29"/>
        <v>195.383728</v>
      </c>
      <c r="MB37" s="60">
        <f t="shared" si="29"/>
        <v>18870.60348</v>
      </c>
      <c r="MC37" s="60">
        <f t="shared" si="29"/>
        <v>8412.650695</v>
      </c>
      <c r="MD37" s="60">
        <f t="shared" si="29"/>
        <v>1537.659248</v>
      </c>
      <c r="ME37" s="60">
        <f t="shared" si="29"/>
        <v>3999.527876</v>
      </c>
      <c r="MF37" s="60">
        <f t="shared" si="29"/>
        <v>891.4305876</v>
      </c>
      <c r="MG37" s="60">
        <f t="shared" si="29"/>
        <v>2618.514268</v>
      </c>
      <c r="MH37" s="60">
        <f t="shared" si="29"/>
        <v>3996.346911</v>
      </c>
      <c r="MI37" s="60">
        <f t="shared" si="29"/>
        <v>4840.323865</v>
      </c>
      <c r="MJ37" s="60">
        <f t="shared" si="29"/>
        <v>2228.763699</v>
      </c>
      <c r="MK37" s="60">
        <f t="shared" si="29"/>
        <v>-157.6988886</v>
      </c>
      <c r="ML37" s="60">
        <f t="shared" si="29"/>
        <v>1369.383905</v>
      </c>
      <c r="MM37" s="60">
        <f t="shared" si="29"/>
        <v>1463.707686</v>
      </c>
      <c r="MN37" s="60">
        <f t="shared" si="29"/>
        <v>3501.804425</v>
      </c>
      <c r="MO37" s="60">
        <f t="shared" si="29"/>
        <v>5357.588067</v>
      </c>
      <c r="MP37" s="60">
        <f t="shared" si="29"/>
        <v>7223.270728</v>
      </c>
      <c r="MQ37" s="60">
        <f t="shared" si="29"/>
        <v>-418.3383403</v>
      </c>
      <c r="MR37" s="60">
        <f t="shared" si="29"/>
        <v>318.1208701</v>
      </c>
      <c r="MS37" s="60">
        <f t="shared" si="29"/>
        <v>248.8104775</v>
      </c>
      <c r="MT37" s="60">
        <f t="shared" si="29"/>
        <v>4071.850144</v>
      </c>
      <c r="MU37" s="60">
        <f t="shared" si="29"/>
        <v>140.8831668</v>
      </c>
      <c r="MV37" s="60">
        <f t="shared" si="29"/>
        <v>6133.058399</v>
      </c>
      <c r="MW37" s="60">
        <f t="shared" si="29"/>
        <v>1622.950503</v>
      </c>
      <c r="MX37" s="60">
        <f t="shared" si="29"/>
        <v>5334.081349</v>
      </c>
      <c r="MY37" s="60">
        <f t="shared" si="29"/>
        <v>540.2238984</v>
      </c>
      <c r="MZ37" s="60">
        <f t="shared" si="29"/>
        <v>571.9415777</v>
      </c>
      <c r="NA37" s="60">
        <f t="shared" si="29"/>
        <v>13314.42387</v>
      </c>
      <c r="NB37" s="60">
        <f t="shared" si="29"/>
        <v>3110.766371</v>
      </c>
      <c r="NC37" s="60">
        <f t="shared" si="29"/>
        <v>1216.277825</v>
      </c>
      <c r="ND37" s="60">
        <f t="shared" si="29"/>
        <v>4721.963275</v>
      </c>
      <c r="NE37" s="60">
        <f t="shared" si="29"/>
        <v>1150.637183</v>
      </c>
      <c r="NF37" s="60">
        <f t="shared" si="29"/>
        <v>400.9910116</v>
      </c>
      <c r="NG37" s="60">
        <f t="shared" si="29"/>
        <v>7614.785468</v>
      </c>
      <c r="NH37" s="60">
        <f t="shared" si="29"/>
        <v>143.85379</v>
      </c>
      <c r="NI37" s="60">
        <f t="shared" si="29"/>
        <v>3549.641136</v>
      </c>
      <c r="NJ37" s="60">
        <f t="shared" si="29"/>
        <v>405.5954861</v>
      </c>
      <c r="NK37" s="60">
        <f t="shared" si="29"/>
        <v>3380.22331</v>
      </c>
      <c r="NL37" s="60">
        <f t="shared" si="29"/>
        <v>4815.666766</v>
      </c>
      <c r="NM37" s="60">
        <f t="shared" si="29"/>
        <v>5849.081854</v>
      </c>
      <c r="NN37" s="60">
        <f t="shared" si="29"/>
        <v>131.5287856</v>
      </c>
      <c r="NO37" s="60">
        <f t="shared" si="29"/>
        <v>2270.781148</v>
      </c>
      <c r="NP37" s="60">
        <f t="shared" si="29"/>
        <v>14222.28299</v>
      </c>
      <c r="NQ37" s="60">
        <f t="shared" si="29"/>
        <v>563.0876926</v>
      </c>
      <c r="NR37" s="60">
        <f t="shared" si="29"/>
        <v>491.6986583</v>
      </c>
      <c r="NS37" s="60">
        <f t="shared" si="29"/>
        <v>3223.5712</v>
      </c>
      <c r="NT37" s="60">
        <f t="shared" si="29"/>
        <v>8702.293794</v>
      </c>
      <c r="NU37" s="60">
        <f t="shared" si="29"/>
        <v>2610.564469</v>
      </c>
      <c r="NV37" s="60">
        <f t="shared" si="29"/>
        <v>1284.13883</v>
      </c>
      <c r="NW37" s="60">
        <f t="shared" si="29"/>
        <v>9242.755325</v>
      </c>
      <c r="NX37" s="60">
        <f t="shared" si="29"/>
        <v>1349.474949</v>
      </c>
      <c r="NY37" s="60">
        <f t="shared" si="29"/>
        <v>1573.928004</v>
      </c>
      <c r="NZ37" s="60">
        <f t="shared" si="29"/>
        <v>11.42608314</v>
      </c>
      <c r="OA37" s="60">
        <f t="shared" si="29"/>
        <v>-32.35480437</v>
      </c>
      <c r="OB37" s="60">
        <f t="shared" si="29"/>
        <v>5020.668534</v>
      </c>
      <c r="OC37" s="60">
        <f t="shared" si="29"/>
        <v>-57.38127135</v>
      </c>
      <c r="OD37" s="60">
        <f t="shared" si="29"/>
        <v>5372.92138</v>
      </c>
      <c r="OE37" s="60">
        <f t="shared" si="29"/>
        <v>1004.866262</v>
      </c>
      <c r="OF37" s="60">
        <f t="shared" si="29"/>
        <v>-20.89966818</v>
      </c>
      <c r="OG37" s="60">
        <f t="shared" si="29"/>
        <v>1449.141377</v>
      </c>
      <c r="OH37" s="60">
        <f t="shared" si="29"/>
        <v>1282.371671</v>
      </c>
      <c r="OI37" s="60">
        <f t="shared" si="29"/>
        <v>8342.63279</v>
      </c>
      <c r="OJ37" s="60">
        <f t="shared" si="29"/>
        <v>535.3847577</v>
      </c>
      <c r="OK37" s="60">
        <f t="shared" si="29"/>
        <v>217.2934542</v>
      </c>
      <c r="OL37" s="60">
        <f t="shared" si="29"/>
        <v>1512.845902</v>
      </c>
      <c r="OM37" s="60">
        <f t="shared" si="29"/>
        <v>105.7486198</v>
      </c>
      <c r="ON37" s="60">
        <f t="shared" si="29"/>
        <v>6947.884616</v>
      </c>
      <c r="OO37" s="60">
        <f t="shared" si="29"/>
        <v>106.3989426</v>
      </c>
      <c r="OP37" s="60">
        <f t="shared" si="29"/>
        <v>1487.377275</v>
      </c>
      <c r="OQ37" s="60">
        <f t="shared" si="29"/>
        <v>208.4040404</v>
      </c>
      <c r="OR37" s="60">
        <f t="shared" si="29"/>
        <v>3310.891476</v>
      </c>
      <c r="OS37" s="60">
        <f t="shared" si="29"/>
        <v>452.6584502</v>
      </c>
      <c r="OT37" s="60">
        <f t="shared" si="29"/>
        <v>5380.305554</v>
      </c>
      <c r="OU37" s="60">
        <f t="shared" si="29"/>
        <v>477.8555472</v>
      </c>
      <c r="OV37" s="60">
        <f t="shared" si="29"/>
        <v>5463.57752</v>
      </c>
      <c r="OW37" s="60">
        <f t="shared" si="29"/>
        <v>1164.621132</v>
      </c>
      <c r="OX37" s="60">
        <f t="shared" si="29"/>
        <v>277.6554853</v>
      </c>
      <c r="OY37" s="60">
        <f t="shared" si="29"/>
        <v>2626.917819</v>
      </c>
      <c r="OZ37" s="60">
        <f t="shared" si="29"/>
        <v>592.6071991</v>
      </c>
      <c r="PA37" s="60">
        <f t="shared" si="29"/>
        <v>1486.929975</v>
      </c>
      <c r="PB37" s="60">
        <f t="shared" si="29"/>
        <v>622.0989334</v>
      </c>
      <c r="PC37" s="60">
        <f t="shared" si="29"/>
        <v>3025.724302</v>
      </c>
      <c r="PD37" s="60">
        <f t="shared" si="29"/>
        <v>932.7612578</v>
      </c>
      <c r="PE37" s="60">
        <f t="shared" si="29"/>
        <v>491.2300666</v>
      </c>
      <c r="PF37" s="60">
        <f t="shared" si="29"/>
        <v>4423.308428</v>
      </c>
      <c r="PG37" s="60">
        <f t="shared" si="29"/>
        <v>-53.57841002</v>
      </c>
      <c r="PH37" s="60">
        <f t="shared" si="29"/>
        <v>-220.6031176</v>
      </c>
      <c r="PI37" s="60">
        <f t="shared" si="29"/>
        <v>832.9367435</v>
      </c>
      <c r="PJ37" s="60">
        <f t="shared" si="29"/>
        <v>60.81005541</v>
      </c>
      <c r="PK37" s="60">
        <f t="shared" si="29"/>
        <v>1596.077334</v>
      </c>
      <c r="PL37" s="60">
        <f t="shared" si="29"/>
        <v>1948.781347</v>
      </c>
      <c r="PM37" s="60">
        <f t="shared" si="29"/>
        <v>107.6197988</v>
      </c>
      <c r="PN37" s="60">
        <f t="shared" si="29"/>
        <v>248.6784361</v>
      </c>
      <c r="PO37" s="60">
        <f t="shared" si="29"/>
        <v>78.45371423</v>
      </c>
      <c r="PP37" s="60">
        <f t="shared" si="29"/>
        <v>-154.8397503</v>
      </c>
      <c r="PQ37" s="60">
        <f t="shared" si="29"/>
        <v>5514.882673</v>
      </c>
      <c r="PR37" s="60">
        <f t="shared" si="29"/>
        <v>6951.616744</v>
      </c>
      <c r="PS37" s="60">
        <f t="shared" si="29"/>
        <v>-64.39118398</v>
      </c>
      <c r="PT37" s="60">
        <f t="shared" si="29"/>
        <v>1136.286593</v>
      </c>
      <c r="PU37" s="60">
        <f t="shared" si="29"/>
        <v>148.051625</v>
      </c>
      <c r="PV37" s="60">
        <f t="shared" si="29"/>
        <v>2591.475356</v>
      </c>
      <c r="PW37" s="60">
        <f t="shared" si="29"/>
        <v>6920.33196</v>
      </c>
      <c r="PX37" s="60">
        <f t="shared" si="29"/>
        <v>4723.945298</v>
      </c>
      <c r="PY37" s="60">
        <f t="shared" si="29"/>
        <v>4546.275512</v>
      </c>
      <c r="PZ37" s="60">
        <f t="shared" si="29"/>
        <v>810.2835989</v>
      </c>
      <c r="QA37" s="60">
        <f t="shared" si="29"/>
        <v>2600.319395</v>
      </c>
      <c r="QB37" s="60">
        <f t="shared" si="29"/>
        <v>959.2868402</v>
      </c>
      <c r="QC37" s="60">
        <f t="shared" si="29"/>
        <v>13819.95733</v>
      </c>
      <c r="QD37" s="60">
        <f t="shared" si="29"/>
        <v>184.8060379</v>
      </c>
      <c r="QE37" s="60">
        <f t="shared" si="29"/>
        <v>4944.927485</v>
      </c>
      <c r="QF37" s="60">
        <f t="shared" si="29"/>
        <v>577.2187291</v>
      </c>
      <c r="QG37" s="60">
        <f t="shared" si="29"/>
        <v>13297.2057</v>
      </c>
      <c r="QH37" s="60">
        <f t="shared" si="29"/>
        <v>2387.890199</v>
      </c>
      <c r="QI37" s="60">
        <f t="shared" si="29"/>
        <v>-435.475055</v>
      </c>
      <c r="QJ37" s="60">
        <f t="shared" si="29"/>
        <v>-792.3028544</v>
      </c>
      <c r="QK37" s="60">
        <f t="shared" si="29"/>
        <v>2931.543066</v>
      </c>
      <c r="QL37" s="60">
        <f t="shared" si="29"/>
        <v>287.753304</v>
      </c>
      <c r="QM37" s="60">
        <f t="shared" si="29"/>
        <v>8504.66528</v>
      </c>
      <c r="QN37" s="60">
        <f t="shared" si="29"/>
        <v>124.0960369</v>
      </c>
      <c r="QO37" s="60">
        <f t="shared" si="29"/>
        <v>165.4649461</v>
      </c>
      <c r="QP37" s="60">
        <f t="shared" si="29"/>
        <v>-484.673117</v>
      </c>
      <c r="QQ37" s="60">
        <f t="shared" si="29"/>
        <v>10307.89711</v>
      </c>
      <c r="QR37" s="60">
        <f t="shared" si="29"/>
        <v>8218.573882</v>
      </c>
      <c r="QS37" s="60">
        <f t="shared" si="29"/>
        <v>4052.947919</v>
      </c>
      <c r="QT37" s="60">
        <f t="shared" si="29"/>
        <v>2496.836762</v>
      </c>
      <c r="QU37" s="60">
        <f t="shared" si="29"/>
        <v>-20.43690774</v>
      </c>
      <c r="QV37" s="60">
        <f t="shared" si="29"/>
        <v>486.1405135</v>
      </c>
      <c r="QW37" s="60">
        <f t="shared" si="29"/>
        <v>5678.968121</v>
      </c>
      <c r="QX37" s="60">
        <f t="shared" si="29"/>
        <v>3424.3095</v>
      </c>
      <c r="QY37" s="60">
        <f t="shared" si="29"/>
        <v>130.1782469</v>
      </c>
      <c r="QZ37" s="60">
        <f t="shared" si="29"/>
        <v>764.4930093</v>
      </c>
      <c r="RA37" s="60">
        <f t="shared" si="29"/>
        <v>4223.356627</v>
      </c>
      <c r="RB37" s="60">
        <f t="shared" si="29"/>
        <v>5834.691249</v>
      </c>
      <c r="RC37" s="60">
        <f t="shared" si="29"/>
        <v>-232.0731592</v>
      </c>
      <c r="RD37" s="60">
        <f t="shared" si="29"/>
        <v>1490.126403</v>
      </c>
      <c r="RE37" s="60">
        <f t="shared" si="29"/>
        <v>3930.697668</v>
      </c>
      <c r="RF37" s="60">
        <f t="shared" si="29"/>
        <v>1027.779966</v>
      </c>
      <c r="RG37" s="60">
        <f t="shared" si="29"/>
        <v>949.4586455</v>
      </c>
      <c r="RH37" s="60">
        <f t="shared" si="29"/>
        <v>-17.8524108</v>
      </c>
      <c r="RI37" s="60">
        <f t="shared" si="29"/>
        <v>3947.863815</v>
      </c>
      <c r="RJ37" s="60">
        <f t="shared" si="29"/>
        <v>642.2902814</v>
      </c>
      <c r="RK37" s="60">
        <f t="shared" si="29"/>
        <v>14038.35667</v>
      </c>
      <c r="RL37" s="60">
        <f t="shared" si="29"/>
        <v>5024.457574</v>
      </c>
      <c r="RM37" s="60">
        <f t="shared" si="29"/>
        <v>5869.568147</v>
      </c>
      <c r="RN37" s="60">
        <f t="shared" si="29"/>
        <v>2955.554486</v>
      </c>
      <c r="RO37" s="60">
        <f t="shared" si="29"/>
        <v>4367.139981</v>
      </c>
      <c r="RP37" s="60">
        <f t="shared" si="29"/>
        <v>6905.710035</v>
      </c>
      <c r="RQ37" s="60">
        <f t="shared" si="29"/>
        <v>264.1745923</v>
      </c>
      <c r="RR37" s="60">
        <f t="shared" si="29"/>
        <v>5011.908979</v>
      </c>
      <c r="RS37" s="60">
        <f t="shared" si="29"/>
        <v>19.20712003</v>
      </c>
      <c r="RT37" s="60">
        <f t="shared" si="29"/>
        <v>1044.965926</v>
      </c>
      <c r="RU37" s="60">
        <f t="shared" si="29"/>
        <v>274.5972481</v>
      </c>
      <c r="RV37" s="60">
        <f t="shared" si="29"/>
        <v>-60.92575604</v>
      </c>
      <c r="RW37" s="60">
        <f t="shared" si="29"/>
        <v>1393.913121</v>
      </c>
      <c r="RX37" s="60">
        <f t="shared" si="29"/>
        <v>2407.295907</v>
      </c>
      <c r="RY37" s="60">
        <f t="shared" si="29"/>
        <v>-237.0343878</v>
      </c>
      <c r="RZ37" s="60">
        <f t="shared" si="29"/>
        <v>472.084909</v>
      </c>
      <c r="SA37" s="60">
        <f t="shared" si="29"/>
        <v>137.0646271</v>
      </c>
      <c r="SB37" s="60">
        <f t="shared" si="29"/>
        <v>-207.8723665</v>
      </c>
      <c r="SC37" s="60">
        <f t="shared" si="29"/>
        <v>267.4718914</v>
      </c>
      <c r="SD37" s="60">
        <f t="shared" si="29"/>
        <v>6721.923804</v>
      </c>
      <c r="SE37" s="60">
        <f t="shared" si="29"/>
        <v>2477.976515</v>
      </c>
      <c r="SF37" s="60">
        <f t="shared" si="29"/>
        <v>351.8044032</v>
      </c>
      <c r="SG37" s="60">
        <f t="shared" si="29"/>
        <v>4443.622591</v>
      </c>
      <c r="SH37" s="60">
        <f t="shared" si="29"/>
        <v>2836.925122</v>
      </c>
      <c r="SI37" s="60">
        <f t="shared" si="29"/>
        <v>4394.168439</v>
      </c>
      <c r="SJ37" s="60">
        <f t="shared" si="29"/>
        <v>925.0016618</v>
      </c>
      <c r="SK37" s="60">
        <f t="shared" si="29"/>
        <v>4983.911613</v>
      </c>
      <c r="SL37" s="60">
        <f t="shared" si="29"/>
        <v>2485.781817</v>
      </c>
    </row>
    <row r="38">
      <c r="A38" s="53" t="s">
        <v>114</v>
      </c>
      <c r="B38" s="60">
        <f>B26+B37</f>
        <v>7029.263302</v>
      </c>
      <c r="C38" s="238"/>
      <c r="D38" s="239"/>
      <c r="E38" s="240"/>
      <c r="F38" s="60"/>
      <c r="G38" s="60">
        <f t="shared" ref="G38:SL38" si="30">G26+G37</f>
        <v>7727.423767</v>
      </c>
      <c r="H38" s="60">
        <f t="shared" si="30"/>
        <v>4230.304111</v>
      </c>
      <c r="I38" s="60">
        <f t="shared" si="30"/>
        <v>3430.26168</v>
      </c>
      <c r="J38" s="60">
        <f t="shared" si="30"/>
        <v>13069.60539</v>
      </c>
      <c r="K38" s="60">
        <f t="shared" si="30"/>
        <v>6655.969377</v>
      </c>
      <c r="L38" s="60">
        <f t="shared" si="30"/>
        <v>6814.541716</v>
      </c>
      <c r="M38" s="60">
        <f t="shared" si="30"/>
        <v>3562.055546</v>
      </c>
      <c r="N38" s="60">
        <f t="shared" si="30"/>
        <v>8877.140362</v>
      </c>
      <c r="O38" s="60">
        <f t="shared" si="30"/>
        <v>16133.89934</v>
      </c>
      <c r="P38" s="60">
        <f t="shared" si="30"/>
        <v>5727.458279</v>
      </c>
      <c r="Q38" s="60">
        <f t="shared" si="30"/>
        <v>10935.5793</v>
      </c>
      <c r="R38" s="60">
        <f t="shared" si="30"/>
        <v>8755.471618</v>
      </c>
      <c r="S38" s="60">
        <f t="shared" si="30"/>
        <v>6715.240747</v>
      </c>
      <c r="T38" s="60">
        <f t="shared" si="30"/>
        <v>5698.133588</v>
      </c>
      <c r="U38" s="60">
        <f t="shared" si="30"/>
        <v>16199.1521</v>
      </c>
      <c r="V38" s="60">
        <f t="shared" si="30"/>
        <v>3848.639494</v>
      </c>
      <c r="W38" s="60">
        <f t="shared" si="30"/>
        <v>5390.531404</v>
      </c>
      <c r="X38" s="60">
        <f t="shared" si="30"/>
        <v>18804.48041</v>
      </c>
      <c r="Y38" s="60">
        <f t="shared" si="30"/>
        <v>10253.50963</v>
      </c>
      <c r="Z38" s="60">
        <f t="shared" si="30"/>
        <v>9850.695668</v>
      </c>
      <c r="AA38" s="60">
        <f t="shared" si="30"/>
        <v>5926.318156</v>
      </c>
      <c r="AB38" s="60">
        <f t="shared" si="30"/>
        <v>8063.192084</v>
      </c>
      <c r="AC38" s="60">
        <f t="shared" si="30"/>
        <v>1939.898712</v>
      </c>
      <c r="AD38" s="60">
        <f t="shared" si="30"/>
        <v>2148.054047</v>
      </c>
      <c r="AE38" s="60">
        <f t="shared" si="30"/>
        <v>4817.367342</v>
      </c>
      <c r="AF38" s="60">
        <f t="shared" si="30"/>
        <v>5469.838436</v>
      </c>
      <c r="AG38" s="60">
        <f t="shared" si="30"/>
        <v>15893.52189</v>
      </c>
      <c r="AH38" s="60">
        <f t="shared" si="30"/>
        <v>3666.014536</v>
      </c>
      <c r="AI38" s="60">
        <f t="shared" si="30"/>
        <v>6283.56911</v>
      </c>
      <c r="AJ38" s="60">
        <f t="shared" si="30"/>
        <v>3081.048654</v>
      </c>
      <c r="AK38" s="60">
        <f t="shared" si="30"/>
        <v>5563.617141</v>
      </c>
      <c r="AL38" s="60">
        <f t="shared" si="30"/>
        <v>7756.064373</v>
      </c>
      <c r="AM38" s="60">
        <f t="shared" si="30"/>
        <v>8016.234408</v>
      </c>
      <c r="AN38" s="60">
        <f t="shared" si="30"/>
        <v>10497.61372</v>
      </c>
      <c r="AO38" s="60">
        <f t="shared" si="30"/>
        <v>2788.236742</v>
      </c>
      <c r="AP38" s="60">
        <f t="shared" si="30"/>
        <v>4498.730265</v>
      </c>
      <c r="AQ38" s="60">
        <f t="shared" si="30"/>
        <v>2663.297179</v>
      </c>
      <c r="AR38" s="60">
        <f t="shared" si="30"/>
        <v>13475.48328</v>
      </c>
      <c r="AS38" s="60">
        <f t="shared" si="30"/>
        <v>4178.250858</v>
      </c>
      <c r="AT38" s="60">
        <f t="shared" si="30"/>
        <v>6068.676994</v>
      </c>
      <c r="AU38" s="60">
        <f t="shared" si="30"/>
        <v>12793.29767</v>
      </c>
      <c r="AV38" s="60">
        <f t="shared" si="30"/>
        <v>3489.341339</v>
      </c>
      <c r="AW38" s="60">
        <f t="shared" si="30"/>
        <v>6318.39085</v>
      </c>
      <c r="AX38" s="60">
        <f t="shared" si="30"/>
        <v>3162.912833</v>
      </c>
      <c r="AY38" s="60">
        <f t="shared" si="30"/>
        <v>10837.60531</v>
      </c>
      <c r="AZ38" s="60">
        <f t="shared" si="30"/>
        <v>2946.574556</v>
      </c>
      <c r="BA38" s="60">
        <f t="shared" si="30"/>
        <v>14029.47778</v>
      </c>
      <c r="BB38" s="60">
        <f t="shared" si="30"/>
        <v>4885.388476</v>
      </c>
      <c r="BC38" s="60">
        <f t="shared" si="30"/>
        <v>9951.796912</v>
      </c>
      <c r="BD38" s="60">
        <f t="shared" si="30"/>
        <v>5280.012311</v>
      </c>
      <c r="BE38" s="60">
        <f t="shared" si="30"/>
        <v>6237.5526</v>
      </c>
      <c r="BF38" s="60">
        <f t="shared" si="30"/>
        <v>3392.875705</v>
      </c>
      <c r="BG38" s="60">
        <f t="shared" si="30"/>
        <v>7832.281023</v>
      </c>
      <c r="BH38" s="60">
        <f t="shared" si="30"/>
        <v>1389.703169</v>
      </c>
      <c r="BI38" s="60">
        <f t="shared" si="30"/>
        <v>8238.977864</v>
      </c>
      <c r="BJ38" s="60">
        <f t="shared" si="30"/>
        <v>2582.965827</v>
      </c>
      <c r="BK38" s="60">
        <f t="shared" si="30"/>
        <v>3219.292048</v>
      </c>
      <c r="BL38" s="60">
        <f t="shared" si="30"/>
        <v>2890.857474</v>
      </c>
      <c r="BM38" s="60">
        <f t="shared" si="30"/>
        <v>4523.531213</v>
      </c>
      <c r="BN38" s="60">
        <f t="shared" si="30"/>
        <v>10470.69526</v>
      </c>
      <c r="BO38" s="60">
        <f t="shared" si="30"/>
        <v>4785.432634</v>
      </c>
      <c r="BP38" s="60">
        <f t="shared" si="30"/>
        <v>4167.32119</v>
      </c>
      <c r="BQ38" s="60">
        <f t="shared" si="30"/>
        <v>2615.181632</v>
      </c>
      <c r="BR38" s="60">
        <f t="shared" si="30"/>
        <v>7094.388686</v>
      </c>
      <c r="BS38" s="60">
        <f t="shared" si="30"/>
        <v>1769.69962</v>
      </c>
      <c r="BT38" s="60">
        <f t="shared" si="30"/>
        <v>3995.32201</v>
      </c>
      <c r="BU38" s="60">
        <f t="shared" si="30"/>
        <v>14706.21706</v>
      </c>
      <c r="BV38" s="60">
        <f t="shared" si="30"/>
        <v>10134.18804</v>
      </c>
      <c r="BW38" s="60">
        <f t="shared" si="30"/>
        <v>8458.234423</v>
      </c>
      <c r="BX38" s="60">
        <f t="shared" si="30"/>
        <v>7256.403242</v>
      </c>
      <c r="BY38" s="60">
        <f t="shared" si="30"/>
        <v>3100.692724</v>
      </c>
      <c r="BZ38" s="60">
        <f t="shared" si="30"/>
        <v>7189.283609</v>
      </c>
      <c r="CA38" s="60">
        <f t="shared" si="30"/>
        <v>3192.874648</v>
      </c>
      <c r="CB38" s="60">
        <f t="shared" si="30"/>
        <v>4827.35007</v>
      </c>
      <c r="CC38" s="60">
        <f t="shared" si="30"/>
        <v>5632.269158</v>
      </c>
      <c r="CD38" s="60">
        <f t="shared" si="30"/>
        <v>8037.316217</v>
      </c>
      <c r="CE38" s="60">
        <f t="shared" si="30"/>
        <v>5316.814538</v>
      </c>
      <c r="CF38" s="60">
        <f t="shared" si="30"/>
        <v>4990.446939</v>
      </c>
      <c r="CG38" s="60">
        <f t="shared" si="30"/>
        <v>7782.600048</v>
      </c>
      <c r="CH38" s="60">
        <f t="shared" si="30"/>
        <v>5126.461944</v>
      </c>
      <c r="CI38" s="60">
        <f t="shared" si="30"/>
        <v>6449.724869</v>
      </c>
      <c r="CJ38" s="60">
        <f t="shared" si="30"/>
        <v>17761.85647</v>
      </c>
      <c r="CK38" s="60">
        <f t="shared" si="30"/>
        <v>5452.517031</v>
      </c>
      <c r="CL38" s="60">
        <f t="shared" si="30"/>
        <v>6549.361108</v>
      </c>
      <c r="CM38" s="60">
        <f t="shared" si="30"/>
        <v>7331.098348</v>
      </c>
      <c r="CN38" s="60">
        <f t="shared" si="30"/>
        <v>7045.72306</v>
      </c>
      <c r="CO38" s="60">
        <f t="shared" si="30"/>
        <v>6504.339646</v>
      </c>
      <c r="CP38" s="60">
        <f t="shared" si="30"/>
        <v>3636.245764</v>
      </c>
      <c r="CQ38" s="60">
        <f t="shared" si="30"/>
        <v>9277.427744</v>
      </c>
      <c r="CR38" s="60">
        <f t="shared" si="30"/>
        <v>6818.721949</v>
      </c>
      <c r="CS38" s="60">
        <f t="shared" si="30"/>
        <v>8304.285364</v>
      </c>
      <c r="CT38" s="60">
        <f t="shared" si="30"/>
        <v>6012.625773</v>
      </c>
      <c r="CU38" s="60">
        <f t="shared" si="30"/>
        <v>5927.559727</v>
      </c>
      <c r="CV38" s="60">
        <f t="shared" si="30"/>
        <v>3620.184928</v>
      </c>
      <c r="CW38" s="60">
        <f t="shared" si="30"/>
        <v>4115.57968</v>
      </c>
      <c r="CX38" s="60">
        <f t="shared" si="30"/>
        <v>3813.680255</v>
      </c>
      <c r="CY38" s="60">
        <f t="shared" si="30"/>
        <v>5168.982764</v>
      </c>
      <c r="CZ38" s="60">
        <f t="shared" si="30"/>
        <v>10164.02265</v>
      </c>
      <c r="DA38" s="60">
        <f t="shared" si="30"/>
        <v>15663.15416</v>
      </c>
      <c r="DB38" s="60">
        <f t="shared" si="30"/>
        <v>12321.39913</v>
      </c>
      <c r="DC38" s="60">
        <f t="shared" si="30"/>
        <v>3520.894825</v>
      </c>
      <c r="DD38" s="60">
        <f t="shared" si="30"/>
        <v>6205.135932</v>
      </c>
      <c r="DE38" s="60">
        <f t="shared" si="30"/>
        <v>3226.355027</v>
      </c>
      <c r="DF38" s="60">
        <f t="shared" si="30"/>
        <v>10507.78559</v>
      </c>
      <c r="DG38" s="60">
        <f t="shared" si="30"/>
        <v>8438.063253</v>
      </c>
      <c r="DH38" s="60">
        <f t="shared" si="30"/>
        <v>6594.681398</v>
      </c>
      <c r="DI38" s="60">
        <f t="shared" si="30"/>
        <v>2440.094882</v>
      </c>
      <c r="DJ38" s="60">
        <f t="shared" si="30"/>
        <v>18006.62533</v>
      </c>
      <c r="DK38" s="60">
        <f t="shared" si="30"/>
        <v>6602.595724</v>
      </c>
      <c r="DL38" s="60">
        <f t="shared" si="30"/>
        <v>1968.20523</v>
      </c>
      <c r="DM38" s="60">
        <f t="shared" si="30"/>
        <v>4619.214483</v>
      </c>
      <c r="DN38" s="60">
        <f t="shared" si="30"/>
        <v>2134.164213</v>
      </c>
      <c r="DO38" s="60">
        <f t="shared" si="30"/>
        <v>5544.291535</v>
      </c>
      <c r="DP38" s="60">
        <f t="shared" si="30"/>
        <v>3205.558225</v>
      </c>
      <c r="DQ38" s="60">
        <f t="shared" si="30"/>
        <v>8068.128756</v>
      </c>
      <c r="DR38" s="60">
        <f t="shared" si="30"/>
        <v>10941.78921</v>
      </c>
      <c r="DS38" s="60">
        <f t="shared" si="30"/>
        <v>6877.398843</v>
      </c>
      <c r="DT38" s="60">
        <f t="shared" si="30"/>
        <v>12890.2146</v>
      </c>
      <c r="DU38" s="60">
        <f t="shared" si="30"/>
        <v>3705.704046</v>
      </c>
      <c r="DV38" s="60">
        <f t="shared" si="30"/>
        <v>7752.197283</v>
      </c>
      <c r="DW38" s="60">
        <f t="shared" si="30"/>
        <v>11245.39325</v>
      </c>
      <c r="DX38" s="60">
        <f t="shared" si="30"/>
        <v>5273.284139</v>
      </c>
      <c r="DY38" s="60">
        <f t="shared" si="30"/>
        <v>4570.872515</v>
      </c>
      <c r="DZ38" s="60">
        <f t="shared" si="30"/>
        <v>3339.903936</v>
      </c>
      <c r="EA38" s="60">
        <f t="shared" si="30"/>
        <v>6959.443114</v>
      </c>
      <c r="EB38" s="60">
        <f t="shared" si="30"/>
        <v>4150.49566</v>
      </c>
      <c r="EC38" s="60">
        <f t="shared" si="30"/>
        <v>7222.097058</v>
      </c>
      <c r="ED38" s="60">
        <f t="shared" si="30"/>
        <v>6565.742327</v>
      </c>
      <c r="EE38" s="60">
        <f t="shared" si="30"/>
        <v>4386.340238</v>
      </c>
      <c r="EF38" s="60">
        <f t="shared" si="30"/>
        <v>27286.30018</v>
      </c>
      <c r="EG38" s="60">
        <f t="shared" si="30"/>
        <v>8343.181972</v>
      </c>
      <c r="EH38" s="60">
        <f t="shared" si="30"/>
        <v>9973.421278</v>
      </c>
      <c r="EI38" s="60">
        <f t="shared" si="30"/>
        <v>9984.316931</v>
      </c>
      <c r="EJ38" s="60">
        <f t="shared" si="30"/>
        <v>3140.988261</v>
      </c>
      <c r="EK38" s="60">
        <f t="shared" si="30"/>
        <v>10066.71481</v>
      </c>
      <c r="EL38" s="60">
        <f t="shared" si="30"/>
        <v>6013.302983</v>
      </c>
      <c r="EM38" s="60">
        <f t="shared" si="30"/>
        <v>1335.765988</v>
      </c>
      <c r="EN38" s="60">
        <f t="shared" si="30"/>
        <v>4583.598594</v>
      </c>
      <c r="EO38" s="60">
        <f t="shared" si="30"/>
        <v>6580.703722</v>
      </c>
      <c r="EP38" s="60">
        <f t="shared" si="30"/>
        <v>2458.951663</v>
      </c>
      <c r="EQ38" s="60">
        <f t="shared" si="30"/>
        <v>8249.187713</v>
      </c>
      <c r="ER38" s="60">
        <f t="shared" si="30"/>
        <v>5727.855071</v>
      </c>
      <c r="ES38" s="60">
        <f t="shared" si="30"/>
        <v>6619.87365</v>
      </c>
      <c r="ET38" s="60">
        <f t="shared" si="30"/>
        <v>4826.043079</v>
      </c>
      <c r="EU38" s="60">
        <f t="shared" si="30"/>
        <v>16105.05611</v>
      </c>
      <c r="EV38" s="60">
        <f t="shared" si="30"/>
        <v>5212.021862</v>
      </c>
      <c r="EW38" s="60">
        <f t="shared" si="30"/>
        <v>4664.493002</v>
      </c>
      <c r="EX38" s="60">
        <f t="shared" si="30"/>
        <v>3118.146829</v>
      </c>
      <c r="EY38" s="60">
        <f t="shared" si="30"/>
        <v>16117.79328</v>
      </c>
      <c r="EZ38" s="60">
        <f t="shared" si="30"/>
        <v>8213.870327</v>
      </c>
      <c r="FA38" s="60">
        <f t="shared" si="30"/>
        <v>13390.4125</v>
      </c>
      <c r="FB38" s="60">
        <f t="shared" si="30"/>
        <v>24086.70889</v>
      </c>
      <c r="FC38" s="60">
        <f t="shared" si="30"/>
        <v>6486.67101</v>
      </c>
      <c r="FD38" s="60">
        <f t="shared" si="30"/>
        <v>1775.47734</v>
      </c>
      <c r="FE38" s="60">
        <f t="shared" si="30"/>
        <v>2722.626004</v>
      </c>
      <c r="FF38" s="60">
        <f t="shared" si="30"/>
        <v>1732.795821</v>
      </c>
      <c r="FG38" s="60">
        <f t="shared" si="30"/>
        <v>3247.82376</v>
      </c>
      <c r="FH38" s="60">
        <f t="shared" si="30"/>
        <v>11079.06486</v>
      </c>
      <c r="FI38" s="60">
        <f t="shared" si="30"/>
        <v>3994.049847</v>
      </c>
      <c r="FJ38" s="60">
        <f t="shared" si="30"/>
        <v>2316.354936</v>
      </c>
      <c r="FK38" s="60">
        <f t="shared" si="30"/>
        <v>5342.260248</v>
      </c>
      <c r="FL38" s="60">
        <f t="shared" si="30"/>
        <v>7590.262062</v>
      </c>
      <c r="FM38" s="60">
        <f t="shared" si="30"/>
        <v>15050.41418</v>
      </c>
      <c r="FN38" s="60">
        <f t="shared" si="30"/>
        <v>6889.099378</v>
      </c>
      <c r="FO38" s="60">
        <f t="shared" si="30"/>
        <v>11890.72276</v>
      </c>
      <c r="FP38" s="60">
        <f t="shared" si="30"/>
        <v>7301.352244</v>
      </c>
      <c r="FQ38" s="60">
        <f t="shared" si="30"/>
        <v>9230.649967</v>
      </c>
      <c r="FR38" s="60">
        <f t="shared" si="30"/>
        <v>7442.570853</v>
      </c>
      <c r="FS38" s="60">
        <f t="shared" si="30"/>
        <v>6080.961546</v>
      </c>
      <c r="FT38" s="60">
        <f t="shared" si="30"/>
        <v>7980.947241</v>
      </c>
      <c r="FU38" s="60">
        <f t="shared" si="30"/>
        <v>5547.251064</v>
      </c>
      <c r="FV38" s="60">
        <f t="shared" si="30"/>
        <v>8492.456251</v>
      </c>
      <c r="FW38" s="60">
        <f t="shared" si="30"/>
        <v>6705.126145</v>
      </c>
      <c r="FX38" s="60">
        <f t="shared" si="30"/>
        <v>3591.048678</v>
      </c>
      <c r="FY38" s="60">
        <f t="shared" si="30"/>
        <v>3811.729306</v>
      </c>
      <c r="FZ38" s="60">
        <f t="shared" si="30"/>
        <v>4438.682023</v>
      </c>
      <c r="GA38" s="60">
        <f t="shared" si="30"/>
        <v>4232.835967</v>
      </c>
      <c r="GB38" s="60">
        <f t="shared" si="30"/>
        <v>2574.654551</v>
      </c>
      <c r="GC38" s="60">
        <f t="shared" si="30"/>
        <v>6977.422085</v>
      </c>
      <c r="GD38" s="60">
        <f t="shared" si="30"/>
        <v>2651.780446</v>
      </c>
      <c r="GE38" s="60">
        <f t="shared" si="30"/>
        <v>2037.354249</v>
      </c>
      <c r="GF38" s="60">
        <f t="shared" si="30"/>
        <v>16129.06949</v>
      </c>
      <c r="GG38" s="60">
        <f t="shared" si="30"/>
        <v>2949.736614</v>
      </c>
      <c r="GH38" s="60">
        <f t="shared" si="30"/>
        <v>7985.528186</v>
      </c>
      <c r="GI38" s="60">
        <f t="shared" si="30"/>
        <v>3983.391592</v>
      </c>
      <c r="GJ38" s="60">
        <f t="shared" si="30"/>
        <v>11133.13997</v>
      </c>
      <c r="GK38" s="60">
        <f t="shared" si="30"/>
        <v>11000.36393</v>
      </c>
      <c r="GL38" s="60">
        <f t="shared" si="30"/>
        <v>4635.34023</v>
      </c>
      <c r="GM38" s="60">
        <f t="shared" si="30"/>
        <v>11765.89632</v>
      </c>
      <c r="GN38" s="60">
        <f t="shared" si="30"/>
        <v>22145.85812</v>
      </c>
      <c r="GO38" s="60">
        <f t="shared" si="30"/>
        <v>1602.486628</v>
      </c>
      <c r="GP38" s="60">
        <f t="shared" si="30"/>
        <v>5818.316624</v>
      </c>
      <c r="GQ38" s="60">
        <f t="shared" si="30"/>
        <v>9140.264527</v>
      </c>
      <c r="GR38" s="60">
        <f t="shared" si="30"/>
        <v>5307.000135</v>
      </c>
      <c r="GS38" s="60">
        <f t="shared" si="30"/>
        <v>8755.419095</v>
      </c>
      <c r="GT38" s="60">
        <f t="shared" si="30"/>
        <v>2103.7908</v>
      </c>
      <c r="GU38" s="60">
        <f t="shared" si="30"/>
        <v>9284.346274</v>
      </c>
      <c r="GV38" s="60">
        <f t="shared" si="30"/>
        <v>10430.16273</v>
      </c>
      <c r="GW38" s="60">
        <f t="shared" si="30"/>
        <v>2484.922857</v>
      </c>
      <c r="GX38" s="60">
        <f t="shared" si="30"/>
        <v>5270.846795</v>
      </c>
      <c r="GY38" s="60">
        <f t="shared" si="30"/>
        <v>5396.017206</v>
      </c>
      <c r="GZ38" s="60">
        <f t="shared" si="30"/>
        <v>9614.214671</v>
      </c>
      <c r="HA38" s="60">
        <f t="shared" si="30"/>
        <v>3872.641647</v>
      </c>
      <c r="HB38" s="60">
        <f t="shared" si="30"/>
        <v>3718.993394</v>
      </c>
      <c r="HC38" s="60">
        <f t="shared" si="30"/>
        <v>9268.488754</v>
      </c>
      <c r="HD38" s="60">
        <f t="shared" si="30"/>
        <v>4368.389993</v>
      </c>
      <c r="HE38" s="60">
        <f t="shared" si="30"/>
        <v>10116.63415</v>
      </c>
      <c r="HF38" s="60">
        <f t="shared" si="30"/>
        <v>1823.070271</v>
      </c>
      <c r="HG38" s="60">
        <f t="shared" si="30"/>
        <v>2698.168902</v>
      </c>
      <c r="HH38" s="60">
        <f t="shared" si="30"/>
        <v>9113.031356</v>
      </c>
      <c r="HI38" s="60">
        <f t="shared" si="30"/>
        <v>4576.235289</v>
      </c>
      <c r="HJ38" s="60">
        <f t="shared" si="30"/>
        <v>4682.336647</v>
      </c>
      <c r="HK38" s="60">
        <f t="shared" si="30"/>
        <v>2845.050597</v>
      </c>
      <c r="HL38" s="60">
        <f t="shared" si="30"/>
        <v>4700.835067</v>
      </c>
      <c r="HM38" s="60">
        <f t="shared" si="30"/>
        <v>13855.72845</v>
      </c>
      <c r="HN38" s="60">
        <f t="shared" si="30"/>
        <v>3757.492536</v>
      </c>
      <c r="HO38" s="60">
        <f t="shared" si="30"/>
        <v>2334.310986</v>
      </c>
      <c r="HP38" s="60">
        <f t="shared" si="30"/>
        <v>9024.360748</v>
      </c>
      <c r="HQ38" s="60">
        <f t="shared" si="30"/>
        <v>2848.437786</v>
      </c>
      <c r="HR38" s="60">
        <f t="shared" si="30"/>
        <v>13041.34775</v>
      </c>
      <c r="HS38" s="60">
        <f t="shared" si="30"/>
        <v>9136.114109</v>
      </c>
      <c r="HT38" s="60">
        <f t="shared" si="30"/>
        <v>5132.947838</v>
      </c>
      <c r="HU38" s="60">
        <f t="shared" si="30"/>
        <v>10247.60978</v>
      </c>
      <c r="HV38" s="60">
        <f t="shared" si="30"/>
        <v>13240.94632</v>
      </c>
      <c r="HW38" s="60">
        <f t="shared" si="30"/>
        <v>5560.659788</v>
      </c>
      <c r="HX38" s="60">
        <f t="shared" si="30"/>
        <v>3027.521439</v>
      </c>
      <c r="HY38" s="60">
        <f t="shared" si="30"/>
        <v>9803.548559</v>
      </c>
      <c r="HZ38" s="60">
        <f t="shared" si="30"/>
        <v>6620.615381</v>
      </c>
      <c r="IA38" s="60">
        <f t="shared" si="30"/>
        <v>4235.97343</v>
      </c>
      <c r="IB38" s="60">
        <f t="shared" si="30"/>
        <v>8892.034503</v>
      </c>
      <c r="IC38" s="60">
        <f t="shared" si="30"/>
        <v>2963.697352</v>
      </c>
      <c r="ID38" s="60">
        <f t="shared" si="30"/>
        <v>3520.655968</v>
      </c>
      <c r="IE38" s="60">
        <f t="shared" si="30"/>
        <v>5257.663355</v>
      </c>
      <c r="IF38" s="60">
        <f t="shared" si="30"/>
        <v>11743.21364</v>
      </c>
      <c r="IG38" s="60">
        <f t="shared" si="30"/>
        <v>31959.76248</v>
      </c>
      <c r="IH38" s="60">
        <f t="shared" si="30"/>
        <v>5995.578063</v>
      </c>
      <c r="II38" s="60">
        <f t="shared" si="30"/>
        <v>6899.245078</v>
      </c>
      <c r="IJ38" s="60">
        <f t="shared" si="30"/>
        <v>2452.867381</v>
      </c>
      <c r="IK38" s="60">
        <f t="shared" si="30"/>
        <v>5964.549428</v>
      </c>
      <c r="IL38" s="60">
        <f t="shared" si="30"/>
        <v>10306.63031</v>
      </c>
      <c r="IM38" s="60">
        <f t="shared" si="30"/>
        <v>5126.379385</v>
      </c>
      <c r="IN38" s="60">
        <f t="shared" si="30"/>
        <v>2809.049394</v>
      </c>
      <c r="IO38" s="60">
        <f t="shared" si="30"/>
        <v>4604.871608</v>
      </c>
      <c r="IP38" s="60">
        <f t="shared" si="30"/>
        <v>7367.786585</v>
      </c>
      <c r="IQ38" s="60">
        <f t="shared" si="30"/>
        <v>3086.616507</v>
      </c>
      <c r="IR38" s="60">
        <f t="shared" si="30"/>
        <v>9375.153104</v>
      </c>
      <c r="IS38" s="60">
        <f t="shared" si="30"/>
        <v>7516.73377</v>
      </c>
      <c r="IT38" s="60">
        <f t="shared" si="30"/>
        <v>7273.036218</v>
      </c>
      <c r="IU38" s="60">
        <f t="shared" si="30"/>
        <v>3123.990858</v>
      </c>
      <c r="IV38" s="60">
        <f t="shared" si="30"/>
        <v>10397.38856</v>
      </c>
      <c r="IW38" s="60">
        <f t="shared" si="30"/>
        <v>2898.593873</v>
      </c>
      <c r="IX38" s="60">
        <f t="shared" si="30"/>
        <v>3061.813366</v>
      </c>
      <c r="IY38" s="60">
        <f t="shared" si="30"/>
        <v>9246.179519</v>
      </c>
      <c r="IZ38" s="60">
        <f t="shared" si="30"/>
        <v>6590.111731</v>
      </c>
      <c r="JA38" s="60">
        <f t="shared" si="30"/>
        <v>4523.125881</v>
      </c>
      <c r="JB38" s="60">
        <f t="shared" si="30"/>
        <v>5863.548591</v>
      </c>
      <c r="JC38" s="60">
        <f t="shared" si="30"/>
        <v>6875.366657</v>
      </c>
      <c r="JD38" s="60">
        <f t="shared" si="30"/>
        <v>6967.962021</v>
      </c>
      <c r="JE38" s="60">
        <f t="shared" si="30"/>
        <v>2222.246301</v>
      </c>
      <c r="JF38" s="60">
        <f t="shared" si="30"/>
        <v>3146.369436</v>
      </c>
      <c r="JG38" s="60">
        <f t="shared" si="30"/>
        <v>8073.81901</v>
      </c>
      <c r="JH38" s="60">
        <f t="shared" si="30"/>
        <v>7720.358673</v>
      </c>
      <c r="JI38" s="60">
        <f t="shared" si="30"/>
        <v>5210.762236</v>
      </c>
      <c r="JJ38" s="60">
        <f t="shared" si="30"/>
        <v>7920.070256</v>
      </c>
      <c r="JK38" s="60">
        <f t="shared" si="30"/>
        <v>13028.14752</v>
      </c>
      <c r="JL38" s="60">
        <f t="shared" si="30"/>
        <v>3179.175993</v>
      </c>
      <c r="JM38" s="60">
        <f t="shared" si="30"/>
        <v>3629.401958</v>
      </c>
      <c r="JN38" s="60">
        <f t="shared" si="30"/>
        <v>12455.73299</v>
      </c>
      <c r="JO38" s="60">
        <f t="shared" si="30"/>
        <v>13840.29514</v>
      </c>
      <c r="JP38" s="60">
        <f t="shared" si="30"/>
        <v>8739.897515</v>
      </c>
      <c r="JQ38" s="60">
        <f t="shared" si="30"/>
        <v>2843.146853</v>
      </c>
      <c r="JR38" s="60">
        <f t="shared" si="30"/>
        <v>5107.357835</v>
      </c>
      <c r="JS38" s="60">
        <f t="shared" si="30"/>
        <v>9317.479811</v>
      </c>
      <c r="JT38" s="60">
        <f t="shared" si="30"/>
        <v>6872.653051</v>
      </c>
      <c r="JU38" s="60">
        <f t="shared" si="30"/>
        <v>3404.58089</v>
      </c>
      <c r="JV38" s="60">
        <f t="shared" si="30"/>
        <v>5221.385557</v>
      </c>
      <c r="JW38" s="60">
        <f t="shared" si="30"/>
        <v>3852.258997</v>
      </c>
      <c r="JX38" s="60">
        <f t="shared" si="30"/>
        <v>2623.958416</v>
      </c>
      <c r="JY38" s="60">
        <f t="shared" si="30"/>
        <v>10904.73652</v>
      </c>
      <c r="JZ38" s="60">
        <f t="shared" si="30"/>
        <v>20312.98029</v>
      </c>
      <c r="KA38" s="60">
        <f t="shared" si="30"/>
        <v>12507.1845</v>
      </c>
      <c r="KB38" s="60">
        <f t="shared" si="30"/>
        <v>3006.912778</v>
      </c>
      <c r="KC38" s="60">
        <f t="shared" si="30"/>
        <v>4477.86854</v>
      </c>
      <c r="KD38" s="60">
        <f t="shared" si="30"/>
        <v>10507.97862</v>
      </c>
      <c r="KE38" s="60">
        <f t="shared" si="30"/>
        <v>18036.41934</v>
      </c>
      <c r="KF38" s="60">
        <f t="shared" si="30"/>
        <v>5464.282864</v>
      </c>
      <c r="KG38" s="60">
        <f t="shared" si="30"/>
        <v>2613.64433</v>
      </c>
      <c r="KH38" s="60">
        <f t="shared" si="30"/>
        <v>5122.271496</v>
      </c>
      <c r="KI38" s="60">
        <f t="shared" si="30"/>
        <v>3133.633556</v>
      </c>
      <c r="KJ38" s="60">
        <f t="shared" si="30"/>
        <v>7371.536253</v>
      </c>
      <c r="KK38" s="60">
        <f t="shared" si="30"/>
        <v>5205.10153</v>
      </c>
      <c r="KL38" s="60">
        <f t="shared" si="30"/>
        <v>2395.784185</v>
      </c>
      <c r="KM38" s="60">
        <f t="shared" si="30"/>
        <v>4621.848097</v>
      </c>
      <c r="KN38" s="60">
        <f t="shared" si="30"/>
        <v>16277.93195</v>
      </c>
      <c r="KO38" s="60">
        <f t="shared" si="30"/>
        <v>6812.57973</v>
      </c>
      <c r="KP38" s="60">
        <f t="shared" si="30"/>
        <v>4653.172001</v>
      </c>
      <c r="KQ38" s="60">
        <f t="shared" si="30"/>
        <v>9338.828419</v>
      </c>
      <c r="KR38" s="60">
        <f t="shared" si="30"/>
        <v>3151.368341</v>
      </c>
      <c r="KS38" s="60">
        <f t="shared" si="30"/>
        <v>3881.46878</v>
      </c>
      <c r="KT38" s="60">
        <f t="shared" si="30"/>
        <v>6346.941548</v>
      </c>
      <c r="KU38" s="60">
        <f t="shared" si="30"/>
        <v>6717.956819</v>
      </c>
      <c r="KV38" s="60">
        <f t="shared" si="30"/>
        <v>7011.705206</v>
      </c>
      <c r="KW38" s="60">
        <f t="shared" si="30"/>
        <v>4806.78682</v>
      </c>
      <c r="KX38" s="60">
        <f t="shared" si="30"/>
        <v>20387.8064</v>
      </c>
      <c r="KY38" s="60">
        <f t="shared" si="30"/>
        <v>7973.94496</v>
      </c>
      <c r="KZ38" s="60">
        <f t="shared" si="30"/>
        <v>5268.008142</v>
      </c>
      <c r="LA38" s="60">
        <f t="shared" si="30"/>
        <v>4086.578262</v>
      </c>
      <c r="LB38" s="60">
        <f t="shared" si="30"/>
        <v>15050.93285</v>
      </c>
      <c r="LC38" s="60">
        <f t="shared" si="30"/>
        <v>6936.039911</v>
      </c>
      <c r="LD38" s="60">
        <f t="shared" si="30"/>
        <v>8636.629575</v>
      </c>
      <c r="LE38" s="60">
        <f t="shared" si="30"/>
        <v>6212.492874</v>
      </c>
      <c r="LF38" s="60">
        <f t="shared" si="30"/>
        <v>4331.024285</v>
      </c>
      <c r="LG38" s="60">
        <f t="shared" si="30"/>
        <v>6474.038388</v>
      </c>
      <c r="LH38" s="60">
        <f t="shared" si="30"/>
        <v>5038.43528</v>
      </c>
      <c r="LI38" s="60">
        <f t="shared" si="30"/>
        <v>15778.96642</v>
      </c>
      <c r="LJ38" s="60">
        <f t="shared" si="30"/>
        <v>8787.383816</v>
      </c>
      <c r="LK38" s="60">
        <f t="shared" si="30"/>
        <v>11974.42242</v>
      </c>
      <c r="LL38" s="60">
        <f t="shared" si="30"/>
        <v>4235.840241</v>
      </c>
      <c r="LM38" s="60">
        <f t="shared" si="30"/>
        <v>8761.38903</v>
      </c>
      <c r="LN38" s="60">
        <f t="shared" si="30"/>
        <v>9560.723297</v>
      </c>
      <c r="LO38" s="60">
        <f t="shared" si="30"/>
        <v>2687.023856</v>
      </c>
      <c r="LP38" s="60">
        <f t="shared" si="30"/>
        <v>2544.630713</v>
      </c>
      <c r="LQ38" s="60">
        <f t="shared" si="30"/>
        <v>5411.867562</v>
      </c>
      <c r="LR38" s="60">
        <f t="shared" si="30"/>
        <v>8580.33936</v>
      </c>
      <c r="LS38" s="60">
        <f t="shared" si="30"/>
        <v>13641.49776</v>
      </c>
      <c r="LT38" s="60">
        <f t="shared" si="30"/>
        <v>4366.326925</v>
      </c>
      <c r="LU38" s="60">
        <f t="shared" si="30"/>
        <v>2935.209182</v>
      </c>
      <c r="LV38" s="60">
        <f t="shared" si="30"/>
        <v>4318.83261</v>
      </c>
      <c r="LW38" s="60">
        <f t="shared" si="30"/>
        <v>2926.011609</v>
      </c>
      <c r="LX38" s="60">
        <f t="shared" si="30"/>
        <v>3153.644546</v>
      </c>
      <c r="LY38" s="60">
        <f t="shared" si="30"/>
        <v>12081.21306</v>
      </c>
      <c r="LZ38" s="60">
        <f t="shared" si="30"/>
        <v>3652.759895</v>
      </c>
      <c r="MA38" s="60">
        <f t="shared" si="30"/>
        <v>4092.675984</v>
      </c>
      <c r="MB38" s="60">
        <f t="shared" si="30"/>
        <v>29240.7024</v>
      </c>
      <c r="MC38" s="60">
        <f t="shared" si="30"/>
        <v>14184.43911</v>
      </c>
      <c r="MD38" s="60">
        <f t="shared" si="30"/>
        <v>6104.156917</v>
      </c>
      <c r="ME38" s="60">
        <f t="shared" si="30"/>
        <v>6320.650638</v>
      </c>
      <c r="MF38" s="60">
        <f t="shared" si="30"/>
        <v>2530.051871</v>
      </c>
      <c r="MG38" s="60">
        <f t="shared" si="30"/>
        <v>5053.730554</v>
      </c>
      <c r="MH38" s="60">
        <f t="shared" si="30"/>
        <v>5848.769195</v>
      </c>
      <c r="MI38" s="60">
        <f t="shared" si="30"/>
        <v>9438.971712</v>
      </c>
      <c r="MJ38" s="60">
        <f t="shared" si="30"/>
        <v>4698.938189</v>
      </c>
      <c r="MK38" s="60">
        <f t="shared" si="30"/>
        <v>1944.588757</v>
      </c>
      <c r="ML38" s="60">
        <f t="shared" si="30"/>
        <v>4499.658217</v>
      </c>
      <c r="MM38" s="60">
        <f t="shared" si="30"/>
        <v>4381.558642</v>
      </c>
      <c r="MN38" s="60">
        <f t="shared" si="30"/>
        <v>12745.19038</v>
      </c>
      <c r="MO38" s="60">
        <f t="shared" si="30"/>
        <v>10253.76093</v>
      </c>
      <c r="MP38" s="60">
        <f t="shared" si="30"/>
        <v>11698.4414</v>
      </c>
      <c r="MQ38" s="60">
        <f t="shared" si="30"/>
        <v>2939.994669</v>
      </c>
      <c r="MR38" s="60">
        <f t="shared" si="30"/>
        <v>3656.484633</v>
      </c>
      <c r="MS38" s="60">
        <f t="shared" si="30"/>
        <v>5860.256781</v>
      </c>
      <c r="MT38" s="60">
        <f t="shared" si="30"/>
        <v>8368.054297</v>
      </c>
      <c r="MU38" s="60">
        <f t="shared" si="30"/>
        <v>6936.252029</v>
      </c>
      <c r="MV38" s="60">
        <f t="shared" si="30"/>
        <v>9841.339555</v>
      </c>
      <c r="MW38" s="60">
        <f t="shared" si="30"/>
        <v>4225.563276</v>
      </c>
      <c r="MX38" s="60">
        <f t="shared" si="30"/>
        <v>8514.625307</v>
      </c>
      <c r="MY38" s="60">
        <f t="shared" si="30"/>
        <v>4960.05244</v>
      </c>
      <c r="MZ38" s="60">
        <f t="shared" si="30"/>
        <v>3410.096333</v>
      </c>
      <c r="NA38" s="60">
        <f t="shared" si="30"/>
        <v>21780.60993</v>
      </c>
      <c r="NB38" s="60">
        <f t="shared" si="30"/>
        <v>9592.518526</v>
      </c>
      <c r="NC38" s="60">
        <f t="shared" si="30"/>
        <v>7960.42879</v>
      </c>
      <c r="ND38" s="60">
        <f t="shared" si="30"/>
        <v>7751.913063</v>
      </c>
      <c r="NE38" s="60">
        <f t="shared" si="30"/>
        <v>5216.874947</v>
      </c>
      <c r="NF38" s="60">
        <f t="shared" si="30"/>
        <v>2717.412044</v>
      </c>
      <c r="NG38" s="60">
        <f t="shared" si="30"/>
        <v>14512.15736</v>
      </c>
      <c r="NH38" s="60">
        <f t="shared" si="30"/>
        <v>3373.895812</v>
      </c>
      <c r="NI38" s="60">
        <f t="shared" si="30"/>
        <v>8912.574572</v>
      </c>
      <c r="NJ38" s="60">
        <f t="shared" si="30"/>
        <v>3996.501301</v>
      </c>
      <c r="NK38" s="60">
        <f t="shared" si="30"/>
        <v>10190.79455</v>
      </c>
      <c r="NL38" s="60">
        <f t="shared" si="30"/>
        <v>9407.538786</v>
      </c>
      <c r="NM38" s="60">
        <f t="shared" si="30"/>
        <v>13295.23023</v>
      </c>
      <c r="NN38" s="60">
        <f t="shared" si="30"/>
        <v>1782.281949</v>
      </c>
      <c r="NO38" s="60">
        <f t="shared" si="30"/>
        <v>9693.626148</v>
      </c>
      <c r="NP38" s="60">
        <f t="shared" si="30"/>
        <v>22141.47569</v>
      </c>
      <c r="NQ38" s="60">
        <f t="shared" si="30"/>
        <v>3697.305875</v>
      </c>
      <c r="NR38" s="60">
        <f t="shared" si="30"/>
        <v>4375.008976</v>
      </c>
      <c r="NS38" s="60">
        <f t="shared" si="30"/>
        <v>7763.54246</v>
      </c>
      <c r="NT38" s="60">
        <f t="shared" si="30"/>
        <v>20295.53054</v>
      </c>
      <c r="NU38" s="60">
        <f t="shared" si="30"/>
        <v>7222.594775</v>
      </c>
      <c r="NV38" s="60">
        <f t="shared" si="30"/>
        <v>6027.864229</v>
      </c>
      <c r="NW38" s="60">
        <f t="shared" si="30"/>
        <v>15150.40737</v>
      </c>
      <c r="NX38" s="60">
        <f t="shared" si="30"/>
        <v>5400.831802</v>
      </c>
      <c r="NY38" s="60">
        <f t="shared" si="30"/>
        <v>4604.49989</v>
      </c>
      <c r="NZ38" s="60">
        <f t="shared" si="30"/>
        <v>3146.676929</v>
      </c>
      <c r="OA38" s="60">
        <f t="shared" si="30"/>
        <v>6750.508828</v>
      </c>
      <c r="OB38" s="60">
        <f t="shared" si="30"/>
        <v>8034.107599</v>
      </c>
      <c r="OC38" s="60">
        <f t="shared" si="30"/>
        <v>4007.800042</v>
      </c>
      <c r="OD38" s="60">
        <f t="shared" si="30"/>
        <v>8714.596221</v>
      </c>
      <c r="OE38" s="60">
        <f t="shared" si="30"/>
        <v>3782.659712</v>
      </c>
      <c r="OF38" s="60">
        <f t="shared" si="30"/>
        <v>6860.600499</v>
      </c>
      <c r="OG38" s="60">
        <f t="shared" si="30"/>
        <v>3311.757129</v>
      </c>
      <c r="OH38" s="60">
        <f t="shared" si="30"/>
        <v>5299.86817</v>
      </c>
      <c r="OI38" s="60">
        <f t="shared" si="30"/>
        <v>11851.64859</v>
      </c>
      <c r="OJ38" s="60">
        <f t="shared" si="30"/>
        <v>3234.832623</v>
      </c>
      <c r="OK38" s="60">
        <f t="shared" si="30"/>
        <v>3859.107574</v>
      </c>
      <c r="OL38" s="60">
        <f t="shared" si="30"/>
        <v>2765.698349</v>
      </c>
      <c r="OM38" s="60">
        <f t="shared" si="30"/>
        <v>3219.048554</v>
      </c>
      <c r="ON38" s="60">
        <f t="shared" si="30"/>
        <v>12486.1431</v>
      </c>
      <c r="OO38" s="60">
        <f t="shared" si="30"/>
        <v>1750.742962</v>
      </c>
      <c r="OP38" s="60">
        <f t="shared" si="30"/>
        <v>5203.159403</v>
      </c>
      <c r="OQ38" s="60">
        <f t="shared" si="30"/>
        <v>6932.278296</v>
      </c>
      <c r="OR38" s="60">
        <f t="shared" si="30"/>
        <v>8420.623071</v>
      </c>
      <c r="OS38" s="60">
        <f t="shared" si="30"/>
        <v>3629.208379</v>
      </c>
      <c r="OT38" s="60">
        <f t="shared" si="30"/>
        <v>9989.870798</v>
      </c>
      <c r="OU38" s="60">
        <f t="shared" si="30"/>
        <v>4741.548696</v>
      </c>
      <c r="OV38" s="60">
        <f t="shared" si="30"/>
        <v>9115.996964</v>
      </c>
      <c r="OW38" s="60">
        <f t="shared" si="30"/>
        <v>2881.742777</v>
      </c>
      <c r="OX38" s="60">
        <f t="shared" si="30"/>
        <v>4436.242114</v>
      </c>
      <c r="OY38" s="60">
        <f t="shared" si="30"/>
        <v>5422.543425</v>
      </c>
      <c r="OZ38" s="60">
        <f t="shared" si="30"/>
        <v>6638.443087</v>
      </c>
      <c r="PA38" s="60">
        <f t="shared" si="30"/>
        <v>4851.482116</v>
      </c>
      <c r="PB38" s="60">
        <f t="shared" si="30"/>
        <v>7149.380294</v>
      </c>
      <c r="PC38" s="60">
        <f t="shared" si="30"/>
        <v>8534.917435</v>
      </c>
      <c r="PD38" s="60">
        <f t="shared" si="30"/>
        <v>2569.039924</v>
      </c>
      <c r="PE38" s="60">
        <f t="shared" si="30"/>
        <v>4552.88458</v>
      </c>
      <c r="PF38" s="60">
        <f t="shared" si="30"/>
        <v>11446.27112</v>
      </c>
      <c r="PG38" s="60">
        <f t="shared" si="30"/>
        <v>3759.156911</v>
      </c>
      <c r="PH38" s="60">
        <f t="shared" si="30"/>
        <v>4347.563525</v>
      </c>
      <c r="PI38" s="60">
        <f t="shared" si="30"/>
        <v>5422.434089</v>
      </c>
      <c r="PJ38" s="60">
        <f t="shared" si="30"/>
        <v>1978.332332</v>
      </c>
      <c r="PK38" s="60">
        <f t="shared" si="30"/>
        <v>5686.368073</v>
      </c>
      <c r="PL38" s="60">
        <f t="shared" si="30"/>
        <v>5554.020851</v>
      </c>
      <c r="PM38" s="60">
        <f t="shared" si="30"/>
        <v>3636.719194</v>
      </c>
      <c r="PN38" s="60">
        <f t="shared" si="30"/>
        <v>1925.999673</v>
      </c>
      <c r="PO38" s="60">
        <f t="shared" si="30"/>
        <v>1740.258598</v>
      </c>
      <c r="PP38" s="60">
        <f t="shared" si="30"/>
        <v>2705.121948</v>
      </c>
      <c r="PQ38" s="60">
        <f t="shared" si="30"/>
        <v>14290.75198</v>
      </c>
      <c r="PR38" s="60">
        <f t="shared" si="30"/>
        <v>10544.90174</v>
      </c>
      <c r="PS38" s="60">
        <f t="shared" si="30"/>
        <v>3148.949124</v>
      </c>
      <c r="PT38" s="60">
        <f t="shared" si="30"/>
        <v>5183.717892</v>
      </c>
      <c r="PU38" s="60">
        <f t="shared" si="30"/>
        <v>1613.310514</v>
      </c>
      <c r="PV38" s="60">
        <f t="shared" si="30"/>
        <v>5662.469175</v>
      </c>
      <c r="PW38" s="60">
        <f t="shared" si="30"/>
        <v>11000.95237</v>
      </c>
      <c r="PX38" s="60">
        <f t="shared" si="30"/>
        <v>8567.942882</v>
      </c>
      <c r="PY38" s="60">
        <f t="shared" si="30"/>
        <v>12889.80586</v>
      </c>
      <c r="PZ38" s="60">
        <f t="shared" si="30"/>
        <v>5495.297248</v>
      </c>
      <c r="QA38" s="60">
        <f t="shared" si="30"/>
        <v>6867.878374</v>
      </c>
      <c r="QB38" s="60">
        <f t="shared" si="30"/>
        <v>5332.836754</v>
      </c>
      <c r="QC38" s="60">
        <f t="shared" si="30"/>
        <v>18643.49118</v>
      </c>
      <c r="QD38" s="60">
        <f t="shared" si="30"/>
        <v>3769.766575</v>
      </c>
      <c r="QE38" s="60">
        <f t="shared" si="30"/>
        <v>12231.26431</v>
      </c>
      <c r="QF38" s="60">
        <f t="shared" si="30"/>
        <v>2297.015433</v>
      </c>
      <c r="QG38" s="60">
        <f t="shared" si="30"/>
        <v>19852.04574</v>
      </c>
      <c r="QH38" s="60">
        <f t="shared" si="30"/>
        <v>6685.93442</v>
      </c>
      <c r="QI38" s="60">
        <f t="shared" si="30"/>
        <v>4052.683174</v>
      </c>
      <c r="QJ38" s="60">
        <f t="shared" si="30"/>
        <v>5622.254332</v>
      </c>
      <c r="QK38" s="60">
        <f t="shared" si="30"/>
        <v>5541.938053</v>
      </c>
      <c r="QL38" s="60">
        <f t="shared" si="30"/>
        <v>2704.105952</v>
      </c>
      <c r="QM38" s="60">
        <f t="shared" si="30"/>
        <v>12995.68659</v>
      </c>
      <c r="QN38" s="60">
        <f t="shared" si="30"/>
        <v>3081.412506</v>
      </c>
      <c r="QO38" s="60">
        <f t="shared" si="30"/>
        <v>2859.552221</v>
      </c>
      <c r="QP38" s="60">
        <f t="shared" si="30"/>
        <v>4271.543324</v>
      </c>
      <c r="QQ38" s="60">
        <f t="shared" si="30"/>
        <v>15022.88238</v>
      </c>
      <c r="QR38" s="60">
        <f t="shared" si="30"/>
        <v>15062.43026</v>
      </c>
      <c r="QS38" s="60">
        <f t="shared" si="30"/>
        <v>7920.114738</v>
      </c>
      <c r="QT38" s="60">
        <f t="shared" si="30"/>
        <v>5071.153123</v>
      </c>
      <c r="QU38" s="60">
        <f t="shared" si="30"/>
        <v>3144.7212</v>
      </c>
      <c r="QV38" s="60">
        <f t="shared" si="30"/>
        <v>8630.009949</v>
      </c>
      <c r="QW38" s="60">
        <f t="shared" si="30"/>
        <v>8891.568349</v>
      </c>
      <c r="QX38" s="60">
        <f t="shared" si="30"/>
        <v>5890.694694</v>
      </c>
      <c r="QY38" s="60">
        <f t="shared" si="30"/>
        <v>2264.435248</v>
      </c>
      <c r="QZ38" s="60">
        <f t="shared" si="30"/>
        <v>6529.776655</v>
      </c>
      <c r="RA38" s="60">
        <f t="shared" si="30"/>
        <v>9168.456673</v>
      </c>
      <c r="RB38" s="60">
        <f t="shared" si="30"/>
        <v>8827.301955</v>
      </c>
      <c r="RC38" s="60">
        <f t="shared" si="30"/>
        <v>2658.674135</v>
      </c>
      <c r="RD38" s="60">
        <f t="shared" si="30"/>
        <v>2873.916874</v>
      </c>
      <c r="RE38" s="60">
        <f t="shared" si="30"/>
        <v>8063.47275</v>
      </c>
      <c r="RF38" s="60">
        <f t="shared" si="30"/>
        <v>5781.176418</v>
      </c>
      <c r="RG38" s="60">
        <f t="shared" si="30"/>
        <v>3969.92989</v>
      </c>
      <c r="RH38" s="60">
        <f t="shared" si="30"/>
        <v>1709.069075</v>
      </c>
      <c r="RI38" s="60">
        <f t="shared" si="30"/>
        <v>12798.29871</v>
      </c>
      <c r="RJ38" s="60">
        <f t="shared" si="30"/>
        <v>7665.887565</v>
      </c>
      <c r="RK38" s="60">
        <f t="shared" si="30"/>
        <v>17700.39788</v>
      </c>
      <c r="RL38" s="60">
        <f t="shared" si="30"/>
        <v>7873.340769</v>
      </c>
      <c r="RM38" s="60">
        <f t="shared" si="30"/>
        <v>12264.42791</v>
      </c>
      <c r="RN38" s="60">
        <f t="shared" si="30"/>
        <v>11496.04644</v>
      </c>
      <c r="RO38" s="60">
        <f t="shared" si="30"/>
        <v>10288.00028</v>
      </c>
      <c r="RP38" s="60">
        <f t="shared" si="30"/>
        <v>13228.26133</v>
      </c>
      <c r="RQ38" s="60">
        <f t="shared" si="30"/>
        <v>4700.513036</v>
      </c>
      <c r="RR38" s="60">
        <f t="shared" si="30"/>
        <v>9118.868232</v>
      </c>
      <c r="RS38" s="60">
        <f t="shared" si="30"/>
        <v>9107.78318</v>
      </c>
      <c r="RT38" s="60">
        <f t="shared" si="30"/>
        <v>4332.425338</v>
      </c>
      <c r="RU38" s="60">
        <f t="shared" si="30"/>
        <v>3003.419881</v>
      </c>
      <c r="RV38" s="60">
        <f t="shared" si="30"/>
        <v>3673.440057</v>
      </c>
      <c r="RW38" s="60">
        <f t="shared" si="30"/>
        <v>6048.336086</v>
      </c>
      <c r="RX38" s="60">
        <f t="shared" si="30"/>
        <v>4754.696221</v>
      </c>
      <c r="RY38" s="60">
        <f t="shared" si="30"/>
        <v>1887.168058</v>
      </c>
      <c r="RZ38" s="60">
        <f t="shared" si="30"/>
        <v>6389.539918</v>
      </c>
      <c r="SA38" s="60">
        <f t="shared" si="30"/>
        <v>3150.770085</v>
      </c>
      <c r="SB38" s="60">
        <f t="shared" si="30"/>
        <v>5859.751271</v>
      </c>
      <c r="SC38" s="60">
        <f t="shared" si="30"/>
        <v>5677.226121</v>
      </c>
      <c r="SD38" s="60">
        <f t="shared" si="30"/>
        <v>10675.67195</v>
      </c>
      <c r="SE38" s="60">
        <f t="shared" si="30"/>
        <v>6197.296531</v>
      </c>
      <c r="SF38" s="60">
        <f t="shared" si="30"/>
        <v>5886.063007</v>
      </c>
      <c r="SG38" s="60">
        <f t="shared" si="30"/>
        <v>6742.07809</v>
      </c>
      <c r="SH38" s="60">
        <f t="shared" si="30"/>
        <v>7211.659759</v>
      </c>
      <c r="SI38" s="60">
        <f t="shared" si="30"/>
        <v>8804.651451</v>
      </c>
      <c r="SJ38" s="60">
        <f t="shared" si="30"/>
        <v>2977.981641</v>
      </c>
      <c r="SK38" s="60">
        <f t="shared" si="30"/>
        <v>11257.84109</v>
      </c>
      <c r="SL38" s="60">
        <f t="shared" si="30"/>
        <v>4487.013044</v>
      </c>
    </row>
    <row r="39">
      <c r="A39" s="53" t="s">
        <v>115</v>
      </c>
      <c r="B39" s="80">
        <f>(B38/B4)/B28</f>
        <v>2.095160448</v>
      </c>
      <c r="C39" s="283"/>
      <c r="D39" s="284"/>
      <c r="E39" s="285"/>
      <c r="F39" s="80"/>
      <c r="G39" s="80">
        <f t="shared" ref="G39:SL39" si="31">(G38/G4)/G28</f>
        <v>2.303255966</v>
      </c>
      <c r="H39" s="80">
        <f t="shared" si="31"/>
        <v>1.260895413</v>
      </c>
      <c r="I39" s="80">
        <f t="shared" si="31"/>
        <v>1.022432691</v>
      </c>
      <c r="J39" s="80">
        <f t="shared" si="31"/>
        <v>3.895560474</v>
      </c>
      <c r="K39" s="80">
        <f t="shared" si="31"/>
        <v>1.983895492</v>
      </c>
      <c r="L39" s="80">
        <f t="shared" si="31"/>
        <v>2.031159975</v>
      </c>
      <c r="M39" s="80">
        <f t="shared" si="31"/>
        <v>1.061715513</v>
      </c>
      <c r="N39" s="80">
        <f t="shared" si="31"/>
        <v>2.645943476</v>
      </c>
      <c r="O39" s="80">
        <f t="shared" si="31"/>
        <v>4.808911875</v>
      </c>
      <c r="P39" s="80">
        <f t="shared" si="31"/>
        <v>1.707141067</v>
      </c>
      <c r="Q39" s="80">
        <f t="shared" si="31"/>
        <v>3.259487124</v>
      </c>
      <c r="R39" s="80">
        <f t="shared" si="31"/>
        <v>2.609678575</v>
      </c>
      <c r="S39" s="80">
        <f t="shared" si="31"/>
        <v>2.001562071</v>
      </c>
      <c r="T39" s="80">
        <f t="shared" si="31"/>
        <v>1.698400473</v>
      </c>
      <c r="U39" s="80">
        <f t="shared" si="31"/>
        <v>4.828361282</v>
      </c>
      <c r="V39" s="80">
        <f t="shared" si="31"/>
        <v>1.147135468</v>
      </c>
      <c r="W39" s="80">
        <f t="shared" si="31"/>
        <v>1.606715769</v>
      </c>
      <c r="X39" s="80">
        <f t="shared" si="31"/>
        <v>5.604912193</v>
      </c>
      <c r="Y39" s="80">
        <f t="shared" si="31"/>
        <v>3.05618767</v>
      </c>
      <c r="Z39" s="80">
        <f t="shared" si="31"/>
        <v>2.936123895</v>
      </c>
      <c r="AA39" s="80">
        <f t="shared" si="31"/>
        <v>1.766413757</v>
      </c>
      <c r="AB39" s="80">
        <f t="shared" si="31"/>
        <v>2.403335942</v>
      </c>
      <c r="AC39" s="80">
        <f t="shared" si="31"/>
        <v>0.5782112405</v>
      </c>
      <c r="AD39" s="80">
        <f t="shared" si="31"/>
        <v>0.6402545596</v>
      </c>
      <c r="AE39" s="80">
        <f t="shared" si="31"/>
        <v>1.435877002</v>
      </c>
      <c r="AF39" s="80">
        <f t="shared" si="31"/>
        <v>1.630354228</v>
      </c>
      <c r="AG39" s="80">
        <f t="shared" si="31"/>
        <v>4.737264347</v>
      </c>
      <c r="AH39" s="80">
        <f t="shared" si="31"/>
        <v>1.092701799</v>
      </c>
      <c r="AI39" s="80">
        <f t="shared" si="31"/>
        <v>1.872896903</v>
      </c>
      <c r="AJ39" s="80">
        <f t="shared" si="31"/>
        <v>0.9183453513</v>
      </c>
      <c r="AK39" s="80">
        <f t="shared" si="31"/>
        <v>1.658306152</v>
      </c>
      <c r="AL39" s="80">
        <f t="shared" si="31"/>
        <v>2.31179266</v>
      </c>
      <c r="AM39" s="80">
        <f t="shared" si="31"/>
        <v>2.389339615</v>
      </c>
      <c r="AN39" s="80">
        <f t="shared" si="31"/>
        <v>3.128945967</v>
      </c>
      <c r="AO39" s="80">
        <f t="shared" si="31"/>
        <v>0.8310690737</v>
      </c>
      <c r="AP39" s="80">
        <f t="shared" si="31"/>
        <v>1.340903209</v>
      </c>
      <c r="AQ39" s="80">
        <f t="shared" si="31"/>
        <v>0.7938292634</v>
      </c>
      <c r="AR39" s="80">
        <f t="shared" si="31"/>
        <v>4.016537491</v>
      </c>
      <c r="AS39" s="80">
        <f t="shared" si="31"/>
        <v>1.245380286</v>
      </c>
      <c r="AT39" s="80">
        <f t="shared" si="31"/>
        <v>1.808845602</v>
      </c>
      <c r="AU39" s="80">
        <f t="shared" si="31"/>
        <v>3.813203477</v>
      </c>
      <c r="AV39" s="80">
        <f t="shared" si="31"/>
        <v>1.040042128</v>
      </c>
      <c r="AW39" s="80">
        <f t="shared" si="31"/>
        <v>1.883275961</v>
      </c>
      <c r="AX39" s="80">
        <f t="shared" si="31"/>
        <v>0.9427460008</v>
      </c>
      <c r="AY39" s="80">
        <f t="shared" si="31"/>
        <v>3.230284742</v>
      </c>
      <c r="AZ39" s="80">
        <f t="shared" si="31"/>
        <v>0.878263653</v>
      </c>
      <c r="BA39" s="80">
        <f t="shared" si="31"/>
        <v>4.181662528</v>
      </c>
      <c r="BB39" s="80">
        <f t="shared" si="31"/>
        <v>1.456151558</v>
      </c>
      <c r="BC39" s="80">
        <f t="shared" si="31"/>
        <v>2.966258394</v>
      </c>
      <c r="BD39" s="80">
        <f t="shared" si="31"/>
        <v>1.573774161</v>
      </c>
      <c r="BE39" s="80">
        <f t="shared" si="31"/>
        <v>1.859181103</v>
      </c>
      <c r="BF39" s="80">
        <f t="shared" si="31"/>
        <v>1.011289331</v>
      </c>
      <c r="BG39" s="80">
        <f t="shared" si="31"/>
        <v>2.334509992</v>
      </c>
      <c r="BH39" s="80">
        <f t="shared" si="31"/>
        <v>0.4142185304</v>
      </c>
      <c r="BI39" s="80">
        <f t="shared" si="31"/>
        <v>2.455731107</v>
      </c>
      <c r="BJ39" s="80">
        <f t="shared" si="31"/>
        <v>0.7698854923</v>
      </c>
      <c r="BK39" s="80">
        <f t="shared" si="31"/>
        <v>0.959550536</v>
      </c>
      <c r="BL39" s="80">
        <f t="shared" si="31"/>
        <v>0.861656475</v>
      </c>
      <c r="BM39" s="80">
        <f t="shared" si="31"/>
        <v>1.348295444</v>
      </c>
      <c r="BN39" s="80">
        <f t="shared" si="31"/>
        <v>3.120922581</v>
      </c>
      <c r="BO39" s="80">
        <f t="shared" si="31"/>
        <v>1.42635846</v>
      </c>
      <c r="BP39" s="80">
        <f t="shared" si="31"/>
        <v>1.24212256</v>
      </c>
      <c r="BQ39" s="80">
        <f t="shared" si="31"/>
        <v>0.7794878188</v>
      </c>
      <c r="BR39" s="80">
        <f t="shared" si="31"/>
        <v>2.114571889</v>
      </c>
      <c r="BS39" s="80">
        <f t="shared" si="31"/>
        <v>0.5274812577</v>
      </c>
      <c r="BT39" s="80">
        <f t="shared" si="31"/>
        <v>1.190856039</v>
      </c>
      <c r="BU39" s="80">
        <f t="shared" si="31"/>
        <v>4.383373193</v>
      </c>
      <c r="BV39" s="80">
        <f t="shared" si="31"/>
        <v>3.020622367</v>
      </c>
      <c r="BW39" s="80">
        <f t="shared" si="31"/>
        <v>2.521083286</v>
      </c>
      <c r="BX39" s="80">
        <f t="shared" si="31"/>
        <v>2.162862367</v>
      </c>
      <c r="BY39" s="80">
        <f t="shared" si="31"/>
        <v>0.9242005138</v>
      </c>
      <c r="BZ39" s="80">
        <f t="shared" si="31"/>
        <v>2.142856515</v>
      </c>
      <c r="CA39" s="80">
        <f t="shared" si="31"/>
        <v>0.9516764972</v>
      </c>
      <c r="CB39" s="80">
        <f t="shared" si="31"/>
        <v>1.43885248</v>
      </c>
      <c r="CC39" s="80">
        <f t="shared" si="31"/>
        <v>1.67876875</v>
      </c>
      <c r="CD39" s="80">
        <f t="shared" si="31"/>
        <v>2.395623314</v>
      </c>
      <c r="CE39" s="80">
        <f t="shared" si="31"/>
        <v>1.584743529</v>
      </c>
      <c r="CF39" s="80">
        <f t="shared" si="31"/>
        <v>1.487465556</v>
      </c>
      <c r="CG39" s="80">
        <f t="shared" si="31"/>
        <v>2.319701952</v>
      </c>
      <c r="CH39" s="80">
        <f t="shared" si="31"/>
        <v>1.528006541</v>
      </c>
      <c r="CI39" s="80">
        <f t="shared" si="31"/>
        <v>1.922421719</v>
      </c>
      <c r="CJ39" s="80">
        <f t="shared" si="31"/>
        <v>5.294144999</v>
      </c>
      <c r="CK39" s="80">
        <f t="shared" si="31"/>
        <v>1.625191365</v>
      </c>
      <c r="CL39" s="80">
        <f t="shared" si="31"/>
        <v>1.952119555</v>
      </c>
      <c r="CM39" s="80">
        <f t="shared" si="31"/>
        <v>2.185126184</v>
      </c>
      <c r="CN39" s="80">
        <f t="shared" si="31"/>
        <v>2.100066486</v>
      </c>
      <c r="CO39" s="80">
        <f t="shared" si="31"/>
        <v>1.938700342</v>
      </c>
      <c r="CP39" s="80">
        <f t="shared" si="31"/>
        <v>1.083828842</v>
      </c>
      <c r="CQ39" s="80">
        <f t="shared" si="31"/>
        <v>2.765254171</v>
      </c>
      <c r="CR39" s="80">
        <f t="shared" si="31"/>
        <v>2.032405946</v>
      </c>
      <c r="CS39" s="80">
        <f t="shared" si="31"/>
        <v>2.47519683</v>
      </c>
      <c r="CT39" s="80">
        <f t="shared" si="31"/>
        <v>1.792138829</v>
      </c>
      <c r="CU39" s="80">
        <f t="shared" si="31"/>
        <v>1.766783823</v>
      </c>
      <c r="CV39" s="80">
        <f t="shared" si="31"/>
        <v>1.079041707</v>
      </c>
      <c r="CW39" s="80">
        <f t="shared" si="31"/>
        <v>1.226700352</v>
      </c>
      <c r="CX39" s="80">
        <f t="shared" si="31"/>
        <v>1.136715426</v>
      </c>
      <c r="CY39" s="80">
        <f t="shared" si="31"/>
        <v>1.540680407</v>
      </c>
      <c r="CZ39" s="80">
        <f t="shared" si="31"/>
        <v>3.029514948</v>
      </c>
      <c r="DA39" s="80">
        <f t="shared" si="31"/>
        <v>4.668600346</v>
      </c>
      <c r="DB39" s="80">
        <f t="shared" si="31"/>
        <v>3.672548177</v>
      </c>
      <c r="DC39" s="80">
        <f t="shared" si="31"/>
        <v>1.049447042</v>
      </c>
      <c r="DD39" s="80">
        <f t="shared" si="31"/>
        <v>1.849518907</v>
      </c>
      <c r="DE39" s="80">
        <f t="shared" si="31"/>
        <v>0.9616557457</v>
      </c>
      <c r="DF39" s="80">
        <f t="shared" si="31"/>
        <v>3.13197782</v>
      </c>
      <c r="DG39" s="80">
        <f t="shared" si="31"/>
        <v>2.515071014</v>
      </c>
      <c r="DH39" s="80">
        <f t="shared" si="31"/>
        <v>1.965627838</v>
      </c>
      <c r="DI39" s="80">
        <f t="shared" si="31"/>
        <v>0.727301008</v>
      </c>
      <c r="DJ39" s="80">
        <f t="shared" si="31"/>
        <v>5.36710144</v>
      </c>
      <c r="DK39" s="80">
        <f t="shared" si="31"/>
        <v>1.967986803</v>
      </c>
      <c r="DL39" s="80">
        <f t="shared" si="31"/>
        <v>0.5866483546</v>
      </c>
      <c r="DM39" s="80">
        <f t="shared" si="31"/>
        <v>1.376815047</v>
      </c>
      <c r="DN39" s="80">
        <f t="shared" si="31"/>
        <v>0.6361145196</v>
      </c>
      <c r="DO39" s="80">
        <f t="shared" si="31"/>
        <v>1.652545912</v>
      </c>
      <c r="DP39" s="80">
        <f t="shared" si="31"/>
        <v>0.955456997</v>
      </c>
      <c r="DQ39" s="80">
        <f t="shared" si="31"/>
        <v>2.404807379</v>
      </c>
      <c r="DR39" s="80">
        <f t="shared" si="31"/>
        <v>3.261338065</v>
      </c>
      <c r="DS39" s="80">
        <f t="shared" si="31"/>
        <v>2.049895333</v>
      </c>
      <c r="DT39" s="80">
        <f t="shared" si="31"/>
        <v>3.84209079</v>
      </c>
      <c r="DU39" s="80">
        <f t="shared" si="31"/>
        <v>1.104531758</v>
      </c>
      <c r="DV39" s="80">
        <f t="shared" si="31"/>
        <v>2.310640025</v>
      </c>
      <c r="DW39" s="80">
        <f t="shared" si="31"/>
        <v>3.351831073</v>
      </c>
      <c r="DX39" s="80">
        <f t="shared" si="31"/>
        <v>1.571768745</v>
      </c>
      <c r="DY39" s="80">
        <f t="shared" si="31"/>
        <v>1.362406115</v>
      </c>
      <c r="DZ39" s="80">
        <f t="shared" si="31"/>
        <v>0.995500428</v>
      </c>
      <c r="EA39" s="80">
        <f t="shared" si="31"/>
        <v>2.074349661</v>
      </c>
      <c r="EB39" s="80">
        <f t="shared" si="31"/>
        <v>1.237107499</v>
      </c>
      <c r="EC39" s="80">
        <f t="shared" si="31"/>
        <v>2.152636977</v>
      </c>
      <c r="ED39" s="80">
        <f t="shared" si="31"/>
        <v>1.957002184</v>
      </c>
      <c r="EE39" s="80">
        <f t="shared" si="31"/>
        <v>1.307403946</v>
      </c>
      <c r="EF39" s="80">
        <f t="shared" si="31"/>
        <v>8.133025389</v>
      </c>
      <c r="EG39" s="80">
        <f t="shared" si="31"/>
        <v>2.486790454</v>
      </c>
      <c r="EH39" s="80">
        <f t="shared" si="31"/>
        <v>2.972703809</v>
      </c>
      <c r="EI39" s="80">
        <f t="shared" si="31"/>
        <v>2.975951395</v>
      </c>
      <c r="EJ39" s="80">
        <f t="shared" si="31"/>
        <v>0.9362111062</v>
      </c>
      <c r="EK39" s="80">
        <f t="shared" si="31"/>
        <v>3.00051112</v>
      </c>
      <c r="EL39" s="80">
        <f t="shared" si="31"/>
        <v>1.792340681</v>
      </c>
      <c r="EM39" s="80">
        <f t="shared" si="31"/>
        <v>0.3981418743</v>
      </c>
      <c r="EN39" s="80">
        <f t="shared" si="31"/>
        <v>1.366199283</v>
      </c>
      <c r="EO39" s="80">
        <f t="shared" si="31"/>
        <v>1.961461616</v>
      </c>
      <c r="EP39" s="80">
        <f t="shared" si="31"/>
        <v>0.732921509</v>
      </c>
      <c r="EQ39" s="80">
        <f t="shared" si="31"/>
        <v>2.458774281</v>
      </c>
      <c r="ER39" s="80">
        <f t="shared" si="31"/>
        <v>1.707259336</v>
      </c>
      <c r="ES39" s="80">
        <f t="shared" si="31"/>
        <v>1.973136706</v>
      </c>
      <c r="ET39" s="80">
        <f t="shared" si="31"/>
        <v>1.438462915</v>
      </c>
      <c r="EU39" s="80">
        <f t="shared" si="31"/>
        <v>4.800314788</v>
      </c>
      <c r="EV39" s="80">
        <f t="shared" si="31"/>
        <v>1.553508752</v>
      </c>
      <c r="EW39" s="80">
        <f t="shared" si="31"/>
        <v>1.39031088</v>
      </c>
      <c r="EX39" s="80">
        <f t="shared" si="31"/>
        <v>0.9294029296</v>
      </c>
      <c r="EY39" s="80">
        <f t="shared" si="31"/>
        <v>4.80411126</v>
      </c>
      <c r="EZ39" s="80">
        <f t="shared" si="31"/>
        <v>2.448247489</v>
      </c>
      <c r="FA39" s="80">
        <f t="shared" si="31"/>
        <v>3.991181073</v>
      </c>
      <c r="FB39" s="80">
        <f t="shared" si="31"/>
        <v>7.179346911</v>
      </c>
      <c r="FC39" s="80">
        <f t="shared" si="31"/>
        <v>1.933433982</v>
      </c>
      <c r="FD39" s="80">
        <f t="shared" si="31"/>
        <v>0.52920338</v>
      </c>
      <c r="FE39" s="80">
        <f t="shared" si="31"/>
        <v>0.8115129668</v>
      </c>
      <c r="FF39" s="80">
        <f t="shared" si="31"/>
        <v>0.5164816157</v>
      </c>
      <c r="FG39" s="80">
        <f t="shared" si="31"/>
        <v>0.9680547719</v>
      </c>
      <c r="FH39" s="80">
        <f t="shared" si="31"/>
        <v>3.302254803</v>
      </c>
      <c r="FI39" s="80">
        <f t="shared" si="31"/>
        <v>1.190476854</v>
      </c>
      <c r="FJ39" s="80">
        <f t="shared" si="31"/>
        <v>0.690418759</v>
      </c>
      <c r="FK39" s="80">
        <f t="shared" si="31"/>
        <v>1.592327943</v>
      </c>
      <c r="FL39" s="80">
        <f t="shared" si="31"/>
        <v>2.262373193</v>
      </c>
      <c r="FM39" s="80">
        <f t="shared" si="31"/>
        <v>4.485965477</v>
      </c>
      <c r="FN39" s="80">
        <f t="shared" si="31"/>
        <v>2.053382825</v>
      </c>
      <c r="FO39" s="80">
        <f t="shared" si="31"/>
        <v>3.54417966</v>
      </c>
      <c r="FP39" s="80">
        <f t="shared" si="31"/>
        <v>2.176259983</v>
      </c>
      <c r="FQ39" s="80">
        <f t="shared" si="31"/>
        <v>2.751311466</v>
      </c>
      <c r="FR39" s="80">
        <f t="shared" si="31"/>
        <v>2.218351968</v>
      </c>
      <c r="FS39" s="80">
        <f t="shared" si="31"/>
        <v>1.812507167</v>
      </c>
      <c r="FT39" s="80">
        <f t="shared" si="31"/>
        <v>2.37882183</v>
      </c>
      <c r="FU39" s="80">
        <f t="shared" si="31"/>
        <v>1.653428037</v>
      </c>
      <c r="FV39" s="80">
        <f t="shared" si="31"/>
        <v>2.531283532</v>
      </c>
      <c r="FW39" s="80">
        <f t="shared" si="31"/>
        <v>1.998547286</v>
      </c>
      <c r="FX39" s="80">
        <f t="shared" si="31"/>
        <v>1.070357281</v>
      </c>
      <c r="FY39" s="80">
        <f t="shared" si="31"/>
        <v>1.136133921</v>
      </c>
      <c r="FZ39" s="80">
        <f t="shared" si="31"/>
        <v>1.323005074</v>
      </c>
      <c r="GA39" s="80">
        <f t="shared" si="31"/>
        <v>1.261650065</v>
      </c>
      <c r="GB39" s="80">
        <f t="shared" si="31"/>
        <v>0.7674082118</v>
      </c>
      <c r="GC39" s="80">
        <f t="shared" si="31"/>
        <v>2.07970852</v>
      </c>
      <c r="GD39" s="80">
        <f t="shared" si="31"/>
        <v>0.7903965563</v>
      </c>
      <c r="GE39" s="80">
        <f t="shared" si="31"/>
        <v>0.6072590908</v>
      </c>
      <c r="GF39" s="80">
        <f t="shared" si="31"/>
        <v>4.807472276</v>
      </c>
      <c r="GG39" s="80">
        <f t="shared" si="31"/>
        <v>0.8792061442</v>
      </c>
      <c r="GH39" s="80">
        <f t="shared" si="31"/>
        <v>2.380187239</v>
      </c>
      <c r="GI39" s="80">
        <f t="shared" si="31"/>
        <v>1.187300027</v>
      </c>
      <c r="GJ39" s="80">
        <f t="shared" si="31"/>
        <v>3.318372569</v>
      </c>
      <c r="GK39" s="80">
        <f t="shared" si="31"/>
        <v>3.278796998</v>
      </c>
      <c r="GL39" s="80">
        <f t="shared" si="31"/>
        <v>1.381621529</v>
      </c>
      <c r="GM39" s="80">
        <f t="shared" si="31"/>
        <v>3.506973568</v>
      </c>
      <c r="GN39" s="80">
        <f t="shared" si="31"/>
        <v>6.600851899</v>
      </c>
      <c r="GO39" s="80">
        <f t="shared" si="31"/>
        <v>0.4776413197</v>
      </c>
      <c r="GP39" s="80">
        <f t="shared" si="31"/>
        <v>1.734222541</v>
      </c>
      <c r="GQ39" s="80">
        <f t="shared" si="31"/>
        <v>2.724370947</v>
      </c>
      <c r="GR39" s="80">
        <f t="shared" si="31"/>
        <v>1.581818222</v>
      </c>
      <c r="GS39" s="80">
        <f t="shared" si="31"/>
        <v>2.609662919</v>
      </c>
      <c r="GT39" s="80">
        <f t="shared" si="31"/>
        <v>0.6270613412</v>
      </c>
      <c r="GU39" s="80">
        <f t="shared" si="31"/>
        <v>2.767316326</v>
      </c>
      <c r="GV39" s="80">
        <f t="shared" si="31"/>
        <v>3.10884135</v>
      </c>
      <c r="GW39" s="80">
        <f t="shared" si="31"/>
        <v>0.7406625504</v>
      </c>
      <c r="GX39" s="80">
        <f t="shared" si="31"/>
        <v>1.571042264</v>
      </c>
      <c r="GY39" s="80">
        <f t="shared" si="31"/>
        <v>1.608350881</v>
      </c>
      <c r="GZ39" s="80">
        <f t="shared" si="31"/>
        <v>2.865637756</v>
      </c>
      <c r="HA39" s="80">
        <f t="shared" si="31"/>
        <v>1.154289612</v>
      </c>
      <c r="HB39" s="80">
        <f t="shared" si="31"/>
        <v>1.108492815</v>
      </c>
      <c r="HC39" s="80">
        <f t="shared" si="31"/>
        <v>2.762589793</v>
      </c>
      <c r="HD39" s="80">
        <f t="shared" si="31"/>
        <v>1.302053649</v>
      </c>
      <c r="HE39" s="80">
        <f t="shared" si="31"/>
        <v>3.015390208</v>
      </c>
      <c r="HF39" s="80">
        <f t="shared" si="31"/>
        <v>0.5433890526</v>
      </c>
      <c r="HG39" s="80">
        <f t="shared" si="31"/>
        <v>0.8042232196</v>
      </c>
      <c r="HH39" s="80">
        <f t="shared" si="31"/>
        <v>2.716253757</v>
      </c>
      <c r="HI39" s="80">
        <f t="shared" si="31"/>
        <v>1.364004557</v>
      </c>
      <c r="HJ39" s="80">
        <f t="shared" si="31"/>
        <v>1.395629403</v>
      </c>
      <c r="HK39" s="80">
        <f t="shared" si="31"/>
        <v>0.8480031586</v>
      </c>
      <c r="HL39" s="80">
        <f t="shared" si="31"/>
        <v>1.40114309</v>
      </c>
      <c r="HM39" s="80">
        <f t="shared" si="31"/>
        <v>4.129874352</v>
      </c>
      <c r="HN39" s="80">
        <f t="shared" si="31"/>
        <v>1.119967969</v>
      </c>
      <c r="HO39" s="80">
        <f t="shared" si="31"/>
        <v>0.6957707856</v>
      </c>
      <c r="HP39" s="80">
        <f t="shared" si="31"/>
        <v>2.689824366</v>
      </c>
      <c r="HQ39" s="80">
        <f t="shared" si="31"/>
        <v>0.8490127529</v>
      </c>
      <c r="HR39" s="80">
        <f t="shared" si="31"/>
        <v>3.887137928</v>
      </c>
      <c r="HS39" s="80">
        <f t="shared" si="31"/>
        <v>2.723133862</v>
      </c>
      <c r="HT39" s="80">
        <f t="shared" si="31"/>
        <v>1.529939743</v>
      </c>
      <c r="HU39" s="80">
        <f t="shared" si="31"/>
        <v>3.054429145</v>
      </c>
      <c r="HV39" s="80">
        <f t="shared" si="31"/>
        <v>3.946630796</v>
      </c>
      <c r="HW39" s="80">
        <f t="shared" si="31"/>
        <v>1.657424676</v>
      </c>
      <c r="HX39" s="80">
        <f t="shared" si="31"/>
        <v>0.9023908909</v>
      </c>
      <c r="HY39" s="80">
        <f t="shared" si="31"/>
        <v>2.922071106</v>
      </c>
      <c r="HZ39" s="80">
        <f t="shared" si="31"/>
        <v>1.973357789</v>
      </c>
      <c r="IA39" s="80">
        <f t="shared" si="31"/>
        <v>1.262585225</v>
      </c>
      <c r="IB39" s="80">
        <f t="shared" si="31"/>
        <v>2.650382862</v>
      </c>
      <c r="IC39" s="80">
        <f t="shared" si="31"/>
        <v>0.883367318</v>
      </c>
      <c r="ID39" s="80">
        <f t="shared" si="31"/>
        <v>1.049375847</v>
      </c>
      <c r="IE39" s="80">
        <f t="shared" si="31"/>
        <v>1.567112773</v>
      </c>
      <c r="IF39" s="80">
        <f t="shared" si="31"/>
        <v>3.500212709</v>
      </c>
      <c r="IG39" s="80">
        <f t="shared" si="31"/>
        <v>9.526009682</v>
      </c>
      <c r="IH39" s="80">
        <f t="shared" si="31"/>
        <v>1.787057545</v>
      </c>
      <c r="II39" s="80">
        <f t="shared" si="31"/>
        <v>2.056406879</v>
      </c>
      <c r="IJ39" s="80">
        <f t="shared" si="31"/>
        <v>0.7311080122</v>
      </c>
      <c r="IK39" s="80">
        <f t="shared" si="31"/>
        <v>1.777809069</v>
      </c>
      <c r="IL39" s="80">
        <f t="shared" si="31"/>
        <v>3.072020958</v>
      </c>
      <c r="IM39" s="80">
        <f t="shared" si="31"/>
        <v>1.527981933</v>
      </c>
      <c r="IN39" s="80">
        <f t="shared" si="31"/>
        <v>0.8372725466</v>
      </c>
      <c r="IO39" s="80">
        <f t="shared" si="31"/>
        <v>1.372539972</v>
      </c>
      <c r="IP39" s="80">
        <f t="shared" si="31"/>
        <v>2.196061575</v>
      </c>
      <c r="IQ39" s="80">
        <f t="shared" si="31"/>
        <v>0.9200049202</v>
      </c>
      <c r="IR39" s="80">
        <f t="shared" si="31"/>
        <v>2.794382445</v>
      </c>
      <c r="IS39" s="80">
        <f t="shared" si="31"/>
        <v>2.240457159</v>
      </c>
      <c r="IT39" s="80">
        <f t="shared" si="31"/>
        <v>2.167820035</v>
      </c>
      <c r="IU39" s="80">
        <f t="shared" si="31"/>
        <v>0.9311448162</v>
      </c>
      <c r="IV39" s="80">
        <f t="shared" si="31"/>
        <v>3.099072595</v>
      </c>
      <c r="IW39" s="80">
        <f t="shared" si="31"/>
        <v>0.8639624061</v>
      </c>
      <c r="IX39" s="80">
        <f t="shared" si="31"/>
        <v>0.9126120315</v>
      </c>
      <c r="IY39" s="80">
        <f t="shared" si="31"/>
        <v>2.755940244</v>
      </c>
      <c r="IZ39" s="80">
        <f t="shared" si="31"/>
        <v>1.964265792</v>
      </c>
      <c r="JA39" s="80">
        <f t="shared" si="31"/>
        <v>1.348174629</v>
      </c>
      <c r="JB39" s="80">
        <f t="shared" si="31"/>
        <v>1.747704498</v>
      </c>
      <c r="JC39" s="80">
        <f t="shared" si="31"/>
        <v>2.049289615</v>
      </c>
      <c r="JD39" s="80">
        <f t="shared" si="31"/>
        <v>2.076888829</v>
      </c>
      <c r="JE39" s="80">
        <f t="shared" si="31"/>
        <v>0.6623684952</v>
      </c>
      <c r="JF39" s="80">
        <f t="shared" si="31"/>
        <v>0.937815033</v>
      </c>
      <c r="JG39" s="80">
        <f t="shared" si="31"/>
        <v>2.406503431</v>
      </c>
      <c r="JH39" s="80">
        <f t="shared" si="31"/>
        <v>2.301150126</v>
      </c>
      <c r="JI39" s="80">
        <f t="shared" si="31"/>
        <v>1.553133304</v>
      </c>
      <c r="JJ39" s="80">
        <f t="shared" si="31"/>
        <v>2.360676678</v>
      </c>
      <c r="JK39" s="80">
        <f t="shared" si="31"/>
        <v>3.883203435</v>
      </c>
      <c r="JL39" s="80">
        <f t="shared" si="31"/>
        <v>0.9475934404</v>
      </c>
      <c r="JM39" s="80">
        <f t="shared" si="31"/>
        <v>1.081788959</v>
      </c>
      <c r="JN39" s="80">
        <f t="shared" si="31"/>
        <v>3.712588076</v>
      </c>
      <c r="JO39" s="80">
        <f t="shared" si="31"/>
        <v>4.125274259</v>
      </c>
      <c r="JP39" s="80">
        <f t="shared" si="31"/>
        <v>2.605036517</v>
      </c>
      <c r="JQ39" s="80">
        <f t="shared" si="31"/>
        <v>0.8474357237</v>
      </c>
      <c r="JR39" s="80">
        <f t="shared" si="31"/>
        <v>1.522312321</v>
      </c>
      <c r="JS39" s="80">
        <f t="shared" si="31"/>
        <v>2.777192194</v>
      </c>
      <c r="JT39" s="80">
        <f t="shared" si="31"/>
        <v>2.04848079</v>
      </c>
      <c r="JU39" s="80">
        <f t="shared" si="31"/>
        <v>1.014778209</v>
      </c>
      <c r="JV39" s="80">
        <f t="shared" si="31"/>
        <v>1.556299719</v>
      </c>
      <c r="JW39" s="80">
        <f t="shared" si="31"/>
        <v>1.148214306</v>
      </c>
      <c r="JX39" s="80">
        <f t="shared" si="31"/>
        <v>0.7821038498</v>
      </c>
      <c r="JY39" s="80">
        <f t="shared" si="31"/>
        <v>3.250294044</v>
      </c>
      <c r="JZ39" s="80">
        <f t="shared" si="31"/>
        <v>6.054539579</v>
      </c>
      <c r="KA39" s="80">
        <f t="shared" si="31"/>
        <v>3.727923845</v>
      </c>
      <c r="KB39" s="80">
        <f t="shared" si="31"/>
        <v>0.89624822</v>
      </c>
      <c r="KC39" s="80">
        <f t="shared" si="31"/>
        <v>1.334685109</v>
      </c>
      <c r="KD39" s="80">
        <f t="shared" si="31"/>
        <v>3.132035357</v>
      </c>
      <c r="KE39" s="80">
        <f t="shared" si="31"/>
        <v>5.375981921</v>
      </c>
      <c r="KF39" s="80">
        <f t="shared" si="31"/>
        <v>1.62869832</v>
      </c>
      <c r="KG39" s="80">
        <f t="shared" si="31"/>
        <v>0.7790296065</v>
      </c>
      <c r="KH39" s="80">
        <f t="shared" si="31"/>
        <v>1.526757525</v>
      </c>
      <c r="KI39" s="80">
        <f t="shared" si="31"/>
        <v>0.9340189437</v>
      </c>
      <c r="KJ39" s="80">
        <f t="shared" si="31"/>
        <v>2.197179211</v>
      </c>
      <c r="KK39" s="80">
        <f t="shared" si="31"/>
        <v>1.55144606</v>
      </c>
      <c r="KL39" s="80">
        <f t="shared" si="31"/>
        <v>0.7140936469</v>
      </c>
      <c r="KM39" s="80">
        <f t="shared" si="31"/>
        <v>1.377600029</v>
      </c>
      <c r="KN39" s="80">
        <f t="shared" si="31"/>
        <v>4.851842608</v>
      </c>
      <c r="KO39" s="80">
        <f t="shared" si="31"/>
        <v>2.03057518</v>
      </c>
      <c r="KP39" s="80">
        <f t="shared" si="31"/>
        <v>1.386936513</v>
      </c>
      <c r="KQ39" s="80">
        <f t="shared" si="31"/>
        <v>2.783555415</v>
      </c>
      <c r="KR39" s="80">
        <f t="shared" si="31"/>
        <v>0.9393050197</v>
      </c>
      <c r="KS39" s="80">
        <f t="shared" si="31"/>
        <v>1.15692065</v>
      </c>
      <c r="KT39" s="80">
        <f t="shared" si="31"/>
        <v>1.891785856</v>
      </c>
      <c r="KU39" s="80">
        <f t="shared" si="31"/>
        <v>2.00237163</v>
      </c>
      <c r="KV39" s="80">
        <f t="shared" si="31"/>
        <v>2.089927036</v>
      </c>
      <c r="KW39" s="80">
        <f t="shared" si="31"/>
        <v>1.432723344</v>
      </c>
      <c r="KX39" s="80">
        <f t="shared" si="31"/>
        <v>6.076842444</v>
      </c>
      <c r="KY39" s="80">
        <f t="shared" si="31"/>
        <v>2.376734712</v>
      </c>
      <c r="KZ39" s="80">
        <f t="shared" si="31"/>
        <v>1.570196167</v>
      </c>
      <c r="LA39" s="80">
        <f t="shared" si="31"/>
        <v>1.218056114</v>
      </c>
      <c r="LB39" s="80">
        <f t="shared" si="31"/>
        <v>4.486120075</v>
      </c>
      <c r="LC39" s="80">
        <f t="shared" si="31"/>
        <v>2.067374042</v>
      </c>
      <c r="LD39" s="80">
        <f t="shared" si="31"/>
        <v>2.574256207</v>
      </c>
      <c r="LE39" s="80">
        <f t="shared" si="31"/>
        <v>1.851711736</v>
      </c>
      <c r="LF39" s="80">
        <f t="shared" si="31"/>
        <v>1.290916329</v>
      </c>
      <c r="LG39" s="80">
        <f t="shared" si="31"/>
        <v>1.92966867</v>
      </c>
      <c r="LH39" s="80">
        <f t="shared" si="31"/>
        <v>1.501769085</v>
      </c>
      <c r="LI39" s="80">
        <f t="shared" si="31"/>
        <v>4.703119649</v>
      </c>
      <c r="LJ39" s="80">
        <f t="shared" si="31"/>
        <v>2.619190407</v>
      </c>
      <c r="LK39" s="80">
        <f t="shared" si="31"/>
        <v>3.569127398</v>
      </c>
      <c r="LL39" s="80">
        <f t="shared" si="31"/>
        <v>1.262545526</v>
      </c>
      <c r="LM39" s="80">
        <f t="shared" si="31"/>
        <v>2.611442334</v>
      </c>
      <c r="LN39" s="80">
        <f t="shared" si="31"/>
        <v>2.849693978</v>
      </c>
      <c r="LO39" s="80">
        <f t="shared" si="31"/>
        <v>0.8009012984</v>
      </c>
      <c r="LP39" s="80">
        <f t="shared" si="31"/>
        <v>0.758459229</v>
      </c>
      <c r="LQ39" s="80">
        <f t="shared" si="31"/>
        <v>1.613075279</v>
      </c>
      <c r="LR39" s="80">
        <f t="shared" si="31"/>
        <v>2.5574782</v>
      </c>
      <c r="LS39" s="80">
        <f t="shared" si="31"/>
        <v>4.066020198</v>
      </c>
      <c r="LT39" s="80">
        <f t="shared" si="31"/>
        <v>1.301438726</v>
      </c>
      <c r="LU39" s="80">
        <f t="shared" si="31"/>
        <v>0.8748760603</v>
      </c>
      <c r="LV39" s="80">
        <f t="shared" si="31"/>
        <v>1.287282447</v>
      </c>
      <c r="LW39" s="80">
        <f t="shared" si="31"/>
        <v>0.8721346076</v>
      </c>
      <c r="LX39" s="80">
        <f t="shared" si="31"/>
        <v>0.9399834713</v>
      </c>
      <c r="LY39" s="80">
        <f t="shared" si="31"/>
        <v>3.600957692</v>
      </c>
      <c r="LZ39" s="80">
        <f t="shared" si="31"/>
        <v>1.088751086</v>
      </c>
      <c r="MA39" s="80">
        <f t="shared" si="31"/>
        <v>1.219873617</v>
      </c>
      <c r="MB39" s="80">
        <f t="shared" si="31"/>
        <v>8.715559581</v>
      </c>
      <c r="MC39" s="80">
        <f t="shared" si="31"/>
        <v>4.227850703</v>
      </c>
      <c r="MD39" s="80">
        <f t="shared" si="31"/>
        <v>1.81942084</v>
      </c>
      <c r="ME39" s="80">
        <f t="shared" si="31"/>
        <v>1.883949519</v>
      </c>
      <c r="MF39" s="80">
        <f t="shared" si="31"/>
        <v>0.7541138214</v>
      </c>
      <c r="MG39" s="80">
        <f t="shared" si="31"/>
        <v>1.506328034</v>
      </c>
      <c r="MH39" s="80">
        <f t="shared" si="31"/>
        <v>1.743299313</v>
      </c>
      <c r="MI39" s="80">
        <f t="shared" si="31"/>
        <v>2.813404385</v>
      </c>
      <c r="MJ39" s="80">
        <f t="shared" si="31"/>
        <v>1.400577702</v>
      </c>
      <c r="MK39" s="80">
        <f t="shared" si="31"/>
        <v>0.5796091674</v>
      </c>
      <c r="ML39" s="80">
        <f t="shared" si="31"/>
        <v>1.341179796</v>
      </c>
      <c r="MM39" s="80">
        <f t="shared" si="31"/>
        <v>1.305978731</v>
      </c>
      <c r="MN39" s="80">
        <f t="shared" si="31"/>
        <v>3.798864495</v>
      </c>
      <c r="MO39" s="80">
        <f t="shared" si="31"/>
        <v>3.056262573</v>
      </c>
      <c r="MP39" s="80">
        <f t="shared" si="31"/>
        <v>3.486867778</v>
      </c>
      <c r="MQ39" s="80">
        <f t="shared" si="31"/>
        <v>0.8763024348</v>
      </c>
      <c r="MR39" s="80">
        <f t="shared" si="31"/>
        <v>1.089861291</v>
      </c>
      <c r="MS39" s="80">
        <f t="shared" si="31"/>
        <v>1.746723333</v>
      </c>
      <c r="MT39" s="80">
        <f t="shared" si="31"/>
        <v>2.494203963</v>
      </c>
      <c r="MU39" s="80">
        <f t="shared" si="31"/>
        <v>2.067437266</v>
      </c>
      <c r="MV39" s="80">
        <f t="shared" si="31"/>
        <v>2.933335188</v>
      </c>
      <c r="MW39" s="80">
        <f t="shared" si="31"/>
        <v>1.259482348</v>
      </c>
      <c r="MX39" s="80">
        <f t="shared" si="31"/>
        <v>2.537891299</v>
      </c>
      <c r="MY39" s="80">
        <f t="shared" si="31"/>
        <v>1.478406092</v>
      </c>
      <c r="MZ39" s="80">
        <f t="shared" si="31"/>
        <v>1.016422156</v>
      </c>
      <c r="NA39" s="80">
        <f t="shared" si="31"/>
        <v>6.491985075</v>
      </c>
      <c r="NB39" s="80">
        <f t="shared" si="31"/>
        <v>2.859170946</v>
      </c>
      <c r="NC39" s="80">
        <f t="shared" si="31"/>
        <v>2.372706048</v>
      </c>
      <c r="ND39" s="80">
        <f t="shared" si="31"/>
        <v>2.31055531</v>
      </c>
      <c r="NE39" s="80">
        <f t="shared" si="31"/>
        <v>1.554955275</v>
      </c>
      <c r="NF39" s="80">
        <f t="shared" si="31"/>
        <v>0.8099588805</v>
      </c>
      <c r="NG39" s="80">
        <f t="shared" si="31"/>
        <v>4.325531254</v>
      </c>
      <c r="NH39" s="80">
        <f t="shared" si="31"/>
        <v>1.005632135</v>
      </c>
      <c r="NI39" s="80">
        <f t="shared" si="31"/>
        <v>2.656505088</v>
      </c>
      <c r="NJ39" s="80">
        <f t="shared" si="31"/>
        <v>1.191207541</v>
      </c>
      <c r="NK39" s="80">
        <f t="shared" si="31"/>
        <v>3.03749465</v>
      </c>
      <c r="NL39" s="80">
        <f t="shared" si="31"/>
        <v>2.804035406</v>
      </c>
      <c r="NM39" s="80">
        <f t="shared" si="31"/>
        <v>3.962810799</v>
      </c>
      <c r="NN39" s="80">
        <f t="shared" si="31"/>
        <v>0.5312315795</v>
      </c>
      <c r="NO39" s="80">
        <f t="shared" si="31"/>
        <v>2.889307347</v>
      </c>
      <c r="NP39" s="80">
        <f t="shared" si="31"/>
        <v>6.599545662</v>
      </c>
      <c r="NQ39" s="80">
        <f t="shared" si="31"/>
        <v>1.102028577</v>
      </c>
      <c r="NR39" s="80">
        <f t="shared" si="31"/>
        <v>1.30402652</v>
      </c>
      <c r="NS39" s="80">
        <f t="shared" si="31"/>
        <v>2.314021598</v>
      </c>
      <c r="NT39" s="80">
        <f t="shared" si="31"/>
        <v>6.049338461</v>
      </c>
      <c r="NU39" s="80">
        <f t="shared" si="31"/>
        <v>2.152785328</v>
      </c>
      <c r="NV39" s="80">
        <f t="shared" si="31"/>
        <v>1.796680843</v>
      </c>
      <c r="NW39" s="80">
        <f t="shared" si="31"/>
        <v>4.515769708</v>
      </c>
      <c r="NX39" s="80">
        <f t="shared" si="31"/>
        <v>1.609785932</v>
      </c>
      <c r="NY39" s="80">
        <f t="shared" si="31"/>
        <v>1.372429177</v>
      </c>
      <c r="NZ39" s="80">
        <f t="shared" si="31"/>
        <v>0.9379066852</v>
      </c>
      <c r="OA39" s="80">
        <f t="shared" si="31"/>
        <v>2.012074166</v>
      </c>
      <c r="OB39" s="80">
        <f t="shared" si="31"/>
        <v>2.394666945</v>
      </c>
      <c r="OC39" s="80">
        <f t="shared" si="31"/>
        <v>1.194575273</v>
      </c>
      <c r="OD39" s="80">
        <f t="shared" si="31"/>
        <v>2.597495148</v>
      </c>
      <c r="OE39" s="80">
        <f t="shared" si="31"/>
        <v>1.127469363</v>
      </c>
      <c r="OF39" s="80">
        <f t="shared" si="31"/>
        <v>2.044888375</v>
      </c>
      <c r="OG39" s="80">
        <f t="shared" si="31"/>
        <v>0.9871109176</v>
      </c>
      <c r="OH39" s="80">
        <f t="shared" si="31"/>
        <v>1.57969245</v>
      </c>
      <c r="OI39" s="80">
        <f t="shared" si="31"/>
        <v>3.532533111</v>
      </c>
      <c r="OJ39" s="80">
        <f t="shared" si="31"/>
        <v>0.9641826</v>
      </c>
      <c r="OK39" s="80">
        <f t="shared" si="31"/>
        <v>1.150255611</v>
      </c>
      <c r="OL39" s="80">
        <f t="shared" si="31"/>
        <v>0.8243512218</v>
      </c>
      <c r="OM39" s="80">
        <f t="shared" si="31"/>
        <v>0.9594779594</v>
      </c>
      <c r="ON39" s="80">
        <f t="shared" si="31"/>
        <v>3.721652192</v>
      </c>
      <c r="OO39" s="80">
        <f t="shared" si="31"/>
        <v>0.5218309871</v>
      </c>
      <c r="OP39" s="80">
        <f t="shared" si="31"/>
        <v>1.550867184</v>
      </c>
      <c r="OQ39" s="80">
        <f t="shared" si="31"/>
        <v>2.066252845</v>
      </c>
      <c r="OR39" s="80">
        <f t="shared" si="31"/>
        <v>2.509872748</v>
      </c>
      <c r="OS39" s="80">
        <f t="shared" si="31"/>
        <v>1.081731261</v>
      </c>
      <c r="OT39" s="80">
        <f t="shared" si="31"/>
        <v>2.977606795</v>
      </c>
      <c r="OU39" s="80">
        <f t="shared" si="31"/>
        <v>1.4132783</v>
      </c>
      <c r="OV39" s="80">
        <f t="shared" si="31"/>
        <v>2.717137694</v>
      </c>
      <c r="OW39" s="80">
        <f t="shared" si="31"/>
        <v>0.8589397247</v>
      </c>
      <c r="OX39" s="80">
        <f t="shared" si="31"/>
        <v>1.322277828</v>
      </c>
      <c r="OY39" s="80">
        <f t="shared" si="31"/>
        <v>1.616257355</v>
      </c>
      <c r="OZ39" s="80">
        <f t="shared" si="31"/>
        <v>1.978671561</v>
      </c>
      <c r="PA39" s="80">
        <f t="shared" si="31"/>
        <v>1.44604534</v>
      </c>
      <c r="PB39" s="80">
        <f t="shared" si="31"/>
        <v>2.13096283</v>
      </c>
      <c r="PC39" s="80">
        <f t="shared" si="31"/>
        <v>2.543939623</v>
      </c>
      <c r="PD39" s="80">
        <f t="shared" si="31"/>
        <v>0.7657347017</v>
      </c>
      <c r="PE39" s="80">
        <f t="shared" si="31"/>
        <v>1.357044584</v>
      </c>
      <c r="PF39" s="80">
        <f t="shared" si="31"/>
        <v>3.411705251</v>
      </c>
      <c r="PG39" s="80">
        <f t="shared" si="31"/>
        <v>1.120464057</v>
      </c>
      <c r="PH39" s="80">
        <f t="shared" si="31"/>
        <v>1.295846058</v>
      </c>
      <c r="PI39" s="80">
        <f t="shared" si="31"/>
        <v>1.616224766</v>
      </c>
      <c r="PJ39" s="80">
        <f t="shared" si="31"/>
        <v>0.5896668651</v>
      </c>
      <c r="PK39" s="80">
        <f t="shared" si="31"/>
        <v>1.694893613</v>
      </c>
      <c r="PL39" s="80">
        <f t="shared" si="31"/>
        <v>1.655445857</v>
      </c>
      <c r="PM39" s="80">
        <f t="shared" si="31"/>
        <v>1.083969954</v>
      </c>
      <c r="PN39" s="80">
        <f t="shared" si="31"/>
        <v>0.5740684571</v>
      </c>
      <c r="PO39" s="80">
        <f t="shared" si="31"/>
        <v>0.5187059905</v>
      </c>
      <c r="PP39" s="80">
        <f t="shared" si="31"/>
        <v>0.8062956627</v>
      </c>
      <c r="PQ39" s="80">
        <f t="shared" si="31"/>
        <v>4.259538594</v>
      </c>
      <c r="PR39" s="80">
        <f t="shared" si="31"/>
        <v>3.143040757</v>
      </c>
      <c r="PS39" s="80">
        <f t="shared" si="31"/>
        <v>0.9385839416</v>
      </c>
      <c r="PT39" s="80">
        <f t="shared" si="31"/>
        <v>1.545072397</v>
      </c>
      <c r="PU39" s="80">
        <f t="shared" si="31"/>
        <v>0.4808675152</v>
      </c>
      <c r="PV39" s="80">
        <f t="shared" si="31"/>
        <v>1.687770246</v>
      </c>
      <c r="PW39" s="80">
        <f t="shared" si="31"/>
        <v>3.278972391</v>
      </c>
      <c r="PX39" s="80">
        <f t="shared" si="31"/>
        <v>2.553783273</v>
      </c>
      <c r="PY39" s="80">
        <f t="shared" si="31"/>
        <v>3.84196896</v>
      </c>
      <c r="PZ39" s="80">
        <f t="shared" si="31"/>
        <v>1.637942548</v>
      </c>
      <c r="QA39" s="80">
        <f t="shared" si="31"/>
        <v>2.047057638</v>
      </c>
      <c r="QB39" s="80">
        <f t="shared" si="31"/>
        <v>1.589519152</v>
      </c>
      <c r="QC39" s="80">
        <f t="shared" si="31"/>
        <v>5.556927326</v>
      </c>
      <c r="QD39" s="80">
        <f t="shared" si="31"/>
        <v>1.123626401</v>
      </c>
      <c r="QE39" s="80">
        <f t="shared" si="31"/>
        <v>3.645682359</v>
      </c>
      <c r="QF39" s="80">
        <f t="shared" si="31"/>
        <v>0.6846543765</v>
      </c>
      <c r="QG39" s="80">
        <f t="shared" si="31"/>
        <v>5.917152233</v>
      </c>
      <c r="QH39" s="80">
        <f t="shared" si="31"/>
        <v>1.992826951</v>
      </c>
      <c r="QI39" s="80">
        <f t="shared" si="31"/>
        <v>1.207953256</v>
      </c>
      <c r="QJ39" s="80">
        <f t="shared" si="31"/>
        <v>1.675783705</v>
      </c>
      <c r="QK39" s="80">
        <f t="shared" si="31"/>
        <v>1.651844427</v>
      </c>
      <c r="QL39" s="80">
        <f t="shared" si="31"/>
        <v>0.8059928323</v>
      </c>
      <c r="QM39" s="80">
        <f t="shared" si="31"/>
        <v>3.873528045</v>
      </c>
      <c r="QN39" s="80">
        <f t="shared" si="31"/>
        <v>0.9184538021</v>
      </c>
      <c r="QO39" s="80">
        <f t="shared" si="31"/>
        <v>0.8523255502</v>
      </c>
      <c r="QP39" s="80">
        <f t="shared" si="31"/>
        <v>1.27318728</v>
      </c>
      <c r="QQ39" s="80">
        <f t="shared" si="31"/>
        <v>4.477759279</v>
      </c>
      <c r="QR39" s="80">
        <f t="shared" si="31"/>
        <v>4.489547021</v>
      </c>
      <c r="QS39" s="80">
        <f t="shared" si="31"/>
        <v>2.360689937</v>
      </c>
      <c r="QT39" s="80">
        <f t="shared" si="31"/>
        <v>1.51152105</v>
      </c>
      <c r="QU39" s="80">
        <f t="shared" si="31"/>
        <v>0.9373237556</v>
      </c>
      <c r="QV39" s="80">
        <f t="shared" si="31"/>
        <v>2.572283144</v>
      </c>
      <c r="QW39" s="80">
        <f t="shared" si="31"/>
        <v>2.650243919</v>
      </c>
      <c r="QX39" s="80">
        <f t="shared" si="31"/>
        <v>1.755795736</v>
      </c>
      <c r="QY39" s="80">
        <f t="shared" si="31"/>
        <v>0.674943442</v>
      </c>
      <c r="QZ39" s="80">
        <f t="shared" si="31"/>
        <v>1.946282163</v>
      </c>
      <c r="RA39" s="80">
        <f t="shared" si="31"/>
        <v>2.732773971</v>
      </c>
      <c r="RB39" s="80">
        <f t="shared" si="31"/>
        <v>2.631088511</v>
      </c>
      <c r="RC39" s="80">
        <f t="shared" si="31"/>
        <v>0.7924513071</v>
      </c>
      <c r="RD39" s="80">
        <f t="shared" si="31"/>
        <v>0.856607116</v>
      </c>
      <c r="RE39" s="80">
        <f t="shared" si="31"/>
        <v>2.403419598</v>
      </c>
      <c r="RF39" s="80">
        <f t="shared" si="31"/>
        <v>1.723152435</v>
      </c>
      <c r="RG39" s="80">
        <f t="shared" si="31"/>
        <v>1.183287598</v>
      </c>
      <c r="RH39" s="80">
        <f t="shared" si="31"/>
        <v>0.5094095605</v>
      </c>
      <c r="RI39" s="80">
        <f t="shared" si="31"/>
        <v>3.8146941</v>
      </c>
      <c r="RJ39" s="80">
        <f t="shared" si="31"/>
        <v>2.284914326</v>
      </c>
      <c r="RK39" s="80">
        <f t="shared" si="31"/>
        <v>5.275826492</v>
      </c>
      <c r="RL39" s="80">
        <f t="shared" si="31"/>
        <v>2.346748366</v>
      </c>
      <c r="RM39" s="80">
        <f t="shared" si="31"/>
        <v>3.655567187</v>
      </c>
      <c r="RN39" s="80">
        <f t="shared" si="31"/>
        <v>3.426541412</v>
      </c>
      <c r="RO39" s="80">
        <f t="shared" si="31"/>
        <v>3.066468041</v>
      </c>
      <c r="RP39" s="80">
        <f t="shared" si="31"/>
        <v>3.942849875</v>
      </c>
      <c r="RQ39" s="80">
        <f t="shared" si="31"/>
        <v>1.401047105</v>
      </c>
      <c r="RR39" s="80">
        <f t="shared" si="31"/>
        <v>2.717993512</v>
      </c>
      <c r="RS39" s="80">
        <f t="shared" si="31"/>
        <v>2.714689472</v>
      </c>
      <c r="RT39" s="80">
        <f t="shared" si="31"/>
        <v>1.291333931</v>
      </c>
      <c r="RU39" s="80">
        <f t="shared" si="31"/>
        <v>0.8952071182</v>
      </c>
      <c r="RV39" s="80">
        <f t="shared" si="31"/>
        <v>1.094915069</v>
      </c>
      <c r="RW39" s="80">
        <f t="shared" si="31"/>
        <v>1.802782738</v>
      </c>
      <c r="RX39" s="80">
        <f t="shared" si="31"/>
        <v>1.417197085</v>
      </c>
      <c r="RY39" s="80">
        <f t="shared" si="31"/>
        <v>0.562494205</v>
      </c>
      <c r="RZ39" s="80">
        <f t="shared" si="31"/>
        <v>1.904482837</v>
      </c>
      <c r="SA39" s="80">
        <f t="shared" si="31"/>
        <v>0.939126702</v>
      </c>
      <c r="SB39" s="80">
        <f t="shared" si="31"/>
        <v>1.746572659</v>
      </c>
      <c r="SC39" s="80">
        <f t="shared" si="31"/>
        <v>1.692168739</v>
      </c>
      <c r="SD39" s="80">
        <f t="shared" si="31"/>
        <v>3.182018464</v>
      </c>
      <c r="SE39" s="80">
        <f t="shared" si="31"/>
        <v>1.847182275</v>
      </c>
      <c r="SF39" s="80">
        <f t="shared" si="31"/>
        <v>1.754415203</v>
      </c>
      <c r="SG39" s="80">
        <f t="shared" si="31"/>
        <v>2.009561279</v>
      </c>
      <c r="SH39" s="80">
        <f t="shared" si="31"/>
        <v>2.149526009</v>
      </c>
      <c r="SI39" s="80">
        <f t="shared" si="31"/>
        <v>2.624337243</v>
      </c>
      <c r="SJ39" s="80">
        <f t="shared" si="31"/>
        <v>0.8876249302</v>
      </c>
      <c r="SK39" s="80">
        <f t="shared" si="31"/>
        <v>3.355541308</v>
      </c>
      <c r="SL39" s="80">
        <f t="shared" si="31"/>
        <v>1.337410743</v>
      </c>
    </row>
    <row r="40">
      <c r="A40" s="50" t="s">
        <v>116</v>
      </c>
      <c r="B40" s="66"/>
      <c r="C40" s="244"/>
      <c r="D40" s="245"/>
      <c r="E40" s="246"/>
      <c r="F40" s="66"/>
      <c r="G40" s="66"/>
      <c r="H40" s="66"/>
      <c r="I40" s="66"/>
      <c r="J40" s="66"/>
      <c r="K40" s="66"/>
      <c r="L40" s="66"/>
      <c r="M40" s="66"/>
      <c r="N40" s="66"/>
      <c r="O40" s="66"/>
      <c r="P40" s="66"/>
      <c r="Q40" s="66"/>
      <c r="R40" s="66"/>
      <c r="S40" s="66"/>
      <c r="T40" s="66"/>
      <c r="U40" s="66"/>
      <c r="V40" s="66"/>
      <c r="W40" s="66"/>
      <c r="X40" s="66"/>
      <c r="Y40" s="66"/>
      <c r="Z40" s="66"/>
      <c r="AA40" s="66"/>
      <c r="AB40" s="66"/>
      <c r="AC40" s="66"/>
      <c r="AD40" s="66"/>
      <c r="AE40" s="66"/>
      <c r="AF40" s="66"/>
      <c r="AG40" s="66"/>
      <c r="AH40" s="66"/>
      <c r="AI40" s="66"/>
      <c r="AJ40" s="66"/>
      <c r="AK40" s="66"/>
      <c r="AL40" s="66"/>
      <c r="AM40" s="66"/>
      <c r="AN40" s="66"/>
      <c r="AO40" s="66"/>
      <c r="AP40" s="66"/>
      <c r="AQ40" s="66"/>
      <c r="AR40" s="66"/>
      <c r="AS40" s="66"/>
      <c r="AT40" s="66"/>
      <c r="AU40" s="66"/>
      <c r="AV40" s="66"/>
      <c r="AW40" s="66"/>
      <c r="AX40" s="66"/>
      <c r="AY40" s="66"/>
      <c r="AZ40" s="66"/>
      <c r="BA40" s="66"/>
      <c r="BB40" s="66"/>
      <c r="BC40" s="66"/>
      <c r="BD40" s="66"/>
      <c r="BE40" s="66"/>
      <c r="BF40" s="66"/>
      <c r="BG40" s="66"/>
      <c r="BH40" s="66"/>
      <c r="BI40" s="66"/>
      <c r="BJ40" s="66"/>
      <c r="BK40" s="66"/>
      <c r="BL40" s="66"/>
      <c r="BM40" s="66"/>
      <c r="BN40" s="66"/>
      <c r="BO40" s="66"/>
      <c r="BP40" s="66"/>
      <c r="BQ40" s="66"/>
      <c r="BR40" s="66"/>
      <c r="BS40" s="66"/>
      <c r="BT40" s="66"/>
      <c r="BU40" s="66"/>
      <c r="BV40" s="66"/>
      <c r="BW40" s="66"/>
      <c r="BX40" s="66"/>
      <c r="BY40" s="66"/>
      <c r="BZ40" s="66"/>
      <c r="CA40" s="66"/>
      <c r="CB40" s="66"/>
      <c r="CC40" s="66"/>
      <c r="CD40" s="66"/>
      <c r="CE40" s="66"/>
      <c r="CF40" s="66"/>
      <c r="CG40" s="66"/>
      <c r="CH40" s="66"/>
      <c r="CI40" s="66"/>
      <c r="CJ40" s="66"/>
      <c r="CK40" s="66"/>
      <c r="CL40" s="66"/>
      <c r="CM40" s="66"/>
      <c r="CN40" s="66"/>
      <c r="CO40" s="66"/>
      <c r="CP40" s="66"/>
      <c r="CQ40" s="66"/>
      <c r="CR40" s="66"/>
      <c r="CS40" s="66"/>
      <c r="CT40" s="66"/>
      <c r="CU40" s="66"/>
      <c r="CV40" s="66"/>
      <c r="CW40" s="66"/>
      <c r="CX40" s="66"/>
      <c r="CY40" s="66"/>
      <c r="CZ40" s="66"/>
      <c r="DA40" s="66"/>
      <c r="DB40" s="66"/>
      <c r="DC40" s="66"/>
      <c r="DD40" s="66"/>
      <c r="DE40" s="66"/>
      <c r="DF40" s="66"/>
      <c r="DG40" s="66"/>
      <c r="DH40" s="66"/>
      <c r="DI40" s="66"/>
      <c r="DJ40" s="66"/>
      <c r="DK40" s="66"/>
      <c r="DL40" s="66"/>
      <c r="DM40" s="66"/>
      <c r="DN40" s="66"/>
      <c r="DO40" s="66"/>
      <c r="DP40" s="66"/>
      <c r="DQ40" s="66"/>
      <c r="DR40" s="66"/>
      <c r="DS40" s="66"/>
      <c r="DT40" s="66"/>
      <c r="DU40" s="66"/>
      <c r="DV40" s="66"/>
      <c r="DW40" s="66"/>
      <c r="DX40" s="66"/>
      <c r="DY40" s="66"/>
      <c r="DZ40" s="66"/>
      <c r="EA40" s="66"/>
      <c r="EB40" s="66"/>
      <c r="EC40" s="66"/>
      <c r="ED40" s="66"/>
      <c r="EE40" s="66"/>
      <c r="EF40" s="66"/>
      <c r="EG40" s="66"/>
      <c r="EH40" s="66"/>
      <c r="EI40" s="66"/>
      <c r="EJ40" s="66"/>
      <c r="EK40" s="66"/>
      <c r="EL40" s="66"/>
      <c r="EM40" s="66"/>
      <c r="EN40" s="66"/>
      <c r="EO40" s="66"/>
      <c r="EP40" s="66"/>
      <c r="EQ40" s="66"/>
      <c r="ER40" s="66"/>
      <c r="ES40" s="66"/>
      <c r="ET40" s="66"/>
      <c r="EU40" s="66"/>
      <c r="EV40" s="66"/>
      <c r="EW40" s="66"/>
      <c r="EX40" s="66"/>
      <c r="EY40" s="66"/>
      <c r="EZ40" s="66"/>
      <c r="FA40" s="66"/>
      <c r="FB40" s="66"/>
      <c r="FC40" s="66"/>
      <c r="FD40" s="66"/>
      <c r="FE40" s="66"/>
      <c r="FF40" s="66"/>
      <c r="FG40" s="66"/>
      <c r="FH40" s="66"/>
      <c r="FI40" s="66"/>
      <c r="FJ40" s="66"/>
      <c r="FK40" s="66"/>
      <c r="FL40" s="66"/>
      <c r="FM40" s="66"/>
      <c r="FN40" s="66"/>
      <c r="FO40" s="66"/>
      <c r="FP40" s="66"/>
      <c r="FQ40" s="66"/>
      <c r="FR40" s="66"/>
      <c r="FS40" s="66"/>
      <c r="FT40" s="66"/>
      <c r="FU40" s="66"/>
      <c r="FV40" s="66"/>
      <c r="FW40" s="66"/>
      <c r="FX40" s="66"/>
      <c r="FY40" s="66"/>
      <c r="FZ40" s="66"/>
      <c r="GA40" s="66"/>
      <c r="GB40" s="66"/>
      <c r="GC40" s="66"/>
      <c r="GD40" s="66"/>
      <c r="GE40" s="66"/>
      <c r="GF40" s="66"/>
      <c r="GG40" s="66"/>
      <c r="GH40" s="66"/>
      <c r="GI40" s="66"/>
      <c r="GJ40" s="66"/>
      <c r="GK40" s="66"/>
      <c r="GL40" s="66"/>
      <c r="GM40" s="66"/>
      <c r="GN40" s="66"/>
      <c r="GO40" s="66"/>
      <c r="GP40" s="66"/>
      <c r="GQ40" s="66"/>
      <c r="GR40" s="66"/>
      <c r="GS40" s="66"/>
      <c r="GT40" s="66"/>
      <c r="GU40" s="66"/>
      <c r="GV40" s="66"/>
      <c r="GW40" s="66"/>
      <c r="GX40" s="66"/>
      <c r="GY40" s="66"/>
      <c r="GZ40" s="66"/>
      <c r="HA40" s="66"/>
      <c r="HB40" s="66"/>
      <c r="HC40" s="66"/>
      <c r="HD40" s="66"/>
      <c r="HE40" s="66"/>
      <c r="HF40" s="66"/>
      <c r="HG40" s="66"/>
      <c r="HH40" s="66"/>
      <c r="HI40" s="66"/>
      <c r="HJ40" s="66"/>
      <c r="HK40" s="66"/>
      <c r="HL40" s="66"/>
      <c r="HM40" s="66"/>
      <c r="HN40" s="66"/>
      <c r="HO40" s="66"/>
      <c r="HP40" s="66"/>
      <c r="HQ40" s="66"/>
      <c r="HR40" s="66"/>
      <c r="HS40" s="66"/>
      <c r="HT40" s="66"/>
      <c r="HU40" s="66"/>
      <c r="HV40" s="66"/>
      <c r="HW40" s="66"/>
      <c r="HX40" s="66"/>
      <c r="HY40" s="66"/>
      <c r="HZ40" s="66"/>
      <c r="IA40" s="66"/>
      <c r="IB40" s="66"/>
      <c r="IC40" s="66"/>
      <c r="ID40" s="66"/>
      <c r="IE40" s="66"/>
      <c r="IF40" s="66"/>
      <c r="IG40" s="66"/>
      <c r="IH40" s="66"/>
      <c r="II40" s="66"/>
      <c r="IJ40" s="66"/>
      <c r="IK40" s="66"/>
      <c r="IL40" s="66"/>
      <c r="IM40" s="66"/>
      <c r="IN40" s="66"/>
      <c r="IO40" s="66"/>
      <c r="IP40" s="66"/>
      <c r="IQ40" s="66"/>
      <c r="IR40" s="66"/>
      <c r="IS40" s="66"/>
      <c r="IT40" s="66"/>
      <c r="IU40" s="66"/>
      <c r="IV40" s="66"/>
      <c r="IW40" s="66"/>
      <c r="IX40" s="66"/>
      <c r="IY40" s="66"/>
      <c r="IZ40" s="66"/>
      <c r="JA40" s="66"/>
      <c r="JB40" s="66"/>
      <c r="JC40" s="66"/>
      <c r="JD40" s="66"/>
      <c r="JE40" s="66"/>
      <c r="JF40" s="66"/>
      <c r="JG40" s="66"/>
      <c r="JH40" s="66"/>
      <c r="JI40" s="66"/>
      <c r="JJ40" s="66"/>
      <c r="JK40" s="66"/>
      <c r="JL40" s="66"/>
      <c r="JM40" s="66"/>
      <c r="JN40" s="66"/>
      <c r="JO40" s="66"/>
      <c r="JP40" s="66"/>
      <c r="JQ40" s="66"/>
      <c r="JR40" s="66"/>
      <c r="JS40" s="66"/>
      <c r="JT40" s="66"/>
      <c r="JU40" s="66"/>
      <c r="JV40" s="66"/>
      <c r="JW40" s="66"/>
      <c r="JX40" s="66"/>
      <c r="JY40" s="66"/>
      <c r="JZ40" s="66"/>
      <c r="KA40" s="66"/>
      <c r="KB40" s="66"/>
      <c r="KC40" s="66"/>
      <c r="KD40" s="66"/>
      <c r="KE40" s="66"/>
      <c r="KF40" s="66"/>
      <c r="KG40" s="66"/>
      <c r="KH40" s="66"/>
      <c r="KI40" s="66"/>
      <c r="KJ40" s="66"/>
      <c r="KK40" s="66"/>
      <c r="KL40" s="66"/>
      <c r="KM40" s="66"/>
      <c r="KN40" s="66"/>
      <c r="KO40" s="66"/>
      <c r="KP40" s="66"/>
      <c r="KQ40" s="66"/>
      <c r="KR40" s="66"/>
      <c r="KS40" s="66"/>
      <c r="KT40" s="66"/>
      <c r="KU40" s="66"/>
      <c r="KV40" s="66"/>
      <c r="KW40" s="66"/>
      <c r="KX40" s="66"/>
      <c r="KY40" s="66"/>
      <c r="KZ40" s="66"/>
      <c r="LA40" s="66"/>
      <c r="LB40" s="66"/>
      <c r="LC40" s="66"/>
      <c r="LD40" s="66"/>
      <c r="LE40" s="66"/>
      <c r="LF40" s="66"/>
      <c r="LG40" s="66"/>
      <c r="LH40" s="66"/>
      <c r="LI40" s="66"/>
      <c r="LJ40" s="66"/>
      <c r="LK40" s="66"/>
      <c r="LL40" s="66"/>
      <c r="LM40" s="66"/>
      <c r="LN40" s="66"/>
      <c r="LO40" s="66"/>
      <c r="LP40" s="66"/>
      <c r="LQ40" s="66"/>
      <c r="LR40" s="66"/>
      <c r="LS40" s="66"/>
      <c r="LT40" s="66"/>
      <c r="LU40" s="66"/>
      <c r="LV40" s="66"/>
      <c r="LW40" s="66"/>
      <c r="LX40" s="66"/>
      <c r="LY40" s="66"/>
      <c r="LZ40" s="66"/>
      <c r="MA40" s="66"/>
      <c r="MB40" s="66"/>
      <c r="MC40" s="66"/>
      <c r="MD40" s="66"/>
      <c r="ME40" s="66"/>
      <c r="MF40" s="66"/>
      <c r="MG40" s="66"/>
      <c r="MH40" s="66"/>
      <c r="MI40" s="66"/>
      <c r="MJ40" s="66"/>
      <c r="MK40" s="66"/>
      <c r="ML40" s="66"/>
      <c r="MM40" s="66"/>
      <c r="MN40" s="66"/>
      <c r="MO40" s="66"/>
      <c r="MP40" s="66"/>
      <c r="MQ40" s="66"/>
      <c r="MR40" s="66"/>
      <c r="MS40" s="66"/>
      <c r="MT40" s="66"/>
      <c r="MU40" s="66"/>
      <c r="MV40" s="66"/>
      <c r="MW40" s="66"/>
      <c r="MX40" s="66"/>
      <c r="MY40" s="66"/>
      <c r="MZ40" s="66"/>
      <c r="NA40" s="66"/>
      <c r="NB40" s="66"/>
      <c r="NC40" s="66"/>
      <c r="ND40" s="66"/>
      <c r="NE40" s="66"/>
      <c r="NF40" s="66"/>
      <c r="NG40" s="66"/>
      <c r="NH40" s="66"/>
      <c r="NI40" s="66"/>
      <c r="NJ40" s="66"/>
      <c r="NK40" s="66"/>
      <c r="NL40" s="66"/>
      <c r="NM40" s="66"/>
      <c r="NN40" s="66"/>
      <c r="NO40" s="66"/>
      <c r="NP40" s="66"/>
      <c r="NQ40" s="66"/>
      <c r="NR40" s="66"/>
      <c r="NS40" s="66"/>
      <c r="NT40" s="66"/>
      <c r="NU40" s="66"/>
      <c r="NV40" s="66"/>
      <c r="NW40" s="66"/>
      <c r="NX40" s="66"/>
      <c r="NY40" s="66"/>
      <c r="NZ40" s="66"/>
      <c r="OA40" s="66"/>
      <c r="OB40" s="66"/>
      <c r="OC40" s="66"/>
      <c r="OD40" s="66"/>
      <c r="OE40" s="66"/>
      <c r="OF40" s="66"/>
      <c r="OG40" s="66"/>
      <c r="OH40" s="66"/>
      <c r="OI40" s="66"/>
      <c r="OJ40" s="66"/>
      <c r="OK40" s="66"/>
      <c r="OL40" s="66"/>
      <c r="OM40" s="66"/>
      <c r="ON40" s="66"/>
      <c r="OO40" s="66"/>
      <c r="OP40" s="66"/>
      <c r="OQ40" s="66"/>
      <c r="OR40" s="66"/>
      <c r="OS40" s="66"/>
      <c r="OT40" s="66"/>
      <c r="OU40" s="66"/>
      <c r="OV40" s="66"/>
      <c r="OW40" s="66"/>
      <c r="OX40" s="66"/>
      <c r="OY40" s="66"/>
      <c r="OZ40" s="66"/>
      <c r="PA40" s="66"/>
      <c r="PB40" s="66"/>
      <c r="PC40" s="66"/>
      <c r="PD40" s="66"/>
      <c r="PE40" s="66"/>
      <c r="PF40" s="66"/>
      <c r="PG40" s="66"/>
      <c r="PH40" s="66"/>
      <c r="PI40" s="66"/>
      <c r="PJ40" s="66"/>
      <c r="PK40" s="66"/>
      <c r="PL40" s="66"/>
      <c r="PM40" s="66"/>
      <c r="PN40" s="66"/>
      <c r="PO40" s="66"/>
      <c r="PP40" s="66"/>
      <c r="PQ40" s="66"/>
      <c r="PR40" s="66"/>
      <c r="PS40" s="66"/>
      <c r="PT40" s="66"/>
      <c r="PU40" s="66"/>
      <c r="PV40" s="66"/>
      <c r="PW40" s="66"/>
      <c r="PX40" s="66"/>
      <c r="PY40" s="66"/>
      <c r="PZ40" s="66"/>
      <c r="QA40" s="66"/>
      <c r="QB40" s="66"/>
      <c r="QC40" s="66"/>
      <c r="QD40" s="66"/>
      <c r="QE40" s="66"/>
      <c r="QF40" s="66"/>
      <c r="QG40" s="66"/>
      <c r="QH40" s="66"/>
      <c r="QI40" s="66"/>
      <c r="QJ40" s="66"/>
      <c r="QK40" s="66"/>
      <c r="QL40" s="66"/>
      <c r="QM40" s="66"/>
      <c r="QN40" s="66"/>
      <c r="QO40" s="66"/>
      <c r="QP40" s="66"/>
      <c r="QQ40" s="66"/>
      <c r="QR40" s="66"/>
      <c r="QS40" s="66"/>
      <c r="QT40" s="66"/>
      <c r="QU40" s="66"/>
      <c r="QV40" s="66"/>
      <c r="QW40" s="66"/>
      <c r="QX40" s="66"/>
      <c r="QY40" s="66"/>
      <c r="QZ40" s="66"/>
      <c r="RA40" s="66"/>
      <c r="RB40" s="66"/>
      <c r="RC40" s="66"/>
      <c r="RD40" s="66"/>
      <c r="RE40" s="66"/>
      <c r="RF40" s="66"/>
      <c r="RG40" s="66"/>
      <c r="RH40" s="66"/>
      <c r="RI40" s="66"/>
      <c r="RJ40" s="66"/>
      <c r="RK40" s="66"/>
      <c r="RL40" s="66"/>
      <c r="RM40" s="66"/>
      <c r="RN40" s="66"/>
      <c r="RO40" s="66"/>
      <c r="RP40" s="66"/>
      <c r="RQ40" s="66"/>
      <c r="RR40" s="66"/>
      <c r="RS40" s="66"/>
      <c r="RT40" s="66"/>
      <c r="RU40" s="66"/>
      <c r="RV40" s="66"/>
      <c r="RW40" s="66"/>
      <c r="RX40" s="66"/>
      <c r="RY40" s="66"/>
      <c r="RZ40" s="66"/>
      <c r="SA40" s="66"/>
      <c r="SB40" s="66"/>
      <c r="SC40" s="66"/>
      <c r="SD40" s="66"/>
      <c r="SE40" s="66"/>
      <c r="SF40" s="66"/>
      <c r="SG40" s="66"/>
      <c r="SH40" s="66"/>
      <c r="SI40" s="66"/>
      <c r="SJ40" s="66"/>
      <c r="SK40" s="66"/>
      <c r="SL40" s="66"/>
    </row>
    <row r="41">
      <c r="A41" s="53" t="s">
        <v>371</v>
      </c>
      <c r="B41" s="75">
        <f t="array" ref="B41">INDEX('New CEA'!$B41:$F41,MATCH($B$2,'New CEA'!B$2:F$2,0))</f>
        <v>0.1287912678</v>
      </c>
      <c r="C41" s="286"/>
      <c r="D41" s="271"/>
      <c r="E41" s="272"/>
      <c r="F41" s="81"/>
      <c r="G41" s="81">
        <f t="shared" ref="G41:SL41" si="32">$B41</f>
        <v>0.1287912678</v>
      </c>
      <c r="H41" s="81">
        <f t="shared" si="32"/>
        <v>0.1287912678</v>
      </c>
      <c r="I41" s="81">
        <f t="shared" si="32"/>
        <v>0.1287912678</v>
      </c>
      <c r="J41" s="81">
        <f t="shared" si="32"/>
        <v>0.1287912678</v>
      </c>
      <c r="K41" s="81">
        <f t="shared" si="32"/>
        <v>0.1287912678</v>
      </c>
      <c r="L41" s="81">
        <f t="shared" si="32"/>
        <v>0.1287912678</v>
      </c>
      <c r="M41" s="81">
        <f t="shared" si="32"/>
        <v>0.1287912678</v>
      </c>
      <c r="N41" s="81">
        <f t="shared" si="32"/>
        <v>0.1287912678</v>
      </c>
      <c r="O41" s="81">
        <f t="shared" si="32"/>
        <v>0.1287912678</v>
      </c>
      <c r="P41" s="81">
        <f t="shared" si="32"/>
        <v>0.1287912678</v>
      </c>
      <c r="Q41" s="81">
        <f t="shared" si="32"/>
        <v>0.1287912678</v>
      </c>
      <c r="R41" s="81">
        <f t="shared" si="32"/>
        <v>0.1287912678</v>
      </c>
      <c r="S41" s="81">
        <f t="shared" si="32"/>
        <v>0.1287912678</v>
      </c>
      <c r="T41" s="81">
        <f t="shared" si="32"/>
        <v>0.1287912678</v>
      </c>
      <c r="U41" s="81">
        <f t="shared" si="32"/>
        <v>0.1287912678</v>
      </c>
      <c r="V41" s="81">
        <f t="shared" si="32"/>
        <v>0.1287912678</v>
      </c>
      <c r="W41" s="81">
        <f t="shared" si="32"/>
        <v>0.1287912678</v>
      </c>
      <c r="X41" s="81">
        <f t="shared" si="32"/>
        <v>0.1287912678</v>
      </c>
      <c r="Y41" s="81">
        <f t="shared" si="32"/>
        <v>0.1287912678</v>
      </c>
      <c r="Z41" s="81">
        <f t="shared" si="32"/>
        <v>0.1287912678</v>
      </c>
      <c r="AA41" s="81">
        <f t="shared" si="32"/>
        <v>0.1287912678</v>
      </c>
      <c r="AB41" s="81">
        <f t="shared" si="32"/>
        <v>0.1287912678</v>
      </c>
      <c r="AC41" s="81">
        <f t="shared" si="32"/>
        <v>0.1287912678</v>
      </c>
      <c r="AD41" s="81">
        <f t="shared" si="32"/>
        <v>0.1287912678</v>
      </c>
      <c r="AE41" s="81">
        <f t="shared" si="32"/>
        <v>0.1287912678</v>
      </c>
      <c r="AF41" s="81">
        <f t="shared" si="32"/>
        <v>0.1287912678</v>
      </c>
      <c r="AG41" s="81">
        <f t="shared" si="32"/>
        <v>0.1287912678</v>
      </c>
      <c r="AH41" s="81">
        <f t="shared" si="32"/>
        <v>0.1287912678</v>
      </c>
      <c r="AI41" s="81">
        <f t="shared" si="32"/>
        <v>0.1287912678</v>
      </c>
      <c r="AJ41" s="81">
        <f t="shared" si="32"/>
        <v>0.1287912678</v>
      </c>
      <c r="AK41" s="81">
        <f t="shared" si="32"/>
        <v>0.1287912678</v>
      </c>
      <c r="AL41" s="81">
        <f t="shared" si="32"/>
        <v>0.1287912678</v>
      </c>
      <c r="AM41" s="81">
        <f t="shared" si="32"/>
        <v>0.1287912678</v>
      </c>
      <c r="AN41" s="81">
        <f t="shared" si="32"/>
        <v>0.1287912678</v>
      </c>
      <c r="AO41" s="81">
        <f t="shared" si="32"/>
        <v>0.1287912678</v>
      </c>
      <c r="AP41" s="81">
        <f t="shared" si="32"/>
        <v>0.1287912678</v>
      </c>
      <c r="AQ41" s="81">
        <f t="shared" si="32"/>
        <v>0.1287912678</v>
      </c>
      <c r="AR41" s="81">
        <f t="shared" si="32"/>
        <v>0.1287912678</v>
      </c>
      <c r="AS41" s="81">
        <f t="shared" si="32"/>
        <v>0.1287912678</v>
      </c>
      <c r="AT41" s="81">
        <f t="shared" si="32"/>
        <v>0.1287912678</v>
      </c>
      <c r="AU41" s="81">
        <f t="shared" si="32"/>
        <v>0.1287912678</v>
      </c>
      <c r="AV41" s="81">
        <f t="shared" si="32"/>
        <v>0.1287912678</v>
      </c>
      <c r="AW41" s="81">
        <f t="shared" si="32"/>
        <v>0.1287912678</v>
      </c>
      <c r="AX41" s="81">
        <f t="shared" si="32"/>
        <v>0.1287912678</v>
      </c>
      <c r="AY41" s="81">
        <f t="shared" si="32"/>
        <v>0.1287912678</v>
      </c>
      <c r="AZ41" s="81">
        <f t="shared" si="32"/>
        <v>0.1287912678</v>
      </c>
      <c r="BA41" s="81">
        <f t="shared" si="32"/>
        <v>0.1287912678</v>
      </c>
      <c r="BB41" s="81">
        <f t="shared" si="32"/>
        <v>0.1287912678</v>
      </c>
      <c r="BC41" s="81">
        <f t="shared" si="32"/>
        <v>0.1287912678</v>
      </c>
      <c r="BD41" s="81">
        <f t="shared" si="32"/>
        <v>0.1287912678</v>
      </c>
      <c r="BE41" s="81">
        <f t="shared" si="32"/>
        <v>0.1287912678</v>
      </c>
      <c r="BF41" s="81">
        <f t="shared" si="32"/>
        <v>0.1287912678</v>
      </c>
      <c r="BG41" s="81">
        <f t="shared" si="32"/>
        <v>0.1287912678</v>
      </c>
      <c r="BH41" s="81">
        <f t="shared" si="32"/>
        <v>0.1287912678</v>
      </c>
      <c r="BI41" s="81">
        <f t="shared" si="32"/>
        <v>0.1287912678</v>
      </c>
      <c r="BJ41" s="81">
        <f t="shared" si="32"/>
        <v>0.1287912678</v>
      </c>
      <c r="BK41" s="81">
        <f t="shared" si="32"/>
        <v>0.1287912678</v>
      </c>
      <c r="BL41" s="81">
        <f t="shared" si="32"/>
        <v>0.1287912678</v>
      </c>
      <c r="BM41" s="81">
        <f t="shared" si="32"/>
        <v>0.1287912678</v>
      </c>
      <c r="BN41" s="81">
        <f t="shared" si="32"/>
        <v>0.1287912678</v>
      </c>
      <c r="BO41" s="81">
        <f t="shared" si="32"/>
        <v>0.1287912678</v>
      </c>
      <c r="BP41" s="81">
        <f t="shared" si="32"/>
        <v>0.1287912678</v>
      </c>
      <c r="BQ41" s="81">
        <f t="shared" si="32"/>
        <v>0.1287912678</v>
      </c>
      <c r="BR41" s="81">
        <f t="shared" si="32"/>
        <v>0.1287912678</v>
      </c>
      <c r="BS41" s="81">
        <f t="shared" si="32"/>
        <v>0.1287912678</v>
      </c>
      <c r="BT41" s="81">
        <f t="shared" si="32"/>
        <v>0.1287912678</v>
      </c>
      <c r="BU41" s="81">
        <f t="shared" si="32"/>
        <v>0.1287912678</v>
      </c>
      <c r="BV41" s="81">
        <f t="shared" si="32"/>
        <v>0.1287912678</v>
      </c>
      <c r="BW41" s="81">
        <f t="shared" si="32"/>
        <v>0.1287912678</v>
      </c>
      <c r="BX41" s="81">
        <f t="shared" si="32"/>
        <v>0.1287912678</v>
      </c>
      <c r="BY41" s="81">
        <f t="shared" si="32"/>
        <v>0.1287912678</v>
      </c>
      <c r="BZ41" s="81">
        <f t="shared" si="32"/>
        <v>0.1287912678</v>
      </c>
      <c r="CA41" s="81">
        <f t="shared" si="32"/>
        <v>0.1287912678</v>
      </c>
      <c r="CB41" s="81">
        <f t="shared" si="32"/>
        <v>0.1287912678</v>
      </c>
      <c r="CC41" s="81">
        <f t="shared" si="32"/>
        <v>0.1287912678</v>
      </c>
      <c r="CD41" s="81">
        <f t="shared" si="32"/>
        <v>0.1287912678</v>
      </c>
      <c r="CE41" s="81">
        <f t="shared" si="32"/>
        <v>0.1287912678</v>
      </c>
      <c r="CF41" s="81">
        <f t="shared" si="32"/>
        <v>0.1287912678</v>
      </c>
      <c r="CG41" s="81">
        <f t="shared" si="32"/>
        <v>0.1287912678</v>
      </c>
      <c r="CH41" s="81">
        <f t="shared" si="32"/>
        <v>0.1287912678</v>
      </c>
      <c r="CI41" s="81">
        <f t="shared" si="32"/>
        <v>0.1287912678</v>
      </c>
      <c r="CJ41" s="81">
        <f t="shared" si="32"/>
        <v>0.1287912678</v>
      </c>
      <c r="CK41" s="81">
        <f t="shared" si="32"/>
        <v>0.1287912678</v>
      </c>
      <c r="CL41" s="81">
        <f t="shared" si="32"/>
        <v>0.1287912678</v>
      </c>
      <c r="CM41" s="81">
        <f t="shared" si="32"/>
        <v>0.1287912678</v>
      </c>
      <c r="CN41" s="81">
        <f t="shared" si="32"/>
        <v>0.1287912678</v>
      </c>
      <c r="CO41" s="81">
        <f t="shared" si="32"/>
        <v>0.1287912678</v>
      </c>
      <c r="CP41" s="81">
        <f t="shared" si="32"/>
        <v>0.1287912678</v>
      </c>
      <c r="CQ41" s="81">
        <f t="shared" si="32"/>
        <v>0.1287912678</v>
      </c>
      <c r="CR41" s="81">
        <f t="shared" si="32"/>
        <v>0.1287912678</v>
      </c>
      <c r="CS41" s="81">
        <f t="shared" si="32"/>
        <v>0.1287912678</v>
      </c>
      <c r="CT41" s="81">
        <f t="shared" si="32"/>
        <v>0.1287912678</v>
      </c>
      <c r="CU41" s="81">
        <f t="shared" si="32"/>
        <v>0.1287912678</v>
      </c>
      <c r="CV41" s="81">
        <f t="shared" si="32"/>
        <v>0.1287912678</v>
      </c>
      <c r="CW41" s="81">
        <f t="shared" si="32"/>
        <v>0.1287912678</v>
      </c>
      <c r="CX41" s="81">
        <f t="shared" si="32"/>
        <v>0.1287912678</v>
      </c>
      <c r="CY41" s="81">
        <f t="shared" si="32"/>
        <v>0.1287912678</v>
      </c>
      <c r="CZ41" s="81">
        <f t="shared" si="32"/>
        <v>0.1287912678</v>
      </c>
      <c r="DA41" s="81">
        <f t="shared" si="32"/>
        <v>0.1287912678</v>
      </c>
      <c r="DB41" s="81">
        <f t="shared" si="32"/>
        <v>0.1287912678</v>
      </c>
      <c r="DC41" s="81">
        <f t="shared" si="32"/>
        <v>0.1287912678</v>
      </c>
      <c r="DD41" s="81">
        <f t="shared" si="32"/>
        <v>0.1287912678</v>
      </c>
      <c r="DE41" s="81">
        <f t="shared" si="32"/>
        <v>0.1287912678</v>
      </c>
      <c r="DF41" s="81">
        <f t="shared" si="32"/>
        <v>0.1287912678</v>
      </c>
      <c r="DG41" s="81">
        <f t="shared" si="32"/>
        <v>0.1287912678</v>
      </c>
      <c r="DH41" s="81">
        <f t="shared" si="32"/>
        <v>0.1287912678</v>
      </c>
      <c r="DI41" s="81">
        <f t="shared" si="32"/>
        <v>0.1287912678</v>
      </c>
      <c r="DJ41" s="81">
        <f t="shared" si="32"/>
        <v>0.1287912678</v>
      </c>
      <c r="DK41" s="81">
        <f t="shared" si="32"/>
        <v>0.1287912678</v>
      </c>
      <c r="DL41" s="81">
        <f t="shared" si="32"/>
        <v>0.1287912678</v>
      </c>
      <c r="DM41" s="81">
        <f t="shared" si="32"/>
        <v>0.1287912678</v>
      </c>
      <c r="DN41" s="81">
        <f t="shared" si="32"/>
        <v>0.1287912678</v>
      </c>
      <c r="DO41" s="81">
        <f t="shared" si="32"/>
        <v>0.1287912678</v>
      </c>
      <c r="DP41" s="81">
        <f t="shared" si="32"/>
        <v>0.1287912678</v>
      </c>
      <c r="DQ41" s="81">
        <f t="shared" si="32"/>
        <v>0.1287912678</v>
      </c>
      <c r="DR41" s="81">
        <f t="shared" si="32"/>
        <v>0.1287912678</v>
      </c>
      <c r="DS41" s="81">
        <f t="shared" si="32"/>
        <v>0.1287912678</v>
      </c>
      <c r="DT41" s="81">
        <f t="shared" si="32"/>
        <v>0.1287912678</v>
      </c>
      <c r="DU41" s="81">
        <f t="shared" si="32"/>
        <v>0.1287912678</v>
      </c>
      <c r="DV41" s="81">
        <f t="shared" si="32"/>
        <v>0.1287912678</v>
      </c>
      <c r="DW41" s="81">
        <f t="shared" si="32"/>
        <v>0.1287912678</v>
      </c>
      <c r="DX41" s="81">
        <f t="shared" si="32"/>
        <v>0.1287912678</v>
      </c>
      <c r="DY41" s="81">
        <f t="shared" si="32"/>
        <v>0.1287912678</v>
      </c>
      <c r="DZ41" s="81">
        <f t="shared" si="32"/>
        <v>0.1287912678</v>
      </c>
      <c r="EA41" s="81">
        <f t="shared" si="32"/>
        <v>0.1287912678</v>
      </c>
      <c r="EB41" s="81">
        <f t="shared" si="32"/>
        <v>0.1287912678</v>
      </c>
      <c r="EC41" s="81">
        <f t="shared" si="32"/>
        <v>0.1287912678</v>
      </c>
      <c r="ED41" s="81">
        <f t="shared" si="32"/>
        <v>0.1287912678</v>
      </c>
      <c r="EE41" s="81">
        <f t="shared" si="32"/>
        <v>0.1287912678</v>
      </c>
      <c r="EF41" s="81">
        <f t="shared" si="32"/>
        <v>0.1287912678</v>
      </c>
      <c r="EG41" s="81">
        <f t="shared" si="32"/>
        <v>0.1287912678</v>
      </c>
      <c r="EH41" s="81">
        <f t="shared" si="32"/>
        <v>0.1287912678</v>
      </c>
      <c r="EI41" s="81">
        <f t="shared" si="32"/>
        <v>0.1287912678</v>
      </c>
      <c r="EJ41" s="81">
        <f t="shared" si="32"/>
        <v>0.1287912678</v>
      </c>
      <c r="EK41" s="81">
        <f t="shared" si="32"/>
        <v>0.1287912678</v>
      </c>
      <c r="EL41" s="81">
        <f t="shared" si="32"/>
        <v>0.1287912678</v>
      </c>
      <c r="EM41" s="81">
        <f t="shared" si="32"/>
        <v>0.1287912678</v>
      </c>
      <c r="EN41" s="81">
        <f t="shared" si="32"/>
        <v>0.1287912678</v>
      </c>
      <c r="EO41" s="81">
        <f t="shared" si="32"/>
        <v>0.1287912678</v>
      </c>
      <c r="EP41" s="81">
        <f t="shared" si="32"/>
        <v>0.1287912678</v>
      </c>
      <c r="EQ41" s="81">
        <f t="shared" si="32"/>
        <v>0.1287912678</v>
      </c>
      <c r="ER41" s="81">
        <f t="shared" si="32"/>
        <v>0.1287912678</v>
      </c>
      <c r="ES41" s="81">
        <f t="shared" si="32"/>
        <v>0.1287912678</v>
      </c>
      <c r="ET41" s="81">
        <f t="shared" si="32"/>
        <v>0.1287912678</v>
      </c>
      <c r="EU41" s="81">
        <f t="shared" si="32"/>
        <v>0.1287912678</v>
      </c>
      <c r="EV41" s="81">
        <f t="shared" si="32"/>
        <v>0.1287912678</v>
      </c>
      <c r="EW41" s="81">
        <f t="shared" si="32"/>
        <v>0.1287912678</v>
      </c>
      <c r="EX41" s="81">
        <f t="shared" si="32"/>
        <v>0.1287912678</v>
      </c>
      <c r="EY41" s="81">
        <f t="shared" si="32"/>
        <v>0.1287912678</v>
      </c>
      <c r="EZ41" s="81">
        <f t="shared" si="32"/>
        <v>0.1287912678</v>
      </c>
      <c r="FA41" s="81">
        <f t="shared" si="32"/>
        <v>0.1287912678</v>
      </c>
      <c r="FB41" s="81">
        <f t="shared" si="32"/>
        <v>0.1287912678</v>
      </c>
      <c r="FC41" s="81">
        <f t="shared" si="32"/>
        <v>0.1287912678</v>
      </c>
      <c r="FD41" s="81">
        <f t="shared" si="32"/>
        <v>0.1287912678</v>
      </c>
      <c r="FE41" s="81">
        <f t="shared" si="32"/>
        <v>0.1287912678</v>
      </c>
      <c r="FF41" s="81">
        <f t="shared" si="32"/>
        <v>0.1287912678</v>
      </c>
      <c r="FG41" s="81">
        <f t="shared" si="32"/>
        <v>0.1287912678</v>
      </c>
      <c r="FH41" s="81">
        <f t="shared" si="32"/>
        <v>0.1287912678</v>
      </c>
      <c r="FI41" s="81">
        <f t="shared" si="32"/>
        <v>0.1287912678</v>
      </c>
      <c r="FJ41" s="81">
        <f t="shared" si="32"/>
        <v>0.1287912678</v>
      </c>
      <c r="FK41" s="81">
        <f t="shared" si="32"/>
        <v>0.1287912678</v>
      </c>
      <c r="FL41" s="81">
        <f t="shared" si="32"/>
        <v>0.1287912678</v>
      </c>
      <c r="FM41" s="81">
        <f t="shared" si="32"/>
        <v>0.1287912678</v>
      </c>
      <c r="FN41" s="81">
        <f t="shared" si="32"/>
        <v>0.1287912678</v>
      </c>
      <c r="FO41" s="81">
        <f t="shared" si="32"/>
        <v>0.1287912678</v>
      </c>
      <c r="FP41" s="81">
        <f t="shared" si="32"/>
        <v>0.1287912678</v>
      </c>
      <c r="FQ41" s="81">
        <f t="shared" si="32"/>
        <v>0.1287912678</v>
      </c>
      <c r="FR41" s="81">
        <f t="shared" si="32"/>
        <v>0.1287912678</v>
      </c>
      <c r="FS41" s="81">
        <f t="shared" si="32"/>
        <v>0.1287912678</v>
      </c>
      <c r="FT41" s="81">
        <f t="shared" si="32"/>
        <v>0.1287912678</v>
      </c>
      <c r="FU41" s="81">
        <f t="shared" si="32"/>
        <v>0.1287912678</v>
      </c>
      <c r="FV41" s="81">
        <f t="shared" si="32"/>
        <v>0.1287912678</v>
      </c>
      <c r="FW41" s="81">
        <f t="shared" si="32"/>
        <v>0.1287912678</v>
      </c>
      <c r="FX41" s="81">
        <f t="shared" si="32"/>
        <v>0.1287912678</v>
      </c>
      <c r="FY41" s="81">
        <f t="shared" si="32"/>
        <v>0.1287912678</v>
      </c>
      <c r="FZ41" s="81">
        <f t="shared" si="32"/>
        <v>0.1287912678</v>
      </c>
      <c r="GA41" s="81">
        <f t="shared" si="32"/>
        <v>0.1287912678</v>
      </c>
      <c r="GB41" s="81">
        <f t="shared" si="32"/>
        <v>0.1287912678</v>
      </c>
      <c r="GC41" s="81">
        <f t="shared" si="32"/>
        <v>0.1287912678</v>
      </c>
      <c r="GD41" s="81">
        <f t="shared" si="32"/>
        <v>0.1287912678</v>
      </c>
      <c r="GE41" s="81">
        <f t="shared" si="32"/>
        <v>0.1287912678</v>
      </c>
      <c r="GF41" s="81">
        <f t="shared" si="32"/>
        <v>0.1287912678</v>
      </c>
      <c r="GG41" s="81">
        <f t="shared" si="32"/>
        <v>0.1287912678</v>
      </c>
      <c r="GH41" s="81">
        <f t="shared" si="32"/>
        <v>0.1287912678</v>
      </c>
      <c r="GI41" s="81">
        <f t="shared" si="32"/>
        <v>0.1287912678</v>
      </c>
      <c r="GJ41" s="81">
        <f t="shared" si="32"/>
        <v>0.1287912678</v>
      </c>
      <c r="GK41" s="81">
        <f t="shared" si="32"/>
        <v>0.1287912678</v>
      </c>
      <c r="GL41" s="81">
        <f t="shared" si="32"/>
        <v>0.1287912678</v>
      </c>
      <c r="GM41" s="81">
        <f t="shared" si="32"/>
        <v>0.1287912678</v>
      </c>
      <c r="GN41" s="81">
        <f t="shared" si="32"/>
        <v>0.1287912678</v>
      </c>
      <c r="GO41" s="81">
        <f t="shared" si="32"/>
        <v>0.1287912678</v>
      </c>
      <c r="GP41" s="81">
        <f t="shared" si="32"/>
        <v>0.1287912678</v>
      </c>
      <c r="GQ41" s="81">
        <f t="shared" si="32"/>
        <v>0.1287912678</v>
      </c>
      <c r="GR41" s="81">
        <f t="shared" si="32"/>
        <v>0.1287912678</v>
      </c>
      <c r="GS41" s="81">
        <f t="shared" si="32"/>
        <v>0.1287912678</v>
      </c>
      <c r="GT41" s="81">
        <f t="shared" si="32"/>
        <v>0.1287912678</v>
      </c>
      <c r="GU41" s="81">
        <f t="shared" si="32"/>
        <v>0.1287912678</v>
      </c>
      <c r="GV41" s="81">
        <f t="shared" si="32"/>
        <v>0.1287912678</v>
      </c>
      <c r="GW41" s="81">
        <f t="shared" si="32"/>
        <v>0.1287912678</v>
      </c>
      <c r="GX41" s="81">
        <f t="shared" si="32"/>
        <v>0.1287912678</v>
      </c>
      <c r="GY41" s="81">
        <f t="shared" si="32"/>
        <v>0.1287912678</v>
      </c>
      <c r="GZ41" s="81">
        <f t="shared" si="32"/>
        <v>0.1287912678</v>
      </c>
      <c r="HA41" s="81">
        <f t="shared" si="32"/>
        <v>0.1287912678</v>
      </c>
      <c r="HB41" s="81">
        <f t="shared" si="32"/>
        <v>0.1287912678</v>
      </c>
      <c r="HC41" s="81">
        <f t="shared" si="32"/>
        <v>0.1287912678</v>
      </c>
      <c r="HD41" s="81">
        <f t="shared" si="32"/>
        <v>0.1287912678</v>
      </c>
      <c r="HE41" s="81">
        <f t="shared" si="32"/>
        <v>0.1287912678</v>
      </c>
      <c r="HF41" s="81">
        <f t="shared" si="32"/>
        <v>0.1287912678</v>
      </c>
      <c r="HG41" s="81">
        <f t="shared" si="32"/>
        <v>0.1287912678</v>
      </c>
      <c r="HH41" s="81">
        <f t="shared" si="32"/>
        <v>0.1287912678</v>
      </c>
      <c r="HI41" s="81">
        <f t="shared" si="32"/>
        <v>0.1287912678</v>
      </c>
      <c r="HJ41" s="81">
        <f t="shared" si="32"/>
        <v>0.1287912678</v>
      </c>
      <c r="HK41" s="81">
        <f t="shared" si="32"/>
        <v>0.1287912678</v>
      </c>
      <c r="HL41" s="81">
        <f t="shared" si="32"/>
        <v>0.1287912678</v>
      </c>
      <c r="HM41" s="81">
        <f t="shared" si="32"/>
        <v>0.1287912678</v>
      </c>
      <c r="HN41" s="81">
        <f t="shared" si="32"/>
        <v>0.1287912678</v>
      </c>
      <c r="HO41" s="81">
        <f t="shared" si="32"/>
        <v>0.1287912678</v>
      </c>
      <c r="HP41" s="81">
        <f t="shared" si="32"/>
        <v>0.1287912678</v>
      </c>
      <c r="HQ41" s="81">
        <f t="shared" si="32"/>
        <v>0.1287912678</v>
      </c>
      <c r="HR41" s="81">
        <f t="shared" si="32"/>
        <v>0.1287912678</v>
      </c>
      <c r="HS41" s="81">
        <f t="shared" si="32"/>
        <v>0.1287912678</v>
      </c>
      <c r="HT41" s="81">
        <f t="shared" si="32"/>
        <v>0.1287912678</v>
      </c>
      <c r="HU41" s="81">
        <f t="shared" si="32"/>
        <v>0.1287912678</v>
      </c>
      <c r="HV41" s="81">
        <f t="shared" si="32"/>
        <v>0.1287912678</v>
      </c>
      <c r="HW41" s="81">
        <f t="shared" si="32"/>
        <v>0.1287912678</v>
      </c>
      <c r="HX41" s="81">
        <f t="shared" si="32"/>
        <v>0.1287912678</v>
      </c>
      <c r="HY41" s="81">
        <f t="shared" si="32"/>
        <v>0.1287912678</v>
      </c>
      <c r="HZ41" s="81">
        <f t="shared" si="32"/>
        <v>0.1287912678</v>
      </c>
      <c r="IA41" s="81">
        <f t="shared" si="32"/>
        <v>0.1287912678</v>
      </c>
      <c r="IB41" s="81">
        <f t="shared" si="32"/>
        <v>0.1287912678</v>
      </c>
      <c r="IC41" s="81">
        <f t="shared" si="32"/>
        <v>0.1287912678</v>
      </c>
      <c r="ID41" s="81">
        <f t="shared" si="32"/>
        <v>0.1287912678</v>
      </c>
      <c r="IE41" s="81">
        <f t="shared" si="32"/>
        <v>0.1287912678</v>
      </c>
      <c r="IF41" s="81">
        <f t="shared" si="32"/>
        <v>0.1287912678</v>
      </c>
      <c r="IG41" s="81">
        <f t="shared" si="32"/>
        <v>0.1287912678</v>
      </c>
      <c r="IH41" s="81">
        <f t="shared" si="32"/>
        <v>0.1287912678</v>
      </c>
      <c r="II41" s="81">
        <f t="shared" si="32"/>
        <v>0.1287912678</v>
      </c>
      <c r="IJ41" s="81">
        <f t="shared" si="32"/>
        <v>0.1287912678</v>
      </c>
      <c r="IK41" s="81">
        <f t="shared" si="32"/>
        <v>0.1287912678</v>
      </c>
      <c r="IL41" s="81">
        <f t="shared" si="32"/>
        <v>0.1287912678</v>
      </c>
      <c r="IM41" s="81">
        <f t="shared" si="32"/>
        <v>0.1287912678</v>
      </c>
      <c r="IN41" s="81">
        <f t="shared" si="32"/>
        <v>0.1287912678</v>
      </c>
      <c r="IO41" s="81">
        <f t="shared" si="32"/>
        <v>0.1287912678</v>
      </c>
      <c r="IP41" s="81">
        <f t="shared" si="32"/>
        <v>0.1287912678</v>
      </c>
      <c r="IQ41" s="81">
        <f t="shared" si="32"/>
        <v>0.1287912678</v>
      </c>
      <c r="IR41" s="81">
        <f t="shared" si="32"/>
        <v>0.1287912678</v>
      </c>
      <c r="IS41" s="81">
        <f t="shared" si="32"/>
        <v>0.1287912678</v>
      </c>
      <c r="IT41" s="81">
        <f t="shared" si="32"/>
        <v>0.1287912678</v>
      </c>
      <c r="IU41" s="81">
        <f t="shared" si="32"/>
        <v>0.1287912678</v>
      </c>
      <c r="IV41" s="81">
        <f t="shared" si="32"/>
        <v>0.1287912678</v>
      </c>
      <c r="IW41" s="81">
        <f t="shared" si="32"/>
        <v>0.1287912678</v>
      </c>
      <c r="IX41" s="81">
        <f t="shared" si="32"/>
        <v>0.1287912678</v>
      </c>
      <c r="IY41" s="81">
        <f t="shared" si="32"/>
        <v>0.1287912678</v>
      </c>
      <c r="IZ41" s="81">
        <f t="shared" si="32"/>
        <v>0.1287912678</v>
      </c>
      <c r="JA41" s="81">
        <f t="shared" si="32"/>
        <v>0.1287912678</v>
      </c>
      <c r="JB41" s="81">
        <f t="shared" si="32"/>
        <v>0.1287912678</v>
      </c>
      <c r="JC41" s="81">
        <f t="shared" si="32"/>
        <v>0.1287912678</v>
      </c>
      <c r="JD41" s="81">
        <f t="shared" si="32"/>
        <v>0.1287912678</v>
      </c>
      <c r="JE41" s="81">
        <f t="shared" si="32"/>
        <v>0.1287912678</v>
      </c>
      <c r="JF41" s="81">
        <f t="shared" si="32"/>
        <v>0.1287912678</v>
      </c>
      <c r="JG41" s="81">
        <f t="shared" si="32"/>
        <v>0.1287912678</v>
      </c>
      <c r="JH41" s="81">
        <f t="shared" si="32"/>
        <v>0.1287912678</v>
      </c>
      <c r="JI41" s="81">
        <f t="shared" si="32"/>
        <v>0.1287912678</v>
      </c>
      <c r="JJ41" s="81">
        <f t="shared" si="32"/>
        <v>0.1287912678</v>
      </c>
      <c r="JK41" s="81">
        <f t="shared" si="32"/>
        <v>0.1287912678</v>
      </c>
      <c r="JL41" s="81">
        <f t="shared" si="32"/>
        <v>0.1287912678</v>
      </c>
      <c r="JM41" s="81">
        <f t="shared" si="32"/>
        <v>0.1287912678</v>
      </c>
      <c r="JN41" s="81">
        <f t="shared" si="32"/>
        <v>0.1287912678</v>
      </c>
      <c r="JO41" s="81">
        <f t="shared" si="32"/>
        <v>0.1287912678</v>
      </c>
      <c r="JP41" s="81">
        <f t="shared" si="32"/>
        <v>0.1287912678</v>
      </c>
      <c r="JQ41" s="81">
        <f t="shared" si="32"/>
        <v>0.1287912678</v>
      </c>
      <c r="JR41" s="81">
        <f t="shared" si="32"/>
        <v>0.1287912678</v>
      </c>
      <c r="JS41" s="81">
        <f t="shared" si="32"/>
        <v>0.1287912678</v>
      </c>
      <c r="JT41" s="81">
        <f t="shared" si="32"/>
        <v>0.1287912678</v>
      </c>
      <c r="JU41" s="81">
        <f t="shared" si="32"/>
        <v>0.1287912678</v>
      </c>
      <c r="JV41" s="81">
        <f t="shared" si="32"/>
        <v>0.1287912678</v>
      </c>
      <c r="JW41" s="81">
        <f t="shared" si="32"/>
        <v>0.1287912678</v>
      </c>
      <c r="JX41" s="81">
        <f t="shared" si="32"/>
        <v>0.1287912678</v>
      </c>
      <c r="JY41" s="81">
        <f t="shared" si="32"/>
        <v>0.1287912678</v>
      </c>
      <c r="JZ41" s="81">
        <f t="shared" si="32"/>
        <v>0.1287912678</v>
      </c>
      <c r="KA41" s="81">
        <f t="shared" si="32"/>
        <v>0.1287912678</v>
      </c>
      <c r="KB41" s="81">
        <f t="shared" si="32"/>
        <v>0.1287912678</v>
      </c>
      <c r="KC41" s="81">
        <f t="shared" si="32"/>
        <v>0.1287912678</v>
      </c>
      <c r="KD41" s="81">
        <f t="shared" si="32"/>
        <v>0.1287912678</v>
      </c>
      <c r="KE41" s="81">
        <f t="shared" si="32"/>
        <v>0.1287912678</v>
      </c>
      <c r="KF41" s="81">
        <f t="shared" si="32"/>
        <v>0.1287912678</v>
      </c>
      <c r="KG41" s="81">
        <f t="shared" si="32"/>
        <v>0.1287912678</v>
      </c>
      <c r="KH41" s="81">
        <f t="shared" si="32"/>
        <v>0.1287912678</v>
      </c>
      <c r="KI41" s="81">
        <f t="shared" si="32"/>
        <v>0.1287912678</v>
      </c>
      <c r="KJ41" s="81">
        <f t="shared" si="32"/>
        <v>0.1287912678</v>
      </c>
      <c r="KK41" s="81">
        <f t="shared" si="32"/>
        <v>0.1287912678</v>
      </c>
      <c r="KL41" s="81">
        <f t="shared" si="32"/>
        <v>0.1287912678</v>
      </c>
      <c r="KM41" s="81">
        <f t="shared" si="32"/>
        <v>0.1287912678</v>
      </c>
      <c r="KN41" s="81">
        <f t="shared" si="32"/>
        <v>0.1287912678</v>
      </c>
      <c r="KO41" s="81">
        <f t="shared" si="32"/>
        <v>0.1287912678</v>
      </c>
      <c r="KP41" s="81">
        <f t="shared" si="32"/>
        <v>0.1287912678</v>
      </c>
      <c r="KQ41" s="81">
        <f t="shared" si="32"/>
        <v>0.1287912678</v>
      </c>
      <c r="KR41" s="81">
        <f t="shared" si="32"/>
        <v>0.1287912678</v>
      </c>
      <c r="KS41" s="81">
        <f t="shared" si="32"/>
        <v>0.1287912678</v>
      </c>
      <c r="KT41" s="81">
        <f t="shared" si="32"/>
        <v>0.1287912678</v>
      </c>
      <c r="KU41" s="81">
        <f t="shared" si="32"/>
        <v>0.1287912678</v>
      </c>
      <c r="KV41" s="81">
        <f t="shared" si="32"/>
        <v>0.1287912678</v>
      </c>
      <c r="KW41" s="81">
        <f t="shared" si="32"/>
        <v>0.1287912678</v>
      </c>
      <c r="KX41" s="81">
        <f t="shared" si="32"/>
        <v>0.1287912678</v>
      </c>
      <c r="KY41" s="81">
        <f t="shared" si="32"/>
        <v>0.1287912678</v>
      </c>
      <c r="KZ41" s="81">
        <f t="shared" si="32"/>
        <v>0.1287912678</v>
      </c>
      <c r="LA41" s="81">
        <f t="shared" si="32"/>
        <v>0.1287912678</v>
      </c>
      <c r="LB41" s="81">
        <f t="shared" si="32"/>
        <v>0.1287912678</v>
      </c>
      <c r="LC41" s="81">
        <f t="shared" si="32"/>
        <v>0.1287912678</v>
      </c>
      <c r="LD41" s="81">
        <f t="shared" si="32"/>
        <v>0.1287912678</v>
      </c>
      <c r="LE41" s="81">
        <f t="shared" si="32"/>
        <v>0.1287912678</v>
      </c>
      <c r="LF41" s="81">
        <f t="shared" si="32"/>
        <v>0.1287912678</v>
      </c>
      <c r="LG41" s="81">
        <f t="shared" si="32"/>
        <v>0.1287912678</v>
      </c>
      <c r="LH41" s="81">
        <f t="shared" si="32"/>
        <v>0.1287912678</v>
      </c>
      <c r="LI41" s="81">
        <f t="shared" si="32"/>
        <v>0.1287912678</v>
      </c>
      <c r="LJ41" s="81">
        <f t="shared" si="32"/>
        <v>0.1287912678</v>
      </c>
      <c r="LK41" s="81">
        <f t="shared" si="32"/>
        <v>0.1287912678</v>
      </c>
      <c r="LL41" s="81">
        <f t="shared" si="32"/>
        <v>0.1287912678</v>
      </c>
      <c r="LM41" s="81">
        <f t="shared" si="32"/>
        <v>0.1287912678</v>
      </c>
      <c r="LN41" s="81">
        <f t="shared" si="32"/>
        <v>0.1287912678</v>
      </c>
      <c r="LO41" s="81">
        <f t="shared" si="32"/>
        <v>0.1287912678</v>
      </c>
      <c r="LP41" s="81">
        <f t="shared" si="32"/>
        <v>0.1287912678</v>
      </c>
      <c r="LQ41" s="81">
        <f t="shared" si="32"/>
        <v>0.1287912678</v>
      </c>
      <c r="LR41" s="81">
        <f t="shared" si="32"/>
        <v>0.1287912678</v>
      </c>
      <c r="LS41" s="81">
        <f t="shared" si="32"/>
        <v>0.1287912678</v>
      </c>
      <c r="LT41" s="81">
        <f t="shared" si="32"/>
        <v>0.1287912678</v>
      </c>
      <c r="LU41" s="81">
        <f t="shared" si="32"/>
        <v>0.1287912678</v>
      </c>
      <c r="LV41" s="81">
        <f t="shared" si="32"/>
        <v>0.1287912678</v>
      </c>
      <c r="LW41" s="81">
        <f t="shared" si="32"/>
        <v>0.1287912678</v>
      </c>
      <c r="LX41" s="81">
        <f t="shared" si="32"/>
        <v>0.1287912678</v>
      </c>
      <c r="LY41" s="81">
        <f t="shared" si="32"/>
        <v>0.1287912678</v>
      </c>
      <c r="LZ41" s="81">
        <f t="shared" si="32"/>
        <v>0.1287912678</v>
      </c>
      <c r="MA41" s="81">
        <f t="shared" si="32"/>
        <v>0.1287912678</v>
      </c>
      <c r="MB41" s="81">
        <f t="shared" si="32"/>
        <v>0.1287912678</v>
      </c>
      <c r="MC41" s="81">
        <f t="shared" si="32"/>
        <v>0.1287912678</v>
      </c>
      <c r="MD41" s="81">
        <f t="shared" si="32"/>
        <v>0.1287912678</v>
      </c>
      <c r="ME41" s="81">
        <f t="shared" si="32"/>
        <v>0.1287912678</v>
      </c>
      <c r="MF41" s="81">
        <f t="shared" si="32"/>
        <v>0.1287912678</v>
      </c>
      <c r="MG41" s="81">
        <f t="shared" si="32"/>
        <v>0.1287912678</v>
      </c>
      <c r="MH41" s="81">
        <f t="shared" si="32"/>
        <v>0.1287912678</v>
      </c>
      <c r="MI41" s="81">
        <f t="shared" si="32"/>
        <v>0.1287912678</v>
      </c>
      <c r="MJ41" s="81">
        <f t="shared" si="32"/>
        <v>0.1287912678</v>
      </c>
      <c r="MK41" s="81">
        <f t="shared" si="32"/>
        <v>0.1287912678</v>
      </c>
      <c r="ML41" s="81">
        <f t="shared" si="32"/>
        <v>0.1287912678</v>
      </c>
      <c r="MM41" s="81">
        <f t="shared" si="32"/>
        <v>0.1287912678</v>
      </c>
      <c r="MN41" s="81">
        <f t="shared" si="32"/>
        <v>0.1287912678</v>
      </c>
      <c r="MO41" s="81">
        <f t="shared" si="32"/>
        <v>0.1287912678</v>
      </c>
      <c r="MP41" s="81">
        <f t="shared" si="32"/>
        <v>0.1287912678</v>
      </c>
      <c r="MQ41" s="81">
        <f t="shared" si="32"/>
        <v>0.1287912678</v>
      </c>
      <c r="MR41" s="81">
        <f t="shared" si="32"/>
        <v>0.1287912678</v>
      </c>
      <c r="MS41" s="81">
        <f t="shared" si="32"/>
        <v>0.1287912678</v>
      </c>
      <c r="MT41" s="81">
        <f t="shared" si="32"/>
        <v>0.1287912678</v>
      </c>
      <c r="MU41" s="81">
        <f t="shared" si="32"/>
        <v>0.1287912678</v>
      </c>
      <c r="MV41" s="81">
        <f t="shared" si="32"/>
        <v>0.1287912678</v>
      </c>
      <c r="MW41" s="81">
        <f t="shared" si="32"/>
        <v>0.1287912678</v>
      </c>
      <c r="MX41" s="81">
        <f t="shared" si="32"/>
        <v>0.1287912678</v>
      </c>
      <c r="MY41" s="81">
        <f t="shared" si="32"/>
        <v>0.1287912678</v>
      </c>
      <c r="MZ41" s="81">
        <f t="shared" si="32"/>
        <v>0.1287912678</v>
      </c>
      <c r="NA41" s="81">
        <f t="shared" si="32"/>
        <v>0.1287912678</v>
      </c>
      <c r="NB41" s="81">
        <f t="shared" si="32"/>
        <v>0.1287912678</v>
      </c>
      <c r="NC41" s="81">
        <f t="shared" si="32"/>
        <v>0.1287912678</v>
      </c>
      <c r="ND41" s="81">
        <f t="shared" si="32"/>
        <v>0.1287912678</v>
      </c>
      <c r="NE41" s="81">
        <f t="shared" si="32"/>
        <v>0.1287912678</v>
      </c>
      <c r="NF41" s="81">
        <f t="shared" si="32"/>
        <v>0.1287912678</v>
      </c>
      <c r="NG41" s="81">
        <f t="shared" si="32"/>
        <v>0.1287912678</v>
      </c>
      <c r="NH41" s="81">
        <f t="shared" si="32"/>
        <v>0.1287912678</v>
      </c>
      <c r="NI41" s="81">
        <f t="shared" si="32"/>
        <v>0.1287912678</v>
      </c>
      <c r="NJ41" s="81">
        <f t="shared" si="32"/>
        <v>0.1287912678</v>
      </c>
      <c r="NK41" s="81">
        <f t="shared" si="32"/>
        <v>0.1287912678</v>
      </c>
      <c r="NL41" s="81">
        <f t="shared" si="32"/>
        <v>0.1287912678</v>
      </c>
      <c r="NM41" s="81">
        <f t="shared" si="32"/>
        <v>0.1287912678</v>
      </c>
      <c r="NN41" s="81">
        <f t="shared" si="32"/>
        <v>0.1287912678</v>
      </c>
      <c r="NO41" s="81">
        <f t="shared" si="32"/>
        <v>0.1287912678</v>
      </c>
      <c r="NP41" s="81">
        <f t="shared" si="32"/>
        <v>0.1287912678</v>
      </c>
      <c r="NQ41" s="81">
        <f t="shared" si="32"/>
        <v>0.1287912678</v>
      </c>
      <c r="NR41" s="81">
        <f t="shared" si="32"/>
        <v>0.1287912678</v>
      </c>
      <c r="NS41" s="81">
        <f t="shared" si="32"/>
        <v>0.1287912678</v>
      </c>
      <c r="NT41" s="81">
        <f t="shared" si="32"/>
        <v>0.1287912678</v>
      </c>
      <c r="NU41" s="81">
        <f t="shared" si="32"/>
        <v>0.1287912678</v>
      </c>
      <c r="NV41" s="81">
        <f t="shared" si="32"/>
        <v>0.1287912678</v>
      </c>
      <c r="NW41" s="81">
        <f t="shared" si="32"/>
        <v>0.1287912678</v>
      </c>
      <c r="NX41" s="81">
        <f t="shared" si="32"/>
        <v>0.1287912678</v>
      </c>
      <c r="NY41" s="81">
        <f t="shared" si="32"/>
        <v>0.1287912678</v>
      </c>
      <c r="NZ41" s="81">
        <f t="shared" si="32"/>
        <v>0.1287912678</v>
      </c>
      <c r="OA41" s="81">
        <f t="shared" si="32"/>
        <v>0.1287912678</v>
      </c>
      <c r="OB41" s="81">
        <f t="shared" si="32"/>
        <v>0.1287912678</v>
      </c>
      <c r="OC41" s="81">
        <f t="shared" si="32"/>
        <v>0.1287912678</v>
      </c>
      <c r="OD41" s="81">
        <f t="shared" si="32"/>
        <v>0.1287912678</v>
      </c>
      <c r="OE41" s="81">
        <f t="shared" si="32"/>
        <v>0.1287912678</v>
      </c>
      <c r="OF41" s="81">
        <f t="shared" si="32"/>
        <v>0.1287912678</v>
      </c>
      <c r="OG41" s="81">
        <f t="shared" si="32"/>
        <v>0.1287912678</v>
      </c>
      <c r="OH41" s="81">
        <f t="shared" si="32"/>
        <v>0.1287912678</v>
      </c>
      <c r="OI41" s="81">
        <f t="shared" si="32"/>
        <v>0.1287912678</v>
      </c>
      <c r="OJ41" s="81">
        <f t="shared" si="32"/>
        <v>0.1287912678</v>
      </c>
      <c r="OK41" s="81">
        <f t="shared" si="32"/>
        <v>0.1287912678</v>
      </c>
      <c r="OL41" s="81">
        <f t="shared" si="32"/>
        <v>0.1287912678</v>
      </c>
      <c r="OM41" s="81">
        <f t="shared" si="32"/>
        <v>0.1287912678</v>
      </c>
      <c r="ON41" s="81">
        <f t="shared" si="32"/>
        <v>0.1287912678</v>
      </c>
      <c r="OO41" s="81">
        <f t="shared" si="32"/>
        <v>0.1287912678</v>
      </c>
      <c r="OP41" s="81">
        <f t="shared" si="32"/>
        <v>0.1287912678</v>
      </c>
      <c r="OQ41" s="81">
        <f t="shared" si="32"/>
        <v>0.1287912678</v>
      </c>
      <c r="OR41" s="81">
        <f t="shared" si="32"/>
        <v>0.1287912678</v>
      </c>
      <c r="OS41" s="81">
        <f t="shared" si="32"/>
        <v>0.1287912678</v>
      </c>
      <c r="OT41" s="81">
        <f t="shared" si="32"/>
        <v>0.1287912678</v>
      </c>
      <c r="OU41" s="81">
        <f t="shared" si="32"/>
        <v>0.1287912678</v>
      </c>
      <c r="OV41" s="81">
        <f t="shared" si="32"/>
        <v>0.1287912678</v>
      </c>
      <c r="OW41" s="81">
        <f t="shared" si="32"/>
        <v>0.1287912678</v>
      </c>
      <c r="OX41" s="81">
        <f t="shared" si="32"/>
        <v>0.1287912678</v>
      </c>
      <c r="OY41" s="81">
        <f t="shared" si="32"/>
        <v>0.1287912678</v>
      </c>
      <c r="OZ41" s="81">
        <f t="shared" si="32"/>
        <v>0.1287912678</v>
      </c>
      <c r="PA41" s="81">
        <f t="shared" si="32"/>
        <v>0.1287912678</v>
      </c>
      <c r="PB41" s="81">
        <f t="shared" si="32"/>
        <v>0.1287912678</v>
      </c>
      <c r="PC41" s="81">
        <f t="shared" si="32"/>
        <v>0.1287912678</v>
      </c>
      <c r="PD41" s="81">
        <f t="shared" si="32"/>
        <v>0.1287912678</v>
      </c>
      <c r="PE41" s="81">
        <f t="shared" si="32"/>
        <v>0.1287912678</v>
      </c>
      <c r="PF41" s="81">
        <f t="shared" si="32"/>
        <v>0.1287912678</v>
      </c>
      <c r="PG41" s="81">
        <f t="shared" si="32"/>
        <v>0.1287912678</v>
      </c>
      <c r="PH41" s="81">
        <f t="shared" si="32"/>
        <v>0.1287912678</v>
      </c>
      <c r="PI41" s="81">
        <f t="shared" si="32"/>
        <v>0.1287912678</v>
      </c>
      <c r="PJ41" s="81">
        <f t="shared" si="32"/>
        <v>0.1287912678</v>
      </c>
      <c r="PK41" s="81">
        <f t="shared" si="32"/>
        <v>0.1287912678</v>
      </c>
      <c r="PL41" s="81">
        <f t="shared" si="32"/>
        <v>0.1287912678</v>
      </c>
      <c r="PM41" s="81">
        <f t="shared" si="32"/>
        <v>0.1287912678</v>
      </c>
      <c r="PN41" s="81">
        <f t="shared" si="32"/>
        <v>0.1287912678</v>
      </c>
      <c r="PO41" s="81">
        <f t="shared" si="32"/>
        <v>0.1287912678</v>
      </c>
      <c r="PP41" s="81">
        <f t="shared" si="32"/>
        <v>0.1287912678</v>
      </c>
      <c r="PQ41" s="81">
        <f t="shared" si="32"/>
        <v>0.1287912678</v>
      </c>
      <c r="PR41" s="81">
        <f t="shared" si="32"/>
        <v>0.1287912678</v>
      </c>
      <c r="PS41" s="81">
        <f t="shared" si="32"/>
        <v>0.1287912678</v>
      </c>
      <c r="PT41" s="81">
        <f t="shared" si="32"/>
        <v>0.1287912678</v>
      </c>
      <c r="PU41" s="81">
        <f t="shared" si="32"/>
        <v>0.1287912678</v>
      </c>
      <c r="PV41" s="81">
        <f t="shared" si="32"/>
        <v>0.1287912678</v>
      </c>
      <c r="PW41" s="81">
        <f t="shared" si="32"/>
        <v>0.1287912678</v>
      </c>
      <c r="PX41" s="81">
        <f t="shared" si="32"/>
        <v>0.1287912678</v>
      </c>
      <c r="PY41" s="81">
        <f t="shared" si="32"/>
        <v>0.1287912678</v>
      </c>
      <c r="PZ41" s="81">
        <f t="shared" si="32"/>
        <v>0.1287912678</v>
      </c>
      <c r="QA41" s="81">
        <f t="shared" si="32"/>
        <v>0.1287912678</v>
      </c>
      <c r="QB41" s="81">
        <f t="shared" si="32"/>
        <v>0.1287912678</v>
      </c>
      <c r="QC41" s="81">
        <f t="shared" si="32"/>
        <v>0.1287912678</v>
      </c>
      <c r="QD41" s="81">
        <f t="shared" si="32"/>
        <v>0.1287912678</v>
      </c>
      <c r="QE41" s="81">
        <f t="shared" si="32"/>
        <v>0.1287912678</v>
      </c>
      <c r="QF41" s="81">
        <f t="shared" si="32"/>
        <v>0.1287912678</v>
      </c>
      <c r="QG41" s="81">
        <f t="shared" si="32"/>
        <v>0.1287912678</v>
      </c>
      <c r="QH41" s="81">
        <f t="shared" si="32"/>
        <v>0.1287912678</v>
      </c>
      <c r="QI41" s="81">
        <f t="shared" si="32"/>
        <v>0.1287912678</v>
      </c>
      <c r="QJ41" s="81">
        <f t="shared" si="32"/>
        <v>0.1287912678</v>
      </c>
      <c r="QK41" s="81">
        <f t="shared" si="32"/>
        <v>0.1287912678</v>
      </c>
      <c r="QL41" s="81">
        <f t="shared" si="32"/>
        <v>0.1287912678</v>
      </c>
      <c r="QM41" s="81">
        <f t="shared" si="32"/>
        <v>0.1287912678</v>
      </c>
      <c r="QN41" s="81">
        <f t="shared" si="32"/>
        <v>0.1287912678</v>
      </c>
      <c r="QO41" s="81">
        <f t="shared" si="32"/>
        <v>0.1287912678</v>
      </c>
      <c r="QP41" s="81">
        <f t="shared" si="32"/>
        <v>0.1287912678</v>
      </c>
      <c r="QQ41" s="81">
        <f t="shared" si="32"/>
        <v>0.1287912678</v>
      </c>
      <c r="QR41" s="81">
        <f t="shared" si="32"/>
        <v>0.1287912678</v>
      </c>
      <c r="QS41" s="81">
        <f t="shared" si="32"/>
        <v>0.1287912678</v>
      </c>
      <c r="QT41" s="81">
        <f t="shared" si="32"/>
        <v>0.1287912678</v>
      </c>
      <c r="QU41" s="81">
        <f t="shared" si="32"/>
        <v>0.1287912678</v>
      </c>
      <c r="QV41" s="81">
        <f t="shared" si="32"/>
        <v>0.1287912678</v>
      </c>
      <c r="QW41" s="81">
        <f t="shared" si="32"/>
        <v>0.1287912678</v>
      </c>
      <c r="QX41" s="81">
        <f t="shared" si="32"/>
        <v>0.1287912678</v>
      </c>
      <c r="QY41" s="81">
        <f t="shared" si="32"/>
        <v>0.1287912678</v>
      </c>
      <c r="QZ41" s="81">
        <f t="shared" si="32"/>
        <v>0.1287912678</v>
      </c>
      <c r="RA41" s="81">
        <f t="shared" si="32"/>
        <v>0.1287912678</v>
      </c>
      <c r="RB41" s="81">
        <f t="shared" si="32"/>
        <v>0.1287912678</v>
      </c>
      <c r="RC41" s="81">
        <f t="shared" si="32"/>
        <v>0.1287912678</v>
      </c>
      <c r="RD41" s="81">
        <f t="shared" si="32"/>
        <v>0.1287912678</v>
      </c>
      <c r="RE41" s="81">
        <f t="shared" si="32"/>
        <v>0.1287912678</v>
      </c>
      <c r="RF41" s="81">
        <f t="shared" si="32"/>
        <v>0.1287912678</v>
      </c>
      <c r="RG41" s="81">
        <f t="shared" si="32"/>
        <v>0.1287912678</v>
      </c>
      <c r="RH41" s="81">
        <f t="shared" si="32"/>
        <v>0.1287912678</v>
      </c>
      <c r="RI41" s="81">
        <f t="shared" si="32"/>
        <v>0.1287912678</v>
      </c>
      <c r="RJ41" s="81">
        <f t="shared" si="32"/>
        <v>0.1287912678</v>
      </c>
      <c r="RK41" s="81">
        <f t="shared" si="32"/>
        <v>0.1287912678</v>
      </c>
      <c r="RL41" s="81">
        <f t="shared" si="32"/>
        <v>0.1287912678</v>
      </c>
      <c r="RM41" s="81">
        <f t="shared" si="32"/>
        <v>0.1287912678</v>
      </c>
      <c r="RN41" s="81">
        <f t="shared" si="32"/>
        <v>0.1287912678</v>
      </c>
      <c r="RO41" s="81">
        <f t="shared" si="32"/>
        <v>0.1287912678</v>
      </c>
      <c r="RP41" s="81">
        <f t="shared" si="32"/>
        <v>0.1287912678</v>
      </c>
      <c r="RQ41" s="81">
        <f t="shared" si="32"/>
        <v>0.1287912678</v>
      </c>
      <c r="RR41" s="81">
        <f t="shared" si="32"/>
        <v>0.1287912678</v>
      </c>
      <c r="RS41" s="81">
        <f t="shared" si="32"/>
        <v>0.1287912678</v>
      </c>
      <c r="RT41" s="81">
        <f t="shared" si="32"/>
        <v>0.1287912678</v>
      </c>
      <c r="RU41" s="81">
        <f t="shared" si="32"/>
        <v>0.1287912678</v>
      </c>
      <c r="RV41" s="81">
        <f t="shared" si="32"/>
        <v>0.1287912678</v>
      </c>
      <c r="RW41" s="81">
        <f t="shared" si="32"/>
        <v>0.1287912678</v>
      </c>
      <c r="RX41" s="81">
        <f t="shared" si="32"/>
        <v>0.1287912678</v>
      </c>
      <c r="RY41" s="81">
        <f t="shared" si="32"/>
        <v>0.1287912678</v>
      </c>
      <c r="RZ41" s="81">
        <f t="shared" si="32"/>
        <v>0.1287912678</v>
      </c>
      <c r="SA41" s="81">
        <f t="shared" si="32"/>
        <v>0.1287912678</v>
      </c>
      <c r="SB41" s="81">
        <f t="shared" si="32"/>
        <v>0.1287912678</v>
      </c>
      <c r="SC41" s="81">
        <f t="shared" si="32"/>
        <v>0.1287912678</v>
      </c>
      <c r="SD41" s="81">
        <f t="shared" si="32"/>
        <v>0.1287912678</v>
      </c>
      <c r="SE41" s="81">
        <f t="shared" si="32"/>
        <v>0.1287912678</v>
      </c>
      <c r="SF41" s="81">
        <f t="shared" si="32"/>
        <v>0.1287912678</v>
      </c>
      <c r="SG41" s="81">
        <f t="shared" si="32"/>
        <v>0.1287912678</v>
      </c>
      <c r="SH41" s="81">
        <f t="shared" si="32"/>
        <v>0.1287912678</v>
      </c>
      <c r="SI41" s="81">
        <f t="shared" si="32"/>
        <v>0.1287912678</v>
      </c>
      <c r="SJ41" s="81">
        <f t="shared" si="32"/>
        <v>0.1287912678</v>
      </c>
      <c r="SK41" s="81">
        <f t="shared" si="32"/>
        <v>0.1287912678</v>
      </c>
      <c r="SL41" s="81">
        <f t="shared" si="32"/>
        <v>0.1287912678</v>
      </c>
    </row>
    <row r="42">
      <c r="A42" s="53" t="s">
        <v>372</v>
      </c>
      <c r="B42" s="82">
        <f>B41*B9</f>
        <v>525.2897026</v>
      </c>
      <c r="C42" s="287"/>
      <c r="D42" s="288"/>
      <c r="E42" s="289"/>
      <c r="F42" s="82"/>
      <c r="G42" s="82">
        <f t="shared" ref="G42:SL42" si="33">G41*G9</f>
        <v>546.1762217</v>
      </c>
      <c r="H42" s="82">
        <f t="shared" si="33"/>
        <v>582.446225</v>
      </c>
      <c r="I42" s="82">
        <f t="shared" si="33"/>
        <v>535.9205656</v>
      </c>
      <c r="J42" s="82">
        <f t="shared" si="33"/>
        <v>480.6400778</v>
      </c>
      <c r="K42" s="82">
        <f t="shared" si="33"/>
        <v>487.831544</v>
      </c>
      <c r="L42" s="82">
        <f t="shared" si="33"/>
        <v>471.1348356</v>
      </c>
      <c r="M42" s="82">
        <f t="shared" si="33"/>
        <v>522.1629781</v>
      </c>
      <c r="N42" s="82">
        <f t="shared" si="33"/>
        <v>574.004069</v>
      </c>
      <c r="O42" s="82">
        <f t="shared" si="33"/>
        <v>519.5365296</v>
      </c>
      <c r="P42" s="82">
        <f t="shared" si="33"/>
        <v>490.2078546</v>
      </c>
      <c r="Q42" s="82">
        <f t="shared" si="33"/>
        <v>475.0745084</v>
      </c>
      <c r="R42" s="82">
        <f t="shared" si="33"/>
        <v>562.1225162</v>
      </c>
      <c r="S42" s="82">
        <f t="shared" si="33"/>
        <v>539.4850314</v>
      </c>
      <c r="T42" s="82">
        <f t="shared" si="33"/>
        <v>519.2238572</v>
      </c>
      <c r="U42" s="82">
        <f t="shared" si="33"/>
        <v>553.1800844</v>
      </c>
      <c r="V42" s="82">
        <f t="shared" si="33"/>
        <v>580.8203283</v>
      </c>
      <c r="W42" s="82">
        <f t="shared" si="33"/>
        <v>467.3202318</v>
      </c>
      <c r="X42" s="82">
        <f t="shared" si="33"/>
        <v>470.8221632</v>
      </c>
      <c r="Y42" s="82">
        <f t="shared" si="33"/>
        <v>536.7335139</v>
      </c>
      <c r="Z42" s="82">
        <f t="shared" si="33"/>
        <v>506.779494</v>
      </c>
      <c r="AA42" s="82">
        <f t="shared" si="33"/>
        <v>559.1208608</v>
      </c>
      <c r="AB42" s="82">
        <f t="shared" si="33"/>
        <v>471.822715</v>
      </c>
      <c r="AC42" s="82">
        <f t="shared" si="33"/>
        <v>571.7528274</v>
      </c>
      <c r="AD42" s="82">
        <f t="shared" si="33"/>
        <v>539.4224969</v>
      </c>
      <c r="AE42" s="82">
        <f t="shared" si="33"/>
        <v>506.529356</v>
      </c>
      <c r="AF42" s="82">
        <f t="shared" si="33"/>
        <v>584.5723976</v>
      </c>
      <c r="AG42" s="82">
        <f t="shared" si="33"/>
        <v>545.4883423</v>
      </c>
      <c r="AH42" s="82">
        <f t="shared" si="33"/>
        <v>547.0517045</v>
      </c>
      <c r="AI42" s="82">
        <f t="shared" si="33"/>
        <v>472.0728529</v>
      </c>
      <c r="AJ42" s="82">
        <f t="shared" si="33"/>
        <v>467.0700939</v>
      </c>
      <c r="AK42" s="82">
        <f t="shared" si="33"/>
        <v>545.7384803</v>
      </c>
      <c r="AL42" s="82">
        <f t="shared" si="33"/>
        <v>497.6494587</v>
      </c>
      <c r="AM42" s="82">
        <f t="shared" si="33"/>
        <v>495.9610275</v>
      </c>
      <c r="AN42" s="82">
        <f t="shared" si="33"/>
        <v>525.1020991</v>
      </c>
      <c r="AO42" s="82">
        <f t="shared" si="33"/>
        <v>519.6615986</v>
      </c>
      <c r="AP42" s="82">
        <f t="shared" si="33"/>
        <v>469.133732</v>
      </c>
      <c r="AQ42" s="82">
        <f t="shared" si="33"/>
        <v>487.6439405</v>
      </c>
      <c r="AR42" s="82">
        <f t="shared" si="33"/>
        <v>494.1475273</v>
      </c>
      <c r="AS42" s="82">
        <f t="shared" si="33"/>
        <v>554.1806362</v>
      </c>
      <c r="AT42" s="82">
        <f t="shared" si="33"/>
        <v>562.4977232</v>
      </c>
      <c r="AU42" s="82">
        <f t="shared" si="33"/>
        <v>468.883594</v>
      </c>
      <c r="AV42" s="82">
        <f t="shared" si="33"/>
        <v>558.8081883</v>
      </c>
      <c r="AW42" s="82">
        <f t="shared" si="33"/>
        <v>510.2814253</v>
      </c>
      <c r="AX42" s="82">
        <f t="shared" si="33"/>
        <v>565.2492406</v>
      </c>
      <c r="AY42" s="82">
        <f t="shared" si="33"/>
        <v>463.1929556</v>
      </c>
      <c r="AZ42" s="82">
        <f t="shared" si="33"/>
        <v>538.7346176</v>
      </c>
      <c r="BA42" s="82">
        <f t="shared" si="33"/>
        <v>553.3676879</v>
      </c>
      <c r="BB42" s="82">
        <f t="shared" si="33"/>
        <v>479.1392501</v>
      </c>
      <c r="BC42" s="82">
        <f t="shared" si="33"/>
        <v>549.5530841</v>
      </c>
      <c r="BD42" s="82">
        <f t="shared" si="33"/>
        <v>522.5381851</v>
      </c>
      <c r="BE42" s="82">
        <f t="shared" si="33"/>
        <v>559.1833953</v>
      </c>
      <c r="BF42" s="82">
        <f t="shared" si="33"/>
        <v>481.2654227</v>
      </c>
      <c r="BG42" s="82">
        <f t="shared" si="33"/>
        <v>576.7555865</v>
      </c>
      <c r="BH42" s="82">
        <f t="shared" si="33"/>
        <v>480.1398019</v>
      </c>
      <c r="BI42" s="82">
        <f t="shared" si="33"/>
        <v>576.1302416</v>
      </c>
      <c r="BJ42" s="82">
        <f t="shared" si="33"/>
        <v>473.3235427</v>
      </c>
      <c r="BK42" s="82">
        <f t="shared" si="33"/>
        <v>541.2985316</v>
      </c>
      <c r="BL42" s="82">
        <f t="shared" si="33"/>
        <v>526.4778578</v>
      </c>
      <c r="BM42" s="82">
        <f t="shared" si="33"/>
        <v>468.8210595</v>
      </c>
      <c r="BN42" s="82">
        <f t="shared" si="33"/>
        <v>559.4960677</v>
      </c>
      <c r="BO42" s="82">
        <f t="shared" si="33"/>
        <v>486.3932508</v>
      </c>
      <c r="BP42" s="82">
        <f t="shared" si="33"/>
        <v>500.9637866</v>
      </c>
      <c r="BQ42" s="82">
        <f t="shared" si="33"/>
        <v>570.8773446</v>
      </c>
      <c r="BR42" s="82">
        <f t="shared" si="33"/>
        <v>531.6682204</v>
      </c>
      <c r="BS42" s="82">
        <f t="shared" si="33"/>
        <v>544.8004629</v>
      </c>
      <c r="BT42" s="82">
        <f t="shared" si="33"/>
        <v>481.0778193</v>
      </c>
      <c r="BU42" s="82">
        <f t="shared" si="33"/>
        <v>496.2736999</v>
      </c>
      <c r="BV42" s="82">
        <f t="shared" si="33"/>
        <v>470.3844217</v>
      </c>
      <c r="BW42" s="82">
        <f t="shared" si="33"/>
        <v>492.7092341</v>
      </c>
      <c r="BX42" s="82">
        <f t="shared" si="33"/>
        <v>532.5437032</v>
      </c>
      <c r="BY42" s="82">
        <f t="shared" si="33"/>
        <v>501.9018039</v>
      </c>
      <c r="BZ42" s="82">
        <f t="shared" si="33"/>
        <v>497.1491828</v>
      </c>
      <c r="CA42" s="82">
        <f t="shared" si="33"/>
        <v>587.699122</v>
      </c>
      <c r="CB42" s="82">
        <f t="shared" si="33"/>
        <v>518.0982364</v>
      </c>
      <c r="CC42" s="82">
        <f t="shared" si="33"/>
        <v>582.2586215</v>
      </c>
      <c r="CD42" s="82">
        <f t="shared" si="33"/>
        <v>553.8679638</v>
      </c>
      <c r="CE42" s="82">
        <f t="shared" si="33"/>
        <v>557.4949641</v>
      </c>
      <c r="CF42" s="82">
        <f t="shared" si="33"/>
        <v>569.00131</v>
      </c>
      <c r="CG42" s="82">
        <f t="shared" si="33"/>
        <v>483.7668023</v>
      </c>
      <c r="CH42" s="82">
        <f t="shared" si="33"/>
        <v>487.0811301</v>
      </c>
      <c r="CI42" s="82">
        <f t="shared" si="33"/>
        <v>558.8081883</v>
      </c>
      <c r="CJ42" s="82">
        <f t="shared" si="33"/>
        <v>496.7114414</v>
      </c>
      <c r="CK42" s="82">
        <f t="shared" si="33"/>
        <v>553.3051534</v>
      </c>
      <c r="CL42" s="82">
        <f t="shared" si="33"/>
        <v>473.9488876</v>
      </c>
      <c r="CM42" s="82">
        <f t="shared" si="33"/>
        <v>507.7175113</v>
      </c>
      <c r="CN42" s="82">
        <f t="shared" si="33"/>
        <v>560.8718265</v>
      </c>
      <c r="CO42" s="82">
        <f t="shared" si="33"/>
        <v>500.5885796</v>
      </c>
      <c r="CP42" s="82">
        <f t="shared" si="33"/>
        <v>542.7993593</v>
      </c>
      <c r="CQ42" s="82">
        <f t="shared" si="33"/>
        <v>511.0943737</v>
      </c>
      <c r="CR42" s="82">
        <f t="shared" si="33"/>
        <v>476.0750602</v>
      </c>
      <c r="CS42" s="82">
        <f t="shared" si="33"/>
        <v>483.9544057</v>
      </c>
      <c r="CT42" s="82">
        <f t="shared" si="33"/>
        <v>544.6128595</v>
      </c>
      <c r="CU42" s="82">
        <f t="shared" si="33"/>
        <v>492.8968376</v>
      </c>
      <c r="CV42" s="82">
        <f t="shared" si="33"/>
        <v>525.1020991</v>
      </c>
      <c r="CW42" s="82">
        <f t="shared" si="33"/>
        <v>554.2431707</v>
      </c>
      <c r="CX42" s="82">
        <f t="shared" si="33"/>
        <v>469.3213354</v>
      </c>
      <c r="CY42" s="82">
        <f t="shared" si="33"/>
        <v>545.5508768</v>
      </c>
      <c r="CZ42" s="82">
        <f t="shared" si="33"/>
        <v>533.6067895</v>
      </c>
      <c r="DA42" s="82">
        <f t="shared" si="33"/>
        <v>565.812051</v>
      </c>
      <c r="DB42" s="82">
        <f t="shared" si="33"/>
        <v>519.4739951</v>
      </c>
      <c r="DC42" s="82">
        <f t="shared" si="33"/>
        <v>547.239308</v>
      </c>
      <c r="DD42" s="82">
        <f t="shared" si="33"/>
        <v>526.9155993</v>
      </c>
      <c r="DE42" s="82">
        <f t="shared" si="33"/>
        <v>477.7009569</v>
      </c>
      <c r="DF42" s="82">
        <f t="shared" si="33"/>
        <v>476.1375947</v>
      </c>
      <c r="DG42" s="82">
        <f t="shared" si="33"/>
        <v>527.7285476</v>
      </c>
      <c r="DH42" s="82">
        <f t="shared" si="33"/>
        <v>486.8309922</v>
      </c>
      <c r="DI42" s="82">
        <f t="shared" si="33"/>
        <v>492.4590962</v>
      </c>
      <c r="DJ42" s="82">
        <f t="shared" si="33"/>
        <v>510.1563564</v>
      </c>
      <c r="DK42" s="82">
        <f t="shared" si="33"/>
        <v>532.6062377</v>
      </c>
      <c r="DL42" s="82">
        <f t="shared" si="33"/>
        <v>476.7004051</v>
      </c>
      <c r="DM42" s="82">
        <f t="shared" si="33"/>
        <v>571.7528274</v>
      </c>
      <c r="DN42" s="82">
        <f t="shared" si="33"/>
        <v>487.0185957</v>
      </c>
      <c r="DO42" s="82">
        <f t="shared" si="33"/>
        <v>553.6178258</v>
      </c>
      <c r="DP42" s="82">
        <f t="shared" si="33"/>
        <v>483.1414574</v>
      </c>
      <c r="DQ42" s="82">
        <f t="shared" si="33"/>
        <v>542.9869628</v>
      </c>
      <c r="DR42" s="82">
        <f t="shared" si="33"/>
        <v>528.1037545</v>
      </c>
      <c r="DS42" s="82">
        <f t="shared" si="33"/>
        <v>511.3445116</v>
      </c>
      <c r="DT42" s="82">
        <f t="shared" si="33"/>
        <v>470.3218873</v>
      </c>
      <c r="DU42" s="82">
        <f t="shared" si="33"/>
        <v>473.5736807</v>
      </c>
      <c r="DV42" s="82">
        <f t="shared" si="33"/>
        <v>560.1839471</v>
      </c>
      <c r="DW42" s="82">
        <f t="shared" si="33"/>
        <v>586.8236391</v>
      </c>
      <c r="DX42" s="82">
        <f t="shared" si="33"/>
        <v>556.0566709</v>
      </c>
      <c r="DY42" s="82">
        <f t="shared" si="33"/>
        <v>526.7905303</v>
      </c>
      <c r="DZ42" s="82">
        <f t="shared" si="33"/>
        <v>476.7004051</v>
      </c>
      <c r="EA42" s="82">
        <f t="shared" si="33"/>
        <v>492.3965617</v>
      </c>
      <c r="EB42" s="82">
        <f t="shared" si="33"/>
        <v>543.1745662</v>
      </c>
      <c r="EC42" s="82">
        <f t="shared" si="33"/>
        <v>505.3412008</v>
      </c>
      <c r="ED42" s="82">
        <f t="shared" si="33"/>
        <v>475.0119739</v>
      </c>
      <c r="EE42" s="82">
        <f t="shared" si="33"/>
        <v>498.837614</v>
      </c>
      <c r="EF42" s="82">
        <f t="shared" si="33"/>
        <v>554.0555672</v>
      </c>
      <c r="EG42" s="82">
        <f t="shared" si="33"/>
        <v>475.8874567</v>
      </c>
      <c r="EH42" s="82">
        <f t="shared" si="33"/>
        <v>557.870171</v>
      </c>
      <c r="EI42" s="82">
        <f t="shared" si="33"/>
        <v>544.8004629</v>
      </c>
      <c r="EJ42" s="82">
        <f t="shared" si="33"/>
        <v>503.2775626</v>
      </c>
      <c r="EK42" s="82">
        <f t="shared" si="33"/>
        <v>577.0057245</v>
      </c>
      <c r="EL42" s="82">
        <f t="shared" si="33"/>
        <v>484.5172161</v>
      </c>
      <c r="EM42" s="82">
        <f t="shared" si="33"/>
        <v>512.0949255</v>
      </c>
      <c r="EN42" s="82">
        <f t="shared" si="33"/>
        <v>494.8354067</v>
      </c>
      <c r="EO42" s="82">
        <f t="shared" si="33"/>
        <v>570.7522756</v>
      </c>
      <c r="EP42" s="82">
        <f t="shared" si="33"/>
        <v>576.2553106</v>
      </c>
      <c r="EQ42" s="82">
        <f t="shared" si="33"/>
        <v>537.5464623</v>
      </c>
      <c r="ER42" s="82">
        <f t="shared" si="33"/>
        <v>543.1745662</v>
      </c>
      <c r="ES42" s="82">
        <f t="shared" si="33"/>
        <v>577.4434659</v>
      </c>
      <c r="ET42" s="82">
        <f t="shared" si="33"/>
        <v>471.3849736</v>
      </c>
      <c r="EU42" s="82">
        <f t="shared" si="33"/>
        <v>564.2486888</v>
      </c>
      <c r="EV42" s="82">
        <f t="shared" si="33"/>
        <v>544.3627215</v>
      </c>
      <c r="EW42" s="82">
        <f t="shared" si="33"/>
        <v>465.4441972</v>
      </c>
      <c r="EX42" s="82">
        <f t="shared" si="33"/>
        <v>566.312327</v>
      </c>
      <c r="EY42" s="82">
        <f t="shared" si="33"/>
        <v>563.498275</v>
      </c>
      <c r="EZ42" s="82">
        <f t="shared" si="33"/>
        <v>584.1971906</v>
      </c>
      <c r="FA42" s="82">
        <f t="shared" si="33"/>
        <v>543.7999111</v>
      </c>
      <c r="FB42" s="82">
        <f t="shared" si="33"/>
        <v>578.3189487</v>
      </c>
      <c r="FC42" s="82">
        <f t="shared" si="33"/>
        <v>549.803222</v>
      </c>
      <c r="FD42" s="82">
        <f t="shared" si="33"/>
        <v>484.3296127</v>
      </c>
      <c r="FE42" s="82">
        <f t="shared" si="33"/>
        <v>480.3274054</v>
      </c>
      <c r="FF42" s="82">
        <f t="shared" si="33"/>
        <v>529.9797892</v>
      </c>
      <c r="FG42" s="82">
        <f t="shared" si="33"/>
        <v>486.0805783</v>
      </c>
      <c r="FH42" s="82">
        <f t="shared" si="33"/>
        <v>502.0894074</v>
      </c>
      <c r="FI42" s="82">
        <f t="shared" si="33"/>
        <v>569.5015859</v>
      </c>
      <c r="FJ42" s="82">
        <f t="shared" si="33"/>
        <v>486.7059232</v>
      </c>
      <c r="FK42" s="82">
        <f t="shared" si="33"/>
        <v>524.2266163</v>
      </c>
      <c r="FL42" s="82">
        <f t="shared" si="33"/>
        <v>579.3195005</v>
      </c>
      <c r="FM42" s="82">
        <f t="shared" si="33"/>
        <v>476.5128016</v>
      </c>
      <c r="FN42" s="82">
        <f t="shared" si="33"/>
        <v>513.0954773</v>
      </c>
      <c r="FO42" s="82">
        <f t="shared" si="33"/>
        <v>486.0805783</v>
      </c>
      <c r="FP42" s="82">
        <f t="shared" si="33"/>
        <v>513.5957532</v>
      </c>
      <c r="FQ42" s="82">
        <f t="shared" si="33"/>
        <v>570.9398791</v>
      </c>
      <c r="FR42" s="82">
        <f t="shared" si="33"/>
        <v>478.3888363</v>
      </c>
      <c r="FS42" s="82">
        <f t="shared" si="33"/>
        <v>493.9599239</v>
      </c>
      <c r="FT42" s="82">
        <f t="shared" si="33"/>
        <v>489.9577166</v>
      </c>
      <c r="FU42" s="82">
        <f t="shared" si="33"/>
        <v>583.2591733</v>
      </c>
      <c r="FV42" s="82">
        <f t="shared" si="33"/>
        <v>511.2194427</v>
      </c>
      <c r="FW42" s="82">
        <f t="shared" si="33"/>
        <v>480.4524744</v>
      </c>
      <c r="FX42" s="82">
        <f t="shared" si="33"/>
        <v>529.5420478</v>
      </c>
      <c r="FY42" s="82">
        <f t="shared" si="33"/>
        <v>566.3748614</v>
      </c>
      <c r="FZ42" s="82">
        <f t="shared" si="33"/>
        <v>508.2803217</v>
      </c>
      <c r="GA42" s="82">
        <f t="shared" si="33"/>
        <v>579.1944316</v>
      </c>
      <c r="GB42" s="82">
        <f t="shared" si="33"/>
        <v>478.5139052</v>
      </c>
      <c r="GC42" s="82">
        <f t="shared" si="33"/>
        <v>537.8591347</v>
      </c>
      <c r="GD42" s="82">
        <f t="shared" si="33"/>
        <v>486.0180438</v>
      </c>
      <c r="GE42" s="82">
        <f t="shared" si="33"/>
        <v>478.5139052</v>
      </c>
      <c r="GF42" s="82">
        <f t="shared" si="33"/>
        <v>465.8194041</v>
      </c>
      <c r="GG42" s="82">
        <f t="shared" si="33"/>
        <v>514.2210981</v>
      </c>
      <c r="GH42" s="82">
        <f t="shared" si="33"/>
        <v>485.26763</v>
      </c>
      <c r="GI42" s="82">
        <f t="shared" si="33"/>
        <v>480.014733</v>
      </c>
      <c r="GJ42" s="82">
        <f t="shared" si="33"/>
        <v>479.889664</v>
      </c>
      <c r="GK42" s="82">
        <f t="shared" si="33"/>
        <v>485.8304404</v>
      </c>
      <c r="GL42" s="82">
        <f t="shared" si="33"/>
        <v>551.1789808</v>
      </c>
      <c r="GM42" s="82">
        <f t="shared" si="33"/>
        <v>568.2508961</v>
      </c>
      <c r="GN42" s="82">
        <f t="shared" si="33"/>
        <v>507.9676493</v>
      </c>
      <c r="GO42" s="82">
        <f t="shared" si="33"/>
        <v>554.9935846</v>
      </c>
      <c r="GP42" s="82">
        <f t="shared" si="33"/>
        <v>575.5674312</v>
      </c>
      <c r="GQ42" s="82">
        <f t="shared" si="33"/>
        <v>483.5791988</v>
      </c>
      <c r="GR42" s="82">
        <f t="shared" si="33"/>
        <v>464.0059039</v>
      </c>
      <c r="GS42" s="82">
        <f t="shared" si="33"/>
        <v>567.8131547</v>
      </c>
      <c r="GT42" s="82">
        <f t="shared" si="33"/>
        <v>536.608445</v>
      </c>
      <c r="GU42" s="82">
        <f t="shared" si="33"/>
        <v>516.8475466</v>
      </c>
      <c r="GV42" s="82">
        <f t="shared" si="33"/>
        <v>481.0152848</v>
      </c>
      <c r="GW42" s="82">
        <f t="shared" si="33"/>
        <v>513.4706843</v>
      </c>
      <c r="GX42" s="82">
        <f t="shared" si="33"/>
        <v>499.9632348</v>
      </c>
      <c r="GY42" s="82">
        <f t="shared" si="33"/>
        <v>481.7031641</v>
      </c>
      <c r="GZ42" s="82">
        <f t="shared" si="33"/>
        <v>502.6522178</v>
      </c>
      <c r="HA42" s="82">
        <f t="shared" si="33"/>
        <v>564.4362923</v>
      </c>
      <c r="HB42" s="82">
        <f t="shared" si="33"/>
        <v>567.1878098</v>
      </c>
      <c r="HC42" s="82">
        <f t="shared" si="33"/>
        <v>515.3467189</v>
      </c>
      <c r="HD42" s="82">
        <f t="shared" si="33"/>
        <v>538.7346176</v>
      </c>
      <c r="HE42" s="82">
        <f t="shared" si="33"/>
        <v>578.3814832</v>
      </c>
      <c r="HF42" s="82">
        <f t="shared" si="33"/>
        <v>486.0180438</v>
      </c>
      <c r="HG42" s="82">
        <f t="shared" si="33"/>
        <v>562.8103956</v>
      </c>
      <c r="HH42" s="82">
        <f t="shared" si="33"/>
        <v>496.3362344</v>
      </c>
      <c r="HI42" s="82">
        <f t="shared" si="33"/>
        <v>520.474547</v>
      </c>
      <c r="HJ42" s="82">
        <f t="shared" si="33"/>
        <v>539.2348935</v>
      </c>
      <c r="HK42" s="82">
        <f t="shared" si="33"/>
        <v>466.9450249</v>
      </c>
      <c r="HL42" s="82">
        <f t="shared" si="33"/>
        <v>493.5221825</v>
      </c>
      <c r="HM42" s="82">
        <f t="shared" si="33"/>
        <v>565.6244476</v>
      </c>
      <c r="HN42" s="82">
        <f t="shared" si="33"/>
        <v>514.1585636</v>
      </c>
      <c r="HO42" s="82">
        <f t="shared" si="33"/>
        <v>466.6323524</v>
      </c>
      <c r="HP42" s="82">
        <f t="shared" si="33"/>
        <v>559.9338091</v>
      </c>
      <c r="HQ42" s="82">
        <f t="shared" si="33"/>
        <v>529.1668408</v>
      </c>
      <c r="HR42" s="82">
        <f t="shared" si="33"/>
        <v>573.3787241</v>
      </c>
      <c r="HS42" s="82">
        <f t="shared" si="33"/>
        <v>546.3012907</v>
      </c>
      <c r="HT42" s="82">
        <f t="shared" si="33"/>
        <v>568.8137065</v>
      </c>
      <c r="HU42" s="82">
        <f t="shared" si="33"/>
        <v>500.8387176</v>
      </c>
      <c r="HV42" s="82">
        <f t="shared" si="33"/>
        <v>580.6952593</v>
      </c>
      <c r="HW42" s="82">
        <f t="shared" si="33"/>
        <v>519.1613227</v>
      </c>
      <c r="HX42" s="82">
        <f t="shared" si="33"/>
        <v>573.6288621</v>
      </c>
      <c r="HY42" s="82">
        <f t="shared" si="33"/>
        <v>535.4828242</v>
      </c>
      <c r="HZ42" s="82">
        <f t="shared" si="33"/>
        <v>516.0971328</v>
      </c>
      <c r="IA42" s="82">
        <f t="shared" si="33"/>
        <v>492.2089582</v>
      </c>
      <c r="IB42" s="82">
        <f t="shared" si="33"/>
        <v>581.3831387</v>
      </c>
      <c r="IC42" s="82">
        <f t="shared" si="33"/>
        <v>497.0241138</v>
      </c>
      <c r="ID42" s="82">
        <f t="shared" si="33"/>
        <v>572.4407068</v>
      </c>
      <c r="IE42" s="82">
        <f t="shared" si="33"/>
        <v>517.410357</v>
      </c>
      <c r="IF42" s="82">
        <f t="shared" si="33"/>
        <v>463.9433694</v>
      </c>
      <c r="IG42" s="82">
        <f t="shared" si="33"/>
        <v>545.4258078</v>
      </c>
      <c r="IH42" s="82">
        <f t="shared" si="33"/>
        <v>505.0910628</v>
      </c>
      <c r="II42" s="82">
        <f t="shared" si="33"/>
        <v>551.6167222</v>
      </c>
      <c r="IJ42" s="82">
        <f t="shared" si="33"/>
        <v>522.2255126</v>
      </c>
      <c r="IK42" s="82">
        <f t="shared" si="33"/>
        <v>580.6952593</v>
      </c>
      <c r="IL42" s="82">
        <f t="shared" si="33"/>
        <v>520.7872194</v>
      </c>
      <c r="IM42" s="82">
        <f t="shared" si="33"/>
        <v>504.8409249</v>
      </c>
      <c r="IN42" s="82">
        <f t="shared" si="33"/>
        <v>542.1114799</v>
      </c>
      <c r="IO42" s="82">
        <f t="shared" si="33"/>
        <v>524.9770301</v>
      </c>
      <c r="IP42" s="82">
        <f t="shared" si="33"/>
        <v>482.0158366</v>
      </c>
      <c r="IQ42" s="82">
        <f t="shared" si="33"/>
        <v>463.755766</v>
      </c>
      <c r="IR42" s="82">
        <f t="shared" si="33"/>
        <v>491.5210788</v>
      </c>
      <c r="IS42" s="82">
        <f t="shared" si="33"/>
        <v>522.9759265</v>
      </c>
      <c r="IT42" s="82">
        <f t="shared" si="33"/>
        <v>522.8508575</v>
      </c>
      <c r="IU42" s="82">
        <f t="shared" si="33"/>
        <v>475.6373188</v>
      </c>
      <c r="IV42" s="82">
        <f t="shared" si="33"/>
        <v>499.9632348</v>
      </c>
      <c r="IW42" s="82">
        <f t="shared" si="33"/>
        <v>563.3106715</v>
      </c>
      <c r="IX42" s="82">
        <f t="shared" si="33"/>
        <v>477.9510948</v>
      </c>
      <c r="IY42" s="82">
        <f t="shared" si="33"/>
        <v>474.511698</v>
      </c>
      <c r="IZ42" s="82">
        <f t="shared" si="33"/>
        <v>495.4607516</v>
      </c>
      <c r="JA42" s="82">
        <f t="shared" si="33"/>
        <v>519.1613227</v>
      </c>
      <c r="JB42" s="82">
        <f t="shared" si="33"/>
        <v>531.7307549</v>
      </c>
      <c r="JC42" s="82">
        <f t="shared" si="33"/>
        <v>488.4568889</v>
      </c>
      <c r="JD42" s="82">
        <f t="shared" si="33"/>
        <v>490.520527</v>
      </c>
      <c r="JE42" s="82">
        <f t="shared" si="33"/>
        <v>522.1629781</v>
      </c>
      <c r="JF42" s="82">
        <f t="shared" si="33"/>
        <v>502.0894074</v>
      </c>
      <c r="JG42" s="82">
        <f t="shared" si="33"/>
        <v>582.0084835</v>
      </c>
      <c r="JH42" s="82">
        <f t="shared" si="33"/>
        <v>520.7872194</v>
      </c>
      <c r="JI42" s="82">
        <f t="shared" si="33"/>
        <v>566.187258</v>
      </c>
      <c r="JJ42" s="82">
        <f t="shared" si="33"/>
        <v>500.0883037</v>
      </c>
      <c r="JK42" s="82">
        <f t="shared" si="33"/>
        <v>560.684223</v>
      </c>
      <c r="JL42" s="82">
        <f t="shared" si="33"/>
        <v>559.3084642</v>
      </c>
      <c r="JM42" s="82">
        <f t="shared" si="33"/>
        <v>565.4993786</v>
      </c>
      <c r="JN42" s="82">
        <f t="shared" si="33"/>
        <v>534.0445309</v>
      </c>
      <c r="JO42" s="82">
        <f t="shared" si="33"/>
        <v>551.6792567</v>
      </c>
      <c r="JP42" s="82">
        <f t="shared" si="33"/>
        <v>574.6294139</v>
      </c>
      <c r="JQ42" s="82">
        <f t="shared" si="33"/>
        <v>578.2564142</v>
      </c>
      <c r="JR42" s="82">
        <f t="shared" si="33"/>
        <v>511.7197186</v>
      </c>
      <c r="JS42" s="82">
        <f t="shared" si="33"/>
        <v>501.3389935</v>
      </c>
      <c r="JT42" s="82">
        <f t="shared" si="33"/>
        <v>529.7921857</v>
      </c>
      <c r="JU42" s="82">
        <f t="shared" si="33"/>
        <v>466.194611</v>
      </c>
      <c r="JV42" s="82">
        <f t="shared" si="33"/>
        <v>521.7877712</v>
      </c>
      <c r="JW42" s="82">
        <f t="shared" si="33"/>
        <v>496.7114414</v>
      </c>
      <c r="JX42" s="82">
        <f t="shared" si="33"/>
        <v>537.4839278</v>
      </c>
      <c r="JY42" s="82">
        <f t="shared" si="33"/>
        <v>541.7988075</v>
      </c>
      <c r="JZ42" s="82">
        <f t="shared" si="33"/>
        <v>566.6249994</v>
      </c>
      <c r="KA42" s="82">
        <f t="shared" si="33"/>
        <v>502.2144763</v>
      </c>
      <c r="KB42" s="82">
        <f t="shared" si="33"/>
        <v>581.8208801</v>
      </c>
      <c r="KC42" s="82">
        <f t="shared" si="33"/>
        <v>535.7954966</v>
      </c>
      <c r="KD42" s="82">
        <f t="shared" si="33"/>
        <v>571.2525515</v>
      </c>
      <c r="KE42" s="82">
        <f t="shared" si="33"/>
        <v>463.4430935</v>
      </c>
      <c r="KF42" s="82">
        <f t="shared" si="33"/>
        <v>464.1309729</v>
      </c>
      <c r="KG42" s="82">
        <f t="shared" si="33"/>
        <v>543.2371007</v>
      </c>
      <c r="KH42" s="82">
        <f t="shared" si="33"/>
        <v>472.7607323</v>
      </c>
      <c r="KI42" s="82">
        <f t="shared" si="33"/>
        <v>564.9991027</v>
      </c>
      <c r="KJ42" s="82">
        <f t="shared" si="33"/>
        <v>526.7279958</v>
      </c>
      <c r="KK42" s="82">
        <f t="shared" si="33"/>
        <v>496.0860965</v>
      </c>
      <c r="KL42" s="82">
        <f t="shared" si="33"/>
        <v>535.9205656</v>
      </c>
      <c r="KM42" s="82">
        <f t="shared" si="33"/>
        <v>520.09934</v>
      </c>
      <c r="KN42" s="82">
        <f t="shared" si="33"/>
        <v>485.142561</v>
      </c>
      <c r="KO42" s="82">
        <f t="shared" si="33"/>
        <v>536.1707035</v>
      </c>
      <c r="KP42" s="82">
        <f t="shared" si="33"/>
        <v>582.5712939</v>
      </c>
      <c r="KQ42" s="82">
        <f t="shared" si="33"/>
        <v>530.2924616</v>
      </c>
      <c r="KR42" s="82">
        <f t="shared" si="33"/>
        <v>478.7015087</v>
      </c>
      <c r="KS42" s="82">
        <f t="shared" si="33"/>
        <v>463.6932315</v>
      </c>
      <c r="KT42" s="82">
        <f t="shared" si="33"/>
        <v>515.9720638</v>
      </c>
      <c r="KU42" s="82">
        <f t="shared" si="33"/>
        <v>482.0158366</v>
      </c>
      <c r="KV42" s="82">
        <f t="shared" si="33"/>
        <v>503.2775626</v>
      </c>
      <c r="KW42" s="82">
        <f t="shared" si="33"/>
        <v>503.3400971</v>
      </c>
      <c r="KX42" s="82">
        <f t="shared" si="33"/>
        <v>485.5803024</v>
      </c>
      <c r="KY42" s="82">
        <f t="shared" si="33"/>
        <v>488.7070268</v>
      </c>
      <c r="KZ42" s="82">
        <f t="shared" si="33"/>
        <v>483.6417333</v>
      </c>
      <c r="LA42" s="82">
        <f t="shared" si="33"/>
        <v>555.5563949</v>
      </c>
      <c r="LB42" s="82">
        <f t="shared" si="33"/>
        <v>529.9797892</v>
      </c>
      <c r="LC42" s="82">
        <f t="shared" si="33"/>
        <v>582.5087594</v>
      </c>
      <c r="LD42" s="82">
        <f t="shared" si="33"/>
        <v>539.9853073</v>
      </c>
      <c r="LE42" s="82">
        <f t="shared" si="33"/>
        <v>564.3112233</v>
      </c>
      <c r="LF42" s="82">
        <f t="shared" si="33"/>
        <v>493.459648</v>
      </c>
      <c r="LG42" s="82">
        <f t="shared" si="33"/>
        <v>501.4640625</v>
      </c>
      <c r="LH42" s="82">
        <f t="shared" si="33"/>
        <v>481.0152848</v>
      </c>
      <c r="LI42" s="82">
        <f t="shared" si="33"/>
        <v>574.1916725</v>
      </c>
      <c r="LJ42" s="82">
        <f t="shared" si="33"/>
        <v>552.9299464</v>
      </c>
      <c r="LK42" s="82">
        <f t="shared" si="33"/>
        <v>520.09934</v>
      </c>
      <c r="LL42" s="82">
        <f t="shared" si="33"/>
        <v>475.6998533</v>
      </c>
      <c r="LM42" s="82">
        <f t="shared" si="33"/>
        <v>484.8924231</v>
      </c>
      <c r="LN42" s="82">
        <f t="shared" si="33"/>
        <v>569.9393273</v>
      </c>
      <c r="LO42" s="82">
        <f t="shared" si="33"/>
        <v>483.9544057</v>
      </c>
      <c r="LP42" s="82">
        <f t="shared" si="33"/>
        <v>493.459648</v>
      </c>
      <c r="LQ42" s="82">
        <f t="shared" si="33"/>
        <v>506.7169595</v>
      </c>
      <c r="LR42" s="82">
        <f t="shared" si="33"/>
        <v>508.5929942</v>
      </c>
      <c r="LS42" s="82">
        <f t="shared" si="33"/>
        <v>524.4767542</v>
      </c>
      <c r="LT42" s="82">
        <f t="shared" si="33"/>
        <v>480.6400778</v>
      </c>
      <c r="LU42" s="82">
        <f t="shared" si="33"/>
        <v>474.0114221</v>
      </c>
      <c r="LV42" s="82">
        <f t="shared" si="33"/>
        <v>469.4464044</v>
      </c>
      <c r="LW42" s="82">
        <f t="shared" si="33"/>
        <v>503.2150282</v>
      </c>
      <c r="LX42" s="82">
        <f t="shared" si="33"/>
        <v>464.3811109</v>
      </c>
      <c r="LY42" s="82">
        <f t="shared" si="33"/>
        <v>584.2597251</v>
      </c>
      <c r="LZ42" s="82">
        <f t="shared" si="33"/>
        <v>463.505628</v>
      </c>
      <c r="MA42" s="82">
        <f t="shared" si="33"/>
        <v>547.364377</v>
      </c>
      <c r="MB42" s="82">
        <f t="shared" si="33"/>
        <v>564.3112233</v>
      </c>
      <c r="MC42" s="82">
        <f t="shared" si="33"/>
        <v>515.5968569</v>
      </c>
      <c r="MD42" s="82">
        <f t="shared" si="33"/>
        <v>467.1951628</v>
      </c>
      <c r="ME42" s="82">
        <f t="shared" si="33"/>
        <v>513.7833567</v>
      </c>
      <c r="MF42" s="82">
        <f t="shared" si="33"/>
        <v>584.760001</v>
      </c>
      <c r="MG42" s="82">
        <f t="shared" si="33"/>
        <v>563.6233439</v>
      </c>
      <c r="MH42" s="82">
        <f t="shared" si="33"/>
        <v>547.7395839</v>
      </c>
      <c r="MI42" s="82">
        <f t="shared" si="33"/>
        <v>527.3533407</v>
      </c>
      <c r="MJ42" s="82">
        <f t="shared" si="33"/>
        <v>477.5758879</v>
      </c>
      <c r="MK42" s="82">
        <f t="shared" si="33"/>
        <v>563.6233439</v>
      </c>
      <c r="ML42" s="82">
        <f t="shared" si="33"/>
        <v>579.3195005</v>
      </c>
      <c r="MM42" s="82">
        <f t="shared" si="33"/>
        <v>477.5758879</v>
      </c>
      <c r="MN42" s="82">
        <f t="shared" si="33"/>
        <v>582.5712939</v>
      </c>
      <c r="MO42" s="82">
        <f t="shared" si="33"/>
        <v>572.3781723</v>
      </c>
      <c r="MP42" s="82">
        <f t="shared" si="33"/>
        <v>534.1695999</v>
      </c>
      <c r="MQ42" s="82">
        <f t="shared" si="33"/>
        <v>546.3012907</v>
      </c>
      <c r="MR42" s="82">
        <f t="shared" si="33"/>
        <v>476.8880085</v>
      </c>
      <c r="MS42" s="82">
        <f t="shared" si="33"/>
        <v>550.4285669</v>
      </c>
      <c r="MT42" s="82">
        <f t="shared" si="33"/>
        <v>493.3971135</v>
      </c>
      <c r="MU42" s="82">
        <f t="shared" si="33"/>
        <v>584.760001</v>
      </c>
      <c r="MV42" s="82">
        <f t="shared" si="33"/>
        <v>519.8492021</v>
      </c>
      <c r="MW42" s="82">
        <f t="shared" si="33"/>
        <v>468.5709216</v>
      </c>
      <c r="MX42" s="82">
        <f t="shared" si="33"/>
        <v>556.3693433</v>
      </c>
      <c r="MY42" s="82">
        <f t="shared" si="33"/>
        <v>483.9544057</v>
      </c>
      <c r="MZ42" s="82">
        <f t="shared" si="33"/>
        <v>463.1929556</v>
      </c>
      <c r="NA42" s="82">
        <f t="shared" si="33"/>
        <v>580.4451213</v>
      </c>
      <c r="NB42" s="82">
        <f t="shared" si="33"/>
        <v>568.0007581</v>
      </c>
      <c r="NC42" s="82">
        <f t="shared" si="33"/>
        <v>566.8751373</v>
      </c>
      <c r="ND42" s="82">
        <f t="shared" si="33"/>
        <v>498.1497346</v>
      </c>
      <c r="NE42" s="82">
        <f t="shared" si="33"/>
        <v>495.9610275</v>
      </c>
      <c r="NF42" s="82">
        <f t="shared" si="33"/>
        <v>564.8114992</v>
      </c>
      <c r="NG42" s="82">
        <f t="shared" si="33"/>
        <v>574.6919484</v>
      </c>
      <c r="NH42" s="82">
        <f t="shared" si="33"/>
        <v>464.8188523</v>
      </c>
      <c r="NI42" s="82">
        <f t="shared" si="33"/>
        <v>576.1927761</v>
      </c>
      <c r="NJ42" s="82">
        <f t="shared" si="33"/>
        <v>508.5929942</v>
      </c>
      <c r="NK42" s="82">
        <f t="shared" si="33"/>
        <v>531.10541</v>
      </c>
      <c r="NL42" s="82">
        <f t="shared" si="33"/>
        <v>492.3340272</v>
      </c>
      <c r="NM42" s="82">
        <f t="shared" si="33"/>
        <v>502.3395453</v>
      </c>
      <c r="NN42" s="82">
        <f t="shared" si="33"/>
        <v>566.2497925</v>
      </c>
      <c r="NO42" s="82">
        <f t="shared" si="33"/>
        <v>516.8475466</v>
      </c>
      <c r="NP42" s="82">
        <f t="shared" si="33"/>
        <v>544.2376525</v>
      </c>
      <c r="NQ42" s="82">
        <f t="shared" si="33"/>
        <v>568.0007581</v>
      </c>
      <c r="NR42" s="82">
        <f t="shared" si="33"/>
        <v>556.1817398</v>
      </c>
      <c r="NS42" s="82">
        <f t="shared" si="33"/>
        <v>477.8260259</v>
      </c>
      <c r="NT42" s="82">
        <f t="shared" si="33"/>
        <v>553.2426189</v>
      </c>
      <c r="NU42" s="82">
        <f t="shared" si="33"/>
        <v>565.1867062</v>
      </c>
      <c r="NV42" s="82">
        <f t="shared" si="33"/>
        <v>573.2536552</v>
      </c>
      <c r="NW42" s="82">
        <f t="shared" si="33"/>
        <v>494.2725963</v>
      </c>
      <c r="NX42" s="82">
        <f t="shared" si="33"/>
        <v>513.1580118</v>
      </c>
      <c r="NY42" s="82">
        <f t="shared" si="33"/>
        <v>578.1938797</v>
      </c>
      <c r="NZ42" s="82">
        <f t="shared" si="33"/>
        <v>471.3224391</v>
      </c>
      <c r="OA42" s="82">
        <f t="shared" si="33"/>
        <v>488.7695613</v>
      </c>
      <c r="OB42" s="82">
        <f t="shared" si="33"/>
        <v>516.2222017</v>
      </c>
      <c r="OC42" s="82">
        <f t="shared" si="33"/>
        <v>480.3274054</v>
      </c>
      <c r="OD42" s="82">
        <f t="shared" si="33"/>
        <v>478.5139052</v>
      </c>
      <c r="OE42" s="82">
        <f t="shared" si="33"/>
        <v>562.9354646</v>
      </c>
      <c r="OF42" s="82">
        <f t="shared" si="33"/>
        <v>499.0877519</v>
      </c>
      <c r="OG42" s="82">
        <f t="shared" si="33"/>
        <v>472.5731288</v>
      </c>
      <c r="OH42" s="82">
        <f t="shared" si="33"/>
        <v>582.3836905</v>
      </c>
      <c r="OI42" s="82">
        <f t="shared" si="33"/>
        <v>577.068259</v>
      </c>
      <c r="OJ42" s="82">
        <f t="shared" si="33"/>
        <v>528.6665649</v>
      </c>
      <c r="OK42" s="82">
        <f t="shared" si="33"/>
        <v>517.3478225</v>
      </c>
      <c r="OL42" s="82">
        <f t="shared" si="33"/>
        <v>482.8287849</v>
      </c>
      <c r="OM42" s="82">
        <f t="shared" si="33"/>
        <v>562.4351887</v>
      </c>
      <c r="ON42" s="82">
        <f t="shared" si="33"/>
        <v>540.2979798</v>
      </c>
      <c r="OO42" s="82">
        <f t="shared" si="33"/>
        <v>558.4329814</v>
      </c>
      <c r="OP42" s="82">
        <f t="shared" si="33"/>
        <v>496.7739758</v>
      </c>
      <c r="OQ42" s="82">
        <f t="shared" si="33"/>
        <v>483.5791988</v>
      </c>
      <c r="OR42" s="82">
        <f t="shared" si="33"/>
        <v>588.3244669</v>
      </c>
      <c r="OS42" s="82">
        <f t="shared" si="33"/>
        <v>581.9459491</v>
      </c>
      <c r="OT42" s="82">
        <f t="shared" si="33"/>
        <v>464.8813868</v>
      </c>
      <c r="OU42" s="82">
        <f t="shared" si="33"/>
        <v>475.0119739</v>
      </c>
      <c r="OV42" s="82">
        <f t="shared" si="33"/>
        <v>569.00131</v>
      </c>
      <c r="OW42" s="82">
        <f t="shared" si="33"/>
        <v>463.380559</v>
      </c>
      <c r="OX42" s="82">
        <f t="shared" si="33"/>
        <v>562.7478611</v>
      </c>
      <c r="OY42" s="82">
        <f t="shared" si="33"/>
        <v>492.0838892</v>
      </c>
      <c r="OZ42" s="82">
        <f t="shared" si="33"/>
        <v>468.0706457</v>
      </c>
      <c r="PA42" s="82">
        <f t="shared" si="33"/>
        <v>503.7153041</v>
      </c>
      <c r="PB42" s="82">
        <f t="shared" si="33"/>
        <v>496.023562</v>
      </c>
      <c r="PC42" s="82">
        <f t="shared" si="33"/>
        <v>554.3057052</v>
      </c>
      <c r="PD42" s="82">
        <f t="shared" si="33"/>
        <v>534.8574793</v>
      </c>
      <c r="PE42" s="82">
        <f t="shared" si="33"/>
        <v>543.3621697</v>
      </c>
      <c r="PF42" s="82">
        <f t="shared" si="33"/>
        <v>482.3910435</v>
      </c>
      <c r="PG42" s="82">
        <f t="shared" si="33"/>
        <v>583.3217078</v>
      </c>
      <c r="PH42" s="82">
        <f t="shared" si="33"/>
        <v>551.5541877</v>
      </c>
      <c r="PI42" s="82">
        <f t="shared" si="33"/>
        <v>545.2382044</v>
      </c>
      <c r="PJ42" s="82">
        <f t="shared" si="33"/>
        <v>573.6288621</v>
      </c>
      <c r="PK42" s="82">
        <f t="shared" si="33"/>
        <v>576.94319</v>
      </c>
      <c r="PL42" s="82">
        <f t="shared" si="33"/>
        <v>578.7566901</v>
      </c>
      <c r="PM42" s="82">
        <f t="shared" si="33"/>
        <v>516.2847362</v>
      </c>
      <c r="PN42" s="82">
        <f t="shared" si="33"/>
        <v>480.1398019</v>
      </c>
      <c r="PO42" s="82">
        <f t="shared" si="33"/>
        <v>577.7561383</v>
      </c>
      <c r="PP42" s="82">
        <f t="shared" si="33"/>
        <v>479.0141811</v>
      </c>
      <c r="PQ42" s="82">
        <f t="shared" si="33"/>
        <v>499.1502864</v>
      </c>
      <c r="PR42" s="82">
        <f t="shared" si="33"/>
        <v>578.6316212</v>
      </c>
      <c r="PS42" s="82">
        <f t="shared" si="33"/>
        <v>505.6538732</v>
      </c>
      <c r="PT42" s="82">
        <f t="shared" si="33"/>
        <v>567.4379477</v>
      </c>
      <c r="PU42" s="82">
        <f t="shared" si="33"/>
        <v>515.8469948</v>
      </c>
      <c r="PV42" s="82">
        <f t="shared" si="33"/>
        <v>497.7745277</v>
      </c>
      <c r="PW42" s="82">
        <f t="shared" si="33"/>
        <v>541.4861351</v>
      </c>
      <c r="PX42" s="82">
        <f t="shared" si="33"/>
        <v>478.7640432</v>
      </c>
      <c r="PY42" s="82">
        <f t="shared" si="33"/>
        <v>568.1883616</v>
      </c>
      <c r="PZ42" s="82">
        <f t="shared" si="33"/>
        <v>485.0800265</v>
      </c>
      <c r="QA42" s="82">
        <f t="shared" si="33"/>
        <v>465.1940592</v>
      </c>
      <c r="QB42" s="82">
        <f t="shared" si="33"/>
        <v>476.0750602</v>
      </c>
      <c r="QC42" s="82">
        <f t="shared" si="33"/>
        <v>585.1977424</v>
      </c>
      <c r="QD42" s="82">
        <f t="shared" si="33"/>
        <v>487.3312681</v>
      </c>
      <c r="QE42" s="82">
        <f t="shared" si="33"/>
        <v>510.4064943</v>
      </c>
      <c r="QF42" s="82">
        <f t="shared" si="33"/>
        <v>580.6327248</v>
      </c>
      <c r="QG42" s="82">
        <f t="shared" si="33"/>
        <v>566.9376718</v>
      </c>
      <c r="QH42" s="82">
        <f t="shared" si="33"/>
        <v>503.2775626</v>
      </c>
      <c r="QI42" s="82">
        <f t="shared" si="33"/>
        <v>490.3329235</v>
      </c>
      <c r="QJ42" s="82">
        <f t="shared" si="33"/>
        <v>486.8935267</v>
      </c>
      <c r="QK42" s="82">
        <f t="shared" si="33"/>
        <v>463.505628</v>
      </c>
      <c r="QL42" s="82">
        <f t="shared" si="33"/>
        <v>490.0202511</v>
      </c>
      <c r="QM42" s="82">
        <f t="shared" si="33"/>
        <v>510.4064943</v>
      </c>
      <c r="QN42" s="82">
        <f t="shared" si="33"/>
        <v>505.7164077</v>
      </c>
      <c r="QO42" s="82">
        <f t="shared" si="33"/>
        <v>575.1922243</v>
      </c>
      <c r="QP42" s="82">
        <f t="shared" si="33"/>
        <v>490.2703891</v>
      </c>
      <c r="QQ42" s="82">
        <f t="shared" si="33"/>
        <v>534.7949448</v>
      </c>
      <c r="QR42" s="82">
        <f t="shared" si="33"/>
        <v>462.5050762</v>
      </c>
      <c r="QS42" s="82">
        <f t="shared" si="33"/>
        <v>541.4861351</v>
      </c>
      <c r="QT42" s="82">
        <f t="shared" si="33"/>
        <v>481.7031641</v>
      </c>
      <c r="QU42" s="82">
        <f t="shared" si="33"/>
        <v>495.6483551</v>
      </c>
      <c r="QV42" s="82">
        <f t="shared" si="33"/>
        <v>537.1087209</v>
      </c>
      <c r="QW42" s="82">
        <f t="shared" si="33"/>
        <v>529.7296512</v>
      </c>
      <c r="QX42" s="82">
        <f t="shared" si="33"/>
        <v>516.9100811</v>
      </c>
      <c r="QY42" s="82">
        <f t="shared" si="33"/>
        <v>504.5907869</v>
      </c>
      <c r="QZ42" s="82">
        <f t="shared" si="33"/>
        <v>500.5260452</v>
      </c>
      <c r="RA42" s="82">
        <f t="shared" si="33"/>
        <v>477.32575</v>
      </c>
      <c r="RB42" s="82">
        <f t="shared" si="33"/>
        <v>501.526597</v>
      </c>
      <c r="RC42" s="82">
        <f t="shared" si="33"/>
        <v>489.1447683</v>
      </c>
      <c r="RD42" s="82">
        <f t="shared" si="33"/>
        <v>553.7428948</v>
      </c>
      <c r="RE42" s="82">
        <f t="shared" si="33"/>
        <v>559.4335332</v>
      </c>
      <c r="RF42" s="82">
        <f t="shared" si="33"/>
        <v>475.0119739</v>
      </c>
      <c r="RG42" s="82">
        <f t="shared" si="33"/>
        <v>490.395458</v>
      </c>
      <c r="RH42" s="82">
        <f t="shared" si="33"/>
        <v>524.6643577</v>
      </c>
      <c r="RI42" s="82">
        <f t="shared" si="33"/>
        <v>575.0671553</v>
      </c>
      <c r="RJ42" s="82">
        <f t="shared" si="33"/>
        <v>477.5758879</v>
      </c>
      <c r="RK42" s="82">
        <f t="shared" si="33"/>
        <v>485.5803024</v>
      </c>
      <c r="RL42" s="82">
        <f t="shared" si="33"/>
        <v>494.7728722</v>
      </c>
      <c r="RM42" s="82">
        <f t="shared" si="33"/>
        <v>495.5858206</v>
      </c>
      <c r="RN42" s="82">
        <f t="shared" si="33"/>
        <v>549.7406875</v>
      </c>
      <c r="RO42" s="82">
        <f t="shared" si="33"/>
        <v>521.4125643</v>
      </c>
      <c r="RP42" s="82">
        <f t="shared" si="33"/>
        <v>556.1192053</v>
      </c>
      <c r="RQ42" s="82">
        <f t="shared" si="33"/>
        <v>587.8867254</v>
      </c>
      <c r="RR42" s="82">
        <f t="shared" si="33"/>
        <v>581.0079317</v>
      </c>
      <c r="RS42" s="82">
        <f t="shared" si="33"/>
        <v>587.824191</v>
      </c>
      <c r="RT42" s="82">
        <f t="shared" si="33"/>
        <v>510.2188909</v>
      </c>
      <c r="RU42" s="82">
        <f t="shared" si="33"/>
        <v>552.3046015</v>
      </c>
      <c r="RV42" s="82">
        <f t="shared" si="33"/>
        <v>504.9659938</v>
      </c>
      <c r="RW42" s="82">
        <f t="shared" si="33"/>
        <v>581.3831387</v>
      </c>
      <c r="RX42" s="82">
        <f t="shared" si="33"/>
        <v>566.187258</v>
      </c>
      <c r="RY42" s="82">
        <f t="shared" si="33"/>
        <v>480.5775434</v>
      </c>
      <c r="RZ42" s="82">
        <f t="shared" si="33"/>
        <v>576.3803796</v>
      </c>
      <c r="SA42" s="82">
        <f t="shared" si="33"/>
        <v>497.1491828</v>
      </c>
      <c r="SB42" s="82">
        <f t="shared" si="33"/>
        <v>469.3213354</v>
      </c>
      <c r="SC42" s="82">
        <f t="shared" si="33"/>
        <v>537.3588588</v>
      </c>
      <c r="SD42" s="82">
        <f t="shared" si="33"/>
        <v>552.3046015</v>
      </c>
      <c r="SE42" s="82">
        <f t="shared" si="33"/>
        <v>525.9775819</v>
      </c>
      <c r="SF42" s="82">
        <f t="shared" si="33"/>
        <v>481.9533021</v>
      </c>
      <c r="SG42" s="82">
        <f t="shared" si="33"/>
        <v>526.2277199</v>
      </c>
      <c r="SH42" s="82">
        <f t="shared" si="33"/>
        <v>576.7555865</v>
      </c>
      <c r="SI42" s="82">
        <f t="shared" si="33"/>
        <v>531.6682204</v>
      </c>
      <c r="SJ42" s="82">
        <f t="shared" si="33"/>
        <v>551.7417912</v>
      </c>
      <c r="SK42" s="82">
        <f t="shared" si="33"/>
        <v>533.1690481</v>
      </c>
      <c r="SL42" s="82">
        <f t="shared" si="33"/>
        <v>552.4296705</v>
      </c>
    </row>
    <row r="43">
      <c r="A43" s="53" t="s">
        <v>373</v>
      </c>
      <c r="B43" s="220">
        <f t="array" ref="B43">INDEX('New CEA'!$B43:$F43,MATCH($B$2,'New CEA'!B$2:F$2,0))</f>
        <v>0.0410984</v>
      </c>
      <c r="C43" s="290"/>
      <c r="D43" s="291"/>
      <c r="E43" s="292"/>
      <c r="F43" s="83"/>
      <c r="G43" s="83">
        <f t="shared" ref="G43:SL43" si="34">$B43</f>
        <v>0.0410984</v>
      </c>
      <c r="H43" s="83">
        <f t="shared" si="34"/>
        <v>0.0410984</v>
      </c>
      <c r="I43" s="83">
        <f t="shared" si="34"/>
        <v>0.0410984</v>
      </c>
      <c r="J43" s="83">
        <f t="shared" si="34"/>
        <v>0.0410984</v>
      </c>
      <c r="K43" s="83">
        <f t="shared" si="34"/>
        <v>0.0410984</v>
      </c>
      <c r="L43" s="83">
        <f t="shared" si="34"/>
        <v>0.0410984</v>
      </c>
      <c r="M43" s="83">
        <f t="shared" si="34"/>
        <v>0.0410984</v>
      </c>
      <c r="N43" s="83">
        <f t="shared" si="34"/>
        <v>0.0410984</v>
      </c>
      <c r="O43" s="83">
        <f t="shared" si="34"/>
        <v>0.0410984</v>
      </c>
      <c r="P43" s="83">
        <f t="shared" si="34"/>
        <v>0.0410984</v>
      </c>
      <c r="Q43" s="83">
        <f t="shared" si="34"/>
        <v>0.0410984</v>
      </c>
      <c r="R43" s="83">
        <f t="shared" si="34"/>
        <v>0.0410984</v>
      </c>
      <c r="S43" s="83">
        <f t="shared" si="34"/>
        <v>0.0410984</v>
      </c>
      <c r="T43" s="83">
        <f t="shared" si="34"/>
        <v>0.0410984</v>
      </c>
      <c r="U43" s="83">
        <f t="shared" si="34"/>
        <v>0.0410984</v>
      </c>
      <c r="V43" s="83">
        <f t="shared" si="34"/>
        <v>0.0410984</v>
      </c>
      <c r="W43" s="83">
        <f t="shared" si="34"/>
        <v>0.0410984</v>
      </c>
      <c r="X43" s="83">
        <f t="shared" si="34"/>
        <v>0.0410984</v>
      </c>
      <c r="Y43" s="83">
        <f t="shared" si="34"/>
        <v>0.0410984</v>
      </c>
      <c r="Z43" s="83">
        <f t="shared" si="34"/>
        <v>0.0410984</v>
      </c>
      <c r="AA43" s="83">
        <f t="shared" si="34"/>
        <v>0.0410984</v>
      </c>
      <c r="AB43" s="83">
        <f t="shared" si="34"/>
        <v>0.0410984</v>
      </c>
      <c r="AC43" s="83">
        <f t="shared" si="34"/>
        <v>0.0410984</v>
      </c>
      <c r="AD43" s="83">
        <f t="shared" si="34"/>
        <v>0.0410984</v>
      </c>
      <c r="AE43" s="83">
        <f t="shared" si="34"/>
        <v>0.0410984</v>
      </c>
      <c r="AF43" s="83">
        <f t="shared" si="34"/>
        <v>0.0410984</v>
      </c>
      <c r="AG43" s="83">
        <f t="shared" si="34"/>
        <v>0.0410984</v>
      </c>
      <c r="AH43" s="83">
        <f t="shared" si="34"/>
        <v>0.0410984</v>
      </c>
      <c r="AI43" s="83">
        <f t="shared" si="34"/>
        <v>0.0410984</v>
      </c>
      <c r="AJ43" s="83">
        <f t="shared" si="34"/>
        <v>0.0410984</v>
      </c>
      <c r="AK43" s="83">
        <f t="shared" si="34"/>
        <v>0.0410984</v>
      </c>
      <c r="AL43" s="83">
        <f t="shared" si="34"/>
        <v>0.0410984</v>
      </c>
      <c r="AM43" s="83">
        <f t="shared" si="34"/>
        <v>0.0410984</v>
      </c>
      <c r="AN43" s="83">
        <f t="shared" si="34"/>
        <v>0.0410984</v>
      </c>
      <c r="AO43" s="83">
        <f t="shared" si="34"/>
        <v>0.0410984</v>
      </c>
      <c r="AP43" s="83">
        <f t="shared" si="34"/>
        <v>0.0410984</v>
      </c>
      <c r="AQ43" s="83">
        <f t="shared" si="34"/>
        <v>0.0410984</v>
      </c>
      <c r="AR43" s="83">
        <f t="shared" si="34"/>
        <v>0.0410984</v>
      </c>
      <c r="AS43" s="83">
        <f t="shared" si="34"/>
        <v>0.0410984</v>
      </c>
      <c r="AT43" s="83">
        <f t="shared" si="34"/>
        <v>0.0410984</v>
      </c>
      <c r="AU43" s="83">
        <f t="shared" si="34"/>
        <v>0.0410984</v>
      </c>
      <c r="AV43" s="83">
        <f t="shared" si="34"/>
        <v>0.0410984</v>
      </c>
      <c r="AW43" s="83">
        <f t="shared" si="34"/>
        <v>0.0410984</v>
      </c>
      <c r="AX43" s="83">
        <f t="shared" si="34"/>
        <v>0.0410984</v>
      </c>
      <c r="AY43" s="83">
        <f t="shared" si="34"/>
        <v>0.0410984</v>
      </c>
      <c r="AZ43" s="83">
        <f t="shared" si="34"/>
        <v>0.0410984</v>
      </c>
      <c r="BA43" s="83">
        <f t="shared" si="34"/>
        <v>0.0410984</v>
      </c>
      <c r="BB43" s="83">
        <f t="shared" si="34"/>
        <v>0.0410984</v>
      </c>
      <c r="BC43" s="83">
        <f t="shared" si="34"/>
        <v>0.0410984</v>
      </c>
      <c r="BD43" s="83">
        <f t="shared" si="34"/>
        <v>0.0410984</v>
      </c>
      <c r="BE43" s="83">
        <f t="shared" si="34"/>
        <v>0.0410984</v>
      </c>
      <c r="BF43" s="83">
        <f t="shared" si="34"/>
        <v>0.0410984</v>
      </c>
      <c r="BG43" s="83">
        <f t="shared" si="34"/>
        <v>0.0410984</v>
      </c>
      <c r="BH43" s="83">
        <f t="shared" si="34"/>
        <v>0.0410984</v>
      </c>
      <c r="BI43" s="83">
        <f t="shared" si="34"/>
        <v>0.0410984</v>
      </c>
      <c r="BJ43" s="83">
        <f t="shared" si="34"/>
        <v>0.0410984</v>
      </c>
      <c r="BK43" s="83">
        <f t="shared" si="34"/>
        <v>0.0410984</v>
      </c>
      <c r="BL43" s="83">
        <f t="shared" si="34"/>
        <v>0.0410984</v>
      </c>
      <c r="BM43" s="83">
        <f t="shared" si="34"/>
        <v>0.0410984</v>
      </c>
      <c r="BN43" s="83">
        <f t="shared" si="34"/>
        <v>0.0410984</v>
      </c>
      <c r="BO43" s="83">
        <f t="shared" si="34"/>
        <v>0.0410984</v>
      </c>
      <c r="BP43" s="83">
        <f t="shared" si="34"/>
        <v>0.0410984</v>
      </c>
      <c r="BQ43" s="83">
        <f t="shared" si="34"/>
        <v>0.0410984</v>
      </c>
      <c r="BR43" s="83">
        <f t="shared" si="34"/>
        <v>0.0410984</v>
      </c>
      <c r="BS43" s="83">
        <f t="shared" si="34"/>
        <v>0.0410984</v>
      </c>
      <c r="BT43" s="83">
        <f t="shared" si="34"/>
        <v>0.0410984</v>
      </c>
      <c r="BU43" s="83">
        <f t="shared" si="34"/>
        <v>0.0410984</v>
      </c>
      <c r="BV43" s="83">
        <f t="shared" si="34"/>
        <v>0.0410984</v>
      </c>
      <c r="BW43" s="83">
        <f t="shared" si="34"/>
        <v>0.0410984</v>
      </c>
      <c r="BX43" s="83">
        <f t="shared" si="34"/>
        <v>0.0410984</v>
      </c>
      <c r="BY43" s="83">
        <f t="shared" si="34"/>
        <v>0.0410984</v>
      </c>
      <c r="BZ43" s="83">
        <f t="shared" si="34"/>
        <v>0.0410984</v>
      </c>
      <c r="CA43" s="83">
        <f t="shared" si="34"/>
        <v>0.0410984</v>
      </c>
      <c r="CB43" s="83">
        <f t="shared" si="34"/>
        <v>0.0410984</v>
      </c>
      <c r="CC43" s="83">
        <f t="shared" si="34"/>
        <v>0.0410984</v>
      </c>
      <c r="CD43" s="83">
        <f t="shared" si="34"/>
        <v>0.0410984</v>
      </c>
      <c r="CE43" s="83">
        <f t="shared" si="34"/>
        <v>0.0410984</v>
      </c>
      <c r="CF43" s="83">
        <f t="shared" si="34"/>
        <v>0.0410984</v>
      </c>
      <c r="CG43" s="83">
        <f t="shared" si="34"/>
        <v>0.0410984</v>
      </c>
      <c r="CH43" s="83">
        <f t="shared" si="34"/>
        <v>0.0410984</v>
      </c>
      <c r="CI43" s="83">
        <f t="shared" si="34"/>
        <v>0.0410984</v>
      </c>
      <c r="CJ43" s="83">
        <f t="shared" si="34"/>
        <v>0.0410984</v>
      </c>
      <c r="CK43" s="83">
        <f t="shared" si="34"/>
        <v>0.0410984</v>
      </c>
      <c r="CL43" s="83">
        <f t="shared" si="34"/>
        <v>0.0410984</v>
      </c>
      <c r="CM43" s="83">
        <f t="shared" si="34"/>
        <v>0.0410984</v>
      </c>
      <c r="CN43" s="83">
        <f t="shared" si="34"/>
        <v>0.0410984</v>
      </c>
      <c r="CO43" s="83">
        <f t="shared" si="34"/>
        <v>0.0410984</v>
      </c>
      <c r="CP43" s="83">
        <f t="shared" si="34"/>
        <v>0.0410984</v>
      </c>
      <c r="CQ43" s="83">
        <f t="shared" si="34"/>
        <v>0.0410984</v>
      </c>
      <c r="CR43" s="83">
        <f t="shared" si="34"/>
        <v>0.0410984</v>
      </c>
      <c r="CS43" s="83">
        <f t="shared" si="34"/>
        <v>0.0410984</v>
      </c>
      <c r="CT43" s="83">
        <f t="shared" si="34"/>
        <v>0.0410984</v>
      </c>
      <c r="CU43" s="83">
        <f t="shared" si="34"/>
        <v>0.0410984</v>
      </c>
      <c r="CV43" s="83">
        <f t="shared" si="34"/>
        <v>0.0410984</v>
      </c>
      <c r="CW43" s="83">
        <f t="shared" si="34"/>
        <v>0.0410984</v>
      </c>
      <c r="CX43" s="83">
        <f t="shared" si="34"/>
        <v>0.0410984</v>
      </c>
      <c r="CY43" s="83">
        <f t="shared" si="34"/>
        <v>0.0410984</v>
      </c>
      <c r="CZ43" s="83">
        <f t="shared" si="34"/>
        <v>0.0410984</v>
      </c>
      <c r="DA43" s="83">
        <f t="shared" si="34"/>
        <v>0.0410984</v>
      </c>
      <c r="DB43" s="83">
        <f t="shared" si="34"/>
        <v>0.0410984</v>
      </c>
      <c r="DC43" s="83">
        <f t="shared" si="34"/>
        <v>0.0410984</v>
      </c>
      <c r="DD43" s="83">
        <f t="shared" si="34"/>
        <v>0.0410984</v>
      </c>
      <c r="DE43" s="83">
        <f t="shared" si="34"/>
        <v>0.0410984</v>
      </c>
      <c r="DF43" s="83">
        <f t="shared" si="34"/>
        <v>0.0410984</v>
      </c>
      <c r="DG43" s="83">
        <f t="shared" si="34"/>
        <v>0.0410984</v>
      </c>
      <c r="DH43" s="83">
        <f t="shared" si="34"/>
        <v>0.0410984</v>
      </c>
      <c r="DI43" s="83">
        <f t="shared" si="34"/>
        <v>0.0410984</v>
      </c>
      <c r="DJ43" s="83">
        <f t="shared" si="34"/>
        <v>0.0410984</v>
      </c>
      <c r="DK43" s="83">
        <f t="shared" si="34"/>
        <v>0.0410984</v>
      </c>
      <c r="DL43" s="83">
        <f t="shared" si="34"/>
        <v>0.0410984</v>
      </c>
      <c r="DM43" s="83">
        <f t="shared" si="34"/>
        <v>0.0410984</v>
      </c>
      <c r="DN43" s="83">
        <f t="shared" si="34"/>
        <v>0.0410984</v>
      </c>
      <c r="DO43" s="83">
        <f t="shared" si="34"/>
        <v>0.0410984</v>
      </c>
      <c r="DP43" s="83">
        <f t="shared" si="34"/>
        <v>0.0410984</v>
      </c>
      <c r="DQ43" s="83">
        <f t="shared" si="34"/>
        <v>0.0410984</v>
      </c>
      <c r="DR43" s="83">
        <f t="shared" si="34"/>
        <v>0.0410984</v>
      </c>
      <c r="DS43" s="83">
        <f t="shared" si="34"/>
        <v>0.0410984</v>
      </c>
      <c r="DT43" s="83">
        <f t="shared" si="34"/>
        <v>0.0410984</v>
      </c>
      <c r="DU43" s="83">
        <f t="shared" si="34"/>
        <v>0.0410984</v>
      </c>
      <c r="DV43" s="83">
        <f t="shared" si="34"/>
        <v>0.0410984</v>
      </c>
      <c r="DW43" s="83">
        <f t="shared" si="34"/>
        <v>0.0410984</v>
      </c>
      <c r="DX43" s="83">
        <f t="shared" si="34"/>
        <v>0.0410984</v>
      </c>
      <c r="DY43" s="83">
        <f t="shared" si="34"/>
        <v>0.0410984</v>
      </c>
      <c r="DZ43" s="83">
        <f t="shared" si="34"/>
        <v>0.0410984</v>
      </c>
      <c r="EA43" s="83">
        <f t="shared" si="34"/>
        <v>0.0410984</v>
      </c>
      <c r="EB43" s="83">
        <f t="shared" si="34"/>
        <v>0.0410984</v>
      </c>
      <c r="EC43" s="83">
        <f t="shared" si="34"/>
        <v>0.0410984</v>
      </c>
      <c r="ED43" s="83">
        <f t="shared" si="34"/>
        <v>0.0410984</v>
      </c>
      <c r="EE43" s="83">
        <f t="shared" si="34"/>
        <v>0.0410984</v>
      </c>
      <c r="EF43" s="83">
        <f t="shared" si="34"/>
        <v>0.0410984</v>
      </c>
      <c r="EG43" s="83">
        <f t="shared" si="34"/>
        <v>0.0410984</v>
      </c>
      <c r="EH43" s="83">
        <f t="shared" si="34"/>
        <v>0.0410984</v>
      </c>
      <c r="EI43" s="83">
        <f t="shared" si="34"/>
        <v>0.0410984</v>
      </c>
      <c r="EJ43" s="83">
        <f t="shared" si="34"/>
        <v>0.0410984</v>
      </c>
      <c r="EK43" s="83">
        <f t="shared" si="34"/>
        <v>0.0410984</v>
      </c>
      <c r="EL43" s="83">
        <f t="shared" si="34"/>
        <v>0.0410984</v>
      </c>
      <c r="EM43" s="83">
        <f t="shared" si="34"/>
        <v>0.0410984</v>
      </c>
      <c r="EN43" s="83">
        <f t="shared" si="34"/>
        <v>0.0410984</v>
      </c>
      <c r="EO43" s="83">
        <f t="shared" si="34"/>
        <v>0.0410984</v>
      </c>
      <c r="EP43" s="83">
        <f t="shared" si="34"/>
        <v>0.0410984</v>
      </c>
      <c r="EQ43" s="83">
        <f t="shared" si="34"/>
        <v>0.0410984</v>
      </c>
      <c r="ER43" s="83">
        <f t="shared" si="34"/>
        <v>0.0410984</v>
      </c>
      <c r="ES43" s="83">
        <f t="shared" si="34"/>
        <v>0.0410984</v>
      </c>
      <c r="ET43" s="83">
        <f t="shared" si="34"/>
        <v>0.0410984</v>
      </c>
      <c r="EU43" s="83">
        <f t="shared" si="34"/>
        <v>0.0410984</v>
      </c>
      <c r="EV43" s="83">
        <f t="shared" si="34"/>
        <v>0.0410984</v>
      </c>
      <c r="EW43" s="83">
        <f t="shared" si="34"/>
        <v>0.0410984</v>
      </c>
      <c r="EX43" s="83">
        <f t="shared" si="34"/>
        <v>0.0410984</v>
      </c>
      <c r="EY43" s="83">
        <f t="shared" si="34"/>
        <v>0.0410984</v>
      </c>
      <c r="EZ43" s="83">
        <f t="shared" si="34"/>
        <v>0.0410984</v>
      </c>
      <c r="FA43" s="83">
        <f t="shared" si="34"/>
        <v>0.0410984</v>
      </c>
      <c r="FB43" s="83">
        <f t="shared" si="34"/>
        <v>0.0410984</v>
      </c>
      <c r="FC43" s="83">
        <f t="shared" si="34"/>
        <v>0.0410984</v>
      </c>
      <c r="FD43" s="83">
        <f t="shared" si="34"/>
        <v>0.0410984</v>
      </c>
      <c r="FE43" s="83">
        <f t="shared" si="34"/>
        <v>0.0410984</v>
      </c>
      <c r="FF43" s="83">
        <f t="shared" si="34"/>
        <v>0.0410984</v>
      </c>
      <c r="FG43" s="83">
        <f t="shared" si="34"/>
        <v>0.0410984</v>
      </c>
      <c r="FH43" s="83">
        <f t="shared" si="34"/>
        <v>0.0410984</v>
      </c>
      <c r="FI43" s="83">
        <f t="shared" si="34"/>
        <v>0.0410984</v>
      </c>
      <c r="FJ43" s="83">
        <f t="shared" si="34"/>
        <v>0.0410984</v>
      </c>
      <c r="FK43" s="83">
        <f t="shared" si="34"/>
        <v>0.0410984</v>
      </c>
      <c r="FL43" s="83">
        <f t="shared" si="34"/>
        <v>0.0410984</v>
      </c>
      <c r="FM43" s="83">
        <f t="shared" si="34"/>
        <v>0.0410984</v>
      </c>
      <c r="FN43" s="83">
        <f t="shared" si="34"/>
        <v>0.0410984</v>
      </c>
      <c r="FO43" s="83">
        <f t="shared" si="34"/>
        <v>0.0410984</v>
      </c>
      <c r="FP43" s="83">
        <f t="shared" si="34"/>
        <v>0.0410984</v>
      </c>
      <c r="FQ43" s="83">
        <f t="shared" si="34"/>
        <v>0.0410984</v>
      </c>
      <c r="FR43" s="83">
        <f t="shared" si="34"/>
        <v>0.0410984</v>
      </c>
      <c r="FS43" s="83">
        <f t="shared" si="34"/>
        <v>0.0410984</v>
      </c>
      <c r="FT43" s="83">
        <f t="shared" si="34"/>
        <v>0.0410984</v>
      </c>
      <c r="FU43" s="83">
        <f t="shared" si="34"/>
        <v>0.0410984</v>
      </c>
      <c r="FV43" s="83">
        <f t="shared" si="34"/>
        <v>0.0410984</v>
      </c>
      <c r="FW43" s="83">
        <f t="shared" si="34"/>
        <v>0.0410984</v>
      </c>
      <c r="FX43" s="83">
        <f t="shared" si="34"/>
        <v>0.0410984</v>
      </c>
      <c r="FY43" s="83">
        <f t="shared" si="34"/>
        <v>0.0410984</v>
      </c>
      <c r="FZ43" s="83">
        <f t="shared" si="34"/>
        <v>0.0410984</v>
      </c>
      <c r="GA43" s="83">
        <f t="shared" si="34"/>
        <v>0.0410984</v>
      </c>
      <c r="GB43" s="83">
        <f t="shared" si="34"/>
        <v>0.0410984</v>
      </c>
      <c r="GC43" s="83">
        <f t="shared" si="34"/>
        <v>0.0410984</v>
      </c>
      <c r="GD43" s="83">
        <f t="shared" si="34"/>
        <v>0.0410984</v>
      </c>
      <c r="GE43" s="83">
        <f t="shared" si="34"/>
        <v>0.0410984</v>
      </c>
      <c r="GF43" s="83">
        <f t="shared" si="34"/>
        <v>0.0410984</v>
      </c>
      <c r="GG43" s="83">
        <f t="shared" si="34"/>
        <v>0.0410984</v>
      </c>
      <c r="GH43" s="83">
        <f t="shared" si="34"/>
        <v>0.0410984</v>
      </c>
      <c r="GI43" s="83">
        <f t="shared" si="34"/>
        <v>0.0410984</v>
      </c>
      <c r="GJ43" s="83">
        <f t="shared" si="34"/>
        <v>0.0410984</v>
      </c>
      <c r="GK43" s="83">
        <f t="shared" si="34"/>
        <v>0.0410984</v>
      </c>
      <c r="GL43" s="83">
        <f t="shared" si="34"/>
        <v>0.0410984</v>
      </c>
      <c r="GM43" s="83">
        <f t="shared" si="34"/>
        <v>0.0410984</v>
      </c>
      <c r="GN43" s="83">
        <f t="shared" si="34"/>
        <v>0.0410984</v>
      </c>
      <c r="GO43" s="83">
        <f t="shared" si="34"/>
        <v>0.0410984</v>
      </c>
      <c r="GP43" s="83">
        <f t="shared" si="34"/>
        <v>0.0410984</v>
      </c>
      <c r="GQ43" s="83">
        <f t="shared" si="34"/>
        <v>0.0410984</v>
      </c>
      <c r="GR43" s="83">
        <f t="shared" si="34"/>
        <v>0.0410984</v>
      </c>
      <c r="GS43" s="83">
        <f t="shared" si="34"/>
        <v>0.0410984</v>
      </c>
      <c r="GT43" s="83">
        <f t="shared" si="34"/>
        <v>0.0410984</v>
      </c>
      <c r="GU43" s="83">
        <f t="shared" si="34"/>
        <v>0.0410984</v>
      </c>
      <c r="GV43" s="83">
        <f t="shared" si="34"/>
        <v>0.0410984</v>
      </c>
      <c r="GW43" s="83">
        <f t="shared" si="34"/>
        <v>0.0410984</v>
      </c>
      <c r="GX43" s="83">
        <f t="shared" si="34"/>
        <v>0.0410984</v>
      </c>
      <c r="GY43" s="83">
        <f t="shared" si="34"/>
        <v>0.0410984</v>
      </c>
      <c r="GZ43" s="83">
        <f t="shared" si="34"/>
        <v>0.0410984</v>
      </c>
      <c r="HA43" s="83">
        <f t="shared" si="34"/>
        <v>0.0410984</v>
      </c>
      <c r="HB43" s="83">
        <f t="shared" si="34"/>
        <v>0.0410984</v>
      </c>
      <c r="HC43" s="83">
        <f t="shared" si="34"/>
        <v>0.0410984</v>
      </c>
      <c r="HD43" s="83">
        <f t="shared" si="34"/>
        <v>0.0410984</v>
      </c>
      <c r="HE43" s="83">
        <f t="shared" si="34"/>
        <v>0.0410984</v>
      </c>
      <c r="HF43" s="83">
        <f t="shared" si="34"/>
        <v>0.0410984</v>
      </c>
      <c r="HG43" s="83">
        <f t="shared" si="34"/>
        <v>0.0410984</v>
      </c>
      <c r="HH43" s="83">
        <f t="shared" si="34"/>
        <v>0.0410984</v>
      </c>
      <c r="HI43" s="83">
        <f t="shared" si="34"/>
        <v>0.0410984</v>
      </c>
      <c r="HJ43" s="83">
        <f t="shared" si="34"/>
        <v>0.0410984</v>
      </c>
      <c r="HK43" s="83">
        <f t="shared" si="34"/>
        <v>0.0410984</v>
      </c>
      <c r="HL43" s="83">
        <f t="shared" si="34"/>
        <v>0.0410984</v>
      </c>
      <c r="HM43" s="83">
        <f t="shared" si="34"/>
        <v>0.0410984</v>
      </c>
      <c r="HN43" s="83">
        <f t="shared" si="34"/>
        <v>0.0410984</v>
      </c>
      <c r="HO43" s="83">
        <f t="shared" si="34"/>
        <v>0.0410984</v>
      </c>
      <c r="HP43" s="83">
        <f t="shared" si="34"/>
        <v>0.0410984</v>
      </c>
      <c r="HQ43" s="83">
        <f t="shared" si="34"/>
        <v>0.0410984</v>
      </c>
      <c r="HR43" s="83">
        <f t="shared" si="34"/>
        <v>0.0410984</v>
      </c>
      <c r="HS43" s="83">
        <f t="shared" si="34"/>
        <v>0.0410984</v>
      </c>
      <c r="HT43" s="83">
        <f t="shared" si="34"/>
        <v>0.0410984</v>
      </c>
      <c r="HU43" s="83">
        <f t="shared" si="34"/>
        <v>0.0410984</v>
      </c>
      <c r="HV43" s="83">
        <f t="shared" si="34"/>
        <v>0.0410984</v>
      </c>
      <c r="HW43" s="83">
        <f t="shared" si="34"/>
        <v>0.0410984</v>
      </c>
      <c r="HX43" s="83">
        <f t="shared" si="34"/>
        <v>0.0410984</v>
      </c>
      <c r="HY43" s="83">
        <f t="shared" si="34"/>
        <v>0.0410984</v>
      </c>
      <c r="HZ43" s="83">
        <f t="shared" si="34"/>
        <v>0.0410984</v>
      </c>
      <c r="IA43" s="83">
        <f t="shared" si="34"/>
        <v>0.0410984</v>
      </c>
      <c r="IB43" s="83">
        <f t="shared" si="34"/>
        <v>0.0410984</v>
      </c>
      <c r="IC43" s="83">
        <f t="shared" si="34"/>
        <v>0.0410984</v>
      </c>
      <c r="ID43" s="83">
        <f t="shared" si="34"/>
        <v>0.0410984</v>
      </c>
      <c r="IE43" s="83">
        <f t="shared" si="34"/>
        <v>0.0410984</v>
      </c>
      <c r="IF43" s="83">
        <f t="shared" si="34"/>
        <v>0.0410984</v>
      </c>
      <c r="IG43" s="83">
        <f t="shared" si="34"/>
        <v>0.0410984</v>
      </c>
      <c r="IH43" s="83">
        <f t="shared" si="34"/>
        <v>0.0410984</v>
      </c>
      <c r="II43" s="83">
        <f t="shared" si="34"/>
        <v>0.0410984</v>
      </c>
      <c r="IJ43" s="83">
        <f t="shared" si="34"/>
        <v>0.0410984</v>
      </c>
      <c r="IK43" s="83">
        <f t="shared" si="34"/>
        <v>0.0410984</v>
      </c>
      <c r="IL43" s="83">
        <f t="shared" si="34"/>
        <v>0.0410984</v>
      </c>
      <c r="IM43" s="83">
        <f t="shared" si="34"/>
        <v>0.0410984</v>
      </c>
      <c r="IN43" s="83">
        <f t="shared" si="34"/>
        <v>0.0410984</v>
      </c>
      <c r="IO43" s="83">
        <f t="shared" si="34"/>
        <v>0.0410984</v>
      </c>
      <c r="IP43" s="83">
        <f t="shared" si="34"/>
        <v>0.0410984</v>
      </c>
      <c r="IQ43" s="83">
        <f t="shared" si="34"/>
        <v>0.0410984</v>
      </c>
      <c r="IR43" s="83">
        <f t="shared" si="34"/>
        <v>0.0410984</v>
      </c>
      <c r="IS43" s="83">
        <f t="shared" si="34"/>
        <v>0.0410984</v>
      </c>
      <c r="IT43" s="83">
        <f t="shared" si="34"/>
        <v>0.0410984</v>
      </c>
      <c r="IU43" s="83">
        <f t="shared" si="34"/>
        <v>0.0410984</v>
      </c>
      <c r="IV43" s="83">
        <f t="shared" si="34"/>
        <v>0.0410984</v>
      </c>
      <c r="IW43" s="83">
        <f t="shared" si="34"/>
        <v>0.0410984</v>
      </c>
      <c r="IX43" s="83">
        <f t="shared" si="34"/>
        <v>0.0410984</v>
      </c>
      <c r="IY43" s="83">
        <f t="shared" si="34"/>
        <v>0.0410984</v>
      </c>
      <c r="IZ43" s="83">
        <f t="shared" si="34"/>
        <v>0.0410984</v>
      </c>
      <c r="JA43" s="83">
        <f t="shared" si="34"/>
        <v>0.0410984</v>
      </c>
      <c r="JB43" s="83">
        <f t="shared" si="34"/>
        <v>0.0410984</v>
      </c>
      <c r="JC43" s="83">
        <f t="shared" si="34"/>
        <v>0.0410984</v>
      </c>
      <c r="JD43" s="83">
        <f t="shared" si="34"/>
        <v>0.0410984</v>
      </c>
      <c r="JE43" s="83">
        <f t="shared" si="34"/>
        <v>0.0410984</v>
      </c>
      <c r="JF43" s="83">
        <f t="shared" si="34"/>
        <v>0.0410984</v>
      </c>
      <c r="JG43" s="83">
        <f t="shared" si="34"/>
        <v>0.0410984</v>
      </c>
      <c r="JH43" s="83">
        <f t="shared" si="34"/>
        <v>0.0410984</v>
      </c>
      <c r="JI43" s="83">
        <f t="shared" si="34"/>
        <v>0.0410984</v>
      </c>
      <c r="JJ43" s="83">
        <f t="shared" si="34"/>
        <v>0.0410984</v>
      </c>
      <c r="JK43" s="83">
        <f t="shared" si="34"/>
        <v>0.0410984</v>
      </c>
      <c r="JL43" s="83">
        <f t="shared" si="34"/>
        <v>0.0410984</v>
      </c>
      <c r="JM43" s="83">
        <f t="shared" si="34"/>
        <v>0.0410984</v>
      </c>
      <c r="JN43" s="83">
        <f t="shared" si="34"/>
        <v>0.0410984</v>
      </c>
      <c r="JO43" s="83">
        <f t="shared" si="34"/>
        <v>0.0410984</v>
      </c>
      <c r="JP43" s="83">
        <f t="shared" si="34"/>
        <v>0.0410984</v>
      </c>
      <c r="JQ43" s="83">
        <f t="shared" si="34"/>
        <v>0.0410984</v>
      </c>
      <c r="JR43" s="83">
        <f t="shared" si="34"/>
        <v>0.0410984</v>
      </c>
      <c r="JS43" s="83">
        <f t="shared" si="34"/>
        <v>0.0410984</v>
      </c>
      <c r="JT43" s="83">
        <f t="shared" si="34"/>
        <v>0.0410984</v>
      </c>
      <c r="JU43" s="83">
        <f t="shared" si="34"/>
        <v>0.0410984</v>
      </c>
      <c r="JV43" s="83">
        <f t="shared" si="34"/>
        <v>0.0410984</v>
      </c>
      <c r="JW43" s="83">
        <f t="shared" si="34"/>
        <v>0.0410984</v>
      </c>
      <c r="JX43" s="83">
        <f t="shared" si="34"/>
        <v>0.0410984</v>
      </c>
      <c r="JY43" s="83">
        <f t="shared" si="34"/>
        <v>0.0410984</v>
      </c>
      <c r="JZ43" s="83">
        <f t="shared" si="34"/>
        <v>0.0410984</v>
      </c>
      <c r="KA43" s="83">
        <f t="shared" si="34"/>
        <v>0.0410984</v>
      </c>
      <c r="KB43" s="83">
        <f t="shared" si="34"/>
        <v>0.0410984</v>
      </c>
      <c r="KC43" s="83">
        <f t="shared" si="34"/>
        <v>0.0410984</v>
      </c>
      <c r="KD43" s="83">
        <f t="shared" si="34"/>
        <v>0.0410984</v>
      </c>
      <c r="KE43" s="83">
        <f t="shared" si="34"/>
        <v>0.0410984</v>
      </c>
      <c r="KF43" s="83">
        <f t="shared" si="34"/>
        <v>0.0410984</v>
      </c>
      <c r="KG43" s="83">
        <f t="shared" si="34"/>
        <v>0.0410984</v>
      </c>
      <c r="KH43" s="83">
        <f t="shared" si="34"/>
        <v>0.0410984</v>
      </c>
      <c r="KI43" s="83">
        <f t="shared" si="34"/>
        <v>0.0410984</v>
      </c>
      <c r="KJ43" s="83">
        <f t="shared" si="34"/>
        <v>0.0410984</v>
      </c>
      <c r="KK43" s="83">
        <f t="shared" si="34"/>
        <v>0.0410984</v>
      </c>
      <c r="KL43" s="83">
        <f t="shared" si="34"/>
        <v>0.0410984</v>
      </c>
      <c r="KM43" s="83">
        <f t="shared" si="34"/>
        <v>0.0410984</v>
      </c>
      <c r="KN43" s="83">
        <f t="shared" si="34"/>
        <v>0.0410984</v>
      </c>
      <c r="KO43" s="83">
        <f t="shared" si="34"/>
        <v>0.0410984</v>
      </c>
      <c r="KP43" s="83">
        <f t="shared" si="34"/>
        <v>0.0410984</v>
      </c>
      <c r="KQ43" s="83">
        <f t="shared" si="34"/>
        <v>0.0410984</v>
      </c>
      <c r="KR43" s="83">
        <f t="shared" si="34"/>
        <v>0.0410984</v>
      </c>
      <c r="KS43" s="83">
        <f t="shared" si="34"/>
        <v>0.0410984</v>
      </c>
      <c r="KT43" s="83">
        <f t="shared" si="34"/>
        <v>0.0410984</v>
      </c>
      <c r="KU43" s="83">
        <f t="shared" si="34"/>
        <v>0.0410984</v>
      </c>
      <c r="KV43" s="83">
        <f t="shared" si="34"/>
        <v>0.0410984</v>
      </c>
      <c r="KW43" s="83">
        <f t="shared" si="34"/>
        <v>0.0410984</v>
      </c>
      <c r="KX43" s="83">
        <f t="shared" si="34"/>
        <v>0.0410984</v>
      </c>
      <c r="KY43" s="83">
        <f t="shared" si="34"/>
        <v>0.0410984</v>
      </c>
      <c r="KZ43" s="83">
        <f t="shared" si="34"/>
        <v>0.0410984</v>
      </c>
      <c r="LA43" s="83">
        <f t="shared" si="34"/>
        <v>0.0410984</v>
      </c>
      <c r="LB43" s="83">
        <f t="shared" si="34"/>
        <v>0.0410984</v>
      </c>
      <c r="LC43" s="83">
        <f t="shared" si="34"/>
        <v>0.0410984</v>
      </c>
      <c r="LD43" s="83">
        <f t="shared" si="34"/>
        <v>0.0410984</v>
      </c>
      <c r="LE43" s="83">
        <f t="shared" si="34"/>
        <v>0.0410984</v>
      </c>
      <c r="LF43" s="83">
        <f t="shared" si="34"/>
        <v>0.0410984</v>
      </c>
      <c r="LG43" s="83">
        <f t="shared" si="34"/>
        <v>0.0410984</v>
      </c>
      <c r="LH43" s="83">
        <f t="shared" si="34"/>
        <v>0.0410984</v>
      </c>
      <c r="LI43" s="83">
        <f t="shared" si="34"/>
        <v>0.0410984</v>
      </c>
      <c r="LJ43" s="83">
        <f t="shared" si="34"/>
        <v>0.0410984</v>
      </c>
      <c r="LK43" s="83">
        <f t="shared" si="34"/>
        <v>0.0410984</v>
      </c>
      <c r="LL43" s="83">
        <f t="shared" si="34"/>
        <v>0.0410984</v>
      </c>
      <c r="LM43" s="83">
        <f t="shared" si="34"/>
        <v>0.0410984</v>
      </c>
      <c r="LN43" s="83">
        <f t="shared" si="34"/>
        <v>0.0410984</v>
      </c>
      <c r="LO43" s="83">
        <f t="shared" si="34"/>
        <v>0.0410984</v>
      </c>
      <c r="LP43" s="83">
        <f t="shared" si="34"/>
        <v>0.0410984</v>
      </c>
      <c r="LQ43" s="83">
        <f t="shared" si="34"/>
        <v>0.0410984</v>
      </c>
      <c r="LR43" s="83">
        <f t="shared" si="34"/>
        <v>0.0410984</v>
      </c>
      <c r="LS43" s="83">
        <f t="shared" si="34"/>
        <v>0.0410984</v>
      </c>
      <c r="LT43" s="83">
        <f t="shared" si="34"/>
        <v>0.0410984</v>
      </c>
      <c r="LU43" s="83">
        <f t="shared" si="34"/>
        <v>0.0410984</v>
      </c>
      <c r="LV43" s="83">
        <f t="shared" si="34"/>
        <v>0.0410984</v>
      </c>
      <c r="LW43" s="83">
        <f t="shared" si="34"/>
        <v>0.0410984</v>
      </c>
      <c r="LX43" s="83">
        <f t="shared" si="34"/>
        <v>0.0410984</v>
      </c>
      <c r="LY43" s="83">
        <f t="shared" si="34"/>
        <v>0.0410984</v>
      </c>
      <c r="LZ43" s="83">
        <f t="shared" si="34"/>
        <v>0.0410984</v>
      </c>
      <c r="MA43" s="83">
        <f t="shared" si="34"/>
        <v>0.0410984</v>
      </c>
      <c r="MB43" s="83">
        <f t="shared" si="34"/>
        <v>0.0410984</v>
      </c>
      <c r="MC43" s="83">
        <f t="shared" si="34"/>
        <v>0.0410984</v>
      </c>
      <c r="MD43" s="83">
        <f t="shared" si="34"/>
        <v>0.0410984</v>
      </c>
      <c r="ME43" s="83">
        <f t="shared" si="34"/>
        <v>0.0410984</v>
      </c>
      <c r="MF43" s="83">
        <f t="shared" si="34"/>
        <v>0.0410984</v>
      </c>
      <c r="MG43" s="83">
        <f t="shared" si="34"/>
        <v>0.0410984</v>
      </c>
      <c r="MH43" s="83">
        <f t="shared" si="34"/>
        <v>0.0410984</v>
      </c>
      <c r="MI43" s="83">
        <f t="shared" si="34"/>
        <v>0.0410984</v>
      </c>
      <c r="MJ43" s="83">
        <f t="shared" si="34"/>
        <v>0.0410984</v>
      </c>
      <c r="MK43" s="83">
        <f t="shared" si="34"/>
        <v>0.0410984</v>
      </c>
      <c r="ML43" s="83">
        <f t="shared" si="34"/>
        <v>0.0410984</v>
      </c>
      <c r="MM43" s="83">
        <f t="shared" si="34"/>
        <v>0.0410984</v>
      </c>
      <c r="MN43" s="83">
        <f t="shared" si="34"/>
        <v>0.0410984</v>
      </c>
      <c r="MO43" s="83">
        <f t="shared" si="34"/>
        <v>0.0410984</v>
      </c>
      <c r="MP43" s="83">
        <f t="shared" si="34"/>
        <v>0.0410984</v>
      </c>
      <c r="MQ43" s="83">
        <f t="shared" si="34"/>
        <v>0.0410984</v>
      </c>
      <c r="MR43" s="83">
        <f t="shared" si="34"/>
        <v>0.0410984</v>
      </c>
      <c r="MS43" s="83">
        <f t="shared" si="34"/>
        <v>0.0410984</v>
      </c>
      <c r="MT43" s="83">
        <f t="shared" si="34"/>
        <v>0.0410984</v>
      </c>
      <c r="MU43" s="83">
        <f t="shared" si="34"/>
        <v>0.0410984</v>
      </c>
      <c r="MV43" s="83">
        <f t="shared" si="34"/>
        <v>0.0410984</v>
      </c>
      <c r="MW43" s="83">
        <f t="shared" si="34"/>
        <v>0.0410984</v>
      </c>
      <c r="MX43" s="83">
        <f t="shared" si="34"/>
        <v>0.0410984</v>
      </c>
      <c r="MY43" s="83">
        <f t="shared" si="34"/>
        <v>0.0410984</v>
      </c>
      <c r="MZ43" s="83">
        <f t="shared" si="34"/>
        <v>0.0410984</v>
      </c>
      <c r="NA43" s="83">
        <f t="shared" si="34"/>
        <v>0.0410984</v>
      </c>
      <c r="NB43" s="83">
        <f t="shared" si="34"/>
        <v>0.0410984</v>
      </c>
      <c r="NC43" s="83">
        <f t="shared" si="34"/>
        <v>0.0410984</v>
      </c>
      <c r="ND43" s="83">
        <f t="shared" si="34"/>
        <v>0.0410984</v>
      </c>
      <c r="NE43" s="83">
        <f t="shared" si="34"/>
        <v>0.0410984</v>
      </c>
      <c r="NF43" s="83">
        <f t="shared" si="34"/>
        <v>0.0410984</v>
      </c>
      <c r="NG43" s="83">
        <f t="shared" si="34"/>
        <v>0.0410984</v>
      </c>
      <c r="NH43" s="83">
        <f t="shared" si="34"/>
        <v>0.0410984</v>
      </c>
      <c r="NI43" s="83">
        <f t="shared" si="34"/>
        <v>0.0410984</v>
      </c>
      <c r="NJ43" s="83">
        <f t="shared" si="34"/>
        <v>0.0410984</v>
      </c>
      <c r="NK43" s="83">
        <f t="shared" si="34"/>
        <v>0.0410984</v>
      </c>
      <c r="NL43" s="83">
        <f t="shared" si="34"/>
        <v>0.0410984</v>
      </c>
      <c r="NM43" s="83">
        <f t="shared" si="34"/>
        <v>0.0410984</v>
      </c>
      <c r="NN43" s="83">
        <f t="shared" si="34"/>
        <v>0.0410984</v>
      </c>
      <c r="NO43" s="83">
        <f t="shared" si="34"/>
        <v>0.0410984</v>
      </c>
      <c r="NP43" s="83">
        <f t="shared" si="34"/>
        <v>0.0410984</v>
      </c>
      <c r="NQ43" s="83">
        <f t="shared" si="34"/>
        <v>0.0410984</v>
      </c>
      <c r="NR43" s="83">
        <f t="shared" si="34"/>
        <v>0.0410984</v>
      </c>
      <c r="NS43" s="83">
        <f t="shared" si="34"/>
        <v>0.0410984</v>
      </c>
      <c r="NT43" s="83">
        <f t="shared" si="34"/>
        <v>0.0410984</v>
      </c>
      <c r="NU43" s="83">
        <f t="shared" si="34"/>
        <v>0.0410984</v>
      </c>
      <c r="NV43" s="83">
        <f t="shared" si="34"/>
        <v>0.0410984</v>
      </c>
      <c r="NW43" s="83">
        <f t="shared" si="34"/>
        <v>0.0410984</v>
      </c>
      <c r="NX43" s="83">
        <f t="shared" si="34"/>
        <v>0.0410984</v>
      </c>
      <c r="NY43" s="83">
        <f t="shared" si="34"/>
        <v>0.0410984</v>
      </c>
      <c r="NZ43" s="83">
        <f t="shared" si="34"/>
        <v>0.0410984</v>
      </c>
      <c r="OA43" s="83">
        <f t="shared" si="34"/>
        <v>0.0410984</v>
      </c>
      <c r="OB43" s="83">
        <f t="shared" si="34"/>
        <v>0.0410984</v>
      </c>
      <c r="OC43" s="83">
        <f t="shared" si="34"/>
        <v>0.0410984</v>
      </c>
      <c r="OD43" s="83">
        <f t="shared" si="34"/>
        <v>0.0410984</v>
      </c>
      <c r="OE43" s="83">
        <f t="shared" si="34"/>
        <v>0.0410984</v>
      </c>
      <c r="OF43" s="83">
        <f t="shared" si="34"/>
        <v>0.0410984</v>
      </c>
      <c r="OG43" s="83">
        <f t="shared" si="34"/>
        <v>0.0410984</v>
      </c>
      <c r="OH43" s="83">
        <f t="shared" si="34"/>
        <v>0.0410984</v>
      </c>
      <c r="OI43" s="83">
        <f t="shared" si="34"/>
        <v>0.0410984</v>
      </c>
      <c r="OJ43" s="83">
        <f t="shared" si="34"/>
        <v>0.0410984</v>
      </c>
      <c r="OK43" s="83">
        <f t="shared" si="34"/>
        <v>0.0410984</v>
      </c>
      <c r="OL43" s="83">
        <f t="shared" si="34"/>
        <v>0.0410984</v>
      </c>
      <c r="OM43" s="83">
        <f t="shared" si="34"/>
        <v>0.0410984</v>
      </c>
      <c r="ON43" s="83">
        <f t="shared" si="34"/>
        <v>0.0410984</v>
      </c>
      <c r="OO43" s="83">
        <f t="shared" si="34"/>
        <v>0.0410984</v>
      </c>
      <c r="OP43" s="83">
        <f t="shared" si="34"/>
        <v>0.0410984</v>
      </c>
      <c r="OQ43" s="83">
        <f t="shared" si="34"/>
        <v>0.0410984</v>
      </c>
      <c r="OR43" s="83">
        <f t="shared" si="34"/>
        <v>0.0410984</v>
      </c>
      <c r="OS43" s="83">
        <f t="shared" si="34"/>
        <v>0.0410984</v>
      </c>
      <c r="OT43" s="83">
        <f t="shared" si="34"/>
        <v>0.0410984</v>
      </c>
      <c r="OU43" s="83">
        <f t="shared" si="34"/>
        <v>0.0410984</v>
      </c>
      <c r="OV43" s="83">
        <f t="shared" si="34"/>
        <v>0.0410984</v>
      </c>
      <c r="OW43" s="83">
        <f t="shared" si="34"/>
        <v>0.0410984</v>
      </c>
      <c r="OX43" s="83">
        <f t="shared" si="34"/>
        <v>0.0410984</v>
      </c>
      <c r="OY43" s="83">
        <f t="shared" si="34"/>
        <v>0.0410984</v>
      </c>
      <c r="OZ43" s="83">
        <f t="shared" si="34"/>
        <v>0.0410984</v>
      </c>
      <c r="PA43" s="83">
        <f t="shared" si="34"/>
        <v>0.0410984</v>
      </c>
      <c r="PB43" s="83">
        <f t="shared" si="34"/>
        <v>0.0410984</v>
      </c>
      <c r="PC43" s="83">
        <f t="shared" si="34"/>
        <v>0.0410984</v>
      </c>
      <c r="PD43" s="83">
        <f t="shared" si="34"/>
        <v>0.0410984</v>
      </c>
      <c r="PE43" s="83">
        <f t="shared" si="34"/>
        <v>0.0410984</v>
      </c>
      <c r="PF43" s="83">
        <f t="shared" si="34"/>
        <v>0.0410984</v>
      </c>
      <c r="PG43" s="83">
        <f t="shared" si="34"/>
        <v>0.0410984</v>
      </c>
      <c r="PH43" s="83">
        <f t="shared" si="34"/>
        <v>0.0410984</v>
      </c>
      <c r="PI43" s="83">
        <f t="shared" si="34"/>
        <v>0.0410984</v>
      </c>
      <c r="PJ43" s="83">
        <f t="shared" si="34"/>
        <v>0.0410984</v>
      </c>
      <c r="PK43" s="83">
        <f t="shared" si="34"/>
        <v>0.0410984</v>
      </c>
      <c r="PL43" s="83">
        <f t="shared" si="34"/>
        <v>0.0410984</v>
      </c>
      <c r="PM43" s="83">
        <f t="shared" si="34"/>
        <v>0.0410984</v>
      </c>
      <c r="PN43" s="83">
        <f t="shared" si="34"/>
        <v>0.0410984</v>
      </c>
      <c r="PO43" s="83">
        <f t="shared" si="34"/>
        <v>0.0410984</v>
      </c>
      <c r="PP43" s="83">
        <f t="shared" si="34"/>
        <v>0.0410984</v>
      </c>
      <c r="PQ43" s="83">
        <f t="shared" si="34"/>
        <v>0.0410984</v>
      </c>
      <c r="PR43" s="83">
        <f t="shared" si="34"/>
        <v>0.0410984</v>
      </c>
      <c r="PS43" s="83">
        <f t="shared" si="34"/>
        <v>0.0410984</v>
      </c>
      <c r="PT43" s="83">
        <f t="shared" si="34"/>
        <v>0.0410984</v>
      </c>
      <c r="PU43" s="83">
        <f t="shared" si="34"/>
        <v>0.0410984</v>
      </c>
      <c r="PV43" s="83">
        <f t="shared" si="34"/>
        <v>0.0410984</v>
      </c>
      <c r="PW43" s="83">
        <f t="shared" si="34"/>
        <v>0.0410984</v>
      </c>
      <c r="PX43" s="83">
        <f t="shared" si="34"/>
        <v>0.0410984</v>
      </c>
      <c r="PY43" s="83">
        <f t="shared" si="34"/>
        <v>0.0410984</v>
      </c>
      <c r="PZ43" s="83">
        <f t="shared" si="34"/>
        <v>0.0410984</v>
      </c>
      <c r="QA43" s="83">
        <f t="shared" si="34"/>
        <v>0.0410984</v>
      </c>
      <c r="QB43" s="83">
        <f t="shared" si="34"/>
        <v>0.0410984</v>
      </c>
      <c r="QC43" s="83">
        <f t="shared" si="34"/>
        <v>0.0410984</v>
      </c>
      <c r="QD43" s="83">
        <f t="shared" si="34"/>
        <v>0.0410984</v>
      </c>
      <c r="QE43" s="83">
        <f t="shared" si="34"/>
        <v>0.0410984</v>
      </c>
      <c r="QF43" s="83">
        <f t="shared" si="34"/>
        <v>0.0410984</v>
      </c>
      <c r="QG43" s="83">
        <f t="shared" si="34"/>
        <v>0.0410984</v>
      </c>
      <c r="QH43" s="83">
        <f t="shared" si="34"/>
        <v>0.0410984</v>
      </c>
      <c r="QI43" s="83">
        <f t="shared" si="34"/>
        <v>0.0410984</v>
      </c>
      <c r="QJ43" s="83">
        <f t="shared" si="34"/>
        <v>0.0410984</v>
      </c>
      <c r="QK43" s="83">
        <f t="shared" si="34"/>
        <v>0.0410984</v>
      </c>
      <c r="QL43" s="83">
        <f t="shared" si="34"/>
        <v>0.0410984</v>
      </c>
      <c r="QM43" s="83">
        <f t="shared" si="34"/>
        <v>0.0410984</v>
      </c>
      <c r="QN43" s="83">
        <f t="shared" si="34"/>
        <v>0.0410984</v>
      </c>
      <c r="QO43" s="83">
        <f t="shared" si="34"/>
        <v>0.0410984</v>
      </c>
      <c r="QP43" s="83">
        <f t="shared" si="34"/>
        <v>0.0410984</v>
      </c>
      <c r="QQ43" s="83">
        <f t="shared" si="34"/>
        <v>0.0410984</v>
      </c>
      <c r="QR43" s="83">
        <f t="shared" si="34"/>
        <v>0.0410984</v>
      </c>
      <c r="QS43" s="83">
        <f t="shared" si="34"/>
        <v>0.0410984</v>
      </c>
      <c r="QT43" s="83">
        <f t="shared" si="34"/>
        <v>0.0410984</v>
      </c>
      <c r="QU43" s="83">
        <f t="shared" si="34"/>
        <v>0.0410984</v>
      </c>
      <c r="QV43" s="83">
        <f t="shared" si="34"/>
        <v>0.0410984</v>
      </c>
      <c r="QW43" s="83">
        <f t="shared" si="34"/>
        <v>0.0410984</v>
      </c>
      <c r="QX43" s="83">
        <f t="shared" si="34"/>
        <v>0.0410984</v>
      </c>
      <c r="QY43" s="83">
        <f t="shared" si="34"/>
        <v>0.0410984</v>
      </c>
      <c r="QZ43" s="83">
        <f t="shared" si="34"/>
        <v>0.0410984</v>
      </c>
      <c r="RA43" s="83">
        <f t="shared" si="34"/>
        <v>0.0410984</v>
      </c>
      <c r="RB43" s="83">
        <f t="shared" si="34"/>
        <v>0.0410984</v>
      </c>
      <c r="RC43" s="83">
        <f t="shared" si="34"/>
        <v>0.0410984</v>
      </c>
      <c r="RD43" s="83">
        <f t="shared" si="34"/>
        <v>0.0410984</v>
      </c>
      <c r="RE43" s="83">
        <f t="shared" si="34"/>
        <v>0.0410984</v>
      </c>
      <c r="RF43" s="83">
        <f t="shared" si="34"/>
        <v>0.0410984</v>
      </c>
      <c r="RG43" s="83">
        <f t="shared" si="34"/>
        <v>0.0410984</v>
      </c>
      <c r="RH43" s="83">
        <f t="shared" si="34"/>
        <v>0.0410984</v>
      </c>
      <c r="RI43" s="83">
        <f t="shared" si="34"/>
        <v>0.0410984</v>
      </c>
      <c r="RJ43" s="83">
        <f t="shared" si="34"/>
        <v>0.0410984</v>
      </c>
      <c r="RK43" s="83">
        <f t="shared" si="34"/>
        <v>0.0410984</v>
      </c>
      <c r="RL43" s="83">
        <f t="shared" si="34"/>
        <v>0.0410984</v>
      </c>
      <c r="RM43" s="83">
        <f t="shared" si="34"/>
        <v>0.0410984</v>
      </c>
      <c r="RN43" s="83">
        <f t="shared" si="34"/>
        <v>0.0410984</v>
      </c>
      <c r="RO43" s="83">
        <f t="shared" si="34"/>
        <v>0.0410984</v>
      </c>
      <c r="RP43" s="83">
        <f t="shared" si="34"/>
        <v>0.0410984</v>
      </c>
      <c r="RQ43" s="83">
        <f t="shared" si="34"/>
        <v>0.0410984</v>
      </c>
      <c r="RR43" s="83">
        <f t="shared" si="34"/>
        <v>0.0410984</v>
      </c>
      <c r="RS43" s="83">
        <f t="shared" si="34"/>
        <v>0.0410984</v>
      </c>
      <c r="RT43" s="83">
        <f t="shared" si="34"/>
        <v>0.0410984</v>
      </c>
      <c r="RU43" s="83">
        <f t="shared" si="34"/>
        <v>0.0410984</v>
      </c>
      <c r="RV43" s="83">
        <f t="shared" si="34"/>
        <v>0.0410984</v>
      </c>
      <c r="RW43" s="83">
        <f t="shared" si="34"/>
        <v>0.0410984</v>
      </c>
      <c r="RX43" s="83">
        <f t="shared" si="34"/>
        <v>0.0410984</v>
      </c>
      <c r="RY43" s="83">
        <f t="shared" si="34"/>
        <v>0.0410984</v>
      </c>
      <c r="RZ43" s="83">
        <f t="shared" si="34"/>
        <v>0.0410984</v>
      </c>
      <c r="SA43" s="83">
        <f t="shared" si="34"/>
        <v>0.0410984</v>
      </c>
      <c r="SB43" s="83">
        <f t="shared" si="34"/>
        <v>0.0410984</v>
      </c>
      <c r="SC43" s="83">
        <f t="shared" si="34"/>
        <v>0.0410984</v>
      </c>
      <c r="SD43" s="83">
        <f t="shared" si="34"/>
        <v>0.0410984</v>
      </c>
      <c r="SE43" s="83">
        <f t="shared" si="34"/>
        <v>0.0410984</v>
      </c>
      <c r="SF43" s="83">
        <f t="shared" si="34"/>
        <v>0.0410984</v>
      </c>
      <c r="SG43" s="83">
        <f t="shared" si="34"/>
        <v>0.0410984</v>
      </c>
      <c r="SH43" s="83">
        <f t="shared" si="34"/>
        <v>0.0410984</v>
      </c>
      <c r="SI43" s="83">
        <f t="shared" si="34"/>
        <v>0.0410984</v>
      </c>
      <c r="SJ43" s="83">
        <f t="shared" si="34"/>
        <v>0.0410984</v>
      </c>
      <c r="SK43" s="83">
        <f t="shared" si="34"/>
        <v>0.0410984</v>
      </c>
      <c r="SL43" s="83">
        <f t="shared" si="34"/>
        <v>0.0410984</v>
      </c>
    </row>
    <row r="44">
      <c r="A44" s="84" t="s">
        <v>374</v>
      </c>
      <c r="B44" s="220">
        <f t="array" ref="B44">INDEX('New CEA'!$B44:$F44,MATCH($B$2,'New CEA'!B$2:F$2,0))</f>
        <v>0.057</v>
      </c>
      <c r="C44" s="293"/>
      <c r="D44" s="294"/>
      <c r="E44" s="295"/>
      <c r="F44" s="85"/>
      <c r="G44" s="83">
        <f t="shared" ref="G44:SL44" si="35">$B44</f>
        <v>0.057</v>
      </c>
      <c r="H44" s="83">
        <f t="shared" si="35"/>
        <v>0.057</v>
      </c>
      <c r="I44" s="83">
        <f t="shared" si="35"/>
        <v>0.057</v>
      </c>
      <c r="J44" s="83">
        <f t="shared" si="35"/>
        <v>0.057</v>
      </c>
      <c r="K44" s="83">
        <f t="shared" si="35"/>
        <v>0.057</v>
      </c>
      <c r="L44" s="83">
        <f t="shared" si="35"/>
        <v>0.057</v>
      </c>
      <c r="M44" s="83">
        <f t="shared" si="35"/>
        <v>0.057</v>
      </c>
      <c r="N44" s="83">
        <f t="shared" si="35"/>
        <v>0.057</v>
      </c>
      <c r="O44" s="83">
        <f t="shared" si="35"/>
        <v>0.057</v>
      </c>
      <c r="P44" s="83">
        <f t="shared" si="35"/>
        <v>0.057</v>
      </c>
      <c r="Q44" s="83">
        <f t="shared" si="35"/>
        <v>0.057</v>
      </c>
      <c r="R44" s="83">
        <f t="shared" si="35"/>
        <v>0.057</v>
      </c>
      <c r="S44" s="83">
        <f t="shared" si="35"/>
        <v>0.057</v>
      </c>
      <c r="T44" s="83">
        <f t="shared" si="35"/>
        <v>0.057</v>
      </c>
      <c r="U44" s="83">
        <f t="shared" si="35"/>
        <v>0.057</v>
      </c>
      <c r="V44" s="83">
        <f t="shared" si="35"/>
        <v>0.057</v>
      </c>
      <c r="W44" s="83">
        <f t="shared" si="35"/>
        <v>0.057</v>
      </c>
      <c r="X44" s="83">
        <f t="shared" si="35"/>
        <v>0.057</v>
      </c>
      <c r="Y44" s="83">
        <f t="shared" si="35"/>
        <v>0.057</v>
      </c>
      <c r="Z44" s="83">
        <f t="shared" si="35"/>
        <v>0.057</v>
      </c>
      <c r="AA44" s="83">
        <f t="shared" si="35"/>
        <v>0.057</v>
      </c>
      <c r="AB44" s="83">
        <f t="shared" si="35"/>
        <v>0.057</v>
      </c>
      <c r="AC44" s="83">
        <f t="shared" si="35"/>
        <v>0.057</v>
      </c>
      <c r="AD44" s="83">
        <f t="shared" si="35"/>
        <v>0.057</v>
      </c>
      <c r="AE44" s="83">
        <f t="shared" si="35"/>
        <v>0.057</v>
      </c>
      <c r="AF44" s="83">
        <f t="shared" si="35"/>
        <v>0.057</v>
      </c>
      <c r="AG44" s="83">
        <f t="shared" si="35"/>
        <v>0.057</v>
      </c>
      <c r="AH44" s="83">
        <f t="shared" si="35"/>
        <v>0.057</v>
      </c>
      <c r="AI44" s="83">
        <f t="shared" si="35"/>
        <v>0.057</v>
      </c>
      <c r="AJ44" s="83">
        <f t="shared" si="35"/>
        <v>0.057</v>
      </c>
      <c r="AK44" s="83">
        <f t="shared" si="35"/>
        <v>0.057</v>
      </c>
      <c r="AL44" s="83">
        <f t="shared" si="35"/>
        <v>0.057</v>
      </c>
      <c r="AM44" s="83">
        <f t="shared" si="35"/>
        <v>0.057</v>
      </c>
      <c r="AN44" s="83">
        <f t="shared" si="35"/>
        <v>0.057</v>
      </c>
      <c r="AO44" s="83">
        <f t="shared" si="35"/>
        <v>0.057</v>
      </c>
      <c r="AP44" s="83">
        <f t="shared" si="35"/>
        <v>0.057</v>
      </c>
      <c r="AQ44" s="83">
        <f t="shared" si="35"/>
        <v>0.057</v>
      </c>
      <c r="AR44" s="83">
        <f t="shared" si="35"/>
        <v>0.057</v>
      </c>
      <c r="AS44" s="83">
        <f t="shared" si="35"/>
        <v>0.057</v>
      </c>
      <c r="AT44" s="83">
        <f t="shared" si="35"/>
        <v>0.057</v>
      </c>
      <c r="AU44" s="83">
        <f t="shared" si="35"/>
        <v>0.057</v>
      </c>
      <c r="AV44" s="83">
        <f t="shared" si="35"/>
        <v>0.057</v>
      </c>
      <c r="AW44" s="83">
        <f t="shared" si="35"/>
        <v>0.057</v>
      </c>
      <c r="AX44" s="83">
        <f t="shared" si="35"/>
        <v>0.057</v>
      </c>
      <c r="AY44" s="83">
        <f t="shared" si="35"/>
        <v>0.057</v>
      </c>
      <c r="AZ44" s="83">
        <f t="shared" si="35"/>
        <v>0.057</v>
      </c>
      <c r="BA44" s="83">
        <f t="shared" si="35"/>
        <v>0.057</v>
      </c>
      <c r="BB44" s="83">
        <f t="shared" si="35"/>
        <v>0.057</v>
      </c>
      <c r="BC44" s="83">
        <f t="shared" si="35"/>
        <v>0.057</v>
      </c>
      <c r="BD44" s="83">
        <f t="shared" si="35"/>
        <v>0.057</v>
      </c>
      <c r="BE44" s="83">
        <f t="shared" si="35"/>
        <v>0.057</v>
      </c>
      <c r="BF44" s="83">
        <f t="shared" si="35"/>
        <v>0.057</v>
      </c>
      <c r="BG44" s="83">
        <f t="shared" si="35"/>
        <v>0.057</v>
      </c>
      <c r="BH44" s="83">
        <f t="shared" si="35"/>
        <v>0.057</v>
      </c>
      <c r="BI44" s="83">
        <f t="shared" si="35"/>
        <v>0.057</v>
      </c>
      <c r="BJ44" s="83">
        <f t="shared" si="35"/>
        <v>0.057</v>
      </c>
      <c r="BK44" s="83">
        <f t="shared" si="35"/>
        <v>0.057</v>
      </c>
      <c r="BL44" s="83">
        <f t="shared" si="35"/>
        <v>0.057</v>
      </c>
      <c r="BM44" s="83">
        <f t="shared" si="35"/>
        <v>0.057</v>
      </c>
      <c r="BN44" s="83">
        <f t="shared" si="35"/>
        <v>0.057</v>
      </c>
      <c r="BO44" s="83">
        <f t="shared" si="35"/>
        <v>0.057</v>
      </c>
      <c r="BP44" s="83">
        <f t="shared" si="35"/>
        <v>0.057</v>
      </c>
      <c r="BQ44" s="83">
        <f t="shared" si="35"/>
        <v>0.057</v>
      </c>
      <c r="BR44" s="83">
        <f t="shared" si="35"/>
        <v>0.057</v>
      </c>
      <c r="BS44" s="83">
        <f t="shared" si="35"/>
        <v>0.057</v>
      </c>
      <c r="BT44" s="83">
        <f t="shared" si="35"/>
        <v>0.057</v>
      </c>
      <c r="BU44" s="83">
        <f t="shared" si="35"/>
        <v>0.057</v>
      </c>
      <c r="BV44" s="83">
        <f t="shared" si="35"/>
        <v>0.057</v>
      </c>
      <c r="BW44" s="83">
        <f t="shared" si="35"/>
        <v>0.057</v>
      </c>
      <c r="BX44" s="83">
        <f t="shared" si="35"/>
        <v>0.057</v>
      </c>
      <c r="BY44" s="83">
        <f t="shared" si="35"/>
        <v>0.057</v>
      </c>
      <c r="BZ44" s="83">
        <f t="shared" si="35"/>
        <v>0.057</v>
      </c>
      <c r="CA44" s="83">
        <f t="shared" si="35"/>
        <v>0.057</v>
      </c>
      <c r="CB44" s="83">
        <f t="shared" si="35"/>
        <v>0.057</v>
      </c>
      <c r="CC44" s="83">
        <f t="shared" si="35"/>
        <v>0.057</v>
      </c>
      <c r="CD44" s="83">
        <f t="shared" si="35"/>
        <v>0.057</v>
      </c>
      <c r="CE44" s="83">
        <f t="shared" si="35"/>
        <v>0.057</v>
      </c>
      <c r="CF44" s="83">
        <f t="shared" si="35"/>
        <v>0.057</v>
      </c>
      <c r="CG44" s="83">
        <f t="shared" si="35"/>
        <v>0.057</v>
      </c>
      <c r="CH44" s="83">
        <f t="shared" si="35"/>
        <v>0.057</v>
      </c>
      <c r="CI44" s="83">
        <f t="shared" si="35"/>
        <v>0.057</v>
      </c>
      <c r="CJ44" s="83">
        <f t="shared" si="35"/>
        <v>0.057</v>
      </c>
      <c r="CK44" s="83">
        <f t="shared" si="35"/>
        <v>0.057</v>
      </c>
      <c r="CL44" s="83">
        <f t="shared" si="35"/>
        <v>0.057</v>
      </c>
      <c r="CM44" s="83">
        <f t="shared" si="35"/>
        <v>0.057</v>
      </c>
      <c r="CN44" s="83">
        <f t="shared" si="35"/>
        <v>0.057</v>
      </c>
      <c r="CO44" s="83">
        <f t="shared" si="35"/>
        <v>0.057</v>
      </c>
      <c r="CP44" s="83">
        <f t="shared" si="35"/>
        <v>0.057</v>
      </c>
      <c r="CQ44" s="83">
        <f t="shared" si="35"/>
        <v>0.057</v>
      </c>
      <c r="CR44" s="83">
        <f t="shared" si="35"/>
        <v>0.057</v>
      </c>
      <c r="CS44" s="83">
        <f t="shared" si="35"/>
        <v>0.057</v>
      </c>
      <c r="CT44" s="83">
        <f t="shared" si="35"/>
        <v>0.057</v>
      </c>
      <c r="CU44" s="83">
        <f t="shared" si="35"/>
        <v>0.057</v>
      </c>
      <c r="CV44" s="83">
        <f t="shared" si="35"/>
        <v>0.057</v>
      </c>
      <c r="CW44" s="83">
        <f t="shared" si="35"/>
        <v>0.057</v>
      </c>
      <c r="CX44" s="83">
        <f t="shared" si="35"/>
        <v>0.057</v>
      </c>
      <c r="CY44" s="83">
        <f t="shared" si="35"/>
        <v>0.057</v>
      </c>
      <c r="CZ44" s="83">
        <f t="shared" si="35"/>
        <v>0.057</v>
      </c>
      <c r="DA44" s="83">
        <f t="shared" si="35"/>
        <v>0.057</v>
      </c>
      <c r="DB44" s="83">
        <f t="shared" si="35"/>
        <v>0.057</v>
      </c>
      <c r="DC44" s="83">
        <f t="shared" si="35"/>
        <v>0.057</v>
      </c>
      <c r="DD44" s="83">
        <f t="shared" si="35"/>
        <v>0.057</v>
      </c>
      <c r="DE44" s="83">
        <f t="shared" si="35"/>
        <v>0.057</v>
      </c>
      <c r="DF44" s="83">
        <f t="shared" si="35"/>
        <v>0.057</v>
      </c>
      <c r="DG44" s="83">
        <f t="shared" si="35"/>
        <v>0.057</v>
      </c>
      <c r="DH44" s="83">
        <f t="shared" si="35"/>
        <v>0.057</v>
      </c>
      <c r="DI44" s="83">
        <f t="shared" si="35"/>
        <v>0.057</v>
      </c>
      <c r="DJ44" s="83">
        <f t="shared" si="35"/>
        <v>0.057</v>
      </c>
      <c r="DK44" s="83">
        <f t="shared" si="35"/>
        <v>0.057</v>
      </c>
      <c r="DL44" s="83">
        <f t="shared" si="35"/>
        <v>0.057</v>
      </c>
      <c r="DM44" s="83">
        <f t="shared" si="35"/>
        <v>0.057</v>
      </c>
      <c r="DN44" s="83">
        <f t="shared" si="35"/>
        <v>0.057</v>
      </c>
      <c r="DO44" s="83">
        <f t="shared" si="35"/>
        <v>0.057</v>
      </c>
      <c r="DP44" s="83">
        <f t="shared" si="35"/>
        <v>0.057</v>
      </c>
      <c r="DQ44" s="83">
        <f t="shared" si="35"/>
        <v>0.057</v>
      </c>
      <c r="DR44" s="83">
        <f t="shared" si="35"/>
        <v>0.057</v>
      </c>
      <c r="DS44" s="83">
        <f t="shared" si="35"/>
        <v>0.057</v>
      </c>
      <c r="DT44" s="83">
        <f t="shared" si="35"/>
        <v>0.057</v>
      </c>
      <c r="DU44" s="83">
        <f t="shared" si="35"/>
        <v>0.057</v>
      </c>
      <c r="DV44" s="83">
        <f t="shared" si="35"/>
        <v>0.057</v>
      </c>
      <c r="DW44" s="83">
        <f t="shared" si="35"/>
        <v>0.057</v>
      </c>
      <c r="DX44" s="83">
        <f t="shared" si="35"/>
        <v>0.057</v>
      </c>
      <c r="DY44" s="83">
        <f t="shared" si="35"/>
        <v>0.057</v>
      </c>
      <c r="DZ44" s="83">
        <f t="shared" si="35"/>
        <v>0.057</v>
      </c>
      <c r="EA44" s="83">
        <f t="shared" si="35"/>
        <v>0.057</v>
      </c>
      <c r="EB44" s="83">
        <f t="shared" si="35"/>
        <v>0.057</v>
      </c>
      <c r="EC44" s="83">
        <f t="shared" si="35"/>
        <v>0.057</v>
      </c>
      <c r="ED44" s="83">
        <f t="shared" si="35"/>
        <v>0.057</v>
      </c>
      <c r="EE44" s="83">
        <f t="shared" si="35"/>
        <v>0.057</v>
      </c>
      <c r="EF44" s="83">
        <f t="shared" si="35"/>
        <v>0.057</v>
      </c>
      <c r="EG44" s="83">
        <f t="shared" si="35"/>
        <v>0.057</v>
      </c>
      <c r="EH44" s="83">
        <f t="shared" si="35"/>
        <v>0.057</v>
      </c>
      <c r="EI44" s="83">
        <f t="shared" si="35"/>
        <v>0.057</v>
      </c>
      <c r="EJ44" s="83">
        <f t="shared" si="35"/>
        <v>0.057</v>
      </c>
      <c r="EK44" s="83">
        <f t="shared" si="35"/>
        <v>0.057</v>
      </c>
      <c r="EL44" s="83">
        <f t="shared" si="35"/>
        <v>0.057</v>
      </c>
      <c r="EM44" s="83">
        <f t="shared" si="35"/>
        <v>0.057</v>
      </c>
      <c r="EN44" s="83">
        <f t="shared" si="35"/>
        <v>0.057</v>
      </c>
      <c r="EO44" s="83">
        <f t="shared" si="35"/>
        <v>0.057</v>
      </c>
      <c r="EP44" s="83">
        <f t="shared" si="35"/>
        <v>0.057</v>
      </c>
      <c r="EQ44" s="83">
        <f t="shared" si="35"/>
        <v>0.057</v>
      </c>
      <c r="ER44" s="83">
        <f t="shared" si="35"/>
        <v>0.057</v>
      </c>
      <c r="ES44" s="83">
        <f t="shared" si="35"/>
        <v>0.057</v>
      </c>
      <c r="ET44" s="83">
        <f t="shared" si="35"/>
        <v>0.057</v>
      </c>
      <c r="EU44" s="83">
        <f t="shared" si="35"/>
        <v>0.057</v>
      </c>
      <c r="EV44" s="83">
        <f t="shared" si="35"/>
        <v>0.057</v>
      </c>
      <c r="EW44" s="83">
        <f t="shared" si="35"/>
        <v>0.057</v>
      </c>
      <c r="EX44" s="83">
        <f t="shared" si="35"/>
        <v>0.057</v>
      </c>
      <c r="EY44" s="83">
        <f t="shared" si="35"/>
        <v>0.057</v>
      </c>
      <c r="EZ44" s="83">
        <f t="shared" si="35"/>
        <v>0.057</v>
      </c>
      <c r="FA44" s="83">
        <f t="shared" si="35"/>
        <v>0.057</v>
      </c>
      <c r="FB44" s="83">
        <f t="shared" si="35"/>
        <v>0.057</v>
      </c>
      <c r="FC44" s="83">
        <f t="shared" si="35"/>
        <v>0.057</v>
      </c>
      <c r="FD44" s="83">
        <f t="shared" si="35"/>
        <v>0.057</v>
      </c>
      <c r="FE44" s="83">
        <f t="shared" si="35"/>
        <v>0.057</v>
      </c>
      <c r="FF44" s="83">
        <f t="shared" si="35"/>
        <v>0.057</v>
      </c>
      <c r="FG44" s="83">
        <f t="shared" si="35"/>
        <v>0.057</v>
      </c>
      <c r="FH44" s="83">
        <f t="shared" si="35"/>
        <v>0.057</v>
      </c>
      <c r="FI44" s="83">
        <f t="shared" si="35"/>
        <v>0.057</v>
      </c>
      <c r="FJ44" s="83">
        <f t="shared" si="35"/>
        <v>0.057</v>
      </c>
      <c r="FK44" s="83">
        <f t="shared" si="35"/>
        <v>0.057</v>
      </c>
      <c r="FL44" s="83">
        <f t="shared" si="35"/>
        <v>0.057</v>
      </c>
      <c r="FM44" s="83">
        <f t="shared" si="35"/>
        <v>0.057</v>
      </c>
      <c r="FN44" s="83">
        <f t="shared" si="35"/>
        <v>0.057</v>
      </c>
      <c r="FO44" s="83">
        <f t="shared" si="35"/>
        <v>0.057</v>
      </c>
      <c r="FP44" s="83">
        <f t="shared" si="35"/>
        <v>0.057</v>
      </c>
      <c r="FQ44" s="83">
        <f t="shared" si="35"/>
        <v>0.057</v>
      </c>
      <c r="FR44" s="83">
        <f t="shared" si="35"/>
        <v>0.057</v>
      </c>
      <c r="FS44" s="83">
        <f t="shared" si="35"/>
        <v>0.057</v>
      </c>
      <c r="FT44" s="83">
        <f t="shared" si="35"/>
        <v>0.057</v>
      </c>
      <c r="FU44" s="83">
        <f t="shared" si="35"/>
        <v>0.057</v>
      </c>
      <c r="FV44" s="83">
        <f t="shared" si="35"/>
        <v>0.057</v>
      </c>
      <c r="FW44" s="83">
        <f t="shared" si="35"/>
        <v>0.057</v>
      </c>
      <c r="FX44" s="83">
        <f t="shared" si="35"/>
        <v>0.057</v>
      </c>
      <c r="FY44" s="83">
        <f t="shared" si="35"/>
        <v>0.057</v>
      </c>
      <c r="FZ44" s="83">
        <f t="shared" si="35"/>
        <v>0.057</v>
      </c>
      <c r="GA44" s="83">
        <f t="shared" si="35"/>
        <v>0.057</v>
      </c>
      <c r="GB44" s="83">
        <f t="shared" si="35"/>
        <v>0.057</v>
      </c>
      <c r="GC44" s="83">
        <f t="shared" si="35"/>
        <v>0.057</v>
      </c>
      <c r="GD44" s="83">
        <f t="shared" si="35"/>
        <v>0.057</v>
      </c>
      <c r="GE44" s="83">
        <f t="shared" si="35"/>
        <v>0.057</v>
      </c>
      <c r="GF44" s="83">
        <f t="shared" si="35"/>
        <v>0.057</v>
      </c>
      <c r="GG44" s="83">
        <f t="shared" si="35"/>
        <v>0.057</v>
      </c>
      <c r="GH44" s="83">
        <f t="shared" si="35"/>
        <v>0.057</v>
      </c>
      <c r="GI44" s="83">
        <f t="shared" si="35"/>
        <v>0.057</v>
      </c>
      <c r="GJ44" s="83">
        <f t="shared" si="35"/>
        <v>0.057</v>
      </c>
      <c r="GK44" s="83">
        <f t="shared" si="35"/>
        <v>0.057</v>
      </c>
      <c r="GL44" s="83">
        <f t="shared" si="35"/>
        <v>0.057</v>
      </c>
      <c r="GM44" s="83">
        <f t="shared" si="35"/>
        <v>0.057</v>
      </c>
      <c r="GN44" s="83">
        <f t="shared" si="35"/>
        <v>0.057</v>
      </c>
      <c r="GO44" s="83">
        <f t="shared" si="35"/>
        <v>0.057</v>
      </c>
      <c r="GP44" s="83">
        <f t="shared" si="35"/>
        <v>0.057</v>
      </c>
      <c r="GQ44" s="83">
        <f t="shared" si="35"/>
        <v>0.057</v>
      </c>
      <c r="GR44" s="83">
        <f t="shared" si="35"/>
        <v>0.057</v>
      </c>
      <c r="GS44" s="83">
        <f t="shared" si="35"/>
        <v>0.057</v>
      </c>
      <c r="GT44" s="83">
        <f t="shared" si="35"/>
        <v>0.057</v>
      </c>
      <c r="GU44" s="83">
        <f t="shared" si="35"/>
        <v>0.057</v>
      </c>
      <c r="GV44" s="83">
        <f t="shared" si="35"/>
        <v>0.057</v>
      </c>
      <c r="GW44" s="83">
        <f t="shared" si="35"/>
        <v>0.057</v>
      </c>
      <c r="GX44" s="83">
        <f t="shared" si="35"/>
        <v>0.057</v>
      </c>
      <c r="GY44" s="83">
        <f t="shared" si="35"/>
        <v>0.057</v>
      </c>
      <c r="GZ44" s="83">
        <f t="shared" si="35"/>
        <v>0.057</v>
      </c>
      <c r="HA44" s="83">
        <f t="shared" si="35"/>
        <v>0.057</v>
      </c>
      <c r="HB44" s="83">
        <f t="shared" si="35"/>
        <v>0.057</v>
      </c>
      <c r="HC44" s="83">
        <f t="shared" si="35"/>
        <v>0.057</v>
      </c>
      <c r="HD44" s="83">
        <f t="shared" si="35"/>
        <v>0.057</v>
      </c>
      <c r="HE44" s="83">
        <f t="shared" si="35"/>
        <v>0.057</v>
      </c>
      <c r="HF44" s="83">
        <f t="shared" si="35"/>
        <v>0.057</v>
      </c>
      <c r="HG44" s="83">
        <f t="shared" si="35"/>
        <v>0.057</v>
      </c>
      <c r="HH44" s="83">
        <f t="shared" si="35"/>
        <v>0.057</v>
      </c>
      <c r="HI44" s="83">
        <f t="shared" si="35"/>
        <v>0.057</v>
      </c>
      <c r="HJ44" s="83">
        <f t="shared" si="35"/>
        <v>0.057</v>
      </c>
      <c r="HK44" s="83">
        <f t="shared" si="35"/>
        <v>0.057</v>
      </c>
      <c r="HL44" s="83">
        <f t="shared" si="35"/>
        <v>0.057</v>
      </c>
      <c r="HM44" s="83">
        <f t="shared" si="35"/>
        <v>0.057</v>
      </c>
      <c r="HN44" s="83">
        <f t="shared" si="35"/>
        <v>0.057</v>
      </c>
      <c r="HO44" s="83">
        <f t="shared" si="35"/>
        <v>0.057</v>
      </c>
      <c r="HP44" s="83">
        <f t="shared" si="35"/>
        <v>0.057</v>
      </c>
      <c r="HQ44" s="83">
        <f t="shared" si="35"/>
        <v>0.057</v>
      </c>
      <c r="HR44" s="83">
        <f t="shared" si="35"/>
        <v>0.057</v>
      </c>
      <c r="HS44" s="83">
        <f t="shared" si="35"/>
        <v>0.057</v>
      </c>
      <c r="HT44" s="83">
        <f t="shared" si="35"/>
        <v>0.057</v>
      </c>
      <c r="HU44" s="83">
        <f t="shared" si="35"/>
        <v>0.057</v>
      </c>
      <c r="HV44" s="83">
        <f t="shared" si="35"/>
        <v>0.057</v>
      </c>
      <c r="HW44" s="83">
        <f t="shared" si="35"/>
        <v>0.057</v>
      </c>
      <c r="HX44" s="83">
        <f t="shared" si="35"/>
        <v>0.057</v>
      </c>
      <c r="HY44" s="83">
        <f t="shared" si="35"/>
        <v>0.057</v>
      </c>
      <c r="HZ44" s="83">
        <f t="shared" si="35"/>
        <v>0.057</v>
      </c>
      <c r="IA44" s="83">
        <f t="shared" si="35"/>
        <v>0.057</v>
      </c>
      <c r="IB44" s="83">
        <f t="shared" si="35"/>
        <v>0.057</v>
      </c>
      <c r="IC44" s="83">
        <f t="shared" si="35"/>
        <v>0.057</v>
      </c>
      <c r="ID44" s="83">
        <f t="shared" si="35"/>
        <v>0.057</v>
      </c>
      <c r="IE44" s="83">
        <f t="shared" si="35"/>
        <v>0.057</v>
      </c>
      <c r="IF44" s="83">
        <f t="shared" si="35"/>
        <v>0.057</v>
      </c>
      <c r="IG44" s="83">
        <f t="shared" si="35"/>
        <v>0.057</v>
      </c>
      <c r="IH44" s="83">
        <f t="shared" si="35"/>
        <v>0.057</v>
      </c>
      <c r="II44" s="83">
        <f t="shared" si="35"/>
        <v>0.057</v>
      </c>
      <c r="IJ44" s="83">
        <f t="shared" si="35"/>
        <v>0.057</v>
      </c>
      <c r="IK44" s="83">
        <f t="shared" si="35"/>
        <v>0.057</v>
      </c>
      <c r="IL44" s="83">
        <f t="shared" si="35"/>
        <v>0.057</v>
      </c>
      <c r="IM44" s="83">
        <f t="shared" si="35"/>
        <v>0.057</v>
      </c>
      <c r="IN44" s="83">
        <f t="shared" si="35"/>
        <v>0.057</v>
      </c>
      <c r="IO44" s="83">
        <f t="shared" si="35"/>
        <v>0.057</v>
      </c>
      <c r="IP44" s="83">
        <f t="shared" si="35"/>
        <v>0.057</v>
      </c>
      <c r="IQ44" s="83">
        <f t="shared" si="35"/>
        <v>0.057</v>
      </c>
      <c r="IR44" s="83">
        <f t="shared" si="35"/>
        <v>0.057</v>
      </c>
      <c r="IS44" s="83">
        <f t="shared" si="35"/>
        <v>0.057</v>
      </c>
      <c r="IT44" s="83">
        <f t="shared" si="35"/>
        <v>0.057</v>
      </c>
      <c r="IU44" s="83">
        <f t="shared" si="35"/>
        <v>0.057</v>
      </c>
      <c r="IV44" s="83">
        <f t="shared" si="35"/>
        <v>0.057</v>
      </c>
      <c r="IW44" s="83">
        <f t="shared" si="35"/>
        <v>0.057</v>
      </c>
      <c r="IX44" s="83">
        <f t="shared" si="35"/>
        <v>0.057</v>
      </c>
      <c r="IY44" s="83">
        <f t="shared" si="35"/>
        <v>0.057</v>
      </c>
      <c r="IZ44" s="83">
        <f t="shared" si="35"/>
        <v>0.057</v>
      </c>
      <c r="JA44" s="83">
        <f t="shared" si="35"/>
        <v>0.057</v>
      </c>
      <c r="JB44" s="83">
        <f t="shared" si="35"/>
        <v>0.057</v>
      </c>
      <c r="JC44" s="83">
        <f t="shared" si="35"/>
        <v>0.057</v>
      </c>
      <c r="JD44" s="83">
        <f t="shared" si="35"/>
        <v>0.057</v>
      </c>
      <c r="JE44" s="83">
        <f t="shared" si="35"/>
        <v>0.057</v>
      </c>
      <c r="JF44" s="83">
        <f t="shared" si="35"/>
        <v>0.057</v>
      </c>
      <c r="JG44" s="83">
        <f t="shared" si="35"/>
        <v>0.057</v>
      </c>
      <c r="JH44" s="83">
        <f t="shared" si="35"/>
        <v>0.057</v>
      </c>
      <c r="JI44" s="83">
        <f t="shared" si="35"/>
        <v>0.057</v>
      </c>
      <c r="JJ44" s="83">
        <f t="shared" si="35"/>
        <v>0.057</v>
      </c>
      <c r="JK44" s="83">
        <f t="shared" si="35"/>
        <v>0.057</v>
      </c>
      <c r="JL44" s="83">
        <f t="shared" si="35"/>
        <v>0.057</v>
      </c>
      <c r="JM44" s="83">
        <f t="shared" si="35"/>
        <v>0.057</v>
      </c>
      <c r="JN44" s="83">
        <f t="shared" si="35"/>
        <v>0.057</v>
      </c>
      <c r="JO44" s="83">
        <f t="shared" si="35"/>
        <v>0.057</v>
      </c>
      <c r="JP44" s="83">
        <f t="shared" si="35"/>
        <v>0.057</v>
      </c>
      <c r="JQ44" s="83">
        <f t="shared" si="35"/>
        <v>0.057</v>
      </c>
      <c r="JR44" s="83">
        <f t="shared" si="35"/>
        <v>0.057</v>
      </c>
      <c r="JS44" s="83">
        <f t="shared" si="35"/>
        <v>0.057</v>
      </c>
      <c r="JT44" s="83">
        <f t="shared" si="35"/>
        <v>0.057</v>
      </c>
      <c r="JU44" s="83">
        <f t="shared" si="35"/>
        <v>0.057</v>
      </c>
      <c r="JV44" s="83">
        <f t="shared" si="35"/>
        <v>0.057</v>
      </c>
      <c r="JW44" s="83">
        <f t="shared" si="35"/>
        <v>0.057</v>
      </c>
      <c r="JX44" s="83">
        <f t="shared" si="35"/>
        <v>0.057</v>
      </c>
      <c r="JY44" s="83">
        <f t="shared" si="35"/>
        <v>0.057</v>
      </c>
      <c r="JZ44" s="83">
        <f t="shared" si="35"/>
        <v>0.057</v>
      </c>
      <c r="KA44" s="83">
        <f t="shared" si="35"/>
        <v>0.057</v>
      </c>
      <c r="KB44" s="83">
        <f t="shared" si="35"/>
        <v>0.057</v>
      </c>
      <c r="KC44" s="83">
        <f t="shared" si="35"/>
        <v>0.057</v>
      </c>
      <c r="KD44" s="83">
        <f t="shared" si="35"/>
        <v>0.057</v>
      </c>
      <c r="KE44" s="83">
        <f t="shared" si="35"/>
        <v>0.057</v>
      </c>
      <c r="KF44" s="83">
        <f t="shared" si="35"/>
        <v>0.057</v>
      </c>
      <c r="KG44" s="83">
        <f t="shared" si="35"/>
        <v>0.057</v>
      </c>
      <c r="KH44" s="83">
        <f t="shared" si="35"/>
        <v>0.057</v>
      </c>
      <c r="KI44" s="83">
        <f t="shared" si="35"/>
        <v>0.057</v>
      </c>
      <c r="KJ44" s="83">
        <f t="shared" si="35"/>
        <v>0.057</v>
      </c>
      <c r="KK44" s="83">
        <f t="shared" si="35"/>
        <v>0.057</v>
      </c>
      <c r="KL44" s="83">
        <f t="shared" si="35"/>
        <v>0.057</v>
      </c>
      <c r="KM44" s="83">
        <f t="shared" si="35"/>
        <v>0.057</v>
      </c>
      <c r="KN44" s="83">
        <f t="shared" si="35"/>
        <v>0.057</v>
      </c>
      <c r="KO44" s="83">
        <f t="shared" si="35"/>
        <v>0.057</v>
      </c>
      <c r="KP44" s="83">
        <f t="shared" si="35"/>
        <v>0.057</v>
      </c>
      <c r="KQ44" s="83">
        <f t="shared" si="35"/>
        <v>0.057</v>
      </c>
      <c r="KR44" s="83">
        <f t="shared" si="35"/>
        <v>0.057</v>
      </c>
      <c r="KS44" s="83">
        <f t="shared" si="35"/>
        <v>0.057</v>
      </c>
      <c r="KT44" s="83">
        <f t="shared" si="35"/>
        <v>0.057</v>
      </c>
      <c r="KU44" s="83">
        <f t="shared" si="35"/>
        <v>0.057</v>
      </c>
      <c r="KV44" s="83">
        <f t="shared" si="35"/>
        <v>0.057</v>
      </c>
      <c r="KW44" s="83">
        <f t="shared" si="35"/>
        <v>0.057</v>
      </c>
      <c r="KX44" s="83">
        <f t="shared" si="35"/>
        <v>0.057</v>
      </c>
      <c r="KY44" s="83">
        <f t="shared" si="35"/>
        <v>0.057</v>
      </c>
      <c r="KZ44" s="83">
        <f t="shared" si="35"/>
        <v>0.057</v>
      </c>
      <c r="LA44" s="83">
        <f t="shared" si="35"/>
        <v>0.057</v>
      </c>
      <c r="LB44" s="83">
        <f t="shared" si="35"/>
        <v>0.057</v>
      </c>
      <c r="LC44" s="83">
        <f t="shared" si="35"/>
        <v>0.057</v>
      </c>
      <c r="LD44" s="83">
        <f t="shared" si="35"/>
        <v>0.057</v>
      </c>
      <c r="LE44" s="83">
        <f t="shared" si="35"/>
        <v>0.057</v>
      </c>
      <c r="LF44" s="83">
        <f t="shared" si="35"/>
        <v>0.057</v>
      </c>
      <c r="LG44" s="83">
        <f t="shared" si="35"/>
        <v>0.057</v>
      </c>
      <c r="LH44" s="83">
        <f t="shared" si="35"/>
        <v>0.057</v>
      </c>
      <c r="LI44" s="83">
        <f t="shared" si="35"/>
        <v>0.057</v>
      </c>
      <c r="LJ44" s="83">
        <f t="shared" si="35"/>
        <v>0.057</v>
      </c>
      <c r="LK44" s="83">
        <f t="shared" si="35"/>
        <v>0.057</v>
      </c>
      <c r="LL44" s="83">
        <f t="shared" si="35"/>
        <v>0.057</v>
      </c>
      <c r="LM44" s="83">
        <f t="shared" si="35"/>
        <v>0.057</v>
      </c>
      <c r="LN44" s="83">
        <f t="shared" si="35"/>
        <v>0.057</v>
      </c>
      <c r="LO44" s="83">
        <f t="shared" si="35"/>
        <v>0.057</v>
      </c>
      <c r="LP44" s="83">
        <f t="shared" si="35"/>
        <v>0.057</v>
      </c>
      <c r="LQ44" s="83">
        <f t="shared" si="35"/>
        <v>0.057</v>
      </c>
      <c r="LR44" s="83">
        <f t="shared" si="35"/>
        <v>0.057</v>
      </c>
      <c r="LS44" s="83">
        <f t="shared" si="35"/>
        <v>0.057</v>
      </c>
      <c r="LT44" s="83">
        <f t="shared" si="35"/>
        <v>0.057</v>
      </c>
      <c r="LU44" s="83">
        <f t="shared" si="35"/>
        <v>0.057</v>
      </c>
      <c r="LV44" s="83">
        <f t="shared" si="35"/>
        <v>0.057</v>
      </c>
      <c r="LW44" s="83">
        <f t="shared" si="35"/>
        <v>0.057</v>
      </c>
      <c r="LX44" s="83">
        <f t="shared" si="35"/>
        <v>0.057</v>
      </c>
      <c r="LY44" s="83">
        <f t="shared" si="35"/>
        <v>0.057</v>
      </c>
      <c r="LZ44" s="83">
        <f t="shared" si="35"/>
        <v>0.057</v>
      </c>
      <c r="MA44" s="83">
        <f t="shared" si="35"/>
        <v>0.057</v>
      </c>
      <c r="MB44" s="83">
        <f t="shared" si="35"/>
        <v>0.057</v>
      </c>
      <c r="MC44" s="83">
        <f t="shared" si="35"/>
        <v>0.057</v>
      </c>
      <c r="MD44" s="83">
        <f t="shared" si="35"/>
        <v>0.057</v>
      </c>
      <c r="ME44" s="83">
        <f t="shared" si="35"/>
        <v>0.057</v>
      </c>
      <c r="MF44" s="83">
        <f t="shared" si="35"/>
        <v>0.057</v>
      </c>
      <c r="MG44" s="83">
        <f t="shared" si="35"/>
        <v>0.057</v>
      </c>
      <c r="MH44" s="83">
        <f t="shared" si="35"/>
        <v>0.057</v>
      </c>
      <c r="MI44" s="83">
        <f t="shared" si="35"/>
        <v>0.057</v>
      </c>
      <c r="MJ44" s="83">
        <f t="shared" si="35"/>
        <v>0.057</v>
      </c>
      <c r="MK44" s="83">
        <f t="shared" si="35"/>
        <v>0.057</v>
      </c>
      <c r="ML44" s="83">
        <f t="shared" si="35"/>
        <v>0.057</v>
      </c>
      <c r="MM44" s="83">
        <f t="shared" si="35"/>
        <v>0.057</v>
      </c>
      <c r="MN44" s="83">
        <f t="shared" si="35"/>
        <v>0.057</v>
      </c>
      <c r="MO44" s="83">
        <f t="shared" si="35"/>
        <v>0.057</v>
      </c>
      <c r="MP44" s="83">
        <f t="shared" si="35"/>
        <v>0.057</v>
      </c>
      <c r="MQ44" s="83">
        <f t="shared" si="35"/>
        <v>0.057</v>
      </c>
      <c r="MR44" s="83">
        <f t="shared" si="35"/>
        <v>0.057</v>
      </c>
      <c r="MS44" s="83">
        <f t="shared" si="35"/>
        <v>0.057</v>
      </c>
      <c r="MT44" s="83">
        <f t="shared" si="35"/>
        <v>0.057</v>
      </c>
      <c r="MU44" s="83">
        <f t="shared" si="35"/>
        <v>0.057</v>
      </c>
      <c r="MV44" s="83">
        <f t="shared" si="35"/>
        <v>0.057</v>
      </c>
      <c r="MW44" s="83">
        <f t="shared" si="35"/>
        <v>0.057</v>
      </c>
      <c r="MX44" s="83">
        <f t="shared" si="35"/>
        <v>0.057</v>
      </c>
      <c r="MY44" s="83">
        <f t="shared" si="35"/>
        <v>0.057</v>
      </c>
      <c r="MZ44" s="83">
        <f t="shared" si="35"/>
        <v>0.057</v>
      </c>
      <c r="NA44" s="83">
        <f t="shared" si="35"/>
        <v>0.057</v>
      </c>
      <c r="NB44" s="83">
        <f t="shared" si="35"/>
        <v>0.057</v>
      </c>
      <c r="NC44" s="83">
        <f t="shared" si="35"/>
        <v>0.057</v>
      </c>
      <c r="ND44" s="83">
        <f t="shared" si="35"/>
        <v>0.057</v>
      </c>
      <c r="NE44" s="83">
        <f t="shared" si="35"/>
        <v>0.057</v>
      </c>
      <c r="NF44" s="83">
        <f t="shared" si="35"/>
        <v>0.057</v>
      </c>
      <c r="NG44" s="83">
        <f t="shared" si="35"/>
        <v>0.057</v>
      </c>
      <c r="NH44" s="83">
        <f t="shared" si="35"/>
        <v>0.057</v>
      </c>
      <c r="NI44" s="83">
        <f t="shared" si="35"/>
        <v>0.057</v>
      </c>
      <c r="NJ44" s="83">
        <f t="shared" si="35"/>
        <v>0.057</v>
      </c>
      <c r="NK44" s="83">
        <f t="shared" si="35"/>
        <v>0.057</v>
      </c>
      <c r="NL44" s="83">
        <f t="shared" si="35"/>
        <v>0.057</v>
      </c>
      <c r="NM44" s="83">
        <f t="shared" si="35"/>
        <v>0.057</v>
      </c>
      <c r="NN44" s="83">
        <f t="shared" si="35"/>
        <v>0.057</v>
      </c>
      <c r="NO44" s="83">
        <f t="shared" si="35"/>
        <v>0.057</v>
      </c>
      <c r="NP44" s="83">
        <f t="shared" si="35"/>
        <v>0.057</v>
      </c>
      <c r="NQ44" s="83">
        <f t="shared" si="35"/>
        <v>0.057</v>
      </c>
      <c r="NR44" s="83">
        <f t="shared" si="35"/>
        <v>0.057</v>
      </c>
      <c r="NS44" s="83">
        <f t="shared" si="35"/>
        <v>0.057</v>
      </c>
      <c r="NT44" s="83">
        <f t="shared" si="35"/>
        <v>0.057</v>
      </c>
      <c r="NU44" s="83">
        <f t="shared" si="35"/>
        <v>0.057</v>
      </c>
      <c r="NV44" s="83">
        <f t="shared" si="35"/>
        <v>0.057</v>
      </c>
      <c r="NW44" s="83">
        <f t="shared" si="35"/>
        <v>0.057</v>
      </c>
      <c r="NX44" s="83">
        <f t="shared" si="35"/>
        <v>0.057</v>
      </c>
      <c r="NY44" s="83">
        <f t="shared" si="35"/>
        <v>0.057</v>
      </c>
      <c r="NZ44" s="83">
        <f t="shared" si="35"/>
        <v>0.057</v>
      </c>
      <c r="OA44" s="83">
        <f t="shared" si="35"/>
        <v>0.057</v>
      </c>
      <c r="OB44" s="83">
        <f t="shared" si="35"/>
        <v>0.057</v>
      </c>
      <c r="OC44" s="83">
        <f t="shared" si="35"/>
        <v>0.057</v>
      </c>
      <c r="OD44" s="83">
        <f t="shared" si="35"/>
        <v>0.057</v>
      </c>
      <c r="OE44" s="83">
        <f t="shared" si="35"/>
        <v>0.057</v>
      </c>
      <c r="OF44" s="83">
        <f t="shared" si="35"/>
        <v>0.057</v>
      </c>
      <c r="OG44" s="83">
        <f t="shared" si="35"/>
        <v>0.057</v>
      </c>
      <c r="OH44" s="83">
        <f t="shared" si="35"/>
        <v>0.057</v>
      </c>
      <c r="OI44" s="83">
        <f t="shared" si="35"/>
        <v>0.057</v>
      </c>
      <c r="OJ44" s="83">
        <f t="shared" si="35"/>
        <v>0.057</v>
      </c>
      <c r="OK44" s="83">
        <f t="shared" si="35"/>
        <v>0.057</v>
      </c>
      <c r="OL44" s="83">
        <f t="shared" si="35"/>
        <v>0.057</v>
      </c>
      <c r="OM44" s="83">
        <f t="shared" si="35"/>
        <v>0.057</v>
      </c>
      <c r="ON44" s="83">
        <f t="shared" si="35"/>
        <v>0.057</v>
      </c>
      <c r="OO44" s="83">
        <f t="shared" si="35"/>
        <v>0.057</v>
      </c>
      <c r="OP44" s="83">
        <f t="shared" si="35"/>
        <v>0.057</v>
      </c>
      <c r="OQ44" s="83">
        <f t="shared" si="35"/>
        <v>0.057</v>
      </c>
      <c r="OR44" s="83">
        <f t="shared" si="35"/>
        <v>0.057</v>
      </c>
      <c r="OS44" s="83">
        <f t="shared" si="35"/>
        <v>0.057</v>
      </c>
      <c r="OT44" s="83">
        <f t="shared" si="35"/>
        <v>0.057</v>
      </c>
      <c r="OU44" s="83">
        <f t="shared" si="35"/>
        <v>0.057</v>
      </c>
      <c r="OV44" s="83">
        <f t="shared" si="35"/>
        <v>0.057</v>
      </c>
      <c r="OW44" s="83">
        <f t="shared" si="35"/>
        <v>0.057</v>
      </c>
      <c r="OX44" s="83">
        <f t="shared" si="35"/>
        <v>0.057</v>
      </c>
      <c r="OY44" s="83">
        <f t="shared" si="35"/>
        <v>0.057</v>
      </c>
      <c r="OZ44" s="83">
        <f t="shared" si="35"/>
        <v>0.057</v>
      </c>
      <c r="PA44" s="83">
        <f t="shared" si="35"/>
        <v>0.057</v>
      </c>
      <c r="PB44" s="83">
        <f t="shared" si="35"/>
        <v>0.057</v>
      </c>
      <c r="PC44" s="83">
        <f t="shared" si="35"/>
        <v>0.057</v>
      </c>
      <c r="PD44" s="83">
        <f t="shared" si="35"/>
        <v>0.057</v>
      </c>
      <c r="PE44" s="83">
        <f t="shared" si="35"/>
        <v>0.057</v>
      </c>
      <c r="PF44" s="83">
        <f t="shared" si="35"/>
        <v>0.057</v>
      </c>
      <c r="PG44" s="83">
        <f t="shared" si="35"/>
        <v>0.057</v>
      </c>
      <c r="PH44" s="83">
        <f t="shared" si="35"/>
        <v>0.057</v>
      </c>
      <c r="PI44" s="83">
        <f t="shared" si="35"/>
        <v>0.057</v>
      </c>
      <c r="PJ44" s="83">
        <f t="shared" si="35"/>
        <v>0.057</v>
      </c>
      <c r="PK44" s="83">
        <f t="shared" si="35"/>
        <v>0.057</v>
      </c>
      <c r="PL44" s="83">
        <f t="shared" si="35"/>
        <v>0.057</v>
      </c>
      <c r="PM44" s="83">
        <f t="shared" si="35"/>
        <v>0.057</v>
      </c>
      <c r="PN44" s="83">
        <f t="shared" si="35"/>
        <v>0.057</v>
      </c>
      <c r="PO44" s="83">
        <f t="shared" si="35"/>
        <v>0.057</v>
      </c>
      <c r="PP44" s="83">
        <f t="shared" si="35"/>
        <v>0.057</v>
      </c>
      <c r="PQ44" s="83">
        <f t="shared" si="35"/>
        <v>0.057</v>
      </c>
      <c r="PR44" s="83">
        <f t="shared" si="35"/>
        <v>0.057</v>
      </c>
      <c r="PS44" s="83">
        <f t="shared" si="35"/>
        <v>0.057</v>
      </c>
      <c r="PT44" s="83">
        <f t="shared" si="35"/>
        <v>0.057</v>
      </c>
      <c r="PU44" s="83">
        <f t="shared" si="35"/>
        <v>0.057</v>
      </c>
      <c r="PV44" s="83">
        <f t="shared" si="35"/>
        <v>0.057</v>
      </c>
      <c r="PW44" s="83">
        <f t="shared" si="35"/>
        <v>0.057</v>
      </c>
      <c r="PX44" s="83">
        <f t="shared" si="35"/>
        <v>0.057</v>
      </c>
      <c r="PY44" s="83">
        <f t="shared" si="35"/>
        <v>0.057</v>
      </c>
      <c r="PZ44" s="83">
        <f t="shared" si="35"/>
        <v>0.057</v>
      </c>
      <c r="QA44" s="83">
        <f t="shared" si="35"/>
        <v>0.057</v>
      </c>
      <c r="QB44" s="83">
        <f t="shared" si="35"/>
        <v>0.057</v>
      </c>
      <c r="QC44" s="83">
        <f t="shared" si="35"/>
        <v>0.057</v>
      </c>
      <c r="QD44" s="83">
        <f t="shared" si="35"/>
        <v>0.057</v>
      </c>
      <c r="QE44" s="83">
        <f t="shared" si="35"/>
        <v>0.057</v>
      </c>
      <c r="QF44" s="83">
        <f t="shared" si="35"/>
        <v>0.057</v>
      </c>
      <c r="QG44" s="83">
        <f t="shared" si="35"/>
        <v>0.057</v>
      </c>
      <c r="QH44" s="83">
        <f t="shared" si="35"/>
        <v>0.057</v>
      </c>
      <c r="QI44" s="83">
        <f t="shared" si="35"/>
        <v>0.057</v>
      </c>
      <c r="QJ44" s="83">
        <f t="shared" si="35"/>
        <v>0.057</v>
      </c>
      <c r="QK44" s="83">
        <f t="shared" si="35"/>
        <v>0.057</v>
      </c>
      <c r="QL44" s="83">
        <f t="shared" si="35"/>
        <v>0.057</v>
      </c>
      <c r="QM44" s="83">
        <f t="shared" si="35"/>
        <v>0.057</v>
      </c>
      <c r="QN44" s="83">
        <f t="shared" si="35"/>
        <v>0.057</v>
      </c>
      <c r="QO44" s="83">
        <f t="shared" si="35"/>
        <v>0.057</v>
      </c>
      <c r="QP44" s="83">
        <f t="shared" si="35"/>
        <v>0.057</v>
      </c>
      <c r="QQ44" s="83">
        <f t="shared" si="35"/>
        <v>0.057</v>
      </c>
      <c r="QR44" s="83">
        <f t="shared" si="35"/>
        <v>0.057</v>
      </c>
      <c r="QS44" s="83">
        <f t="shared" si="35"/>
        <v>0.057</v>
      </c>
      <c r="QT44" s="83">
        <f t="shared" si="35"/>
        <v>0.057</v>
      </c>
      <c r="QU44" s="83">
        <f t="shared" si="35"/>
        <v>0.057</v>
      </c>
      <c r="QV44" s="83">
        <f t="shared" si="35"/>
        <v>0.057</v>
      </c>
      <c r="QW44" s="83">
        <f t="shared" si="35"/>
        <v>0.057</v>
      </c>
      <c r="QX44" s="83">
        <f t="shared" si="35"/>
        <v>0.057</v>
      </c>
      <c r="QY44" s="83">
        <f t="shared" si="35"/>
        <v>0.057</v>
      </c>
      <c r="QZ44" s="83">
        <f t="shared" si="35"/>
        <v>0.057</v>
      </c>
      <c r="RA44" s="83">
        <f t="shared" si="35"/>
        <v>0.057</v>
      </c>
      <c r="RB44" s="83">
        <f t="shared" si="35"/>
        <v>0.057</v>
      </c>
      <c r="RC44" s="83">
        <f t="shared" si="35"/>
        <v>0.057</v>
      </c>
      <c r="RD44" s="83">
        <f t="shared" si="35"/>
        <v>0.057</v>
      </c>
      <c r="RE44" s="83">
        <f t="shared" si="35"/>
        <v>0.057</v>
      </c>
      <c r="RF44" s="83">
        <f t="shared" si="35"/>
        <v>0.057</v>
      </c>
      <c r="RG44" s="83">
        <f t="shared" si="35"/>
        <v>0.057</v>
      </c>
      <c r="RH44" s="83">
        <f t="shared" si="35"/>
        <v>0.057</v>
      </c>
      <c r="RI44" s="83">
        <f t="shared" si="35"/>
        <v>0.057</v>
      </c>
      <c r="RJ44" s="83">
        <f t="shared" si="35"/>
        <v>0.057</v>
      </c>
      <c r="RK44" s="83">
        <f t="shared" si="35"/>
        <v>0.057</v>
      </c>
      <c r="RL44" s="83">
        <f t="shared" si="35"/>
        <v>0.057</v>
      </c>
      <c r="RM44" s="83">
        <f t="shared" si="35"/>
        <v>0.057</v>
      </c>
      <c r="RN44" s="83">
        <f t="shared" si="35"/>
        <v>0.057</v>
      </c>
      <c r="RO44" s="83">
        <f t="shared" si="35"/>
        <v>0.057</v>
      </c>
      <c r="RP44" s="83">
        <f t="shared" si="35"/>
        <v>0.057</v>
      </c>
      <c r="RQ44" s="83">
        <f t="shared" si="35"/>
        <v>0.057</v>
      </c>
      <c r="RR44" s="83">
        <f t="shared" si="35"/>
        <v>0.057</v>
      </c>
      <c r="RS44" s="83">
        <f t="shared" si="35"/>
        <v>0.057</v>
      </c>
      <c r="RT44" s="83">
        <f t="shared" si="35"/>
        <v>0.057</v>
      </c>
      <c r="RU44" s="83">
        <f t="shared" si="35"/>
        <v>0.057</v>
      </c>
      <c r="RV44" s="83">
        <f t="shared" si="35"/>
        <v>0.057</v>
      </c>
      <c r="RW44" s="83">
        <f t="shared" si="35"/>
        <v>0.057</v>
      </c>
      <c r="RX44" s="83">
        <f t="shared" si="35"/>
        <v>0.057</v>
      </c>
      <c r="RY44" s="83">
        <f t="shared" si="35"/>
        <v>0.057</v>
      </c>
      <c r="RZ44" s="83">
        <f t="shared" si="35"/>
        <v>0.057</v>
      </c>
      <c r="SA44" s="83">
        <f t="shared" si="35"/>
        <v>0.057</v>
      </c>
      <c r="SB44" s="83">
        <f t="shared" si="35"/>
        <v>0.057</v>
      </c>
      <c r="SC44" s="83">
        <f t="shared" si="35"/>
        <v>0.057</v>
      </c>
      <c r="SD44" s="83">
        <f t="shared" si="35"/>
        <v>0.057</v>
      </c>
      <c r="SE44" s="83">
        <f t="shared" si="35"/>
        <v>0.057</v>
      </c>
      <c r="SF44" s="83">
        <f t="shared" si="35"/>
        <v>0.057</v>
      </c>
      <c r="SG44" s="83">
        <f t="shared" si="35"/>
        <v>0.057</v>
      </c>
      <c r="SH44" s="83">
        <f t="shared" si="35"/>
        <v>0.057</v>
      </c>
      <c r="SI44" s="83">
        <f t="shared" si="35"/>
        <v>0.057</v>
      </c>
      <c r="SJ44" s="83">
        <f t="shared" si="35"/>
        <v>0.057</v>
      </c>
      <c r="SK44" s="83">
        <f t="shared" si="35"/>
        <v>0.057</v>
      </c>
      <c r="SL44" s="83">
        <f t="shared" si="35"/>
        <v>0.057</v>
      </c>
    </row>
    <row r="45">
      <c r="A45" s="84" t="s">
        <v>375</v>
      </c>
      <c r="B45" s="220">
        <f t="array" ref="B45">INDEX('New CEA'!$B45:$F45,MATCH($B$2,'New CEA'!B$2:F$2,0))</f>
        <v>0.0462512</v>
      </c>
      <c r="C45" s="290"/>
      <c r="D45" s="291"/>
      <c r="E45" s="292"/>
      <c r="F45" s="83"/>
      <c r="G45" s="83">
        <f t="shared" ref="G45:SL45" si="36">$B45</f>
        <v>0.0462512</v>
      </c>
      <c r="H45" s="83">
        <f t="shared" si="36"/>
        <v>0.0462512</v>
      </c>
      <c r="I45" s="83">
        <f t="shared" si="36"/>
        <v>0.0462512</v>
      </c>
      <c r="J45" s="83">
        <f t="shared" si="36"/>
        <v>0.0462512</v>
      </c>
      <c r="K45" s="83">
        <f t="shared" si="36"/>
        <v>0.0462512</v>
      </c>
      <c r="L45" s="83">
        <f t="shared" si="36"/>
        <v>0.0462512</v>
      </c>
      <c r="M45" s="83">
        <f t="shared" si="36"/>
        <v>0.0462512</v>
      </c>
      <c r="N45" s="83">
        <f t="shared" si="36"/>
        <v>0.0462512</v>
      </c>
      <c r="O45" s="83">
        <f t="shared" si="36"/>
        <v>0.0462512</v>
      </c>
      <c r="P45" s="83">
        <f t="shared" si="36"/>
        <v>0.0462512</v>
      </c>
      <c r="Q45" s="83">
        <f t="shared" si="36"/>
        <v>0.0462512</v>
      </c>
      <c r="R45" s="83">
        <f t="shared" si="36"/>
        <v>0.0462512</v>
      </c>
      <c r="S45" s="83">
        <f t="shared" si="36"/>
        <v>0.0462512</v>
      </c>
      <c r="T45" s="83">
        <f t="shared" si="36"/>
        <v>0.0462512</v>
      </c>
      <c r="U45" s="83">
        <f t="shared" si="36"/>
        <v>0.0462512</v>
      </c>
      <c r="V45" s="83">
        <f t="shared" si="36"/>
        <v>0.0462512</v>
      </c>
      <c r="W45" s="83">
        <f t="shared" si="36"/>
        <v>0.0462512</v>
      </c>
      <c r="X45" s="83">
        <f t="shared" si="36"/>
        <v>0.0462512</v>
      </c>
      <c r="Y45" s="83">
        <f t="shared" si="36"/>
        <v>0.0462512</v>
      </c>
      <c r="Z45" s="83">
        <f t="shared" si="36"/>
        <v>0.0462512</v>
      </c>
      <c r="AA45" s="83">
        <f t="shared" si="36"/>
        <v>0.0462512</v>
      </c>
      <c r="AB45" s="83">
        <f t="shared" si="36"/>
        <v>0.0462512</v>
      </c>
      <c r="AC45" s="83">
        <f t="shared" si="36"/>
        <v>0.0462512</v>
      </c>
      <c r="AD45" s="83">
        <f t="shared" si="36"/>
        <v>0.0462512</v>
      </c>
      <c r="AE45" s="83">
        <f t="shared" si="36"/>
        <v>0.0462512</v>
      </c>
      <c r="AF45" s="83">
        <f t="shared" si="36"/>
        <v>0.0462512</v>
      </c>
      <c r="AG45" s="83">
        <f t="shared" si="36"/>
        <v>0.0462512</v>
      </c>
      <c r="AH45" s="83">
        <f t="shared" si="36"/>
        <v>0.0462512</v>
      </c>
      <c r="AI45" s="83">
        <f t="shared" si="36"/>
        <v>0.0462512</v>
      </c>
      <c r="AJ45" s="83">
        <f t="shared" si="36"/>
        <v>0.0462512</v>
      </c>
      <c r="AK45" s="83">
        <f t="shared" si="36"/>
        <v>0.0462512</v>
      </c>
      <c r="AL45" s="83">
        <f t="shared" si="36"/>
        <v>0.0462512</v>
      </c>
      <c r="AM45" s="83">
        <f t="shared" si="36"/>
        <v>0.0462512</v>
      </c>
      <c r="AN45" s="83">
        <f t="shared" si="36"/>
        <v>0.0462512</v>
      </c>
      <c r="AO45" s="83">
        <f t="shared" si="36"/>
        <v>0.0462512</v>
      </c>
      <c r="AP45" s="83">
        <f t="shared" si="36"/>
        <v>0.0462512</v>
      </c>
      <c r="AQ45" s="83">
        <f t="shared" si="36"/>
        <v>0.0462512</v>
      </c>
      <c r="AR45" s="83">
        <f t="shared" si="36"/>
        <v>0.0462512</v>
      </c>
      <c r="AS45" s="83">
        <f t="shared" si="36"/>
        <v>0.0462512</v>
      </c>
      <c r="AT45" s="83">
        <f t="shared" si="36"/>
        <v>0.0462512</v>
      </c>
      <c r="AU45" s="83">
        <f t="shared" si="36"/>
        <v>0.0462512</v>
      </c>
      <c r="AV45" s="83">
        <f t="shared" si="36"/>
        <v>0.0462512</v>
      </c>
      <c r="AW45" s="83">
        <f t="shared" si="36"/>
        <v>0.0462512</v>
      </c>
      <c r="AX45" s="83">
        <f t="shared" si="36"/>
        <v>0.0462512</v>
      </c>
      <c r="AY45" s="83">
        <f t="shared" si="36"/>
        <v>0.0462512</v>
      </c>
      <c r="AZ45" s="83">
        <f t="shared" si="36"/>
        <v>0.0462512</v>
      </c>
      <c r="BA45" s="83">
        <f t="shared" si="36"/>
        <v>0.0462512</v>
      </c>
      <c r="BB45" s="83">
        <f t="shared" si="36"/>
        <v>0.0462512</v>
      </c>
      <c r="BC45" s="83">
        <f t="shared" si="36"/>
        <v>0.0462512</v>
      </c>
      <c r="BD45" s="83">
        <f t="shared" si="36"/>
        <v>0.0462512</v>
      </c>
      <c r="BE45" s="83">
        <f t="shared" si="36"/>
        <v>0.0462512</v>
      </c>
      <c r="BF45" s="83">
        <f t="shared" si="36"/>
        <v>0.0462512</v>
      </c>
      <c r="BG45" s="83">
        <f t="shared" si="36"/>
        <v>0.0462512</v>
      </c>
      <c r="BH45" s="83">
        <f t="shared" si="36"/>
        <v>0.0462512</v>
      </c>
      <c r="BI45" s="83">
        <f t="shared" si="36"/>
        <v>0.0462512</v>
      </c>
      <c r="BJ45" s="83">
        <f t="shared" si="36"/>
        <v>0.0462512</v>
      </c>
      <c r="BK45" s="83">
        <f t="shared" si="36"/>
        <v>0.0462512</v>
      </c>
      <c r="BL45" s="83">
        <f t="shared" si="36"/>
        <v>0.0462512</v>
      </c>
      <c r="BM45" s="83">
        <f t="shared" si="36"/>
        <v>0.0462512</v>
      </c>
      <c r="BN45" s="83">
        <f t="shared" si="36"/>
        <v>0.0462512</v>
      </c>
      <c r="BO45" s="83">
        <f t="shared" si="36"/>
        <v>0.0462512</v>
      </c>
      <c r="BP45" s="83">
        <f t="shared" si="36"/>
        <v>0.0462512</v>
      </c>
      <c r="BQ45" s="83">
        <f t="shared" si="36"/>
        <v>0.0462512</v>
      </c>
      <c r="BR45" s="83">
        <f t="shared" si="36"/>
        <v>0.0462512</v>
      </c>
      <c r="BS45" s="83">
        <f t="shared" si="36"/>
        <v>0.0462512</v>
      </c>
      <c r="BT45" s="83">
        <f t="shared" si="36"/>
        <v>0.0462512</v>
      </c>
      <c r="BU45" s="83">
        <f t="shared" si="36"/>
        <v>0.0462512</v>
      </c>
      <c r="BV45" s="83">
        <f t="shared" si="36"/>
        <v>0.0462512</v>
      </c>
      <c r="BW45" s="83">
        <f t="shared" si="36"/>
        <v>0.0462512</v>
      </c>
      <c r="BX45" s="83">
        <f t="shared" si="36"/>
        <v>0.0462512</v>
      </c>
      <c r="BY45" s="83">
        <f t="shared" si="36"/>
        <v>0.0462512</v>
      </c>
      <c r="BZ45" s="83">
        <f t="shared" si="36"/>
        <v>0.0462512</v>
      </c>
      <c r="CA45" s="83">
        <f t="shared" si="36"/>
        <v>0.0462512</v>
      </c>
      <c r="CB45" s="83">
        <f t="shared" si="36"/>
        <v>0.0462512</v>
      </c>
      <c r="CC45" s="83">
        <f t="shared" si="36"/>
        <v>0.0462512</v>
      </c>
      <c r="CD45" s="83">
        <f t="shared" si="36"/>
        <v>0.0462512</v>
      </c>
      <c r="CE45" s="83">
        <f t="shared" si="36"/>
        <v>0.0462512</v>
      </c>
      <c r="CF45" s="83">
        <f t="shared" si="36"/>
        <v>0.0462512</v>
      </c>
      <c r="CG45" s="83">
        <f t="shared" si="36"/>
        <v>0.0462512</v>
      </c>
      <c r="CH45" s="83">
        <f t="shared" si="36"/>
        <v>0.0462512</v>
      </c>
      <c r="CI45" s="83">
        <f t="shared" si="36"/>
        <v>0.0462512</v>
      </c>
      <c r="CJ45" s="83">
        <f t="shared" si="36"/>
        <v>0.0462512</v>
      </c>
      <c r="CK45" s="83">
        <f t="shared" si="36"/>
        <v>0.0462512</v>
      </c>
      <c r="CL45" s="83">
        <f t="shared" si="36"/>
        <v>0.0462512</v>
      </c>
      <c r="CM45" s="83">
        <f t="shared" si="36"/>
        <v>0.0462512</v>
      </c>
      <c r="CN45" s="83">
        <f t="shared" si="36"/>
        <v>0.0462512</v>
      </c>
      <c r="CO45" s="83">
        <f t="shared" si="36"/>
        <v>0.0462512</v>
      </c>
      <c r="CP45" s="83">
        <f t="shared" si="36"/>
        <v>0.0462512</v>
      </c>
      <c r="CQ45" s="83">
        <f t="shared" si="36"/>
        <v>0.0462512</v>
      </c>
      <c r="CR45" s="83">
        <f t="shared" si="36"/>
        <v>0.0462512</v>
      </c>
      <c r="CS45" s="83">
        <f t="shared" si="36"/>
        <v>0.0462512</v>
      </c>
      <c r="CT45" s="83">
        <f t="shared" si="36"/>
        <v>0.0462512</v>
      </c>
      <c r="CU45" s="83">
        <f t="shared" si="36"/>
        <v>0.0462512</v>
      </c>
      <c r="CV45" s="83">
        <f t="shared" si="36"/>
        <v>0.0462512</v>
      </c>
      <c r="CW45" s="83">
        <f t="shared" si="36"/>
        <v>0.0462512</v>
      </c>
      <c r="CX45" s="83">
        <f t="shared" si="36"/>
        <v>0.0462512</v>
      </c>
      <c r="CY45" s="83">
        <f t="shared" si="36"/>
        <v>0.0462512</v>
      </c>
      <c r="CZ45" s="83">
        <f t="shared" si="36"/>
        <v>0.0462512</v>
      </c>
      <c r="DA45" s="83">
        <f t="shared" si="36"/>
        <v>0.0462512</v>
      </c>
      <c r="DB45" s="83">
        <f t="shared" si="36"/>
        <v>0.0462512</v>
      </c>
      <c r="DC45" s="83">
        <f t="shared" si="36"/>
        <v>0.0462512</v>
      </c>
      <c r="DD45" s="83">
        <f t="shared" si="36"/>
        <v>0.0462512</v>
      </c>
      <c r="DE45" s="83">
        <f t="shared" si="36"/>
        <v>0.0462512</v>
      </c>
      <c r="DF45" s="83">
        <f t="shared" si="36"/>
        <v>0.0462512</v>
      </c>
      <c r="DG45" s="83">
        <f t="shared" si="36"/>
        <v>0.0462512</v>
      </c>
      <c r="DH45" s="83">
        <f t="shared" si="36"/>
        <v>0.0462512</v>
      </c>
      <c r="DI45" s="83">
        <f t="shared" si="36"/>
        <v>0.0462512</v>
      </c>
      <c r="DJ45" s="83">
        <f t="shared" si="36"/>
        <v>0.0462512</v>
      </c>
      <c r="DK45" s="83">
        <f t="shared" si="36"/>
        <v>0.0462512</v>
      </c>
      <c r="DL45" s="83">
        <f t="shared" si="36"/>
        <v>0.0462512</v>
      </c>
      <c r="DM45" s="83">
        <f t="shared" si="36"/>
        <v>0.0462512</v>
      </c>
      <c r="DN45" s="83">
        <f t="shared" si="36"/>
        <v>0.0462512</v>
      </c>
      <c r="DO45" s="83">
        <f t="shared" si="36"/>
        <v>0.0462512</v>
      </c>
      <c r="DP45" s="83">
        <f t="shared" si="36"/>
        <v>0.0462512</v>
      </c>
      <c r="DQ45" s="83">
        <f t="shared" si="36"/>
        <v>0.0462512</v>
      </c>
      <c r="DR45" s="83">
        <f t="shared" si="36"/>
        <v>0.0462512</v>
      </c>
      <c r="DS45" s="83">
        <f t="shared" si="36"/>
        <v>0.0462512</v>
      </c>
      <c r="DT45" s="83">
        <f t="shared" si="36"/>
        <v>0.0462512</v>
      </c>
      <c r="DU45" s="83">
        <f t="shared" si="36"/>
        <v>0.0462512</v>
      </c>
      <c r="DV45" s="83">
        <f t="shared" si="36"/>
        <v>0.0462512</v>
      </c>
      <c r="DW45" s="83">
        <f t="shared" si="36"/>
        <v>0.0462512</v>
      </c>
      <c r="DX45" s="83">
        <f t="shared" si="36"/>
        <v>0.0462512</v>
      </c>
      <c r="DY45" s="83">
        <f t="shared" si="36"/>
        <v>0.0462512</v>
      </c>
      <c r="DZ45" s="83">
        <f t="shared" si="36"/>
        <v>0.0462512</v>
      </c>
      <c r="EA45" s="83">
        <f t="shared" si="36"/>
        <v>0.0462512</v>
      </c>
      <c r="EB45" s="83">
        <f t="shared" si="36"/>
        <v>0.0462512</v>
      </c>
      <c r="EC45" s="83">
        <f t="shared" si="36"/>
        <v>0.0462512</v>
      </c>
      <c r="ED45" s="83">
        <f t="shared" si="36"/>
        <v>0.0462512</v>
      </c>
      <c r="EE45" s="83">
        <f t="shared" si="36"/>
        <v>0.0462512</v>
      </c>
      <c r="EF45" s="83">
        <f t="shared" si="36"/>
        <v>0.0462512</v>
      </c>
      <c r="EG45" s="83">
        <f t="shared" si="36"/>
        <v>0.0462512</v>
      </c>
      <c r="EH45" s="83">
        <f t="shared" si="36"/>
        <v>0.0462512</v>
      </c>
      <c r="EI45" s="83">
        <f t="shared" si="36"/>
        <v>0.0462512</v>
      </c>
      <c r="EJ45" s="83">
        <f t="shared" si="36"/>
        <v>0.0462512</v>
      </c>
      <c r="EK45" s="83">
        <f t="shared" si="36"/>
        <v>0.0462512</v>
      </c>
      <c r="EL45" s="83">
        <f t="shared" si="36"/>
        <v>0.0462512</v>
      </c>
      <c r="EM45" s="83">
        <f t="shared" si="36"/>
        <v>0.0462512</v>
      </c>
      <c r="EN45" s="83">
        <f t="shared" si="36"/>
        <v>0.0462512</v>
      </c>
      <c r="EO45" s="83">
        <f t="shared" si="36"/>
        <v>0.0462512</v>
      </c>
      <c r="EP45" s="83">
        <f t="shared" si="36"/>
        <v>0.0462512</v>
      </c>
      <c r="EQ45" s="83">
        <f t="shared" si="36"/>
        <v>0.0462512</v>
      </c>
      <c r="ER45" s="83">
        <f t="shared" si="36"/>
        <v>0.0462512</v>
      </c>
      <c r="ES45" s="83">
        <f t="shared" si="36"/>
        <v>0.0462512</v>
      </c>
      <c r="ET45" s="83">
        <f t="shared" si="36"/>
        <v>0.0462512</v>
      </c>
      <c r="EU45" s="83">
        <f t="shared" si="36"/>
        <v>0.0462512</v>
      </c>
      <c r="EV45" s="83">
        <f t="shared" si="36"/>
        <v>0.0462512</v>
      </c>
      <c r="EW45" s="83">
        <f t="shared" si="36"/>
        <v>0.0462512</v>
      </c>
      <c r="EX45" s="83">
        <f t="shared" si="36"/>
        <v>0.0462512</v>
      </c>
      <c r="EY45" s="83">
        <f t="shared" si="36"/>
        <v>0.0462512</v>
      </c>
      <c r="EZ45" s="83">
        <f t="shared" si="36"/>
        <v>0.0462512</v>
      </c>
      <c r="FA45" s="83">
        <f t="shared" si="36"/>
        <v>0.0462512</v>
      </c>
      <c r="FB45" s="83">
        <f t="shared" si="36"/>
        <v>0.0462512</v>
      </c>
      <c r="FC45" s="83">
        <f t="shared" si="36"/>
        <v>0.0462512</v>
      </c>
      <c r="FD45" s="83">
        <f t="shared" si="36"/>
        <v>0.0462512</v>
      </c>
      <c r="FE45" s="83">
        <f t="shared" si="36"/>
        <v>0.0462512</v>
      </c>
      <c r="FF45" s="83">
        <f t="shared" si="36"/>
        <v>0.0462512</v>
      </c>
      <c r="FG45" s="83">
        <f t="shared" si="36"/>
        <v>0.0462512</v>
      </c>
      <c r="FH45" s="83">
        <f t="shared" si="36"/>
        <v>0.0462512</v>
      </c>
      <c r="FI45" s="83">
        <f t="shared" si="36"/>
        <v>0.0462512</v>
      </c>
      <c r="FJ45" s="83">
        <f t="shared" si="36"/>
        <v>0.0462512</v>
      </c>
      <c r="FK45" s="83">
        <f t="shared" si="36"/>
        <v>0.0462512</v>
      </c>
      <c r="FL45" s="83">
        <f t="shared" si="36"/>
        <v>0.0462512</v>
      </c>
      <c r="FM45" s="83">
        <f t="shared" si="36"/>
        <v>0.0462512</v>
      </c>
      <c r="FN45" s="83">
        <f t="shared" si="36"/>
        <v>0.0462512</v>
      </c>
      <c r="FO45" s="83">
        <f t="shared" si="36"/>
        <v>0.0462512</v>
      </c>
      <c r="FP45" s="83">
        <f t="shared" si="36"/>
        <v>0.0462512</v>
      </c>
      <c r="FQ45" s="83">
        <f t="shared" si="36"/>
        <v>0.0462512</v>
      </c>
      <c r="FR45" s="83">
        <f t="shared" si="36"/>
        <v>0.0462512</v>
      </c>
      <c r="FS45" s="83">
        <f t="shared" si="36"/>
        <v>0.0462512</v>
      </c>
      <c r="FT45" s="83">
        <f t="shared" si="36"/>
        <v>0.0462512</v>
      </c>
      <c r="FU45" s="83">
        <f t="shared" si="36"/>
        <v>0.0462512</v>
      </c>
      <c r="FV45" s="83">
        <f t="shared" si="36"/>
        <v>0.0462512</v>
      </c>
      <c r="FW45" s="83">
        <f t="shared" si="36"/>
        <v>0.0462512</v>
      </c>
      <c r="FX45" s="83">
        <f t="shared" si="36"/>
        <v>0.0462512</v>
      </c>
      <c r="FY45" s="83">
        <f t="shared" si="36"/>
        <v>0.0462512</v>
      </c>
      <c r="FZ45" s="83">
        <f t="shared" si="36"/>
        <v>0.0462512</v>
      </c>
      <c r="GA45" s="83">
        <f t="shared" si="36"/>
        <v>0.0462512</v>
      </c>
      <c r="GB45" s="83">
        <f t="shared" si="36"/>
        <v>0.0462512</v>
      </c>
      <c r="GC45" s="83">
        <f t="shared" si="36"/>
        <v>0.0462512</v>
      </c>
      <c r="GD45" s="83">
        <f t="shared" si="36"/>
        <v>0.0462512</v>
      </c>
      <c r="GE45" s="83">
        <f t="shared" si="36"/>
        <v>0.0462512</v>
      </c>
      <c r="GF45" s="83">
        <f t="shared" si="36"/>
        <v>0.0462512</v>
      </c>
      <c r="GG45" s="83">
        <f t="shared" si="36"/>
        <v>0.0462512</v>
      </c>
      <c r="GH45" s="83">
        <f t="shared" si="36"/>
        <v>0.0462512</v>
      </c>
      <c r="GI45" s="83">
        <f t="shared" si="36"/>
        <v>0.0462512</v>
      </c>
      <c r="GJ45" s="83">
        <f t="shared" si="36"/>
        <v>0.0462512</v>
      </c>
      <c r="GK45" s="83">
        <f t="shared" si="36"/>
        <v>0.0462512</v>
      </c>
      <c r="GL45" s="83">
        <f t="shared" si="36"/>
        <v>0.0462512</v>
      </c>
      <c r="GM45" s="83">
        <f t="shared" si="36"/>
        <v>0.0462512</v>
      </c>
      <c r="GN45" s="83">
        <f t="shared" si="36"/>
        <v>0.0462512</v>
      </c>
      <c r="GO45" s="83">
        <f t="shared" si="36"/>
        <v>0.0462512</v>
      </c>
      <c r="GP45" s="83">
        <f t="shared" si="36"/>
        <v>0.0462512</v>
      </c>
      <c r="GQ45" s="83">
        <f t="shared" si="36"/>
        <v>0.0462512</v>
      </c>
      <c r="GR45" s="83">
        <f t="shared" si="36"/>
        <v>0.0462512</v>
      </c>
      <c r="GS45" s="83">
        <f t="shared" si="36"/>
        <v>0.0462512</v>
      </c>
      <c r="GT45" s="83">
        <f t="shared" si="36"/>
        <v>0.0462512</v>
      </c>
      <c r="GU45" s="83">
        <f t="shared" si="36"/>
        <v>0.0462512</v>
      </c>
      <c r="GV45" s="83">
        <f t="shared" si="36"/>
        <v>0.0462512</v>
      </c>
      <c r="GW45" s="83">
        <f t="shared" si="36"/>
        <v>0.0462512</v>
      </c>
      <c r="GX45" s="83">
        <f t="shared" si="36"/>
        <v>0.0462512</v>
      </c>
      <c r="GY45" s="83">
        <f t="shared" si="36"/>
        <v>0.0462512</v>
      </c>
      <c r="GZ45" s="83">
        <f t="shared" si="36"/>
        <v>0.0462512</v>
      </c>
      <c r="HA45" s="83">
        <f t="shared" si="36"/>
        <v>0.0462512</v>
      </c>
      <c r="HB45" s="83">
        <f t="shared" si="36"/>
        <v>0.0462512</v>
      </c>
      <c r="HC45" s="83">
        <f t="shared" si="36"/>
        <v>0.0462512</v>
      </c>
      <c r="HD45" s="83">
        <f t="shared" si="36"/>
        <v>0.0462512</v>
      </c>
      <c r="HE45" s="83">
        <f t="shared" si="36"/>
        <v>0.0462512</v>
      </c>
      <c r="HF45" s="83">
        <f t="shared" si="36"/>
        <v>0.0462512</v>
      </c>
      <c r="HG45" s="83">
        <f t="shared" si="36"/>
        <v>0.0462512</v>
      </c>
      <c r="HH45" s="83">
        <f t="shared" si="36"/>
        <v>0.0462512</v>
      </c>
      <c r="HI45" s="83">
        <f t="shared" si="36"/>
        <v>0.0462512</v>
      </c>
      <c r="HJ45" s="83">
        <f t="shared" si="36"/>
        <v>0.0462512</v>
      </c>
      <c r="HK45" s="83">
        <f t="shared" si="36"/>
        <v>0.0462512</v>
      </c>
      <c r="HL45" s="83">
        <f t="shared" si="36"/>
        <v>0.0462512</v>
      </c>
      <c r="HM45" s="83">
        <f t="shared" si="36"/>
        <v>0.0462512</v>
      </c>
      <c r="HN45" s="83">
        <f t="shared" si="36"/>
        <v>0.0462512</v>
      </c>
      <c r="HO45" s="83">
        <f t="shared" si="36"/>
        <v>0.0462512</v>
      </c>
      <c r="HP45" s="83">
        <f t="shared" si="36"/>
        <v>0.0462512</v>
      </c>
      <c r="HQ45" s="83">
        <f t="shared" si="36"/>
        <v>0.0462512</v>
      </c>
      <c r="HR45" s="83">
        <f t="shared" si="36"/>
        <v>0.0462512</v>
      </c>
      <c r="HS45" s="83">
        <f t="shared" si="36"/>
        <v>0.0462512</v>
      </c>
      <c r="HT45" s="83">
        <f t="shared" si="36"/>
        <v>0.0462512</v>
      </c>
      <c r="HU45" s="83">
        <f t="shared" si="36"/>
        <v>0.0462512</v>
      </c>
      <c r="HV45" s="83">
        <f t="shared" si="36"/>
        <v>0.0462512</v>
      </c>
      <c r="HW45" s="83">
        <f t="shared" si="36"/>
        <v>0.0462512</v>
      </c>
      <c r="HX45" s="83">
        <f t="shared" si="36"/>
        <v>0.0462512</v>
      </c>
      <c r="HY45" s="83">
        <f t="shared" si="36"/>
        <v>0.0462512</v>
      </c>
      <c r="HZ45" s="83">
        <f t="shared" si="36"/>
        <v>0.0462512</v>
      </c>
      <c r="IA45" s="83">
        <f t="shared" si="36"/>
        <v>0.0462512</v>
      </c>
      <c r="IB45" s="83">
        <f t="shared" si="36"/>
        <v>0.0462512</v>
      </c>
      <c r="IC45" s="83">
        <f t="shared" si="36"/>
        <v>0.0462512</v>
      </c>
      <c r="ID45" s="83">
        <f t="shared" si="36"/>
        <v>0.0462512</v>
      </c>
      <c r="IE45" s="83">
        <f t="shared" si="36"/>
        <v>0.0462512</v>
      </c>
      <c r="IF45" s="83">
        <f t="shared" si="36"/>
        <v>0.0462512</v>
      </c>
      <c r="IG45" s="83">
        <f t="shared" si="36"/>
        <v>0.0462512</v>
      </c>
      <c r="IH45" s="83">
        <f t="shared" si="36"/>
        <v>0.0462512</v>
      </c>
      <c r="II45" s="83">
        <f t="shared" si="36"/>
        <v>0.0462512</v>
      </c>
      <c r="IJ45" s="83">
        <f t="shared" si="36"/>
        <v>0.0462512</v>
      </c>
      <c r="IK45" s="83">
        <f t="shared" si="36"/>
        <v>0.0462512</v>
      </c>
      <c r="IL45" s="83">
        <f t="shared" si="36"/>
        <v>0.0462512</v>
      </c>
      <c r="IM45" s="83">
        <f t="shared" si="36"/>
        <v>0.0462512</v>
      </c>
      <c r="IN45" s="83">
        <f t="shared" si="36"/>
        <v>0.0462512</v>
      </c>
      <c r="IO45" s="83">
        <f t="shared" si="36"/>
        <v>0.0462512</v>
      </c>
      <c r="IP45" s="83">
        <f t="shared" si="36"/>
        <v>0.0462512</v>
      </c>
      <c r="IQ45" s="83">
        <f t="shared" si="36"/>
        <v>0.0462512</v>
      </c>
      <c r="IR45" s="83">
        <f t="shared" si="36"/>
        <v>0.0462512</v>
      </c>
      <c r="IS45" s="83">
        <f t="shared" si="36"/>
        <v>0.0462512</v>
      </c>
      <c r="IT45" s="83">
        <f t="shared" si="36"/>
        <v>0.0462512</v>
      </c>
      <c r="IU45" s="83">
        <f t="shared" si="36"/>
        <v>0.0462512</v>
      </c>
      <c r="IV45" s="83">
        <f t="shared" si="36"/>
        <v>0.0462512</v>
      </c>
      <c r="IW45" s="83">
        <f t="shared" si="36"/>
        <v>0.0462512</v>
      </c>
      <c r="IX45" s="83">
        <f t="shared" si="36"/>
        <v>0.0462512</v>
      </c>
      <c r="IY45" s="83">
        <f t="shared" si="36"/>
        <v>0.0462512</v>
      </c>
      <c r="IZ45" s="83">
        <f t="shared" si="36"/>
        <v>0.0462512</v>
      </c>
      <c r="JA45" s="83">
        <f t="shared" si="36"/>
        <v>0.0462512</v>
      </c>
      <c r="JB45" s="83">
        <f t="shared" si="36"/>
        <v>0.0462512</v>
      </c>
      <c r="JC45" s="83">
        <f t="shared" si="36"/>
        <v>0.0462512</v>
      </c>
      <c r="JD45" s="83">
        <f t="shared" si="36"/>
        <v>0.0462512</v>
      </c>
      <c r="JE45" s="83">
        <f t="shared" si="36"/>
        <v>0.0462512</v>
      </c>
      <c r="JF45" s="83">
        <f t="shared" si="36"/>
        <v>0.0462512</v>
      </c>
      <c r="JG45" s="83">
        <f t="shared" si="36"/>
        <v>0.0462512</v>
      </c>
      <c r="JH45" s="83">
        <f t="shared" si="36"/>
        <v>0.0462512</v>
      </c>
      <c r="JI45" s="83">
        <f t="shared" si="36"/>
        <v>0.0462512</v>
      </c>
      <c r="JJ45" s="83">
        <f t="shared" si="36"/>
        <v>0.0462512</v>
      </c>
      <c r="JK45" s="83">
        <f t="shared" si="36"/>
        <v>0.0462512</v>
      </c>
      <c r="JL45" s="83">
        <f t="shared" si="36"/>
        <v>0.0462512</v>
      </c>
      <c r="JM45" s="83">
        <f t="shared" si="36"/>
        <v>0.0462512</v>
      </c>
      <c r="JN45" s="83">
        <f t="shared" si="36"/>
        <v>0.0462512</v>
      </c>
      <c r="JO45" s="83">
        <f t="shared" si="36"/>
        <v>0.0462512</v>
      </c>
      <c r="JP45" s="83">
        <f t="shared" si="36"/>
        <v>0.0462512</v>
      </c>
      <c r="JQ45" s="83">
        <f t="shared" si="36"/>
        <v>0.0462512</v>
      </c>
      <c r="JR45" s="83">
        <f t="shared" si="36"/>
        <v>0.0462512</v>
      </c>
      <c r="JS45" s="83">
        <f t="shared" si="36"/>
        <v>0.0462512</v>
      </c>
      <c r="JT45" s="83">
        <f t="shared" si="36"/>
        <v>0.0462512</v>
      </c>
      <c r="JU45" s="83">
        <f t="shared" si="36"/>
        <v>0.0462512</v>
      </c>
      <c r="JV45" s="83">
        <f t="shared" si="36"/>
        <v>0.0462512</v>
      </c>
      <c r="JW45" s="83">
        <f t="shared" si="36"/>
        <v>0.0462512</v>
      </c>
      <c r="JX45" s="83">
        <f t="shared" si="36"/>
        <v>0.0462512</v>
      </c>
      <c r="JY45" s="83">
        <f t="shared" si="36"/>
        <v>0.0462512</v>
      </c>
      <c r="JZ45" s="83">
        <f t="shared" si="36"/>
        <v>0.0462512</v>
      </c>
      <c r="KA45" s="83">
        <f t="shared" si="36"/>
        <v>0.0462512</v>
      </c>
      <c r="KB45" s="83">
        <f t="shared" si="36"/>
        <v>0.0462512</v>
      </c>
      <c r="KC45" s="83">
        <f t="shared" si="36"/>
        <v>0.0462512</v>
      </c>
      <c r="KD45" s="83">
        <f t="shared" si="36"/>
        <v>0.0462512</v>
      </c>
      <c r="KE45" s="83">
        <f t="shared" si="36"/>
        <v>0.0462512</v>
      </c>
      <c r="KF45" s="83">
        <f t="shared" si="36"/>
        <v>0.0462512</v>
      </c>
      <c r="KG45" s="83">
        <f t="shared" si="36"/>
        <v>0.0462512</v>
      </c>
      <c r="KH45" s="83">
        <f t="shared" si="36"/>
        <v>0.0462512</v>
      </c>
      <c r="KI45" s="83">
        <f t="shared" si="36"/>
        <v>0.0462512</v>
      </c>
      <c r="KJ45" s="83">
        <f t="shared" si="36"/>
        <v>0.0462512</v>
      </c>
      <c r="KK45" s="83">
        <f t="shared" si="36"/>
        <v>0.0462512</v>
      </c>
      <c r="KL45" s="83">
        <f t="shared" si="36"/>
        <v>0.0462512</v>
      </c>
      <c r="KM45" s="83">
        <f t="shared" si="36"/>
        <v>0.0462512</v>
      </c>
      <c r="KN45" s="83">
        <f t="shared" si="36"/>
        <v>0.0462512</v>
      </c>
      <c r="KO45" s="83">
        <f t="shared" si="36"/>
        <v>0.0462512</v>
      </c>
      <c r="KP45" s="83">
        <f t="shared" si="36"/>
        <v>0.0462512</v>
      </c>
      <c r="KQ45" s="83">
        <f t="shared" si="36"/>
        <v>0.0462512</v>
      </c>
      <c r="KR45" s="83">
        <f t="shared" si="36"/>
        <v>0.0462512</v>
      </c>
      <c r="KS45" s="83">
        <f t="shared" si="36"/>
        <v>0.0462512</v>
      </c>
      <c r="KT45" s="83">
        <f t="shared" si="36"/>
        <v>0.0462512</v>
      </c>
      <c r="KU45" s="83">
        <f t="shared" si="36"/>
        <v>0.0462512</v>
      </c>
      <c r="KV45" s="83">
        <f t="shared" si="36"/>
        <v>0.0462512</v>
      </c>
      <c r="KW45" s="83">
        <f t="shared" si="36"/>
        <v>0.0462512</v>
      </c>
      <c r="KX45" s="83">
        <f t="shared" si="36"/>
        <v>0.0462512</v>
      </c>
      <c r="KY45" s="83">
        <f t="shared" si="36"/>
        <v>0.0462512</v>
      </c>
      <c r="KZ45" s="83">
        <f t="shared" si="36"/>
        <v>0.0462512</v>
      </c>
      <c r="LA45" s="83">
        <f t="shared" si="36"/>
        <v>0.0462512</v>
      </c>
      <c r="LB45" s="83">
        <f t="shared" si="36"/>
        <v>0.0462512</v>
      </c>
      <c r="LC45" s="83">
        <f t="shared" si="36"/>
        <v>0.0462512</v>
      </c>
      <c r="LD45" s="83">
        <f t="shared" si="36"/>
        <v>0.0462512</v>
      </c>
      <c r="LE45" s="83">
        <f t="shared" si="36"/>
        <v>0.0462512</v>
      </c>
      <c r="LF45" s="83">
        <f t="shared" si="36"/>
        <v>0.0462512</v>
      </c>
      <c r="LG45" s="83">
        <f t="shared" si="36"/>
        <v>0.0462512</v>
      </c>
      <c r="LH45" s="83">
        <f t="shared" si="36"/>
        <v>0.0462512</v>
      </c>
      <c r="LI45" s="83">
        <f t="shared" si="36"/>
        <v>0.0462512</v>
      </c>
      <c r="LJ45" s="83">
        <f t="shared" si="36"/>
        <v>0.0462512</v>
      </c>
      <c r="LK45" s="83">
        <f t="shared" si="36"/>
        <v>0.0462512</v>
      </c>
      <c r="LL45" s="83">
        <f t="shared" si="36"/>
        <v>0.0462512</v>
      </c>
      <c r="LM45" s="83">
        <f t="shared" si="36"/>
        <v>0.0462512</v>
      </c>
      <c r="LN45" s="83">
        <f t="shared" si="36"/>
        <v>0.0462512</v>
      </c>
      <c r="LO45" s="83">
        <f t="shared" si="36"/>
        <v>0.0462512</v>
      </c>
      <c r="LP45" s="83">
        <f t="shared" si="36"/>
        <v>0.0462512</v>
      </c>
      <c r="LQ45" s="83">
        <f t="shared" si="36"/>
        <v>0.0462512</v>
      </c>
      <c r="LR45" s="83">
        <f t="shared" si="36"/>
        <v>0.0462512</v>
      </c>
      <c r="LS45" s="83">
        <f t="shared" si="36"/>
        <v>0.0462512</v>
      </c>
      <c r="LT45" s="83">
        <f t="shared" si="36"/>
        <v>0.0462512</v>
      </c>
      <c r="LU45" s="83">
        <f t="shared" si="36"/>
        <v>0.0462512</v>
      </c>
      <c r="LV45" s="83">
        <f t="shared" si="36"/>
        <v>0.0462512</v>
      </c>
      <c r="LW45" s="83">
        <f t="shared" si="36"/>
        <v>0.0462512</v>
      </c>
      <c r="LX45" s="83">
        <f t="shared" si="36"/>
        <v>0.0462512</v>
      </c>
      <c r="LY45" s="83">
        <f t="shared" si="36"/>
        <v>0.0462512</v>
      </c>
      <c r="LZ45" s="83">
        <f t="shared" si="36"/>
        <v>0.0462512</v>
      </c>
      <c r="MA45" s="83">
        <f t="shared" si="36"/>
        <v>0.0462512</v>
      </c>
      <c r="MB45" s="83">
        <f t="shared" si="36"/>
        <v>0.0462512</v>
      </c>
      <c r="MC45" s="83">
        <f t="shared" si="36"/>
        <v>0.0462512</v>
      </c>
      <c r="MD45" s="83">
        <f t="shared" si="36"/>
        <v>0.0462512</v>
      </c>
      <c r="ME45" s="83">
        <f t="shared" si="36"/>
        <v>0.0462512</v>
      </c>
      <c r="MF45" s="83">
        <f t="shared" si="36"/>
        <v>0.0462512</v>
      </c>
      <c r="MG45" s="83">
        <f t="shared" si="36"/>
        <v>0.0462512</v>
      </c>
      <c r="MH45" s="83">
        <f t="shared" si="36"/>
        <v>0.0462512</v>
      </c>
      <c r="MI45" s="83">
        <f t="shared" si="36"/>
        <v>0.0462512</v>
      </c>
      <c r="MJ45" s="83">
        <f t="shared" si="36"/>
        <v>0.0462512</v>
      </c>
      <c r="MK45" s="83">
        <f t="shared" si="36"/>
        <v>0.0462512</v>
      </c>
      <c r="ML45" s="83">
        <f t="shared" si="36"/>
        <v>0.0462512</v>
      </c>
      <c r="MM45" s="83">
        <f t="shared" si="36"/>
        <v>0.0462512</v>
      </c>
      <c r="MN45" s="83">
        <f t="shared" si="36"/>
        <v>0.0462512</v>
      </c>
      <c r="MO45" s="83">
        <f t="shared" si="36"/>
        <v>0.0462512</v>
      </c>
      <c r="MP45" s="83">
        <f t="shared" si="36"/>
        <v>0.0462512</v>
      </c>
      <c r="MQ45" s="83">
        <f t="shared" si="36"/>
        <v>0.0462512</v>
      </c>
      <c r="MR45" s="83">
        <f t="shared" si="36"/>
        <v>0.0462512</v>
      </c>
      <c r="MS45" s="83">
        <f t="shared" si="36"/>
        <v>0.0462512</v>
      </c>
      <c r="MT45" s="83">
        <f t="shared" si="36"/>
        <v>0.0462512</v>
      </c>
      <c r="MU45" s="83">
        <f t="shared" si="36"/>
        <v>0.0462512</v>
      </c>
      <c r="MV45" s="83">
        <f t="shared" si="36"/>
        <v>0.0462512</v>
      </c>
      <c r="MW45" s="83">
        <f t="shared" si="36"/>
        <v>0.0462512</v>
      </c>
      <c r="MX45" s="83">
        <f t="shared" si="36"/>
        <v>0.0462512</v>
      </c>
      <c r="MY45" s="83">
        <f t="shared" si="36"/>
        <v>0.0462512</v>
      </c>
      <c r="MZ45" s="83">
        <f t="shared" si="36"/>
        <v>0.0462512</v>
      </c>
      <c r="NA45" s="83">
        <f t="shared" si="36"/>
        <v>0.0462512</v>
      </c>
      <c r="NB45" s="83">
        <f t="shared" si="36"/>
        <v>0.0462512</v>
      </c>
      <c r="NC45" s="83">
        <f t="shared" si="36"/>
        <v>0.0462512</v>
      </c>
      <c r="ND45" s="83">
        <f t="shared" si="36"/>
        <v>0.0462512</v>
      </c>
      <c r="NE45" s="83">
        <f t="shared" si="36"/>
        <v>0.0462512</v>
      </c>
      <c r="NF45" s="83">
        <f t="shared" si="36"/>
        <v>0.0462512</v>
      </c>
      <c r="NG45" s="83">
        <f t="shared" si="36"/>
        <v>0.0462512</v>
      </c>
      <c r="NH45" s="83">
        <f t="shared" si="36"/>
        <v>0.0462512</v>
      </c>
      <c r="NI45" s="83">
        <f t="shared" si="36"/>
        <v>0.0462512</v>
      </c>
      <c r="NJ45" s="83">
        <f t="shared" si="36"/>
        <v>0.0462512</v>
      </c>
      <c r="NK45" s="83">
        <f t="shared" si="36"/>
        <v>0.0462512</v>
      </c>
      <c r="NL45" s="83">
        <f t="shared" si="36"/>
        <v>0.0462512</v>
      </c>
      <c r="NM45" s="83">
        <f t="shared" si="36"/>
        <v>0.0462512</v>
      </c>
      <c r="NN45" s="83">
        <f t="shared" si="36"/>
        <v>0.0462512</v>
      </c>
      <c r="NO45" s="83">
        <f t="shared" si="36"/>
        <v>0.0462512</v>
      </c>
      <c r="NP45" s="83">
        <f t="shared" si="36"/>
        <v>0.0462512</v>
      </c>
      <c r="NQ45" s="83">
        <f t="shared" si="36"/>
        <v>0.0462512</v>
      </c>
      <c r="NR45" s="83">
        <f t="shared" si="36"/>
        <v>0.0462512</v>
      </c>
      <c r="NS45" s="83">
        <f t="shared" si="36"/>
        <v>0.0462512</v>
      </c>
      <c r="NT45" s="83">
        <f t="shared" si="36"/>
        <v>0.0462512</v>
      </c>
      <c r="NU45" s="83">
        <f t="shared" si="36"/>
        <v>0.0462512</v>
      </c>
      <c r="NV45" s="83">
        <f t="shared" si="36"/>
        <v>0.0462512</v>
      </c>
      <c r="NW45" s="83">
        <f t="shared" si="36"/>
        <v>0.0462512</v>
      </c>
      <c r="NX45" s="83">
        <f t="shared" si="36"/>
        <v>0.0462512</v>
      </c>
      <c r="NY45" s="83">
        <f t="shared" si="36"/>
        <v>0.0462512</v>
      </c>
      <c r="NZ45" s="83">
        <f t="shared" si="36"/>
        <v>0.0462512</v>
      </c>
      <c r="OA45" s="83">
        <f t="shared" si="36"/>
        <v>0.0462512</v>
      </c>
      <c r="OB45" s="83">
        <f t="shared" si="36"/>
        <v>0.0462512</v>
      </c>
      <c r="OC45" s="83">
        <f t="shared" si="36"/>
        <v>0.0462512</v>
      </c>
      <c r="OD45" s="83">
        <f t="shared" si="36"/>
        <v>0.0462512</v>
      </c>
      <c r="OE45" s="83">
        <f t="shared" si="36"/>
        <v>0.0462512</v>
      </c>
      <c r="OF45" s="83">
        <f t="shared" si="36"/>
        <v>0.0462512</v>
      </c>
      <c r="OG45" s="83">
        <f t="shared" si="36"/>
        <v>0.0462512</v>
      </c>
      <c r="OH45" s="83">
        <f t="shared" si="36"/>
        <v>0.0462512</v>
      </c>
      <c r="OI45" s="83">
        <f t="shared" si="36"/>
        <v>0.0462512</v>
      </c>
      <c r="OJ45" s="83">
        <f t="shared" si="36"/>
        <v>0.0462512</v>
      </c>
      <c r="OK45" s="83">
        <f t="shared" si="36"/>
        <v>0.0462512</v>
      </c>
      <c r="OL45" s="83">
        <f t="shared" si="36"/>
        <v>0.0462512</v>
      </c>
      <c r="OM45" s="83">
        <f t="shared" si="36"/>
        <v>0.0462512</v>
      </c>
      <c r="ON45" s="83">
        <f t="shared" si="36"/>
        <v>0.0462512</v>
      </c>
      <c r="OO45" s="83">
        <f t="shared" si="36"/>
        <v>0.0462512</v>
      </c>
      <c r="OP45" s="83">
        <f t="shared" si="36"/>
        <v>0.0462512</v>
      </c>
      <c r="OQ45" s="83">
        <f t="shared" si="36"/>
        <v>0.0462512</v>
      </c>
      <c r="OR45" s="83">
        <f t="shared" si="36"/>
        <v>0.0462512</v>
      </c>
      <c r="OS45" s="83">
        <f t="shared" si="36"/>
        <v>0.0462512</v>
      </c>
      <c r="OT45" s="83">
        <f t="shared" si="36"/>
        <v>0.0462512</v>
      </c>
      <c r="OU45" s="83">
        <f t="shared" si="36"/>
        <v>0.0462512</v>
      </c>
      <c r="OV45" s="83">
        <f t="shared" si="36"/>
        <v>0.0462512</v>
      </c>
      <c r="OW45" s="83">
        <f t="shared" si="36"/>
        <v>0.0462512</v>
      </c>
      <c r="OX45" s="83">
        <f t="shared" si="36"/>
        <v>0.0462512</v>
      </c>
      <c r="OY45" s="83">
        <f t="shared" si="36"/>
        <v>0.0462512</v>
      </c>
      <c r="OZ45" s="83">
        <f t="shared" si="36"/>
        <v>0.0462512</v>
      </c>
      <c r="PA45" s="83">
        <f t="shared" si="36"/>
        <v>0.0462512</v>
      </c>
      <c r="PB45" s="83">
        <f t="shared" si="36"/>
        <v>0.0462512</v>
      </c>
      <c r="PC45" s="83">
        <f t="shared" si="36"/>
        <v>0.0462512</v>
      </c>
      <c r="PD45" s="83">
        <f t="shared" si="36"/>
        <v>0.0462512</v>
      </c>
      <c r="PE45" s="83">
        <f t="shared" si="36"/>
        <v>0.0462512</v>
      </c>
      <c r="PF45" s="83">
        <f t="shared" si="36"/>
        <v>0.0462512</v>
      </c>
      <c r="PG45" s="83">
        <f t="shared" si="36"/>
        <v>0.0462512</v>
      </c>
      <c r="PH45" s="83">
        <f t="shared" si="36"/>
        <v>0.0462512</v>
      </c>
      <c r="PI45" s="83">
        <f t="shared" si="36"/>
        <v>0.0462512</v>
      </c>
      <c r="PJ45" s="83">
        <f t="shared" si="36"/>
        <v>0.0462512</v>
      </c>
      <c r="PK45" s="83">
        <f t="shared" si="36"/>
        <v>0.0462512</v>
      </c>
      <c r="PL45" s="83">
        <f t="shared" si="36"/>
        <v>0.0462512</v>
      </c>
      <c r="PM45" s="83">
        <f t="shared" si="36"/>
        <v>0.0462512</v>
      </c>
      <c r="PN45" s="83">
        <f t="shared" si="36"/>
        <v>0.0462512</v>
      </c>
      <c r="PO45" s="83">
        <f t="shared" si="36"/>
        <v>0.0462512</v>
      </c>
      <c r="PP45" s="83">
        <f t="shared" si="36"/>
        <v>0.0462512</v>
      </c>
      <c r="PQ45" s="83">
        <f t="shared" si="36"/>
        <v>0.0462512</v>
      </c>
      <c r="PR45" s="83">
        <f t="shared" si="36"/>
        <v>0.0462512</v>
      </c>
      <c r="PS45" s="83">
        <f t="shared" si="36"/>
        <v>0.0462512</v>
      </c>
      <c r="PT45" s="83">
        <f t="shared" si="36"/>
        <v>0.0462512</v>
      </c>
      <c r="PU45" s="83">
        <f t="shared" si="36"/>
        <v>0.0462512</v>
      </c>
      <c r="PV45" s="83">
        <f t="shared" si="36"/>
        <v>0.0462512</v>
      </c>
      <c r="PW45" s="83">
        <f t="shared" si="36"/>
        <v>0.0462512</v>
      </c>
      <c r="PX45" s="83">
        <f t="shared" si="36"/>
        <v>0.0462512</v>
      </c>
      <c r="PY45" s="83">
        <f t="shared" si="36"/>
        <v>0.0462512</v>
      </c>
      <c r="PZ45" s="83">
        <f t="shared" si="36"/>
        <v>0.0462512</v>
      </c>
      <c r="QA45" s="83">
        <f t="shared" si="36"/>
        <v>0.0462512</v>
      </c>
      <c r="QB45" s="83">
        <f t="shared" si="36"/>
        <v>0.0462512</v>
      </c>
      <c r="QC45" s="83">
        <f t="shared" si="36"/>
        <v>0.0462512</v>
      </c>
      <c r="QD45" s="83">
        <f t="shared" si="36"/>
        <v>0.0462512</v>
      </c>
      <c r="QE45" s="83">
        <f t="shared" si="36"/>
        <v>0.0462512</v>
      </c>
      <c r="QF45" s="83">
        <f t="shared" si="36"/>
        <v>0.0462512</v>
      </c>
      <c r="QG45" s="83">
        <f t="shared" si="36"/>
        <v>0.0462512</v>
      </c>
      <c r="QH45" s="83">
        <f t="shared" si="36"/>
        <v>0.0462512</v>
      </c>
      <c r="QI45" s="83">
        <f t="shared" si="36"/>
        <v>0.0462512</v>
      </c>
      <c r="QJ45" s="83">
        <f t="shared" si="36"/>
        <v>0.0462512</v>
      </c>
      <c r="QK45" s="83">
        <f t="shared" si="36"/>
        <v>0.0462512</v>
      </c>
      <c r="QL45" s="83">
        <f t="shared" si="36"/>
        <v>0.0462512</v>
      </c>
      <c r="QM45" s="83">
        <f t="shared" si="36"/>
        <v>0.0462512</v>
      </c>
      <c r="QN45" s="83">
        <f t="shared" si="36"/>
        <v>0.0462512</v>
      </c>
      <c r="QO45" s="83">
        <f t="shared" si="36"/>
        <v>0.0462512</v>
      </c>
      <c r="QP45" s="83">
        <f t="shared" si="36"/>
        <v>0.0462512</v>
      </c>
      <c r="QQ45" s="83">
        <f t="shared" si="36"/>
        <v>0.0462512</v>
      </c>
      <c r="QR45" s="83">
        <f t="shared" si="36"/>
        <v>0.0462512</v>
      </c>
      <c r="QS45" s="83">
        <f t="shared" si="36"/>
        <v>0.0462512</v>
      </c>
      <c r="QT45" s="83">
        <f t="shared" si="36"/>
        <v>0.0462512</v>
      </c>
      <c r="QU45" s="83">
        <f t="shared" si="36"/>
        <v>0.0462512</v>
      </c>
      <c r="QV45" s="83">
        <f t="shared" si="36"/>
        <v>0.0462512</v>
      </c>
      <c r="QW45" s="83">
        <f t="shared" si="36"/>
        <v>0.0462512</v>
      </c>
      <c r="QX45" s="83">
        <f t="shared" si="36"/>
        <v>0.0462512</v>
      </c>
      <c r="QY45" s="83">
        <f t="shared" si="36"/>
        <v>0.0462512</v>
      </c>
      <c r="QZ45" s="83">
        <f t="shared" si="36"/>
        <v>0.0462512</v>
      </c>
      <c r="RA45" s="83">
        <f t="shared" si="36"/>
        <v>0.0462512</v>
      </c>
      <c r="RB45" s="83">
        <f t="shared" si="36"/>
        <v>0.0462512</v>
      </c>
      <c r="RC45" s="83">
        <f t="shared" si="36"/>
        <v>0.0462512</v>
      </c>
      <c r="RD45" s="83">
        <f t="shared" si="36"/>
        <v>0.0462512</v>
      </c>
      <c r="RE45" s="83">
        <f t="shared" si="36"/>
        <v>0.0462512</v>
      </c>
      <c r="RF45" s="83">
        <f t="shared" si="36"/>
        <v>0.0462512</v>
      </c>
      <c r="RG45" s="83">
        <f t="shared" si="36"/>
        <v>0.0462512</v>
      </c>
      <c r="RH45" s="83">
        <f t="shared" si="36"/>
        <v>0.0462512</v>
      </c>
      <c r="RI45" s="83">
        <f t="shared" si="36"/>
        <v>0.0462512</v>
      </c>
      <c r="RJ45" s="83">
        <f t="shared" si="36"/>
        <v>0.0462512</v>
      </c>
      <c r="RK45" s="83">
        <f t="shared" si="36"/>
        <v>0.0462512</v>
      </c>
      <c r="RL45" s="83">
        <f t="shared" si="36"/>
        <v>0.0462512</v>
      </c>
      <c r="RM45" s="83">
        <f t="shared" si="36"/>
        <v>0.0462512</v>
      </c>
      <c r="RN45" s="83">
        <f t="shared" si="36"/>
        <v>0.0462512</v>
      </c>
      <c r="RO45" s="83">
        <f t="shared" si="36"/>
        <v>0.0462512</v>
      </c>
      <c r="RP45" s="83">
        <f t="shared" si="36"/>
        <v>0.0462512</v>
      </c>
      <c r="RQ45" s="83">
        <f t="shared" si="36"/>
        <v>0.0462512</v>
      </c>
      <c r="RR45" s="83">
        <f t="shared" si="36"/>
        <v>0.0462512</v>
      </c>
      <c r="RS45" s="83">
        <f t="shared" si="36"/>
        <v>0.0462512</v>
      </c>
      <c r="RT45" s="83">
        <f t="shared" si="36"/>
        <v>0.0462512</v>
      </c>
      <c r="RU45" s="83">
        <f t="shared" si="36"/>
        <v>0.0462512</v>
      </c>
      <c r="RV45" s="83">
        <f t="shared" si="36"/>
        <v>0.0462512</v>
      </c>
      <c r="RW45" s="83">
        <f t="shared" si="36"/>
        <v>0.0462512</v>
      </c>
      <c r="RX45" s="83">
        <f t="shared" si="36"/>
        <v>0.0462512</v>
      </c>
      <c r="RY45" s="83">
        <f t="shared" si="36"/>
        <v>0.0462512</v>
      </c>
      <c r="RZ45" s="83">
        <f t="shared" si="36"/>
        <v>0.0462512</v>
      </c>
      <c r="SA45" s="83">
        <f t="shared" si="36"/>
        <v>0.0462512</v>
      </c>
      <c r="SB45" s="83">
        <f t="shared" si="36"/>
        <v>0.0462512</v>
      </c>
      <c r="SC45" s="83">
        <f t="shared" si="36"/>
        <v>0.0462512</v>
      </c>
      <c r="SD45" s="83">
        <f t="shared" si="36"/>
        <v>0.0462512</v>
      </c>
      <c r="SE45" s="83">
        <f t="shared" si="36"/>
        <v>0.0462512</v>
      </c>
      <c r="SF45" s="83">
        <f t="shared" si="36"/>
        <v>0.0462512</v>
      </c>
      <c r="SG45" s="83">
        <f t="shared" si="36"/>
        <v>0.0462512</v>
      </c>
      <c r="SH45" s="83">
        <f t="shared" si="36"/>
        <v>0.0462512</v>
      </c>
      <c r="SI45" s="83">
        <f t="shared" si="36"/>
        <v>0.0462512</v>
      </c>
      <c r="SJ45" s="83">
        <f t="shared" si="36"/>
        <v>0.0462512</v>
      </c>
      <c r="SK45" s="83">
        <f t="shared" si="36"/>
        <v>0.0462512</v>
      </c>
      <c r="SL45" s="83">
        <f t="shared" si="36"/>
        <v>0.0462512</v>
      </c>
    </row>
    <row r="46">
      <c r="A46" s="84" t="s">
        <v>376</v>
      </c>
      <c r="B46" s="86">
        <f>B44/B45</f>
        <v>1.232400457</v>
      </c>
      <c r="C46" s="296"/>
      <c r="D46" s="297"/>
      <c r="E46" s="298"/>
      <c r="F46" s="86"/>
      <c r="G46" s="83">
        <f t="shared" ref="G46:SL46" si="37">$B46</f>
        <v>1.232400457</v>
      </c>
      <c r="H46" s="83">
        <f t="shared" si="37"/>
        <v>1.232400457</v>
      </c>
      <c r="I46" s="83">
        <f t="shared" si="37"/>
        <v>1.232400457</v>
      </c>
      <c r="J46" s="83">
        <f t="shared" si="37"/>
        <v>1.232400457</v>
      </c>
      <c r="K46" s="83">
        <f t="shared" si="37"/>
        <v>1.232400457</v>
      </c>
      <c r="L46" s="83">
        <f t="shared" si="37"/>
        <v>1.232400457</v>
      </c>
      <c r="M46" s="83">
        <f t="shared" si="37"/>
        <v>1.232400457</v>
      </c>
      <c r="N46" s="83">
        <f t="shared" si="37"/>
        <v>1.232400457</v>
      </c>
      <c r="O46" s="83">
        <f t="shared" si="37"/>
        <v>1.232400457</v>
      </c>
      <c r="P46" s="83">
        <f t="shared" si="37"/>
        <v>1.232400457</v>
      </c>
      <c r="Q46" s="83">
        <f t="shared" si="37"/>
        <v>1.232400457</v>
      </c>
      <c r="R46" s="83">
        <f t="shared" si="37"/>
        <v>1.232400457</v>
      </c>
      <c r="S46" s="83">
        <f t="shared" si="37"/>
        <v>1.232400457</v>
      </c>
      <c r="T46" s="83">
        <f t="shared" si="37"/>
        <v>1.232400457</v>
      </c>
      <c r="U46" s="83">
        <f t="shared" si="37"/>
        <v>1.232400457</v>
      </c>
      <c r="V46" s="83">
        <f t="shared" si="37"/>
        <v>1.232400457</v>
      </c>
      <c r="W46" s="83">
        <f t="shared" si="37"/>
        <v>1.232400457</v>
      </c>
      <c r="X46" s="83">
        <f t="shared" si="37"/>
        <v>1.232400457</v>
      </c>
      <c r="Y46" s="83">
        <f t="shared" si="37"/>
        <v>1.232400457</v>
      </c>
      <c r="Z46" s="83">
        <f t="shared" si="37"/>
        <v>1.232400457</v>
      </c>
      <c r="AA46" s="83">
        <f t="shared" si="37"/>
        <v>1.232400457</v>
      </c>
      <c r="AB46" s="83">
        <f t="shared" si="37"/>
        <v>1.232400457</v>
      </c>
      <c r="AC46" s="83">
        <f t="shared" si="37"/>
        <v>1.232400457</v>
      </c>
      <c r="AD46" s="83">
        <f t="shared" si="37"/>
        <v>1.232400457</v>
      </c>
      <c r="AE46" s="83">
        <f t="shared" si="37"/>
        <v>1.232400457</v>
      </c>
      <c r="AF46" s="83">
        <f t="shared" si="37"/>
        <v>1.232400457</v>
      </c>
      <c r="AG46" s="83">
        <f t="shared" si="37"/>
        <v>1.232400457</v>
      </c>
      <c r="AH46" s="83">
        <f t="shared" si="37"/>
        <v>1.232400457</v>
      </c>
      <c r="AI46" s="83">
        <f t="shared" si="37"/>
        <v>1.232400457</v>
      </c>
      <c r="AJ46" s="83">
        <f t="shared" si="37"/>
        <v>1.232400457</v>
      </c>
      <c r="AK46" s="83">
        <f t="shared" si="37"/>
        <v>1.232400457</v>
      </c>
      <c r="AL46" s="83">
        <f t="shared" si="37"/>
        <v>1.232400457</v>
      </c>
      <c r="AM46" s="83">
        <f t="shared" si="37"/>
        <v>1.232400457</v>
      </c>
      <c r="AN46" s="83">
        <f t="shared" si="37"/>
        <v>1.232400457</v>
      </c>
      <c r="AO46" s="83">
        <f t="shared" si="37"/>
        <v>1.232400457</v>
      </c>
      <c r="AP46" s="83">
        <f t="shared" si="37"/>
        <v>1.232400457</v>
      </c>
      <c r="AQ46" s="83">
        <f t="shared" si="37"/>
        <v>1.232400457</v>
      </c>
      <c r="AR46" s="83">
        <f t="shared" si="37"/>
        <v>1.232400457</v>
      </c>
      <c r="AS46" s="83">
        <f t="shared" si="37"/>
        <v>1.232400457</v>
      </c>
      <c r="AT46" s="83">
        <f t="shared" si="37"/>
        <v>1.232400457</v>
      </c>
      <c r="AU46" s="83">
        <f t="shared" si="37"/>
        <v>1.232400457</v>
      </c>
      <c r="AV46" s="83">
        <f t="shared" si="37"/>
        <v>1.232400457</v>
      </c>
      <c r="AW46" s="83">
        <f t="shared" si="37"/>
        <v>1.232400457</v>
      </c>
      <c r="AX46" s="83">
        <f t="shared" si="37"/>
        <v>1.232400457</v>
      </c>
      <c r="AY46" s="83">
        <f t="shared" si="37"/>
        <v>1.232400457</v>
      </c>
      <c r="AZ46" s="83">
        <f t="shared" si="37"/>
        <v>1.232400457</v>
      </c>
      <c r="BA46" s="83">
        <f t="shared" si="37"/>
        <v>1.232400457</v>
      </c>
      <c r="BB46" s="83">
        <f t="shared" si="37"/>
        <v>1.232400457</v>
      </c>
      <c r="BC46" s="83">
        <f t="shared" si="37"/>
        <v>1.232400457</v>
      </c>
      <c r="BD46" s="83">
        <f t="shared" si="37"/>
        <v>1.232400457</v>
      </c>
      <c r="BE46" s="83">
        <f t="shared" si="37"/>
        <v>1.232400457</v>
      </c>
      <c r="BF46" s="83">
        <f t="shared" si="37"/>
        <v>1.232400457</v>
      </c>
      <c r="BG46" s="83">
        <f t="shared" si="37"/>
        <v>1.232400457</v>
      </c>
      <c r="BH46" s="83">
        <f t="shared" si="37"/>
        <v>1.232400457</v>
      </c>
      <c r="BI46" s="83">
        <f t="shared" si="37"/>
        <v>1.232400457</v>
      </c>
      <c r="BJ46" s="83">
        <f t="shared" si="37"/>
        <v>1.232400457</v>
      </c>
      <c r="BK46" s="83">
        <f t="shared" si="37"/>
        <v>1.232400457</v>
      </c>
      <c r="BL46" s="83">
        <f t="shared" si="37"/>
        <v>1.232400457</v>
      </c>
      <c r="BM46" s="83">
        <f t="shared" si="37"/>
        <v>1.232400457</v>
      </c>
      <c r="BN46" s="83">
        <f t="shared" si="37"/>
        <v>1.232400457</v>
      </c>
      <c r="BO46" s="83">
        <f t="shared" si="37"/>
        <v>1.232400457</v>
      </c>
      <c r="BP46" s="83">
        <f t="shared" si="37"/>
        <v>1.232400457</v>
      </c>
      <c r="BQ46" s="83">
        <f t="shared" si="37"/>
        <v>1.232400457</v>
      </c>
      <c r="BR46" s="83">
        <f t="shared" si="37"/>
        <v>1.232400457</v>
      </c>
      <c r="BS46" s="83">
        <f t="shared" si="37"/>
        <v>1.232400457</v>
      </c>
      <c r="BT46" s="83">
        <f t="shared" si="37"/>
        <v>1.232400457</v>
      </c>
      <c r="BU46" s="83">
        <f t="shared" si="37"/>
        <v>1.232400457</v>
      </c>
      <c r="BV46" s="83">
        <f t="shared" si="37"/>
        <v>1.232400457</v>
      </c>
      <c r="BW46" s="83">
        <f t="shared" si="37"/>
        <v>1.232400457</v>
      </c>
      <c r="BX46" s="83">
        <f t="shared" si="37"/>
        <v>1.232400457</v>
      </c>
      <c r="BY46" s="83">
        <f t="shared" si="37"/>
        <v>1.232400457</v>
      </c>
      <c r="BZ46" s="83">
        <f t="shared" si="37"/>
        <v>1.232400457</v>
      </c>
      <c r="CA46" s="83">
        <f t="shared" si="37"/>
        <v>1.232400457</v>
      </c>
      <c r="CB46" s="83">
        <f t="shared" si="37"/>
        <v>1.232400457</v>
      </c>
      <c r="CC46" s="83">
        <f t="shared" si="37"/>
        <v>1.232400457</v>
      </c>
      <c r="CD46" s="83">
        <f t="shared" si="37"/>
        <v>1.232400457</v>
      </c>
      <c r="CE46" s="83">
        <f t="shared" si="37"/>
        <v>1.232400457</v>
      </c>
      <c r="CF46" s="83">
        <f t="shared" si="37"/>
        <v>1.232400457</v>
      </c>
      <c r="CG46" s="83">
        <f t="shared" si="37"/>
        <v>1.232400457</v>
      </c>
      <c r="CH46" s="83">
        <f t="shared" si="37"/>
        <v>1.232400457</v>
      </c>
      <c r="CI46" s="83">
        <f t="shared" si="37"/>
        <v>1.232400457</v>
      </c>
      <c r="CJ46" s="83">
        <f t="shared" si="37"/>
        <v>1.232400457</v>
      </c>
      <c r="CK46" s="83">
        <f t="shared" si="37"/>
        <v>1.232400457</v>
      </c>
      <c r="CL46" s="83">
        <f t="shared" si="37"/>
        <v>1.232400457</v>
      </c>
      <c r="CM46" s="83">
        <f t="shared" si="37"/>
        <v>1.232400457</v>
      </c>
      <c r="CN46" s="83">
        <f t="shared" si="37"/>
        <v>1.232400457</v>
      </c>
      <c r="CO46" s="83">
        <f t="shared" si="37"/>
        <v>1.232400457</v>
      </c>
      <c r="CP46" s="83">
        <f t="shared" si="37"/>
        <v>1.232400457</v>
      </c>
      <c r="CQ46" s="83">
        <f t="shared" si="37"/>
        <v>1.232400457</v>
      </c>
      <c r="CR46" s="83">
        <f t="shared" si="37"/>
        <v>1.232400457</v>
      </c>
      <c r="CS46" s="83">
        <f t="shared" si="37"/>
        <v>1.232400457</v>
      </c>
      <c r="CT46" s="83">
        <f t="shared" si="37"/>
        <v>1.232400457</v>
      </c>
      <c r="CU46" s="83">
        <f t="shared" si="37"/>
        <v>1.232400457</v>
      </c>
      <c r="CV46" s="83">
        <f t="shared" si="37"/>
        <v>1.232400457</v>
      </c>
      <c r="CW46" s="83">
        <f t="shared" si="37"/>
        <v>1.232400457</v>
      </c>
      <c r="CX46" s="83">
        <f t="shared" si="37"/>
        <v>1.232400457</v>
      </c>
      <c r="CY46" s="83">
        <f t="shared" si="37"/>
        <v>1.232400457</v>
      </c>
      <c r="CZ46" s="83">
        <f t="shared" si="37"/>
        <v>1.232400457</v>
      </c>
      <c r="DA46" s="83">
        <f t="shared" si="37"/>
        <v>1.232400457</v>
      </c>
      <c r="DB46" s="83">
        <f t="shared" si="37"/>
        <v>1.232400457</v>
      </c>
      <c r="DC46" s="83">
        <f t="shared" si="37"/>
        <v>1.232400457</v>
      </c>
      <c r="DD46" s="83">
        <f t="shared" si="37"/>
        <v>1.232400457</v>
      </c>
      <c r="DE46" s="83">
        <f t="shared" si="37"/>
        <v>1.232400457</v>
      </c>
      <c r="DF46" s="83">
        <f t="shared" si="37"/>
        <v>1.232400457</v>
      </c>
      <c r="DG46" s="83">
        <f t="shared" si="37"/>
        <v>1.232400457</v>
      </c>
      <c r="DH46" s="83">
        <f t="shared" si="37"/>
        <v>1.232400457</v>
      </c>
      <c r="DI46" s="83">
        <f t="shared" si="37"/>
        <v>1.232400457</v>
      </c>
      <c r="DJ46" s="83">
        <f t="shared" si="37"/>
        <v>1.232400457</v>
      </c>
      <c r="DK46" s="83">
        <f t="shared" si="37"/>
        <v>1.232400457</v>
      </c>
      <c r="DL46" s="83">
        <f t="shared" si="37"/>
        <v>1.232400457</v>
      </c>
      <c r="DM46" s="83">
        <f t="shared" si="37"/>
        <v>1.232400457</v>
      </c>
      <c r="DN46" s="83">
        <f t="shared" si="37"/>
        <v>1.232400457</v>
      </c>
      <c r="DO46" s="83">
        <f t="shared" si="37"/>
        <v>1.232400457</v>
      </c>
      <c r="DP46" s="83">
        <f t="shared" si="37"/>
        <v>1.232400457</v>
      </c>
      <c r="DQ46" s="83">
        <f t="shared" si="37"/>
        <v>1.232400457</v>
      </c>
      <c r="DR46" s="83">
        <f t="shared" si="37"/>
        <v>1.232400457</v>
      </c>
      <c r="DS46" s="83">
        <f t="shared" si="37"/>
        <v>1.232400457</v>
      </c>
      <c r="DT46" s="83">
        <f t="shared" si="37"/>
        <v>1.232400457</v>
      </c>
      <c r="DU46" s="83">
        <f t="shared" si="37"/>
        <v>1.232400457</v>
      </c>
      <c r="DV46" s="83">
        <f t="shared" si="37"/>
        <v>1.232400457</v>
      </c>
      <c r="DW46" s="83">
        <f t="shared" si="37"/>
        <v>1.232400457</v>
      </c>
      <c r="DX46" s="83">
        <f t="shared" si="37"/>
        <v>1.232400457</v>
      </c>
      <c r="DY46" s="83">
        <f t="shared" si="37"/>
        <v>1.232400457</v>
      </c>
      <c r="DZ46" s="83">
        <f t="shared" si="37"/>
        <v>1.232400457</v>
      </c>
      <c r="EA46" s="83">
        <f t="shared" si="37"/>
        <v>1.232400457</v>
      </c>
      <c r="EB46" s="83">
        <f t="shared" si="37"/>
        <v>1.232400457</v>
      </c>
      <c r="EC46" s="83">
        <f t="shared" si="37"/>
        <v>1.232400457</v>
      </c>
      <c r="ED46" s="83">
        <f t="shared" si="37"/>
        <v>1.232400457</v>
      </c>
      <c r="EE46" s="83">
        <f t="shared" si="37"/>
        <v>1.232400457</v>
      </c>
      <c r="EF46" s="83">
        <f t="shared" si="37"/>
        <v>1.232400457</v>
      </c>
      <c r="EG46" s="83">
        <f t="shared" si="37"/>
        <v>1.232400457</v>
      </c>
      <c r="EH46" s="83">
        <f t="shared" si="37"/>
        <v>1.232400457</v>
      </c>
      <c r="EI46" s="83">
        <f t="shared" si="37"/>
        <v>1.232400457</v>
      </c>
      <c r="EJ46" s="83">
        <f t="shared" si="37"/>
        <v>1.232400457</v>
      </c>
      <c r="EK46" s="83">
        <f t="shared" si="37"/>
        <v>1.232400457</v>
      </c>
      <c r="EL46" s="83">
        <f t="shared" si="37"/>
        <v>1.232400457</v>
      </c>
      <c r="EM46" s="83">
        <f t="shared" si="37"/>
        <v>1.232400457</v>
      </c>
      <c r="EN46" s="83">
        <f t="shared" si="37"/>
        <v>1.232400457</v>
      </c>
      <c r="EO46" s="83">
        <f t="shared" si="37"/>
        <v>1.232400457</v>
      </c>
      <c r="EP46" s="83">
        <f t="shared" si="37"/>
        <v>1.232400457</v>
      </c>
      <c r="EQ46" s="83">
        <f t="shared" si="37"/>
        <v>1.232400457</v>
      </c>
      <c r="ER46" s="83">
        <f t="shared" si="37"/>
        <v>1.232400457</v>
      </c>
      <c r="ES46" s="83">
        <f t="shared" si="37"/>
        <v>1.232400457</v>
      </c>
      <c r="ET46" s="83">
        <f t="shared" si="37"/>
        <v>1.232400457</v>
      </c>
      <c r="EU46" s="83">
        <f t="shared" si="37"/>
        <v>1.232400457</v>
      </c>
      <c r="EV46" s="83">
        <f t="shared" si="37"/>
        <v>1.232400457</v>
      </c>
      <c r="EW46" s="83">
        <f t="shared" si="37"/>
        <v>1.232400457</v>
      </c>
      <c r="EX46" s="83">
        <f t="shared" si="37"/>
        <v>1.232400457</v>
      </c>
      <c r="EY46" s="83">
        <f t="shared" si="37"/>
        <v>1.232400457</v>
      </c>
      <c r="EZ46" s="83">
        <f t="shared" si="37"/>
        <v>1.232400457</v>
      </c>
      <c r="FA46" s="83">
        <f t="shared" si="37"/>
        <v>1.232400457</v>
      </c>
      <c r="FB46" s="83">
        <f t="shared" si="37"/>
        <v>1.232400457</v>
      </c>
      <c r="FC46" s="83">
        <f t="shared" si="37"/>
        <v>1.232400457</v>
      </c>
      <c r="FD46" s="83">
        <f t="shared" si="37"/>
        <v>1.232400457</v>
      </c>
      <c r="FE46" s="83">
        <f t="shared" si="37"/>
        <v>1.232400457</v>
      </c>
      <c r="FF46" s="83">
        <f t="shared" si="37"/>
        <v>1.232400457</v>
      </c>
      <c r="FG46" s="83">
        <f t="shared" si="37"/>
        <v>1.232400457</v>
      </c>
      <c r="FH46" s="83">
        <f t="shared" si="37"/>
        <v>1.232400457</v>
      </c>
      <c r="FI46" s="83">
        <f t="shared" si="37"/>
        <v>1.232400457</v>
      </c>
      <c r="FJ46" s="83">
        <f t="shared" si="37"/>
        <v>1.232400457</v>
      </c>
      <c r="FK46" s="83">
        <f t="shared" si="37"/>
        <v>1.232400457</v>
      </c>
      <c r="FL46" s="83">
        <f t="shared" si="37"/>
        <v>1.232400457</v>
      </c>
      <c r="FM46" s="83">
        <f t="shared" si="37"/>
        <v>1.232400457</v>
      </c>
      <c r="FN46" s="83">
        <f t="shared" si="37"/>
        <v>1.232400457</v>
      </c>
      <c r="FO46" s="83">
        <f t="shared" si="37"/>
        <v>1.232400457</v>
      </c>
      <c r="FP46" s="83">
        <f t="shared" si="37"/>
        <v>1.232400457</v>
      </c>
      <c r="FQ46" s="83">
        <f t="shared" si="37"/>
        <v>1.232400457</v>
      </c>
      <c r="FR46" s="83">
        <f t="shared" si="37"/>
        <v>1.232400457</v>
      </c>
      <c r="FS46" s="83">
        <f t="shared" si="37"/>
        <v>1.232400457</v>
      </c>
      <c r="FT46" s="83">
        <f t="shared" si="37"/>
        <v>1.232400457</v>
      </c>
      <c r="FU46" s="83">
        <f t="shared" si="37"/>
        <v>1.232400457</v>
      </c>
      <c r="FV46" s="83">
        <f t="shared" si="37"/>
        <v>1.232400457</v>
      </c>
      <c r="FW46" s="83">
        <f t="shared" si="37"/>
        <v>1.232400457</v>
      </c>
      <c r="FX46" s="83">
        <f t="shared" si="37"/>
        <v>1.232400457</v>
      </c>
      <c r="FY46" s="83">
        <f t="shared" si="37"/>
        <v>1.232400457</v>
      </c>
      <c r="FZ46" s="83">
        <f t="shared" si="37"/>
        <v>1.232400457</v>
      </c>
      <c r="GA46" s="83">
        <f t="shared" si="37"/>
        <v>1.232400457</v>
      </c>
      <c r="GB46" s="83">
        <f t="shared" si="37"/>
        <v>1.232400457</v>
      </c>
      <c r="GC46" s="83">
        <f t="shared" si="37"/>
        <v>1.232400457</v>
      </c>
      <c r="GD46" s="83">
        <f t="shared" si="37"/>
        <v>1.232400457</v>
      </c>
      <c r="GE46" s="83">
        <f t="shared" si="37"/>
        <v>1.232400457</v>
      </c>
      <c r="GF46" s="83">
        <f t="shared" si="37"/>
        <v>1.232400457</v>
      </c>
      <c r="GG46" s="83">
        <f t="shared" si="37"/>
        <v>1.232400457</v>
      </c>
      <c r="GH46" s="83">
        <f t="shared" si="37"/>
        <v>1.232400457</v>
      </c>
      <c r="GI46" s="83">
        <f t="shared" si="37"/>
        <v>1.232400457</v>
      </c>
      <c r="GJ46" s="83">
        <f t="shared" si="37"/>
        <v>1.232400457</v>
      </c>
      <c r="GK46" s="83">
        <f t="shared" si="37"/>
        <v>1.232400457</v>
      </c>
      <c r="GL46" s="83">
        <f t="shared" si="37"/>
        <v>1.232400457</v>
      </c>
      <c r="GM46" s="83">
        <f t="shared" si="37"/>
        <v>1.232400457</v>
      </c>
      <c r="GN46" s="83">
        <f t="shared" si="37"/>
        <v>1.232400457</v>
      </c>
      <c r="GO46" s="83">
        <f t="shared" si="37"/>
        <v>1.232400457</v>
      </c>
      <c r="GP46" s="83">
        <f t="shared" si="37"/>
        <v>1.232400457</v>
      </c>
      <c r="GQ46" s="83">
        <f t="shared" si="37"/>
        <v>1.232400457</v>
      </c>
      <c r="GR46" s="83">
        <f t="shared" si="37"/>
        <v>1.232400457</v>
      </c>
      <c r="GS46" s="83">
        <f t="shared" si="37"/>
        <v>1.232400457</v>
      </c>
      <c r="GT46" s="83">
        <f t="shared" si="37"/>
        <v>1.232400457</v>
      </c>
      <c r="GU46" s="83">
        <f t="shared" si="37"/>
        <v>1.232400457</v>
      </c>
      <c r="GV46" s="83">
        <f t="shared" si="37"/>
        <v>1.232400457</v>
      </c>
      <c r="GW46" s="83">
        <f t="shared" si="37"/>
        <v>1.232400457</v>
      </c>
      <c r="GX46" s="83">
        <f t="shared" si="37"/>
        <v>1.232400457</v>
      </c>
      <c r="GY46" s="83">
        <f t="shared" si="37"/>
        <v>1.232400457</v>
      </c>
      <c r="GZ46" s="83">
        <f t="shared" si="37"/>
        <v>1.232400457</v>
      </c>
      <c r="HA46" s="83">
        <f t="shared" si="37"/>
        <v>1.232400457</v>
      </c>
      <c r="HB46" s="83">
        <f t="shared" si="37"/>
        <v>1.232400457</v>
      </c>
      <c r="HC46" s="83">
        <f t="shared" si="37"/>
        <v>1.232400457</v>
      </c>
      <c r="HD46" s="83">
        <f t="shared" si="37"/>
        <v>1.232400457</v>
      </c>
      <c r="HE46" s="83">
        <f t="shared" si="37"/>
        <v>1.232400457</v>
      </c>
      <c r="HF46" s="83">
        <f t="shared" si="37"/>
        <v>1.232400457</v>
      </c>
      <c r="HG46" s="83">
        <f t="shared" si="37"/>
        <v>1.232400457</v>
      </c>
      <c r="HH46" s="83">
        <f t="shared" si="37"/>
        <v>1.232400457</v>
      </c>
      <c r="HI46" s="83">
        <f t="shared" si="37"/>
        <v>1.232400457</v>
      </c>
      <c r="HJ46" s="83">
        <f t="shared" si="37"/>
        <v>1.232400457</v>
      </c>
      <c r="HK46" s="83">
        <f t="shared" si="37"/>
        <v>1.232400457</v>
      </c>
      <c r="HL46" s="83">
        <f t="shared" si="37"/>
        <v>1.232400457</v>
      </c>
      <c r="HM46" s="83">
        <f t="shared" si="37"/>
        <v>1.232400457</v>
      </c>
      <c r="HN46" s="83">
        <f t="shared" si="37"/>
        <v>1.232400457</v>
      </c>
      <c r="HO46" s="83">
        <f t="shared" si="37"/>
        <v>1.232400457</v>
      </c>
      <c r="HP46" s="83">
        <f t="shared" si="37"/>
        <v>1.232400457</v>
      </c>
      <c r="HQ46" s="83">
        <f t="shared" si="37"/>
        <v>1.232400457</v>
      </c>
      <c r="HR46" s="83">
        <f t="shared" si="37"/>
        <v>1.232400457</v>
      </c>
      <c r="HS46" s="83">
        <f t="shared" si="37"/>
        <v>1.232400457</v>
      </c>
      <c r="HT46" s="83">
        <f t="shared" si="37"/>
        <v>1.232400457</v>
      </c>
      <c r="HU46" s="83">
        <f t="shared" si="37"/>
        <v>1.232400457</v>
      </c>
      <c r="HV46" s="83">
        <f t="shared" si="37"/>
        <v>1.232400457</v>
      </c>
      <c r="HW46" s="83">
        <f t="shared" si="37"/>
        <v>1.232400457</v>
      </c>
      <c r="HX46" s="83">
        <f t="shared" si="37"/>
        <v>1.232400457</v>
      </c>
      <c r="HY46" s="83">
        <f t="shared" si="37"/>
        <v>1.232400457</v>
      </c>
      <c r="HZ46" s="83">
        <f t="shared" si="37"/>
        <v>1.232400457</v>
      </c>
      <c r="IA46" s="83">
        <f t="shared" si="37"/>
        <v>1.232400457</v>
      </c>
      <c r="IB46" s="83">
        <f t="shared" si="37"/>
        <v>1.232400457</v>
      </c>
      <c r="IC46" s="83">
        <f t="shared" si="37"/>
        <v>1.232400457</v>
      </c>
      <c r="ID46" s="83">
        <f t="shared" si="37"/>
        <v>1.232400457</v>
      </c>
      <c r="IE46" s="83">
        <f t="shared" si="37"/>
        <v>1.232400457</v>
      </c>
      <c r="IF46" s="83">
        <f t="shared" si="37"/>
        <v>1.232400457</v>
      </c>
      <c r="IG46" s="83">
        <f t="shared" si="37"/>
        <v>1.232400457</v>
      </c>
      <c r="IH46" s="83">
        <f t="shared" si="37"/>
        <v>1.232400457</v>
      </c>
      <c r="II46" s="83">
        <f t="shared" si="37"/>
        <v>1.232400457</v>
      </c>
      <c r="IJ46" s="83">
        <f t="shared" si="37"/>
        <v>1.232400457</v>
      </c>
      <c r="IK46" s="83">
        <f t="shared" si="37"/>
        <v>1.232400457</v>
      </c>
      <c r="IL46" s="83">
        <f t="shared" si="37"/>
        <v>1.232400457</v>
      </c>
      <c r="IM46" s="83">
        <f t="shared" si="37"/>
        <v>1.232400457</v>
      </c>
      <c r="IN46" s="83">
        <f t="shared" si="37"/>
        <v>1.232400457</v>
      </c>
      <c r="IO46" s="83">
        <f t="shared" si="37"/>
        <v>1.232400457</v>
      </c>
      <c r="IP46" s="83">
        <f t="shared" si="37"/>
        <v>1.232400457</v>
      </c>
      <c r="IQ46" s="83">
        <f t="shared" si="37"/>
        <v>1.232400457</v>
      </c>
      <c r="IR46" s="83">
        <f t="shared" si="37"/>
        <v>1.232400457</v>
      </c>
      <c r="IS46" s="83">
        <f t="shared" si="37"/>
        <v>1.232400457</v>
      </c>
      <c r="IT46" s="83">
        <f t="shared" si="37"/>
        <v>1.232400457</v>
      </c>
      <c r="IU46" s="83">
        <f t="shared" si="37"/>
        <v>1.232400457</v>
      </c>
      <c r="IV46" s="83">
        <f t="shared" si="37"/>
        <v>1.232400457</v>
      </c>
      <c r="IW46" s="83">
        <f t="shared" si="37"/>
        <v>1.232400457</v>
      </c>
      <c r="IX46" s="83">
        <f t="shared" si="37"/>
        <v>1.232400457</v>
      </c>
      <c r="IY46" s="83">
        <f t="shared" si="37"/>
        <v>1.232400457</v>
      </c>
      <c r="IZ46" s="83">
        <f t="shared" si="37"/>
        <v>1.232400457</v>
      </c>
      <c r="JA46" s="83">
        <f t="shared" si="37"/>
        <v>1.232400457</v>
      </c>
      <c r="JB46" s="83">
        <f t="shared" si="37"/>
        <v>1.232400457</v>
      </c>
      <c r="JC46" s="83">
        <f t="shared" si="37"/>
        <v>1.232400457</v>
      </c>
      <c r="JD46" s="83">
        <f t="shared" si="37"/>
        <v>1.232400457</v>
      </c>
      <c r="JE46" s="83">
        <f t="shared" si="37"/>
        <v>1.232400457</v>
      </c>
      <c r="JF46" s="83">
        <f t="shared" si="37"/>
        <v>1.232400457</v>
      </c>
      <c r="JG46" s="83">
        <f t="shared" si="37"/>
        <v>1.232400457</v>
      </c>
      <c r="JH46" s="83">
        <f t="shared" si="37"/>
        <v>1.232400457</v>
      </c>
      <c r="JI46" s="83">
        <f t="shared" si="37"/>
        <v>1.232400457</v>
      </c>
      <c r="JJ46" s="83">
        <f t="shared" si="37"/>
        <v>1.232400457</v>
      </c>
      <c r="JK46" s="83">
        <f t="shared" si="37"/>
        <v>1.232400457</v>
      </c>
      <c r="JL46" s="83">
        <f t="shared" si="37"/>
        <v>1.232400457</v>
      </c>
      <c r="JM46" s="83">
        <f t="shared" si="37"/>
        <v>1.232400457</v>
      </c>
      <c r="JN46" s="83">
        <f t="shared" si="37"/>
        <v>1.232400457</v>
      </c>
      <c r="JO46" s="83">
        <f t="shared" si="37"/>
        <v>1.232400457</v>
      </c>
      <c r="JP46" s="83">
        <f t="shared" si="37"/>
        <v>1.232400457</v>
      </c>
      <c r="JQ46" s="83">
        <f t="shared" si="37"/>
        <v>1.232400457</v>
      </c>
      <c r="JR46" s="83">
        <f t="shared" si="37"/>
        <v>1.232400457</v>
      </c>
      <c r="JS46" s="83">
        <f t="shared" si="37"/>
        <v>1.232400457</v>
      </c>
      <c r="JT46" s="83">
        <f t="shared" si="37"/>
        <v>1.232400457</v>
      </c>
      <c r="JU46" s="83">
        <f t="shared" si="37"/>
        <v>1.232400457</v>
      </c>
      <c r="JV46" s="83">
        <f t="shared" si="37"/>
        <v>1.232400457</v>
      </c>
      <c r="JW46" s="83">
        <f t="shared" si="37"/>
        <v>1.232400457</v>
      </c>
      <c r="JX46" s="83">
        <f t="shared" si="37"/>
        <v>1.232400457</v>
      </c>
      <c r="JY46" s="83">
        <f t="shared" si="37"/>
        <v>1.232400457</v>
      </c>
      <c r="JZ46" s="83">
        <f t="shared" si="37"/>
        <v>1.232400457</v>
      </c>
      <c r="KA46" s="83">
        <f t="shared" si="37"/>
        <v>1.232400457</v>
      </c>
      <c r="KB46" s="83">
        <f t="shared" si="37"/>
        <v>1.232400457</v>
      </c>
      <c r="KC46" s="83">
        <f t="shared" si="37"/>
        <v>1.232400457</v>
      </c>
      <c r="KD46" s="83">
        <f t="shared" si="37"/>
        <v>1.232400457</v>
      </c>
      <c r="KE46" s="83">
        <f t="shared" si="37"/>
        <v>1.232400457</v>
      </c>
      <c r="KF46" s="83">
        <f t="shared" si="37"/>
        <v>1.232400457</v>
      </c>
      <c r="KG46" s="83">
        <f t="shared" si="37"/>
        <v>1.232400457</v>
      </c>
      <c r="KH46" s="83">
        <f t="shared" si="37"/>
        <v>1.232400457</v>
      </c>
      <c r="KI46" s="83">
        <f t="shared" si="37"/>
        <v>1.232400457</v>
      </c>
      <c r="KJ46" s="83">
        <f t="shared" si="37"/>
        <v>1.232400457</v>
      </c>
      <c r="KK46" s="83">
        <f t="shared" si="37"/>
        <v>1.232400457</v>
      </c>
      <c r="KL46" s="83">
        <f t="shared" si="37"/>
        <v>1.232400457</v>
      </c>
      <c r="KM46" s="83">
        <f t="shared" si="37"/>
        <v>1.232400457</v>
      </c>
      <c r="KN46" s="83">
        <f t="shared" si="37"/>
        <v>1.232400457</v>
      </c>
      <c r="KO46" s="83">
        <f t="shared" si="37"/>
        <v>1.232400457</v>
      </c>
      <c r="KP46" s="83">
        <f t="shared" si="37"/>
        <v>1.232400457</v>
      </c>
      <c r="KQ46" s="83">
        <f t="shared" si="37"/>
        <v>1.232400457</v>
      </c>
      <c r="KR46" s="83">
        <f t="shared" si="37"/>
        <v>1.232400457</v>
      </c>
      <c r="KS46" s="83">
        <f t="shared" si="37"/>
        <v>1.232400457</v>
      </c>
      <c r="KT46" s="83">
        <f t="shared" si="37"/>
        <v>1.232400457</v>
      </c>
      <c r="KU46" s="83">
        <f t="shared" si="37"/>
        <v>1.232400457</v>
      </c>
      <c r="KV46" s="83">
        <f t="shared" si="37"/>
        <v>1.232400457</v>
      </c>
      <c r="KW46" s="83">
        <f t="shared" si="37"/>
        <v>1.232400457</v>
      </c>
      <c r="KX46" s="83">
        <f t="shared" si="37"/>
        <v>1.232400457</v>
      </c>
      <c r="KY46" s="83">
        <f t="shared" si="37"/>
        <v>1.232400457</v>
      </c>
      <c r="KZ46" s="83">
        <f t="shared" si="37"/>
        <v>1.232400457</v>
      </c>
      <c r="LA46" s="83">
        <f t="shared" si="37"/>
        <v>1.232400457</v>
      </c>
      <c r="LB46" s="83">
        <f t="shared" si="37"/>
        <v>1.232400457</v>
      </c>
      <c r="LC46" s="83">
        <f t="shared" si="37"/>
        <v>1.232400457</v>
      </c>
      <c r="LD46" s="83">
        <f t="shared" si="37"/>
        <v>1.232400457</v>
      </c>
      <c r="LE46" s="83">
        <f t="shared" si="37"/>
        <v>1.232400457</v>
      </c>
      <c r="LF46" s="83">
        <f t="shared" si="37"/>
        <v>1.232400457</v>
      </c>
      <c r="LG46" s="83">
        <f t="shared" si="37"/>
        <v>1.232400457</v>
      </c>
      <c r="LH46" s="83">
        <f t="shared" si="37"/>
        <v>1.232400457</v>
      </c>
      <c r="LI46" s="83">
        <f t="shared" si="37"/>
        <v>1.232400457</v>
      </c>
      <c r="LJ46" s="83">
        <f t="shared" si="37"/>
        <v>1.232400457</v>
      </c>
      <c r="LK46" s="83">
        <f t="shared" si="37"/>
        <v>1.232400457</v>
      </c>
      <c r="LL46" s="83">
        <f t="shared" si="37"/>
        <v>1.232400457</v>
      </c>
      <c r="LM46" s="83">
        <f t="shared" si="37"/>
        <v>1.232400457</v>
      </c>
      <c r="LN46" s="83">
        <f t="shared" si="37"/>
        <v>1.232400457</v>
      </c>
      <c r="LO46" s="83">
        <f t="shared" si="37"/>
        <v>1.232400457</v>
      </c>
      <c r="LP46" s="83">
        <f t="shared" si="37"/>
        <v>1.232400457</v>
      </c>
      <c r="LQ46" s="83">
        <f t="shared" si="37"/>
        <v>1.232400457</v>
      </c>
      <c r="LR46" s="83">
        <f t="shared" si="37"/>
        <v>1.232400457</v>
      </c>
      <c r="LS46" s="83">
        <f t="shared" si="37"/>
        <v>1.232400457</v>
      </c>
      <c r="LT46" s="83">
        <f t="shared" si="37"/>
        <v>1.232400457</v>
      </c>
      <c r="LU46" s="83">
        <f t="shared" si="37"/>
        <v>1.232400457</v>
      </c>
      <c r="LV46" s="83">
        <f t="shared" si="37"/>
        <v>1.232400457</v>
      </c>
      <c r="LW46" s="83">
        <f t="shared" si="37"/>
        <v>1.232400457</v>
      </c>
      <c r="LX46" s="83">
        <f t="shared" si="37"/>
        <v>1.232400457</v>
      </c>
      <c r="LY46" s="83">
        <f t="shared" si="37"/>
        <v>1.232400457</v>
      </c>
      <c r="LZ46" s="83">
        <f t="shared" si="37"/>
        <v>1.232400457</v>
      </c>
      <c r="MA46" s="83">
        <f t="shared" si="37"/>
        <v>1.232400457</v>
      </c>
      <c r="MB46" s="83">
        <f t="shared" si="37"/>
        <v>1.232400457</v>
      </c>
      <c r="MC46" s="83">
        <f t="shared" si="37"/>
        <v>1.232400457</v>
      </c>
      <c r="MD46" s="83">
        <f t="shared" si="37"/>
        <v>1.232400457</v>
      </c>
      <c r="ME46" s="83">
        <f t="shared" si="37"/>
        <v>1.232400457</v>
      </c>
      <c r="MF46" s="83">
        <f t="shared" si="37"/>
        <v>1.232400457</v>
      </c>
      <c r="MG46" s="83">
        <f t="shared" si="37"/>
        <v>1.232400457</v>
      </c>
      <c r="MH46" s="83">
        <f t="shared" si="37"/>
        <v>1.232400457</v>
      </c>
      <c r="MI46" s="83">
        <f t="shared" si="37"/>
        <v>1.232400457</v>
      </c>
      <c r="MJ46" s="83">
        <f t="shared" si="37"/>
        <v>1.232400457</v>
      </c>
      <c r="MK46" s="83">
        <f t="shared" si="37"/>
        <v>1.232400457</v>
      </c>
      <c r="ML46" s="83">
        <f t="shared" si="37"/>
        <v>1.232400457</v>
      </c>
      <c r="MM46" s="83">
        <f t="shared" si="37"/>
        <v>1.232400457</v>
      </c>
      <c r="MN46" s="83">
        <f t="shared" si="37"/>
        <v>1.232400457</v>
      </c>
      <c r="MO46" s="83">
        <f t="shared" si="37"/>
        <v>1.232400457</v>
      </c>
      <c r="MP46" s="83">
        <f t="shared" si="37"/>
        <v>1.232400457</v>
      </c>
      <c r="MQ46" s="83">
        <f t="shared" si="37"/>
        <v>1.232400457</v>
      </c>
      <c r="MR46" s="83">
        <f t="shared" si="37"/>
        <v>1.232400457</v>
      </c>
      <c r="MS46" s="83">
        <f t="shared" si="37"/>
        <v>1.232400457</v>
      </c>
      <c r="MT46" s="83">
        <f t="shared" si="37"/>
        <v>1.232400457</v>
      </c>
      <c r="MU46" s="83">
        <f t="shared" si="37"/>
        <v>1.232400457</v>
      </c>
      <c r="MV46" s="83">
        <f t="shared" si="37"/>
        <v>1.232400457</v>
      </c>
      <c r="MW46" s="83">
        <f t="shared" si="37"/>
        <v>1.232400457</v>
      </c>
      <c r="MX46" s="83">
        <f t="shared" si="37"/>
        <v>1.232400457</v>
      </c>
      <c r="MY46" s="83">
        <f t="shared" si="37"/>
        <v>1.232400457</v>
      </c>
      <c r="MZ46" s="83">
        <f t="shared" si="37"/>
        <v>1.232400457</v>
      </c>
      <c r="NA46" s="83">
        <f t="shared" si="37"/>
        <v>1.232400457</v>
      </c>
      <c r="NB46" s="83">
        <f t="shared" si="37"/>
        <v>1.232400457</v>
      </c>
      <c r="NC46" s="83">
        <f t="shared" si="37"/>
        <v>1.232400457</v>
      </c>
      <c r="ND46" s="83">
        <f t="shared" si="37"/>
        <v>1.232400457</v>
      </c>
      <c r="NE46" s="83">
        <f t="shared" si="37"/>
        <v>1.232400457</v>
      </c>
      <c r="NF46" s="83">
        <f t="shared" si="37"/>
        <v>1.232400457</v>
      </c>
      <c r="NG46" s="83">
        <f t="shared" si="37"/>
        <v>1.232400457</v>
      </c>
      <c r="NH46" s="83">
        <f t="shared" si="37"/>
        <v>1.232400457</v>
      </c>
      <c r="NI46" s="83">
        <f t="shared" si="37"/>
        <v>1.232400457</v>
      </c>
      <c r="NJ46" s="83">
        <f t="shared" si="37"/>
        <v>1.232400457</v>
      </c>
      <c r="NK46" s="83">
        <f t="shared" si="37"/>
        <v>1.232400457</v>
      </c>
      <c r="NL46" s="83">
        <f t="shared" si="37"/>
        <v>1.232400457</v>
      </c>
      <c r="NM46" s="83">
        <f t="shared" si="37"/>
        <v>1.232400457</v>
      </c>
      <c r="NN46" s="83">
        <f t="shared" si="37"/>
        <v>1.232400457</v>
      </c>
      <c r="NO46" s="83">
        <f t="shared" si="37"/>
        <v>1.232400457</v>
      </c>
      <c r="NP46" s="83">
        <f t="shared" si="37"/>
        <v>1.232400457</v>
      </c>
      <c r="NQ46" s="83">
        <f t="shared" si="37"/>
        <v>1.232400457</v>
      </c>
      <c r="NR46" s="83">
        <f t="shared" si="37"/>
        <v>1.232400457</v>
      </c>
      <c r="NS46" s="83">
        <f t="shared" si="37"/>
        <v>1.232400457</v>
      </c>
      <c r="NT46" s="83">
        <f t="shared" si="37"/>
        <v>1.232400457</v>
      </c>
      <c r="NU46" s="83">
        <f t="shared" si="37"/>
        <v>1.232400457</v>
      </c>
      <c r="NV46" s="83">
        <f t="shared" si="37"/>
        <v>1.232400457</v>
      </c>
      <c r="NW46" s="83">
        <f t="shared" si="37"/>
        <v>1.232400457</v>
      </c>
      <c r="NX46" s="83">
        <f t="shared" si="37"/>
        <v>1.232400457</v>
      </c>
      <c r="NY46" s="83">
        <f t="shared" si="37"/>
        <v>1.232400457</v>
      </c>
      <c r="NZ46" s="83">
        <f t="shared" si="37"/>
        <v>1.232400457</v>
      </c>
      <c r="OA46" s="83">
        <f t="shared" si="37"/>
        <v>1.232400457</v>
      </c>
      <c r="OB46" s="83">
        <f t="shared" si="37"/>
        <v>1.232400457</v>
      </c>
      <c r="OC46" s="83">
        <f t="shared" si="37"/>
        <v>1.232400457</v>
      </c>
      <c r="OD46" s="83">
        <f t="shared" si="37"/>
        <v>1.232400457</v>
      </c>
      <c r="OE46" s="83">
        <f t="shared" si="37"/>
        <v>1.232400457</v>
      </c>
      <c r="OF46" s="83">
        <f t="shared" si="37"/>
        <v>1.232400457</v>
      </c>
      <c r="OG46" s="83">
        <f t="shared" si="37"/>
        <v>1.232400457</v>
      </c>
      <c r="OH46" s="83">
        <f t="shared" si="37"/>
        <v>1.232400457</v>
      </c>
      <c r="OI46" s="83">
        <f t="shared" si="37"/>
        <v>1.232400457</v>
      </c>
      <c r="OJ46" s="83">
        <f t="shared" si="37"/>
        <v>1.232400457</v>
      </c>
      <c r="OK46" s="83">
        <f t="shared" si="37"/>
        <v>1.232400457</v>
      </c>
      <c r="OL46" s="83">
        <f t="shared" si="37"/>
        <v>1.232400457</v>
      </c>
      <c r="OM46" s="83">
        <f t="shared" si="37"/>
        <v>1.232400457</v>
      </c>
      <c r="ON46" s="83">
        <f t="shared" si="37"/>
        <v>1.232400457</v>
      </c>
      <c r="OO46" s="83">
        <f t="shared" si="37"/>
        <v>1.232400457</v>
      </c>
      <c r="OP46" s="83">
        <f t="shared" si="37"/>
        <v>1.232400457</v>
      </c>
      <c r="OQ46" s="83">
        <f t="shared" si="37"/>
        <v>1.232400457</v>
      </c>
      <c r="OR46" s="83">
        <f t="shared" si="37"/>
        <v>1.232400457</v>
      </c>
      <c r="OS46" s="83">
        <f t="shared" si="37"/>
        <v>1.232400457</v>
      </c>
      <c r="OT46" s="83">
        <f t="shared" si="37"/>
        <v>1.232400457</v>
      </c>
      <c r="OU46" s="83">
        <f t="shared" si="37"/>
        <v>1.232400457</v>
      </c>
      <c r="OV46" s="83">
        <f t="shared" si="37"/>
        <v>1.232400457</v>
      </c>
      <c r="OW46" s="83">
        <f t="shared" si="37"/>
        <v>1.232400457</v>
      </c>
      <c r="OX46" s="83">
        <f t="shared" si="37"/>
        <v>1.232400457</v>
      </c>
      <c r="OY46" s="83">
        <f t="shared" si="37"/>
        <v>1.232400457</v>
      </c>
      <c r="OZ46" s="83">
        <f t="shared" si="37"/>
        <v>1.232400457</v>
      </c>
      <c r="PA46" s="83">
        <f t="shared" si="37"/>
        <v>1.232400457</v>
      </c>
      <c r="PB46" s="83">
        <f t="shared" si="37"/>
        <v>1.232400457</v>
      </c>
      <c r="PC46" s="83">
        <f t="shared" si="37"/>
        <v>1.232400457</v>
      </c>
      <c r="PD46" s="83">
        <f t="shared" si="37"/>
        <v>1.232400457</v>
      </c>
      <c r="PE46" s="83">
        <f t="shared" si="37"/>
        <v>1.232400457</v>
      </c>
      <c r="PF46" s="83">
        <f t="shared" si="37"/>
        <v>1.232400457</v>
      </c>
      <c r="PG46" s="83">
        <f t="shared" si="37"/>
        <v>1.232400457</v>
      </c>
      <c r="PH46" s="83">
        <f t="shared" si="37"/>
        <v>1.232400457</v>
      </c>
      <c r="PI46" s="83">
        <f t="shared" si="37"/>
        <v>1.232400457</v>
      </c>
      <c r="PJ46" s="83">
        <f t="shared" si="37"/>
        <v>1.232400457</v>
      </c>
      <c r="PK46" s="83">
        <f t="shared" si="37"/>
        <v>1.232400457</v>
      </c>
      <c r="PL46" s="83">
        <f t="shared" si="37"/>
        <v>1.232400457</v>
      </c>
      <c r="PM46" s="83">
        <f t="shared" si="37"/>
        <v>1.232400457</v>
      </c>
      <c r="PN46" s="83">
        <f t="shared" si="37"/>
        <v>1.232400457</v>
      </c>
      <c r="PO46" s="83">
        <f t="shared" si="37"/>
        <v>1.232400457</v>
      </c>
      <c r="PP46" s="83">
        <f t="shared" si="37"/>
        <v>1.232400457</v>
      </c>
      <c r="PQ46" s="83">
        <f t="shared" si="37"/>
        <v>1.232400457</v>
      </c>
      <c r="PR46" s="83">
        <f t="shared" si="37"/>
        <v>1.232400457</v>
      </c>
      <c r="PS46" s="83">
        <f t="shared" si="37"/>
        <v>1.232400457</v>
      </c>
      <c r="PT46" s="83">
        <f t="shared" si="37"/>
        <v>1.232400457</v>
      </c>
      <c r="PU46" s="83">
        <f t="shared" si="37"/>
        <v>1.232400457</v>
      </c>
      <c r="PV46" s="83">
        <f t="shared" si="37"/>
        <v>1.232400457</v>
      </c>
      <c r="PW46" s="83">
        <f t="shared" si="37"/>
        <v>1.232400457</v>
      </c>
      <c r="PX46" s="83">
        <f t="shared" si="37"/>
        <v>1.232400457</v>
      </c>
      <c r="PY46" s="83">
        <f t="shared" si="37"/>
        <v>1.232400457</v>
      </c>
      <c r="PZ46" s="83">
        <f t="shared" si="37"/>
        <v>1.232400457</v>
      </c>
      <c r="QA46" s="83">
        <f t="shared" si="37"/>
        <v>1.232400457</v>
      </c>
      <c r="QB46" s="83">
        <f t="shared" si="37"/>
        <v>1.232400457</v>
      </c>
      <c r="QC46" s="83">
        <f t="shared" si="37"/>
        <v>1.232400457</v>
      </c>
      <c r="QD46" s="83">
        <f t="shared" si="37"/>
        <v>1.232400457</v>
      </c>
      <c r="QE46" s="83">
        <f t="shared" si="37"/>
        <v>1.232400457</v>
      </c>
      <c r="QF46" s="83">
        <f t="shared" si="37"/>
        <v>1.232400457</v>
      </c>
      <c r="QG46" s="83">
        <f t="shared" si="37"/>
        <v>1.232400457</v>
      </c>
      <c r="QH46" s="83">
        <f t="shared" si="37"/>
        <v>1.232400457</v>
      </c>
      <c r="QI46" s="83">
        <f t="shared" si="37"/>
        <v>1.232400457</v>
      </c>
      <c r="QJ46" s="83">
        <f t="shared" si="37"/>
        <v>1.232400457</v>
      </c>
      <c r="QK46" s="83">
        <f t="shared" si="37"/>
        <v>1.232400457</v>
      </c>
      <c r="QL46" s="83">
        <f t="shared" si="37"/>
        <v>1.232400457</v>
      </c>
      <c r="QM46" s="83">
        <f t="shared" si="37"/>
        <v>1.232400457</v>
      </c>
      <c r="QN46" s="83">
        <f t="shared" si="37"/>
        <v>1.232400457</v>
      </c>
      <c r="QO46" s="83">
        <f t="shared" si="37"/>
        <v>1.232400457</v>
      </c>
      <c r="QP46" s="83">
        <f t="shared" si="37"/>
        <v>1.232400457</v>
      </c>
      <c r="QQ46" s="83">
        <f t="shared" si="37"/>
        <v>1.232400457</v>
      </c>
      <c r="QR46" s="83">
        <f t="shared" si="37"/>
        <v>1.232400457</v>
      </c>
      <c r="QS46" s="83">
        <f t="shared" si="37"/>
        <v>1.232400457</v>
      </c>
      <c r="QT46" s="83">
        <f t="shared" si="37"/>
        <v>1.232400457</v>
      </c>
      <c r="QU46" s="83">
        <f t="shared" si="37"/>
        <v>1.232400457</v>
      </c>
      <c r="QV46" s="83">
        <f t="shared" si="37"/>
        <v>1.232400457</v>
      </c>
      <c r="QW46" s="83">
        <f t="shared" si="37"/>
        <v>1.232400457</v>
      </c>
      <c r="QX46" s="83">
        <f t="shared" si="37"/>
        <v>1.232400457</v>
      </c>
      <c r="QY46" s="83">
        <f t="shared" si="37"/>
        <v>1.232400457</v>
      </c>
      <c r="QZ46" s="83">
        <f t="shared" si="37"/>
        <v>1.232400457</v>
      </c>
      <c r="RA46" s="83">
        <f t="shared" si="37"/>
        <v>1.232400457</v>
      </c>
      <c r="RB46" s="83">
        <f t="shared" si="37"/>
        <v>1.232400457</v>
      </c>
      <c r="RC46" s="83">
        <f t="shared" si="37"/>
        <v>1.232400457</v>
      </c>
      <c r="RD46" s="83">
        <f t="shared" si="37"/>
        <v>1.232400457</v>
      </c>
      <c r="RE46" s="83">
        <f t="shared" si="37"/>
        <v>1.232400457</v>
      </c>
      <c r="RF46" s="83">
        <f t="shared" si="37"/>
        <v>1.232400457</v>
      </c>
      <c r="RG46" s="83">
        <f t="shared" si="37"/>
        <v>1.232400457</v>
      </c>
      <c r="RH46" s="83">
        <f t="shared" si="37"/>
        <v>1.232400457</v>
      </c>
      <c r="RI46" s="83">
        <f t="shared" si="37"/>
        <v>1.232400457</v>
      </c>
      <c r="RJ46" s="83">
        <f t="shared" si="37"/>
        <v>1.232400457</v>
      </c>
      <c r="RK46" s="83">
        <f t="shared" si="37"/>
        <v>1.232400457</v>
      </c>
      <c r="RL46" s="83">
        <f t="shared" si="37"/>
        <v>1.232400457</v>
      </c>
      <c r="RM46" s="83">
        <f t="shared" si="37"/>
        <v>1.232400457</v>
      </c>
      <c r="RN46" s="83">
        <f t="shared" si="37"/>
        <v>1.232400457</v>
      </c>
      <c r="RO46" s="83">
        <f t="shared" si="37"/>
        <v>1.232400457</v>
      </c>
      <c r="RP46" s="83">
        <f t="shared" si="37"/>
        <v>1.232400457</v>
      </c>
      <c r="RQ46" s="83">
        <f t="shared" si="37"/>
        <v>1.232400457</v>
      </c>
      <c r="RR46" s="83">
        <f t="shared" si="37"/>
        <v>1.232400457</v>
      </c>
      <c r="RS46" s="83">
        <f t="shared" si="37"/>
        <v>1.232400457</v>
      </c>
      <c r="RT46" s="83">
        <f t="shared" si="37"/>
        <v>1.232400457</v>
      </c>
      <c r="RU46" s="83">
        <f t="shared" si="37"/>
        <v>1.232400457</v>
      </c>
      <c r="RV46" s="83">
        <f t="shared" si="37"/>
        <v>1.232400457</v>
      </c>
      <c r="RW46" s="83">
        <f t="shared" si="37"/>
        <v>1.232400457</v>
      </c>
      <c r="RX46" s="83">
        <f t="shared" si="37"/>
        <v>1.232400457</v>
      </c>
      <c r="RY46" s="83">
        <f t="shared" si="37"/>
        <v>1.232400457</v>
      </c>
      <c r="RZ46" s="83">
        <f t="shared" si="37"/>
        <v>1.232400457</v>
      </c>
      <c r="SA46" s="83">
        <f t="shared" si="37"/>
        <v>1.232400457</v>
      </c>
      <c r="SB46" s="83">
        <f t="shared" si="37"/>
        <v>1.232400457</v>
      </c>
      <c r="SC46" s="83">
        <f t="shared" si="37"/>
        <v>1.232400457</v>
      </c>
      <c r="SD46" s="83">
        <f t="shared" si="37"/>
        <v>1.232400457</v>
      </c>
      <c r="SE46" s="83">
        <f t="shared" si="37"/>
        <v>1.232400457</v>
      </c>
      <c r="SF46" s="83">
        <f t="shared" si="37"/>
        <v>1.232400457</v>
      </c>
      <c r="SG46" s="83">
        <f t="shared" si="37"/>
        <v>1.232400457</v>
      </c>
      <c r="SH46" s="83">
        <f t="shared" si="37"/>
        <v>1.232400457</v>
      </c>
      <c r="SI46" s="83">
        <f t="shared" si="37"/>
        <v>1.232400457</v>
      </c>
      <c r="SJ46" s="83">
        <f t="shared" si="37"/>
        <v>1.232400457</v>
      </c>
      <c r="SK46" s="83">
        <f t="shared" si="37"/>
        <v>1.232400457</v>
      </c>
      <c r="SL46" s="83">
        <f t="shared" si="37"/>
        <v>1.232400457</v>
      </c>
    </row>
    <row r="47">
      <c r="A47" s="84" t="s">
        <v>377</v>
      </c>
      <c r="B47" s="85">
        <f>B43*B46</f>
        <v>0.05064968693</v>
      </c>
      <c r="C47" s="293"/>
      <c r="D47" s="294"/>
      <c r="E47" s="295"/>
      <c r="F47" s="85"/>
      <c r="G47" s="85">
        <f t="shared" ref="G47:SL47" si="38">G43*G46</f>
        <v>0.05064968693</v>
      </c>
      <c r="H47" s="85">
        <f t="shared" si="38"/>
        <v>0.05064968693</v>
      </c>
      <c r="I47" s="85">
        <f t="shared" si="38"/>
        <v>0.05064968693</v>
      </c>
      <c r="J47" s="85">
        <f t="shared" si="38"/>
        <v>0.05064968693</v>
      </c>
      <c r="K47" s="85">
        <f t="shared" si="38"/>
        <v>0.05064968693</v>
      </c>
      <c r="L47" s="85">
        <f t="shared" si="38"/>
        <v>0.05064968693</v>
      </c>
      <c r="M47" s="85">
        <f t="shared" si="38"/>
        <v>0.05064968693</v>
      </c>
      <c r="N47" s="85">
        <f t="shared" si="38"/>
        <v>0.05064968693</v>
      </c>
      <c r="O47" s="85">
        <f t="shared" si="38"/>
        <v>0.05064968693</v>
      </c>
      <c r="P47" s="85">
        <f t="shared" si="38"/>
        <v>0.05064968693</v>
      </c>
      <c r="Q47" s="85">
        <f t="shared" si="38"/>
        <v>0.05064968693</v>
      </c>
      <c r="R47" s="85">
        <f t="shared" si="38"/>
        <v>0.05064968693</v>
      </c>
      <c r="S47" s="85">
        <f t="shared" si="38"/>
        <v>0.05064968693</v>
      </c>
      <c r="T47" s="85">
        <f t="shared" si="38"/>
        <v>0.05064968693</v>
      </c>
      <c r="U47" s="85">
        <f t="shared" si="38"/>
        <v>0.05064968693</v>
      </c>
      <c r="V47" s="85">
        <f t="shared" si="38"/>
        <v>0.05064968693</v>
      </c>
      <c r="W47" s="85">
        <f t="shared" si="38"/>
        <v>0.05064968693</v>
      </c>
      <c r="X47" s="85">
        <f t="shared" si="38"/>
        <v>0.05064968693</v>
      </c>
      <c r="Y47" s="85">
        <f t="shared" si="38"/>
        <v>0.05064968693</v>
      </c>
      <c r="Z47" s="85">
        <f t="shared" si="38"/>
        <v>0.05064968693</v>
      </c>
      <c r="AA47" s="85">
        <f t="shared" si="38"/>
        <v>0.05064968693</v>
      </c>
      <c r="AB47" s="85">
        <f t="shared" si="38"/>
        <v>0.05064968693</v>
      </c>
      <c r="AC47" s="85">
        <f t="shared" si="38"/>
        <v>0.05064968693</v>
      </c>
      <c r="AD47" s="85">
        <f t="shared" si="38"/>
        <v>0.05064968693</v>
      </c>
      <c r="AE47" s="85">
        <f t="shared" si="38"/>
        <v>0.05064968693</v>
      </c>
      <c r="AF47" s="85">
        <f t="shared" si="38"/>
        <v>0.05064968693</v>
      </c>
      <c r="AG47" s="85">
        <f t="shared" si="38"/>
        <v>0.05064968693</v>
      </c>
      <c r="AH47" s="85">
        <f t="shared" si="38"/>
        <v>0.05064968693</v>
      </c>
      <c r="AI47" s="85">
        <f t="shared" si="38"/>
        <v>0.05064968693</v>
      </c>
      <c r="AJ47" s="85">
        <f t="shared" si="38"/>
        <v>0.05064968693</v>
      </c>
      <c r="AK47" s="85">
        <f t="shared" si="38"/>
        <v>0.05064968693</v>
      </c>
      <c r="AL47" s="85">
        <f t="shared" si="38"/>
        <v>0.05064968693</v>
      </c>
      <c r="AM47" s="85">
        <f t="shared" si="38"/>
        <v>0.05064968693</v>
      </c>
      <c r="AN47" s="85">
        <f t="shared" si="38"/>
        <v>0.05064968693</v>
      </c>
      <c r="AO47" s="85">
        <f t="shared" si="38"/>
        <v>0.05064968693</v>
      </c>
      <c r="AP47" s="85">
        <f t="shared" si="38"/>
        <v>0.05064968693</v>
      </c>
      <c r="AQ47" s="85">
        <f t="shared" si="38"/>
        <v>0.05064968693</v>
      </c>
      <c r="AR47" s="85">
        <f t="shared" si="38"/>
        <v>0.05064968693</v>
      </c>
      <c r="AS47" s="85">
        <f t="shared" si="38"/>
        <v>0.05064968693</v>
      </c>
      <c r="AT47" s="85">
        <f t="shared" si="38"/>
        <v>0.05064968693</v>
      </c>
      <c r="AU47" s="85">
        <f t="shared" si="38"/>
        <v>0.05064968693</v>
      </c>
      <c r="AV47" s="85">
        <f t="shared" si="38"/>
        <v>0.05064968693</v>
      </c>
      <c r="AW47" s="85">
        <f t="shared" si="38"/>
        <v>0.05064968693</v>
      </c>
      <c r="AX47" s="85">
        <f t="shared" si="38"/>
        <v>0.05064968693</v>
      </c>
      <c r="AY47" s="85">
        <f t="shared" si="38"/>
        <v>0.05064968693</v>
      </c>
      <c r="AZ47" s="85">
        <f t="shared" si="38"/>
        <v>0.05064968693</v>
      </c>
      <c r="BA47" s="85">
        <f t="shared" si="38"/>
        <v>0.05064968693</v>
      </c>
      <c r="BB47" s="85">
        <f t="shared" si="38"/>
        <v>0.05064968693</v>
      </c>
      <c r="BC47" s="85">
        <f t="shared" si="38"/>
        <v>0.05064968693</v>
      </c>
      <c r="BD47" s="85">
        <f t="shared" si="38"/>
        <v>0.05064968693</v>
      </c>
      <c r="BE47" s="85">
        <f t="shared" si="38"/>
        <v>0.05064968693</v>
      </c>
      <c r="BF47" s="85">
        <f t="shared" si="38"/>
        <v>0.05064968693</v>
      </c>
      <c r="BG47" s="85">
        <f t="shared" si="38"/>
        <v>0.05064968693</v>
      </c>
      <c r="BH47" s="85">
        <f t="shared" si="38"/>
        <v>0.05064968693</v>
      </c>
      <c r="BI47" s="85">
        <f t="shared" si="38"/>
        <v>0.05064968693</v>
      </c>
      <c r="BJ47" s="85">
        <f t="shared" si="38"/>
        <v>0.05064968693</v>
      </c>
      <c r="BK47" s="85">
        <f t="shared" si="38"/>
        <v>0.05064968693</v>
      </c>
      <c r="BL47" s="85">
        <f t="shared" si="38"/>
        <v>0.05064968693</v>
      </c>
      <c r="BM47" s="85">
        <f t="shared" si="38"/>
        <v>0.05064968693</v>
      </c>
      <c r="BN47" s="85">
        <f t="shared" si="38"/>
        <v>0.05064968693</v>
      </c>
      <c r="BO47" s="85">
        <f t="shared" si="38"/>
        <v>0.05064968693</v>
      </c>
      <c r="BP47" s="85">
        <f t="shared" si="38"/>
        <v>0.05064968693</v>
      </c>
      <c r="BQ47" s="85">
        <f t="shared" si="38"/>
        <v>0.05064968693</v>
      </c>
      <c r="BR47" s="85">
        <f t="shared" si="38"/>
        <v>0.05064968693</v>
      </c>
      <c r="BS47" s="85">
        <f t="shared" si="38"/>
        <v>0.05064968693</v>
      </c>
      <c r="BT47" s="85">
        <f t="shared" si="38"/>
        <v>0.05064968693</v>
      </c>
      <c r="BU47" s="85">
        <f t="shared" si="38"/>
        <v>0.05064968693</v>
      </c>
      <c r="BV47" s="85">
        <f t="shared" si="38"/>
        <v>0.05064968693</v>
      </c>
      <c r="BW47" s="85">
        <f t="shared" si="38"/>
        <v>0.05064968693</v>
      </c>
      <c r="BX47" s="85">
        <f t="shared" si="38"/>
        <v>0.05064968693</v>
      </c>
      <c r="BY47" s="85">
        <f t="shared" si="38"/>
        <v>0.05064968693</v>
      </c>
      <c r="BZ47" s="85">
        <f t="shared" si="38"/>
        <v>0.05064968693</v>
      </c>
      <c r="CA47" s="85">
        <f t="shared" si="38"/>
        <v>0.05064968693</v>
      </c>
      <c r="CB47" s="85">
        <f t="shared" si="38"/>
        <v>0.05064968693</v>
      </c>
      <c r="CC47" s="85">
        <f t="shared" si="38"/>
        <v>0.05064968693</v>
      </c>
      <c r="CD47" s="85">
        <f t="shared" si="38"/>
        <v>0.05064968693</v>
      </c>
      <c r="CE47" s="85">
        <f t="shared" si="38"/>
        <v>0.05064968693</v>
      </c>
      <c r="CF47" s="85">
        <f t="shared" si="38"/>
        <v>0.05064968693</v>
      </c>
      <c r="CG47" s="85">
        <f t="shared" si="38"/>
        <v>0.05064968693</v>
      </c>
      <c r="CH47" s="85">
        <f t="shared" si="38"/>
        <v>0.05064968693</v>
      </c>
      <c r="CI47" s="85">
        <f t="shared" si="38"/>
        <v>0.05064968693</v>
      </c>
      <c r="CJ47" s="85">
        <f t="shared" si="38"/>
        <v>0.05064968693</v>
      </c>
      <c r="CK47" s="85">
        <f t="shared" si="38"/>
        <v>0.05064968693</v>
      </c>
      <c r="CL47" s="85">
        <f t="shared" si="38"/>
        <v>0.05064968693</v>
      </c>
      <c r="CM47" s="85">
        <f t="shared" si="38"/>
        <v>0.05064968693</v>
      </c>
      <c r="CN47" s="85">
        <f t="shared" si="38"/>
        <v>0.05064968693</v>
      </c>
      <c r="CO47" s="85">
        <f t="shared" si="38"/>
        <v>0.05064968693</v>
      </c>
      <c r="CP47" s="85">
        <f t="shared" si="38"/>
        <v>0.05064968693</v>
      </c>
      <c r="CQ47" s="85">
        <f t="shared" si="38"/>
        <v>0.05064968693</v>
      </c>
      <c r="CR47" s="85">
        <f t="shared" si="38"/>
        <v>0.05064968693</v>
      </c>
      <c r="CS47" s="85">
        <f t="shared" si="38"/>
        <v>0.05064968693</v>
      </c>
      <c r="CT47" s="85">
        <f t="shared" si="38"/>
        <v>0.05064968693</v>
      </c>
      <c r="CU47" s="85">
        <f t="shared" si="38"/>
        <v>0.05064968693</v>
      </c>
      <c r="CV47" s="85">
        <f t="shared" si="38"/>
        <v>0.05064968693</v>
      </c>
      <c r="CW47" s="85">
        <f t="shared" si="38"/>
        <v>0.05064968693</v>
      </c>
      <c r="CX47" s="85">
        <f t="shared" si="38"/>
        <v>0.05064968693</v>
      </c>
      <c r="CY47" s="85">
        <f t="shared" si="38"/>
        <v>0.05064968693</v>
      </c>
      <c r="CZ47" s="85">
        <f t="shared" si="38"/>
        <v>0.05064968693</v>
      </c>
      <c r="DA47" s="85">
        <f t="shared" si="38"/>
        <v>0.05064968693</v>
      </c>
      <c r="DB47" s="85">
        <f t="shared" si="38"/>
        <v>0.05064968693</v>
      </c>
      <c r="DC47" s="85">
        <f t="shared" si="38"/>
        <v>0.05064968693</v>
      </c>
      <c r="DD47" s="85">
        <f t="shared" si="38"/>
        <v>0.05064968693</v>
      </c>
      <c r="DE47" s="85">
        <f t="shared" si="38"/>
        <v>0.05064968693</v>
      </c>
      <c r="DF47" s="85">
        <f t="shared" si="38"/>
        <v>0.05064968693</v>
      </c>
      <c r="DG47" s="85">
        <f t="shared" si="38"/>
        <v>0.05064968693</v>
      </c>
      <c r="DH47" s="85">
        <f t="shared" si="38"/>
        <v>0.05064968693</v>
      </c>
      <c r="DI47" s="85">
        <f t="shared" si="38"/>
        <v>0.05064968693</v>
      </c>
      <c r="DJ47" s="85">
        <f t="shared" si="38"/>
        <v>0.05064968693</v>
      </c>
      <c r="DK47" s="85">
        <f t="shared" si="38"/>
        <v>0.05064968693</v>
      </c>
      <c r="DL47" s="85">
        <f t="shared" si="38"/>
        <v>0.05064968693</v>
      </c>
      <c r="DM47" s="85">
        <f t="shared" si="38"/>
        <v>0.05064968693</v>
      </c>
      <c r="DN47" s="85">
        <f t="shared" si="38"/>
        <v>0.05064968693</v>
      </c>
      <c r="DO47" s="85">
        <f t="shared" si="38"/>
        <v>0.05064968693</v>
      </c>
      <c r="DP47" s="85">
        <f t="shared" si="38"/>
        <v>0.05064968693</v>
      </c>
      <c r="DQ47" s="85">
        <f t="shared" si="38"/>
        <v>0.05064968693</v>
      </c>
      <c r="DR47" s="85">
        <f t="shared" si="38"/>
        <v>0.05064968693</v>
      </c>
      <c r="DS47" s="85">
        <f t="shared" si="38"/>
        <v>0.05064968693</v>
      </c>
      <c r="DT47" s="85">
        <f t="shared" si="38"/>
        <v>0.05064968693</v>
      </c>
      <c r="DU47" s="85">
        <f t="shared" si="38"/>
        <v>0.05064968693</v>
      </c>
      <c r="DV47" s="85">
        <f t="shared" si="38"/>
        <v>0.05064968693</v>
      </c>
      <c r="DW47" s="85">
        <f t="shared" si="38"/>
        <v>0.05064968693</v>
      </c>
      <c r="DX47" s="85">
        <f t="shared" si="38"/>
        <v>0.05064968693</v>
      </c>
      <c r="DY47" s="85">
        <f t="shared" si="38"/>
        <v>0.05064968693</v>
      </c>
      <c r="DZ47" s="85">
        <f t="shared" si="38"/>
        <v>0.05064968693</v>
      </c>
      <c r="EA47" s="85">
        <f t="shared" si="38"/>
        <v>0.05064968693</v>
      </c>
      <c r="EB47" s="85">
        <f t="shared" si="38"/>
        <v>0.05064968693</v>
      </c>
      <c r="EC47" s="85">
        <f t="shared" si="38"/>
        <v>0.05064968693</v>
      </c>
      <c r="ED47" s="85">
        <f t="shared" si="38"/>
        <v>0.05064968693</v>
      </c>
      <c r="EE47" s="85">
        <f t="shared" si="38"/>
        <v>0.05064968693</v>
      </c>
      <c r="EF47" s="85">
        <f t="shared" si="38"/>
        <v>0.05064968693</v>
      </c>
      <c r="EG47" s="85">
        <f t="shared" si="38"/>
        <v>0.05064968693</v>
      </c>
      <c r="EH47" s="85">
        <f t="shared" si="38"/>
        <v>0.05064968693</v>
      </c>
      <c r="EI47" s="85">
        <f t="shared" si="38"/>
        <v>0.05064968693</v>
      </c>
      <c r="EJ47" s="85">
        <f t="shared" si="38"/>
        <v>0.05064968693</v>
      </c>
      <c r="EK47" s="85">
        <f t="shared" si="38"/>
        <v>0.05064968693</v>
      </c>
      <c r="EL47" s="85">
        <f t="shared" si="38"/>
        <v>0.05064968693</v>
      </c>
      <c r="EM47" s="85">
        <f t="shared" si="38"/>
        <v>0.05064968693</v>
      </c>
      <c r="EN47" s="85">
        <f t="shared" si="38"/>
        <v>0.05064968693</v>
      </c>
      <c r="EO47" s="85">
        <f t="shared" si="38"/>
        <v>0.05064968693</v>
      </c>
      <c r="EP47" s="85">
        <f t="shared" si="38"/>
        <v>0.05064968693</v>
      </c>
      <c r="EQ47" s="85">
        <f t="shared" si="38"/>
        <v>0.05064968693</v>
      </c>
      <c r="ER47" s="85">
        <f t="shared" si="38"/>
        <v>0.05064968693</v>
      </c>
      <c r="ES47" s="85">
        <f t="shared" si="38"/>
        <v>0.05064968693</v>
      </c>
      <c r="ET47" s="85">
        <f t="shared" si="38"/>
        <v>0.05064968693</v>
      </c>
      <c r="EU47" s="85">
        <f t="shared" si="38"/>
        <v>0.05064968693</v>
      </c>
      <c r="EV47" s="85">
        <f t="shared" si="38"/>
        <v>0.05064968693</v>
      </c>
      <c r="EW47" s="85">
        <f t="shared" si="38"/>
        <v>0.05064968693</v>
      </c>
      <c r="EX47" s="85">
        <f t="shared" si="38"/>
        <v>0.05064968693</v>
      </c>
      <c r="EY47" s="85">
        <f t="shared" si="38"/>
        <v>0.05064968693</v>
      </c>
      <c r="EZ47" s="85">
        <f t="shared" si="38"/>
        <v>0.05064968693</v>
      </c>
      <c r="FA47" s="85">
        <f t="shared" si="38"/>
        <v>0.05064968693</v>
      </c>
      <c r="FB47" s="85">
        <f t="shared" si="38"/>
        <v>0.05064968693</v>
      </c>
      <c r="FC47" s="85">
        <f t="shared" si="38"/>
        <v>0.05064968693</v>
      </c>
      <c r="FD47" s="85">
        <f t="shared" si="38"/>
        <v>0.05064968693</v>
      </c>
      <c r="FE47" s="85">
        <f t="shared" si="38"/>
        <v>0.05064968693</v>
      </c>
      <c r="FF47" s="85">
        <f t="shared" si="38"/>
        <v>0.05064968693</v>
      </c>
      <c r="FG47" s="85">
        <f t="shared" si="38"/>
        <v>0.05064968693</v>
      </c>
      <c r="FH47" s="85">
        <f t="shared" si="38"/>
        <v>0.05064968693</v>
      </c>
      <c r="FI47" s="85">
        <f t="shared" si="38"/>
        <v>0.05064968693</v>
      </c>
      <c r="FJ47" s="85">
        <f t="shared" si="38"/>
        <v>0.05064968693</v>
      </c>
      <c r="FK47" s="85">
        <f t="shared" si="38"/>
        <v>0.05064968693</v>
      </c>
      <c r="FL47" s="85">
        <f t="shared" si="38"/>
        <v>0.05064968693</v>
      </c>
      <c r="FM47" s="85">
        <f t="shared" si="38"/>
        <v>0.05064968693</v>
      </c>
      <c r="FN47" s="85">
        <f t="shared" si="38"/>
        <v>0.05064968693</v>
      </c>
      <c r="FO47" s="85">
        <f t="shared" si="38"/>
        <v>0.05064968693</v>
      </c>
      <c r="FP47" s="85">
        <f t="shared" si="38"/>
        <v>0.05064968693</v>
      </c>
      <c r="FQ47" s="85">
        <f t="shared" si="38"/>
        <v>0.05064968693</v>
      </c>
      <c r="FR47" s="85">
        <f t="shared" si="38"/>
        <v>0.05064968693</v>
      </c>
      <c r="FS47" s="85">
        <f t="shared" si="38"/>
        <v>0.05064968693</v>
      </c>
      <c r="FT47" s="85">
        <f t="shared" si="38"/>
        <v>0.05064968693</v>
      </c>
      <c r="FU47" s="85">
        <f t="shared" si="38"/>
        <v>0.05064968693</v>
      </c>
      <c r="FV47" s="85">
        <f t="shared" si="38"/>
        <v>0.05064968693</v>
      </c>
      <c r="FW47" s="85">
        <f t="shared" si="38"/>
        <v>0.05064968693</v>
      </c>
      <c r="FX47" s="85">
        <f t="shared" si="38"/>
        <v>0.05064968693</v>
      </c>
      <c r="FY47" s="85">
        <f t="shared" si="38"/>
        <v>0.05064968693</v>
      </c>
      <c r="FZ47" s="85">
        <f t="shared" si="38"/>
        <v>0.05064968693</v>
      </c>
      <c r="GA47" s="85">
        <f t="shared" si="38"/>
        <v>0.05064968693</v>
      </c>
      <c r="GB47" s="85">
        <f t="shared" si="38"/>
        <v>0.05064968693</v>
      </c>
      <c r="GC47" s="85">
        <f t="shared" si="38"/>
        <v>0.05064968693</v>
      </c>
      <c r="GD47" s="85">
        <f t="shared" si="38"/>
        <v>0.05064968693</v>
      </c>
      <c r="GE47" s="85">
        <f t="shared" si="38"/>
        <v>0.05064968693</v>
      </c>
      <c r="GF47" s="85">
        <f t="shared" si="38"/>
        <v>0.05064968693</v>
      </c>
      <c r="GG47" s="85">
        <f t="shared" si="38"/>
        <v>0.05064968693</v>
      </c>
      <c r="GH47" s="85">
        <f t="shared" si="38"/>
        <v>0.05064968693</v>
      </c>
      <c r="GI47" s="85">
        <f t="shared" si="38"/>
        <v>0.05064968693</v>
      </c>
      <c r="GJ47" s="85">
        <f t="shared" si="38"/>
        <v>0.05064968693</v>
      </c>
      <c r="GK47" s="85">
        <f t="shared" si="38"/>
        <v>0.05064968693</v>
      </c>
      <c r="GL47" s="85">
        <f t="shared" si="38"/>
        <v>0.05064968693</v>
      </c>
      <c r="GM47" s="85">
        <f t="shared" si="38"/>
        <v>0.05064968693</v>
      </c>
      <c r="GN47" s="85">
        <f t="shared" si="38"/>
        <v>0.05064968693</v>
      </c>
      <c r="GO47" s="85">
        <f t="shared" si="38"/>
        <v>0.05064968693</v>
      </c>
      <c r="GP47" s="85">
        <f t="shared" si="38"/>
        <v>0.05064968693</v>
      </c>
      <c r="GQ47" s="85">
        <f t="shared" si="38"/>
        <v>0.05064968693</v>
      </c>
      <c r="GR47" s="85">
        <f t="shared" si="38"/>
        <v>0.05064968693</v>
      </c>
      <c r="GS47" s="85">
        <f t="shared" si="38"/>
        <v>0.05064968693</v>
      </c>
      <c r="GT47" s="85">
        <f t="shared" si="38"/>
        <v>0.05064968693</v>
      </c>
      <c r="GU47" s="85">
        <f t="shared" si="38"/>
        <v>0.05064968693</v>
      </c>
      <c r="GV47" s="85">
        <f t="shared" si="38"/>
        <v>0.05064968693</v>
      </c>
      <c r="GW47" s="85">
        <f t="shared" si="38"/>
        <v>0.05064968693</v>
      </c>
      <c r="GX47" s="85">
        <f t="shared" si="38"/>
        <v>0.05064968693</v>
      </c>
      <c r="GY47" s="85">
        <f t="shared" si="38"/>
        <v>0.05064968693</v>
      </c>
      <c r="GZ47" s="85">
        <f t="shared" si="38"/>
        <v>0.05064968693</v>
      </c>
      <c r="HA47" s="85">
        <f t="shared" si="38"/>
        <v>0.05064968693</v>
      </c>
      <c r="HB47" s="85">
        <f t="shared" si="38"/>
        <v>0.05064968693</v>
      </c>
      <c r="HC47" s="85">
        <f t="shared" si="38"/>
        <v>0.05064968693</v>
      </c>
      <c r="HD47" s="85">
        <f t="shared" si="38"/>
        <v>0.05064968693</v>
      </c>
      <c r="HE47" s="85">
        <f t="shared" si="38"/>
        <v>0.05064968693</v>
      </c>
      <c r="HF47" s="85">
        <f t="shared" si="38"/>
        <v>0.05064968693</v>
      </c>
      <c r="HG47" s="85">
        <f t="shared" si="38"/>
        <v>0.05064968693</v>
      </c>
      <c r="HH47" s="85">
        <f t="shared" si="38"/>
        <v>0.05064968693</v>
      </c>
      <c r="HI47" s="85">
        <f t="shared" si="38"/>
        <v>0.05064968693</v>
      </c>
      <c r="HJ47" s="85">
        <f t="shared" si="38"/>
        <v>0.05064968693</v>
      </c>
      <c r="HK47" s="85">
        <f t="shared" si="38"/>
        <v>0.05064968693</v>
      </c>
      <c r="HL47" s="85">
        <f t="shared" si="38"/>
        <v>0.05064968693</v>
      </c>
      <c r="HM47" s="85">
        <f t="shared" si="38"/>
        <v>0.05064968693</v>
      </c>
      <c r="HN47" s="85">
        <f t="shared" si="38"/>
        <v>0.05064968693</v>
      </c>
      <c r="HO47" s="85">
        <f t="shared" si="38"/>
        <v>0.05064968693</v>
      </c>
      <c r="HP47" s="85">
        <f t="shared" si="38"/>
        <v>0.05064968693</v>
      </c>
      <c r="HQ47" s="85">
        <f t="shared" si="38"/>
        <v>0.05064968693</v>
      </c>
      <c r="HR47" s="85">
        <f t="shared" si="38"/>
        <v>0.05064968693</v>
      </c>
      <c r="HS47" s="85">
        <f t="shared" si="38"/>
        <v>0.05064968693</v>
      </c>
      <c r="HT47" s="85">
        <f t="shared" si="38"/>
        <v>0.05064968693</v>
      </c>
      <c r="HU47" s="85">
        <f t="shared" si="38"/>
        <v>0.05064968693</v>
      </c>
      <c r="HV47" s="85">
        <f t="shared" si="38"/>
        <v>0.05064968693</v>
      </c>
      <c r="HW47" s="85">
        <f t="shared" si="38"/>
        <v>0.05064968693</v>
      </c>
      <c r="HX47" s="85">
        <f t="shared" si="38"/>
        <v>0.05064968693</v>
      </c>
      <c r="HY47" s="85">
        <f t="shared" si="38"/>
        <v>0.05064968693</v>
      </c>
      <c r="HZ47" s="85">
        <f t="shared" si="38"/>
        <v>0.05064968693</v>
      </c>
      <c r="IA47" s="85">
        <f t="shared" si="38"/>
        <v>0.05064968693</v>
      </c>
      <c r="IB47" s="85">
        <f t="shared" si="38"/>
        <v>0.05064968693</v>
      </c>
      <c r="IC47" s="85">
        <f t="shared" si="38"/>
        <v>0.05064968693</v>
      </c>
      <c r="ID47" s="85">
        <f t="shared" si="38"/>
        <v>0.05064968693</v>
      </c>
      <c r="IE47" s="85">
        <f t="shared" si="38"/>
        <v>0.05064968693</v>
      </c>
      <c r="IF47" s="85">
        <f t="shared" si="38"/>
        <v>0.05064968693</v>
      </c>
      <c r="IG47" s="85">
        <f t="shared" si="38"/>
        <v>0.05064968693</v>
      </c>
      <c r="IH47" s="85">
        <f t="shared" si="38"/>
        <v>0.05064968693</v>
      </c>
      <c r="II47" s="85">
        <f t="shared" si="38"/>
        <v>0.05064968693</v>
      </c>
      <c r="IJ47" s="85">
        <f t="shared" si="38"/>
        <v>0.05064968693</v>
      </c>
      <c r="IK47" s="85">
        <f t="shared" si="38"/>
        <v>0.05064968693</v>
      </c>
      <c r="IL47" s="85">
        <f t="shared" si="38"/>
        <v>0.05064968693</v>
      </c>
      <c r="IM47" s="85">
        <f t="shared" si="38"/>
        <v>0.05064968693</v>
      </c>
      <c r="IN47" s="85">
        <f t="shared" si="38"/>
        <v>0.05064968693</v>
      </c>
      <c r="IO47" s="85">
        <f t="shared" si="38"/>
        <v>0.05064968693</v>
      </c>
      <c r="IP47" s="85">
        <f t="shared" si="38"/>
        <v>0.05064968693</v>
      </c>
      <c r="IQ47" s="85">
        <f t="shared" si="38"/>
        <v>0.05064968693</v>
      </c>
      <c r="IR47" s="85">
        <f t="shared" si="38"/>
        <v>0.05064968693</v>
      </c>
      <c r="IS47" s="85">
        <f t="shared" si="38"/>
        <v>0.05064968693</v>
      </c>
      <c r="IT47" s="85">
        <f t="shared" si="38"/>
        <v>0.05064968693</v>
      </c>
      <c r="IU47" s="85">
        <f t="shared" si="38"/>
        <v>0.05064968693</v>
      </c>
      <c r="IV47" s="85">
        <f t="shared" si="38"/>
        <v>0.05064968693</v>
      </c>
      <c r="IW47" s="85">
        <f t="shared" si="38"/>
        <v>0.05064968693</v>
      </c>
      <c r="IX47" s="85">
        <f t="shared" si="38"/>
        <v>0.05064968693</v>
      </c>
      <c r="IY47" s="85">
        <f t="shared" si="38"/>
        <v>0.05064968693</v>
      </c>
      <c r="IZ47" s="85">
        <f t="shared" si="38"/>
        <v>0.05064968693</v>
      </c>
      <c r="JA47" s="85">
        <f t="shared" si="38"/>
        <v>0.05064968693</v>
      </c>
      <c r="JB47" s="85">
        <f t="shared" si="38"/>
        <v>0.05064968693</v>
      </c>
      <c r="JC47" s="85">
        <f t="shared" si="38"/>
        <v>0.05064968693</v>
      </c>
      <c r="JD47" s="85">
        <f t="shared" si="38"/>
        <v>0.05064968693</v>
      </c>
      <c r="JE47" s="85">
        <f t="shared" si="38"/>
        <v>0.05064968693</v>
      </c>
      <c r="JF47" s="85">
        <f t="shared" si="38"/>
        <v>0.05064968693</v>
      </c>
      <c r="JG47" s="85">
        <f t="shared" si="38"/>
        <v>0.05064968693</v>
      </c>
      <c r="JH47" s="85">
        <f t="shared" si="38"/>
        <v>0.05064968693</v>
      </c>
      <c r="JI47" s="85">
        <f t="shared" si="38"/>
        <v>0.05064968693</v>
      </c>
      <c r="JJ47" s="85">
        <f t="shared" si="38"/>
        <v>0.05064968693</v>
      </c>
      <c r="JK47" s="85">
        <f t="shared" si="38"/>
        <v>0.05064968693</v>
      </c>
      <c r="JL47" s="85">
        <f t="shared" si="38"/>
        <v>0.05064968693</v>
      </c>
      <c r="JM47" s="85">
        <f t="shared" si="38"/>
        <v>0.05064968693</v>
      </c>
      <c r="JN47" s="85">
        <f t="shared" si="38"/>
        <v>0.05064968693</v>
      </c>
      <c r="JO47" s="85">
        <f t="shared" si="38"/>
        <v>0.05064968693</v>
      </c>
      <c r="JP47" s="85">
        <f t="shared" si="38"/>
        <v>0.05064968693</v>
      </c>
      <c r="JQ47" s="85">
        <f t="shared" si="38"/>
        <v>0.05064968693</v>
      </c>
      <c r="JR47" s="85">
        <f t="shared" si="38"/>
        <v>0.05064968693</v>
      </c>
      <c r="JS47" s="85">
        <f t="shared" si="38"/>
        <v>0.05064968693</v>
      </c>
      <c r="JT47" s="85">
        <f t="shared" si="38"/>
        <v>0.05064968693</v>
      </c>
      <c r="JU47" s="85">
        <f t="shared" si="38"/>
        <v>0.05064968693</v>
      </c>
      <c r="JV47" s="85">
        <f t="shared" si="38"/>
        <v>0.05064968693</v>
      </c>
      <c r="JW47" s="85">
        <f t="shared" si="38"/>
        <v>0.05064968693</v>
      </c>
      <c r="JX47" s="85">
        <f t="shared" si="38"/>
        <v>0.05064968693</v>
      </c>
      <c r="JY47" s="85">
        <f t="shared" si="38"/>
        <v>0.05064968693</v>
      </c>
      <c r="JZ47" s="85">
        <f t="shared" si="38"/>
        <v>0.05064968693</v>
      </c>
      <c r="KA47" s="85">
        <f t="shared" si="38"/>
        <v>0.05064968693</v>
      </c>
      <c r="KB47" s="85">
        <f t="shared" si="38"/>
        <v>0.05064968693</v>
      </c>
      <c r="KC47" s="85">
        <f t="shared" si="38"/>
        <v>0.05064968693</v>
      </c>
      <c r="KD47" s="85">
        <f t="shared" si="38"/>
        <v>0.05064968693</v>
      </c>
      <c r="KE47" s="85">
        <f t="shared" si="38"/>
        <v>0.05064968693</v>
      </c>
      <c r="KF47" s="85">
        <f t="shared" si="38"/>
        <v>0.05064968693</v>
      </c>
      <c r="KG47" s="85">
        <f t="shared" si="38"/>
        <v>0.05064968693</v>
      </c>
      <c r="KH47" s="85">
        <f t="shared" si="38"/>
        <v>0.05064968693</v>
      </c>
      <c r="KI47" s="85">
        <f t="shared" si="38"/>
        <v>0.05064968693</v>
      </c>
      <c r="KJ47" s="85">
        <f t="shared" si="38"/>
        <v>0.05064968693</v>
      </c>
      <c r="KK47" s="85">
        <f t="shared" si="38"/>
        <v>0.05064968693</v>
      </c>
      <c r="KL47" s="85">
        <f t="shared" si="38"/>
        <v>0.05064968693</v>
      </c>
      <c r="KM47" s="85">
        <f t="shared" si="38"/>
        <v>0.05064968693</v>
      </c>
      <c r="KN47" s="85">
        <f t="shared" si="38"/>
        <v>0.05064968693</v>
      </c>
      <c r="KO47" s="85">
        <f t="shared" si="38"/>
        <v>0.05064968693</v>
      </c>
      <c r="KP47" s="85">
        <f t="shared" si="38"/>
        <v>0.05064968693</v>
      </c>
      <c r="KQ47" s="85">
        <f t="shared" si="38"/>
        <v>0.05064968693</v>
      </c>
      <c r="KR47" s="85">
        <f t="shared" si="38"/>
        <v>0.05064968693</v>
      </c>
      <c r="KS47" s="85">
        <f t="shared" si="38"/>
        <v>0.05064968693</v>
      </c>
      <c r="KT47" s="85">
        <f t="shared" si="38"/>
        <v>0.05064968693</v>
      </c>
      <c r="KU47" s="85">
        <f t="shared" si="38"/>
        <v>0.05064968693</v>
      </c>
      <c r="KV47" s="85">
        <f t="shared" si="38"/>
        <v>0.05064968693</v>
      </c>
      <c r="KW47" s="85">
        <f t="shared" si="38"/>
        <v>0.05064968693</v>
      </c>
      <c r="KX47" s="85">
        <f t="shared" si="38"/>
        <v>0.05064968693</v>
      </c>
      <c r="KY47" s="85">
        <f t="shared" si="38"/>
        <v>0.05064968693</v>
      </c>
      <c r="KZ47" s="85">
        <f t="shared" si="38"/>
        <v>0.05064968693</v>
      </c>
      <c r="LA47" s="85">
        <f t="shared" si="38"/>
        <v>0.05064968693</v>
      </c>
      <c r="LB47" s="85">
        <f t="shared" si="38"/>
        <v>0.05064968693</v>
      </c>
      <c r="LC47" s="85">
        <f t="shared" si="38"/>
        <v>0.05064968693</v>
      </c>
      <c r="LD47" s="85">
        <f t="shared" si="38"/>
        <v>0.05064968693</v>
      </c>
      <c r="LE47" s="85">
        <f t="shared" si="38"/>
        <v>0.05064968693</v>
      </c>
      <c r="LF47" s="85">
        <f t="shared" si="38"/>
        <v>0.05064968693</v>
      </c>
      <c r="LG47" s="85">
        <f t="shared" si="38"/>
        <v>0.05064968693</v>
      </c>
      <c r="LH47" s="85">
        <f t="shared" si="38"/>
        <v>0.05064968693</v>
      </c>
      <c r="LI47" s="85">
        <f t="shared" si="38"/>
        <v>0.05064968693</v>
      </c>
      <c r="LJ47" s="85">
        <f t="shared" si="38"/>
        <v>0.05064968693</v>
      </c>
      <c r="LK47" s="85">
        <f t="shared" si="38"/>
        <v>0.05064968693</v>
      </c>
      <c r="LL47" s="85">
        <f t="shared" si="38"/>
        <v>0.05064968693</v>
      </c>
      <c r="LM47" s="85">
        <f t="shared" si="38"/>
        <v>0.05064968693</v>
      </c>
      <c r="LN47" s="85">
        <f t="shared" si="38"/>
        <v>0.05064968693</v>
      </c>
      <c r="LO47" s="85">
        <f t="shared" si="38"/>
        <v>0.05064968693</v>
      </c>
      <c r="LP47" s="85">
        <f t="shared" si="38"/>
        <v>0.05064968693</v>
      </c>
      <c r="LQ47" s="85">
        <f t="shared" si="38"/>
        <v>0.05064968693</v>
      </c>
      <c r="LR47" s="85">
        <f t="shared" si="38"/>
        <v>0.05064968693</v>
      </c>
      <c r="LS47" s="85">
        <f t="shared" si="38"/>
        <v>0.05064968693</v>
      </c>
      <c r="LT47" s="85">
        <f t="shared" si="38"/>
        <v>0.05064968693</v>
      </c>
      <c r="LU47" s="85">
        <f t="shared" si="38"/>
        <v>0.05064968693</v>
      </c>
      <c r="LV47" s="85">
        <f t="shared" si="38"/>
        <v>0.05064968693</v>
      </c>
      <c r="LW47" s="85">
        <f t="shared" si="38"/>
        <v>0.05064968693</v>
      </c>
      <c r="LX47" s="85">
        <f t="shared" si="38"/>
        <v>0.05064968693</v>
      </c>
      <c r="LY47" s="85">
        <f t="shared" si="38"/>
        <v>0.05064968693</v>
      </c>
      <c r="LZ47" s="85">
        <f t="shared" si="38"/>
        <v>0.05064968693</v>
      </c>
      <c r="MA47" s="85">
        <f t="shared" si="38"/>
        <v>0.05064968693</v>
      </c>
      <c r="MB47" s="85">
        <f t="shared" si="38"/>
        <v>0.05064968693</v>
      </c>
      <c r="MC47" s="85">
        <f t="shared" si="38"/>
        <v>0.05064968693</v>
      </c>
      <c r="MD47" s="85">
        <f t="shared" si="38"/>
        <v>0.05064968693</v>
      </c>
      <c r="ME47" s="85">
        <f t="shared" si="38"/>
        <v>0.05064968693</v>
      </c>
      <c r="MF47" s="85">
        <f t="shared" si="38"/>
        <v>0.05064968693</v>
      </c>
      <c r="MG47" s="85">
        <f t="shared" si="38"/>
        <v>0.05064968693</v>
      </c>
      <c r="MH47" s="85">
        <f t="shared" si="38"/>
        <v>0.05064968693</v>
      </c>
      <c r="MI47" s="85">
        <f t="shared" si="38"/>
        <v>0.05064968693</v>
      </c>
      <c r="MJ47" s="85">
        <f t="shared" si="38"/>
        <v>0.05064968693</v>
      </c>
      <c r="MK47" s="85">
        <f t="shared" si="38"/>
        <v>0.05064968693</v>
      </c>
      <c r="ML47" s="85">
        <f t="shared" si="38"/>
        <v>0.05064968693</v>
      </c>
      <c r="MM47" s="85">
        <f t="shared" si="38"/>
        <v>0.05064968693</v>
      </c>
      <c r="MN47" s="85">
        <f t="shared" si="38"/>
        <v>0.05064968693</v>
      </c>
      <c r="MO47" s="85">
        <f t="shared" si="38"/>
        <v>0.05064968693</v>
      </c>
      <c r="MP47" s="85">
        <f t="shared" si="38"/>
        <v>0.05064968693</v>
      </c>
      <c r="MQ47" s="85">
        <f t="shared" si="38"/>
        <v>0.05064968693</v>
      </c>
      <c r="MR47" s="85">
        <f t="shared" si="38"/>
        <v>0.05064968693</v>
      </c>
      <c r="MS47" s="85">
        <f t="shared" si="38"/>
        <v>0.05064968693</v>
      </c>
      <c r="MT47" s="85">
        <f t="shared" si="38"/>
        <v>0.05064968693</v>
      </c>
      <c r="MU47" s="85">
        <f t="shared" si="38"/>
        <v>0.05064968693</v>
      </c>
      <c r="MV47" s="85">
        <f t="shared" si="38"/>
        <v>0.05064968693</v>
      </c>
      <c r="MW47" s="85">
        <f t="shared" si="38"/>
        <v>0.05064968693</v>
      </c>
      <c r="MX47" s="85">
        <f t="shared" si="38"/>
        <v>0.05064968693</v>
      </c>
      <c r="MY47" s="85">
        <f t="shared" si="38"/>
        <v>0.05064968693</v>
      </c>
      <c r="MZ47" s="85">
        <f t="shared" si="38"/>
        <v>0.05064968693</v>
      </c>
      <c r="NA47" s="85">
        <f t="shared" si="38"/>
        <v>0.05064968693</v>
      </c>
      <c r="NB47" s="85">
        <f t="shared" si="38"/>
        <v>0.05064968693</v>
      </c>
      <c r="NC47" s="85">
        <f t="shared" si="38"/>
        <v>0.05064968693</v>
      </c>
      <c r="ND47" s="85">
        <f t="shared" si="38"/>
        <v>0.05064968693</v>
      </c>
      <c r="NE47" s="85">
        <f t="shared" si="38"/>
        <v>0.05064968693</v>
      </c>
      <c r="NF47" s="85">
        <f t="shared" si="38"/>
        <v>0.05064968693</v>
      </c>
      <c r="NG47" s="85">
        <f t="shared" si="38"/>
        <v>0.05064968693</v>
      </c>
      <c r="NH47" s="85">
        <f t="shared" si="38"/>
        <v>0.05064968693</v>
      </c>
      <c r="NI47" s="85">
        <f t="shared" si="38"/>
        <v>0.05064968693</v>
      </c>
      <c r="NJ47" s="85">
        <f t="shared" si="38"/>
        <v>0.05064968693</v>
      </c>
      <c r="NK47" s="85">
        <f t="shared" si="38"/>
        <v>0.05064968693</v>
      </c>
      <c r="NL47" s="85">
        <f t="shared" si="38"/>
        <v>0.05064968693</v>
      </c>
      <c r="NM47" s="85">
        <f t="shared" si="38"/>
        <v>0.05064968693</v>
      </c>
      <c r="NN47" s="85">
        <f t="shared" si="38"/>
        <v>0.05064968693</v>
      </c>
      <c r="NO47" s="85">
        <f t="shared" si="38"/>
        <v>0.05064968693</v>
      </c>
      <c r="NP47" s="85">
        <f t="shared" si="38"/>
        <v>0.05064968693</v>
      </c>
      <c r="NQ47" s="85">
        <f t="shared" si="38"/>
        <v>0.05064968693</v>
      </c>
      <c r="NR47" s="85">
        <f t="shared" si="38"/>
        <v>0.05064968693</v>
      </c>
      <c r="NS47" s="85">
        <f t="shared" si="38"/>
        <v>0.05064968693</v>
      </c>
      <c r="NT47" s="85">
        <f t="shared" si="38"/>
        <v>0.05064968693</v>
      </c>
      <c r="NU47" s="85">
        <f t="shared" si="38"/>
        <v>0.05064968693</v>
      </c>
      <c r="NV47" s="85">
        <f t="shared" si="38"/>
        <v>0.05064968693</v>
      </c>
      <c r="NW47" s="85">
        <f t="shared" si="38"/>
        <v>0.05064968693</v>
      </c>
      <c r="NX47" s="85">
        <f t="shared" si="38"/>
        <v>0.05064968693</v>
      </c>
      <c r="NY47" s="85">
        <f t="shared" si="38"/>
        <v>0.05064968693</v>
      </c>
      <c r="NZ47" s="85">
        <f t="shared" si="38"/>
        <v>0.05064968693</v>
      </c>
      <c r="OA47" s="85">
        <f t="shared" si="38"/>
        <v>0.05064968693</v>
      </c>
      <c r="OB47" s="85">
        <f t="shared" si="38"/>
        <v>0.05064968693</v>
      </c>
      <c r="OC47" s="85">
        <f t="shared" si="38"/>
        <v>0.05064968693</v>
      </c>
      <c r="OD47" s="85">
        <f t="shared" si="38"/>
        <v>0.05064968693</v>
      </c>
      <c r="OE47" s="85">
        <f t="shared" si="38"/>
        <v>0.05064968693</v>
      </c>
      <c r="OF47" s="85">
        <f t="shared" si="38"/>
        <v>0.05064968693</v>
      </c>
      <c r="OG47" s="85">
        <f t="shared" si="38"/>
        <v>0.05064968693</v>
      </c>
      <c r="OH47" s="85">
        <f t="shared" si="38"/>
        <v>0.05064968693</v>
      </c>
      <c r="OI47" s="85">
        <f t="shared" si="38"/>
        <v>0.05064968693</v>
      </c>
      <c r="OJ47" s="85">
        <f t="shared" si="38"/>
        <v>0.05064968693</v>
      </c>
      <c r="OK47" s="85">
        <f t="shared" si="38"/>
        <v>0.05064968693</v>
      </c>
      <c r="OL47" s="85">
        <f t="shared" si="38"/>
        <v>0.05064968693</v>
      </c>
      <c r="OM47" s="85">
        <f t="shared" si="38"/>
        <v>0.05064968693</v>
      </c>
      <c r="ON47" s="85">
        <f t="shared" si="38"/>
        <v>0.05064968693</v>
      </c>
      <c r="OO47" s="85">
        <f t="shared" si="38"/>
        <v>0.05064968693</v>
      </c>
      <c r="OP47" s="85">
        <f t="shared" si="38"/>
        <v>0.05064968693</v>
      </c>
      <c r="OQ47" s="85">
        <f t="shared" si="38"/>
        <v>0.05064968693</v>
      </c>
      <c r="OR47" s="85">
        <f t="shared" si="38"/>
        <v>0.05064968693</v>
      </c>
      <c r="OS47" s="85">
        <f t="shared" si="38"/>
        <v>0.05064968693</v>
      </c>
      <c r="OT47" s="85">
        <f t="shared" si="38"/>
        <v>0.05064968693</v>
      </c>
      <c r="OU47" s="85">
        <f t="shared" si="38"/>
        <v>0.05064968693</v>
      </c>
      <c r="OV47" s="85">
        <f t="shared" si="38"/>
        <v>0.05064968693</v>
      </c>
      <c r="OW47" s="85">
        <f t="shared" si="38"/>
        <v>0.05064968693</v>
      </c>
      <c r="OX47" s="85">
        <f t="shared" si="38"/>
        <v>0.05064968693</v>
      </c>
      <c r="OY47" s="85">
        <f t="shared" si="38"/>
        <v>0.05064968693</v>
      </c>
      <c r="OZ47" s="85">
        <f t="shared" si="38"/>
        <v>0.05064968693</v>
      </c>
      <c r="PA47" s="85">
        <f t="shared" si="38"/>
        <v>0.05064968693</v>
      </c>
      <c r="PB47" s="85">
        <f t="shared" si="38"/>
        <v>0.05064968693</v>
      </c>
      <c r="PC47" s="85">
        <f t="shared" si="38"/>
        <v>0.05064968693</v>
      </c>
      <c r="PD47" s="85">
        <f t="shared" si="38"/>
        <v>0.05064968693</v>
      </c>
      <c r="PE47" s="85">
        <f t="shared" si="38"/>
        <v>0.05064968693</v>
      </c>
      <c r="PF47" s="85">
        <f t="shared" si="38"/>
        <v>0.05064968693</v>
      </c>
      <c r="PG47" s="85">
        <f t="shared" si="38"/>
        <v>0.05064968693</v>
      </c>
      <c r="PH47" s="85">
        <f t="shared" si="38"/>
        <v>0.05064968693</v>
      </c>
      <c r="PI47" s="85">
        <f t="shared" si="38"/>
        <v>0.05064968693</v>
      </c>
      <c r="PJ47" s="85">
        <f t="shared" si="38"/>
        <v>0.05064968693</v>
      </c>
      <c r="PK47" s="85">
        <f t="shared" si="38"/>
        <v>0.05064968693</v>
      </c>
      <c r="PL47" s="85">
        <f t="shared" si="38"/>
        <v>0.05064968693</v>
      </c>
      <c r="PM47" s="85">
        <f t="shared" si="38"/>
        <v>0.05064968693</v>
      </c>
      <c r="PN47" s="85">
        <f t="shared" si="38"/>
        <v>0.05064968693</v>
      </c>
      <c r="PO47" s="85">
        <f t="shared" si="38"/>
        <v>0.05064968693</v>
      </c>
      <c r="PP47" s="85">
        <f t="shared" si="38"/>
        <v>0.05064968693</v>
      </c>
      <c r="PQ47" s="85">
        <f t="shared" si="38"/>
        <v>0.05064968693</v>
      </c>
      <c r="PR47" s="85">
        <f t="shared" si="38"/>
        <v>0.05064968693</v>
      </c>
      <c r="PS47" s="85">
        <f t="shared" si="38"/>
        <v>0.05064968693</v>
      </c>
      <c r="PT47" s="85">
        <f t="shared" si="38"/>
        <v>0.05064968693</v>
      </c>
      <c r="PU47" s="85">
        <f t="shared" si="38"/>
        <v>0.05064968693</v>
      </c>
      <c r="PV47" s="85">
        <f t="shared" si="38"/>
        <v>0.05064968693</v>
      </c>
      <c r="PW47" s="85">
        <f t="shared" si="38"/>
        <v>0.05064968693</v>
      </c>
      <c r="PX47" s="85">
        <f t="shared" si="38"/>
        <v>0.05064968693</v>
      </c>
      <c r="PY47" s="85">
        <f t="shared" si="38"/>
        <v>0.05064968693</v>
      </c>
      <c r="PZ47" s="85">
        <f t="shared" si="38"/>
        <v>0.05064968693</v>
      </c>
      <c r="QA47" s="85">
        <f t="shared" si="38"/>
        <v>0.05064968693</v>
      </c>
      <c r="QB47" s="85">
        <f t="shared" si="38"/>
        <v>0.05064968693</v>
      </c>
      <c r="QC47" s="85">
        <f t="shared" si="38"/>
        <v>0.05064968693</v>
      </c>
      <c r="QD47" s="85">
        <f t="shared" si="38"/>
        <v>0.05064968693</v>
      </c>
      <c r="QE47" s="85">
        <f t="shared" si="38"/>
        <v>0.05064968693</v>
      </c>
      <c r="QF47" s="85">
        <f t="shared" si="38"/>
        <v>0.05064968693</v>
      </c>
      <c r="QG47" s="85">
        <f t="shared" si="38"/>
        <v>0.05064968693</v>
      </c>
      <c r="QH47" s="85">
        <f t="shared" si="38"/>
        <v>0.05064968693</v>
      </c>
      <c r="QI47" s="85">
        <f t="shared" si="38"/>
        <v>0.05064968693</v>
      </c>
      <c r="QJ47" s="85">
        <f t="shared" si="38"/>
        <v>0.05064968693</v>
      </c>
      <c r="QK47" s="85">
        <f t="shared" si="38"/>
        <v>0.05064968693</v>
      </c>
      <c r="QL47" s="85">
        <f t="shared" si="38"/>
        <v>0.05064968693</v>
      </c>
      <c r="QM47" s="85">
        <f t="shared" si="38"/>
        <v>0.05064968693</v>
      </c>
      <c r="QN47" s="85">
        <f t="shared" si="38"/>
        <v>0.05064968693</v>
      </c>
      <c r="QO47" s="85">
        <f t="shared" si="38"/>
        <v>0.05064968693</v>
      </c>
      <c r="QP47" s="85">
        <f t="shared" si="38"/>
        <v>0.05064968693</v>
      </c>
      <c r="QQ47" s="85">
        <f t="shared" si="38"/>
        <v>0.05064968693</v>
      </c>
      <c r="QR47" s="85">
        <f t="shared" si="38"/>
        <v>0.05064968693</v>
      </c>
      <c r="QS47" s="85">
        <f t="shared" si="38"/>
        <v>0.05064968693</v>
      </c>
      <c r="QT47" s="85">
        <f t="shared" si="38"/>
        <v>0.05064968693</v>
      </c>
      <c r="QU47" s="85">
        <f t="shared" si="38"/>
        <v>0.05064968693</v>
      </c>
      <c r="QV47" s="85">
        <f t="shared" si="38"/>
        <v>0.05064968693</v>
      </c>
      <c r="QW47" s="85">
        <f t="shared" si="38"/>
        <v>0.05064968693</v>
      </c>
      <c r="QX47" s="85">
        <f t="shared" si="38"/>
        <v>0.05064968693</v>
      </c>
      <c r="QY47" s="85">
        <f t="shared" si="38"/>
        <v>0.05064968693</v>
      </c>
      <c r="QZ47" s="85">
        <f t="shared" si="38"/>
        <v>0.05064968693</v>
      </c>
      <c r="RA47" s="85">
        <f t="shared" si="38"/>
        <v>0.05064968693</v>
      </c>
      <c r="RB47" s="85">
        <f t="shared" si="38"/>
        <v>0.05064968693</v>
      </c>
      <c r="RC47" s="85">
        <f t="shared" si="38"/>
        <v>0.05064968693</v>
      </c>
      <c r="RD47" s="85">
        <f t="shared" si="38"/>
        <v>0.05064968693</v>
      </c>
      <c r="RE47" s="85">
        <f t="shared" si="38"/>
        <v>0.05064968693</v>
      </c>
      <c r="RF47" s="85">
        <f t="shared" si="38"/>
        <v>0.05064968693</v>
      </c>
      <c r="RG47" s="85">
        <f t="shared" si="38"/>
        <v>0.05064968693</v>
      </c>
      <c r="RH47" s="85">
        <f t="shared" si="38"/>
        <v>0.05064968693</v>
      </c>
      <c r="RI47" s="85">
        <f t="shared" si="38"/>
        <v>0.05064968693</v>
      </c>
      <c r="RJ47" s="85">
        <f t="shared" si="38"/>
        <v>0.05064968693</v>
      </c>
      <c r="RK47" s="85">
        <f t="shared" si="38"/>
        <v>0.05064968693</v>
      </c>
      <c r="RL47" s="85">
        <f t="shared" si="38"/>
        <v>0.05064968693</v>
      </c>
      <c r="RM47" s="85">
        <f t="shared" si="38"/>
        <v>0.05064968693</v>
      </c>
      <c r="RN47" s="85">
        <f t="shared" si="38"/>
        <v>0.05064968693</v>
      </c>
      <c r="RO47" s="85">
        <f t="shared" si="38"/>
        <v>0.05064968693</v>
      </c>
      <c r="RP47" s="85">
        <f t="shared" si="38"/>
        <v>0.05064968693</v>
      </c>
      <c r="RQ47" s="85">
        <f t="shared" si="38"/>
        <v>0.05064968693</v>
      </c>
      <c r="RR47" s="85">
        <f t="shared" si="38"/>
        <v>0.05064968693</v>
      </c>
      <c r="RS47" s="85">
        <f t="shared" si="38"/>
        <v>0.05064968693</v>
      </c>
      <c r="RT47" s="85">
        <f t="shared" si="38"/>
        <v>0.05064968693</v>
      </c>
      <c r="RU47" s="85">
        <f t="shared" si="38"/>
        <v>0.05064968693</v>
      </c>
      <c r="RV47" s="85">
        <f t="shared" si="38"/>
        <v>0.05064968693</v>
      </c>
      <c r="RW47" s="85">
        <f t="shared" si="38"/>
        <v>0.05064968693</v>
      </c>
      <c r="RX47" s="85">
        <f t="shared" si="38"/>
        <v>0.05064968693</v>
      </c>
      <c r="RY47" s="85">
        <f t="shared" si="38"/>
        <v>0.05064968693</v>
      </c>
      <c r="RZ47" s="85">
        <f t="shared" si="38"/>
        <v>0.05064968693</v>
      </c>
      <c r="SA47" s="85">
        <f t="shared" si="38"/>
        <v>0.05064968693</v>
      </c>
      <c r="SB47" s="85">
        <f t="shared" si="38"/>
        <v>0.05064968693</v>
      </c>
      <c r="SC47" s="85">
        <f t="shared" si="38"/>
        <v>0.05064968693</v>
      </c>
      <c r="SD47" s="85">
        <f t="shared" si="38"/>
        <v>0.05064968693</v>
      </c>
      <c r="SE47" s="85">
        <f t="shared" si="38"/>
        <v>0.05064968693</v>
      </c>
      <c r="SF47" s="85">
        <f t="shared" si="38"/>
        <v>0.05064968693</v>
      </c>
      <c r="SG47" s="85">
        <f t="shared" si="38"/>
        <v>0.05064968693</v>
      </c>
      <c r="SH47" s="85">
        <f t="shared" si="38"/>
        <v>0.05064968693</v>
      </c>
      <c r="SI47" s="85">
        <f t="shared" si="38"/>
        <v>0.05064968693</v>
      </c>
      <c r="SJ47" s="85">
        <f t="shared" si="38"/>
        <v>0.05064968693</v>
      </c>
      <c r="SK47" s="85">
        <f t="shared" si="38"/>
        <v>0.05064968693</v>
      </c>
      <c r="SL47" s="85">
        <f t="shared" si="38"/>
        <v>0.05064968693</v>
      </c>
    </row>
    <row r="48">
      <c r="A48" s="84" t="s">
        <v>124</v>
      </c>
      <c r="B48" s="75">
        <f t="array" ref="B48">INDEX('New CEA'!$B48:$F48,MATCH($B$2,'New CEA'!B$2:F$2,0))</f>
        <v>0.45</v>
      </c>
      <c r="C48" s="296"/>
      <c r="D48" s="297"/>
      <c r="E48" s="298"/>
      <c r="F48" s="86"/>
      <c r="G48" s="86">
        <f t="shared" ref="G48:SL48" si="39">$B48</f>
        <v>0.45</v>
      </c>
      <c r="H48" s="86">
        <f t="shared" si="39"/>
        <v>0.45</v>
      </c>
      <c r="I48" s="86">
        <f t="shared" si="39"/>
        <v>0.45</v>
      </c>
      <c r="J48" s="86">
        <f t="shared" si="39"/>
        <v>0.45</v>
      </c>
      <c r="K48" s="86">
        <f t="shared" si="39"/>
        <v>0.45</v>
      </c>
      <c r="L48" s="86">
        <f t="shared" si="39"/>
        <v>0.45</v>
      </c>
      <c r="M48" s="86">
        <f t="shared" si="39"/>
        <v>0.45</v>
      </c>
      <c r="N48" s="86">
        <f t="shared" si="39"/>
        <v>0.45</v>
      </c>
      <c r="O48" s="86">
        <f t="shared" si="39"/>
        <v>0.45</v>
      </c>
      <c r="P48" s="86">
        <f t="shared" si="39"/>
        <v>0.45</v>
      </c>
      <c r="Q48" s="86">
        <f t="shared" si="39"/>
        <v>0.45</v>
      </c>
      <c r="R48" s="86">
        <f t="shared" si="39"/>
        <v>0.45</v>
      </c>
      <c r="S48" s="86">
        <f t="shared" si="39"/>
        <v>0.45</v>
      </c>
      <c r="T48" s="86">
        <f t="shared" si="39"/>
        <v>0.45</v>
      </c>
      <c r="U48" s="86">
        <f t="shared" si="39"/>
        <v>0.45</v>
      </c>
      <c r="V48" s="86">
        <f t="shared" si="39"/>
        <v>0.45</v>
      </c>
      <c r="W48" s="86">
        <f t="shared" si="39"/>
        <v>0.45</v>
      </c>
      <c r="X48" s="86">
        <f t="shared" si="39"/>
        <v>0.45</v>
      </c>
      <c r="Y48" s="86">
        <f t="shared" si="39"/>
        <v>0.45</v>
      </c>
      <c r="Z48" s="86">
        <f t="shared" si="39"/>
        <v>0.45</v>
      </c>
      <c r="AA48" s="86">
        <f t="shared" si="39"/>
        <v>0.45</v>
      </c>
      <c r="AB48" s="86">
        <f t="shared" si="39"/>
        <v>0.45</v>
      </c>
      <c r="AC48" s="86">
        <f t="shared" si="39"/>
        <v>0.45</v>
      </c>
      <c r="AD48" s="86">
        <f t="shared" si="39"/>
        <v>0.45</v>
      </c>
      <c r="AE48" s="86">
        <f t="shared" si="39"/>
        <v>0.45</v>
      </c>
      <c r="AF48" s="86">
        <f t="shared" si="39"/>
        <v>0.45</v>
      </c>
      <c r="AG48" s="86">
        <f t="shared" si="39"/>
        <v>0.45</v>
      </c>
      <c r="AH48" s="86">
        <f t="shared" si="39"/>
        <v>0.45</v>
      </c>
      <c r="AI48" s="86">
        <f t="shared" si="39"/>
        <v>0.45</v>
      </c>
      <c r="AJ48" s="86">
        <f t="shared" si="39"/>
        <v>0.45</v>
      </c>
      <c r="AK48" s="86">
        <f t="shared" si="39"/>
        <v>0.45</v>
      </c>
      <c r="AL48" s="86">
        <f t="shared" si="39"/>
        <v>0.45</v>
      </c>
      <c r="AM48" s="86">
        <f t="shared" si="39"/>
        <v>0.45</v>
      </c>
      <c r="AN48" s="86">
        <f t="shared" si="39"/>
        <v>0.45</v>
      </c>
      <c r="AO48" s="86">
        <f t="shared" si="39"/>
        <v>0.45</v>
      </c>
      <c r="AP48" s="86">
        <f t="shared" si="39"/>
        <v>0.45</v>
      </c>
      <c r="AQ48" s="86">
        <f t="shared" si="39"/>
        <v>0.45</v>
      </c>
      <c r="AR48" s="86">
        <f t="shared" si="39"/>
        <v>0.45</v>
      </c>
      <c r="AS48" s="86">
        <f t="shared" si="39"/>
        <v>0.45</v>
      </c>
      <c r="AT48" s="86">
        <f t="shared" si="39"/>
        <v>0.45</v>
      </c>
      <c r="AU48" s="86">
        <f t="shared" si="39"/>
        <v>0.45</v>
      </c>
      <c r="AV48" s="86">
        <f t="shared" si="39"/>
        <v>0.45</v>
      </c>
      <c r="AW48" s="86">
        <f t="shared" si="39"/>
        <v>0.45</v>
      </c>
      <c r="AX48" s="86">
        <f t="shared" si="39"/>
        <v>0.45</v>
      </c>
      <c r="AY48" s="86">
        <f t="shared" si="39"/>
        <v>0.45</v>
      </c>
      <c r="AZ48" s="86">
        <f t="shared" si="39"/>
        <v>0.45</v>
      </c>
      <c r="BA48" s="86">
        <f t="shared" si="39"/>
        <v>0.45</v>
      </c>
      <c r="BB48" s="86">
        <f t="shared" si="39"/>
        <v>0.45</v>
      </c>
      <c r="BC48" s="86">
        <f t="shared" si="39"/>
        <v>0.45</v>
      </c>
      <c r="BD48" s="86">
        <f t="shared" si="39"/>
        <v>0.45</v>
      </c>
      <c r="BE48" s="86">
        <f t="shared" si="39"/>
        <v>0.45</v>
      </c>
      <c r="BF48" s="86">
        <f t="shared" si="39"/>
        <v>0.45</v>
      </c>
      <c r="BG48" s="86">
        <f t="shared" si="39"/>
        <v>0.45</v>
      </c>
      <c r="BH48" s="86">
        <f t="shared" si="39"/>
        <v>0.45</v>
      </c>
      <c r="BI48" s="86">
        <f t="shared" si="39"/>
        <v>0.45</v>
      </c>
      <c r="BJ48" s="86">
        <f t="shared" si="39"/>
        <v>0.45</v>
      </c>
      <c r="BK48" s="86">
        <f t="shared" si="39"/>
        <v>0.45</v>
      </c>
      <c r="BL48" s="86">
        <f t="shared" si="39"/>
        <v>0.45</v>
      </c>
      <c r="BM48" s="86">
        <f t="shared" si="39"/>
        <v>0.45</v>
      </c>
      <c r="BN48" s="86">
        <f t="shared" si="39"/>
        <v>0.45</v>
      </c>
      <c r="BO48" s="86">
        <f t="shared" si="39"/>
        <v>0.45</v>
      </c>
      <c r="BP48" s="86">
        <f t="shared" si="39"/>
        <v>0.45</v>
      </c>
      <c r="BQ48" s="86">
        <f t="shared" si="39"/>
        <v>0.45</v>
      </c>
      <c r="BR48" s="86">
        <f t="shared" si="39"/>
        <v>0.45</v>
      </c>
      <c r="BS48" s="86">
        <f t="shared" si="39"/>
        <v>0.45</v>
      </c>
      <c r="BT48" s="86">
        <f t="shared" si="39"/>
        <v>0.45</v>
      </c>
      <c r="BU48" s="86">
        <f t="shared" si="39"/>
        <v>0.45</v>
      </c>
      <c r="BV48" s="86">
        <f t="shared" si="39"/>
        <v>0.45</v>
      </c>
      <c r="BW48" s="86">
        <f t="shared" si="39"/>
        <v>0.45</v>
      </c>
      <c r="BX48" s="86">
        <f t="shared" si="39"/>
        <v>0.45</v>
      </c>
      <c r="BY48" s="86">
        <f t="shared" si="39"/>
        <v>0.45</v>
      </c>
      <c r="BZ48" s="86">
        <f t="shared" si="39"/>
        <v>0.45</v>
      </c>
      <c r="CA48" s="86">
        <f t="shared" si="39"/>
        <v>0.45</v>
      </c>
      <c r="CB48" s="86">
        <f t="shared" si="39"/>
        <v>0.45</v>
      </c>
      <c r="CC48" s="86">
        <f t="shared" si="39"/>
        <v>0.45</v>
      </c>
      <c r="CD48" s="86">
        <f t="shared" si="39"/>
        <v>0.45</v>
      </c>
      <c r="CE48" s="86">
        <f t="shared" si="39"/>
        <v>0.45</v>
      </c>
      <c r="CF48" s="86">
        <f t="shared" si="39"/>
        <v>0.45</v>
      </c>
      <c r="CG48" s="86">
        <f t="shared" si="39"/>
        <v>0.45</v>
      </c>
      <c r="CH48" s="86">
        <f t="shared" si="39"/>
        <v>0.45</v>
      </c>
      <c r="CI48" s="86">
        <f t="shared" si="39"/>
        <v>0.45</v>
      </c>
      <c r="CJ48" s="86">
        <f t="shared" si="39"/>
        <v>0.45</v>
      </c>
      <c r="CK48" s="86">
        <f t="shared" si="39"/>
        <v>0.45</v>
      </c>
      <c r="CL48" s="86">
        <f t="shared" si="39"/>
        <v>0.45</v>
      </c>
      <c r="CM48" s="86">
        <f t="shared" si="39"/>
        <v>0.45</v>
      </c>
      <c r="CN48" s="86">
        <f t="shared" si="39"/>
        <v>0.45</v>
      </c>
      <c r="CO48" s="86">
        <f t="shared" si="39"/>
        <v>0.45</v>
      </c>
      <c r="CP48" s="86">
        <f t="shared" si="39"/>
        <v>0.45</v>
      </c>
      <c r="CQ48" s="86">
        <f t="shared" si="39"/>
        <v>0.45</v>
      </c>
      <c r="CR48" s="86">
        <f t="shared" si="39"/>
        <v>0.45</v>
      </c>
      <c r="CS48" s="86">
        <f t="shared" si="39"/>
        <v>0.45</v>
      </c>
      <c r="CT48" s="86">
        <f t="shared" si="39"/>
        <v>0.45</v>
      </c>
      <c r="CU48" s="86">
        <f t="shared" si="39"/>
        <v>0.45</v>
      </c>
      <c r="CV48" s="86">
        <f t="shared" si="39"/>
        <v>0.45</v>
      </c>
      <c r="CW48" s="86">
        <f t="shared" si="39"/>
        <v>0.45</v>
      </c>
      <c r="CX48" s="86">
        <f t="shared" si="39"/>
        <v>0.45</v>
      </c>
      <c r="CY48" s="86">
        <f t="shared" si="39"/>
        <v>0.45</v>
      </c>
      <c r="CZ48" s="86">
        <f t="shared" si="39"/>
        <v>0.45</v>
      </c>
      <c r="DA48" s="86">
        <f t="shared" si="39"/>
        <v>0.45</v>
      </c>
      <c r="DB48" s="86">
        <f t="shared" si="39"/>
        <v>0.45</v>
      </c>
      <c r="DC48" s="86">
        <f t="shared" si="39"/>
        <v>0.45</v>
      </c>
      <c r="DD48" s="86">
        <f t="shared" si="39"/>
        <v>0.45</v>
      </c>
      <c r="DE48" s="86">
        <f t="shared" si="39"/>
        <v>0.45</v>
      </c>
      <c r="DF48" s="86">
        <f t="shared" si="39"/>
        <v>0.45</v>
      </c>
      <c r="DG48" s="86">
        <f t="shared" si="39"/>
        <v>0.45</v>
      </c>
      <c r="DH48" s="86">
        <f t="shared" si="39"/>
        <v>0.45</v>
      </c>
      <c r="DI48" s="86">
        <f t="shared" si="39"/>
        <v>0.45</v>
      </c>
      <c r="DJ48" s="86">
        <f t="shared" si="39"/>
        <v>0.45</v>
      </c>
      <c r="DK48" s="86">
        <f t="shared" si="39"/>
        <v>0.45</v>
      </c>
      <c r="DL48" s="86">
        <f t="shared" si="39"/>
        <v>0.45</v>
      </c>
      <c r="DM48" s="86">
        <f t="shared" si="39"/>
        <v>0.45</v>
      </c>
      <c r="DN48" s="86">
        <f t="shared" si="39"/>
        <v>0.45</v>
      </c>
      <c r="DO48" s="86">
        <f t="shared" si="39"/>
        <v>0.45</v>
      </c>
      <c r="DP48" s="86">
        <f t="shared" si="39"/>
        <v>0.45</v>
      </c>
      <c r="DQ48" s="86">
        <f t="shared" si="39"/>
        <v>0.45</v>
      </c>
      <c r="DR48" s="86">
        <f t="shared" si="39"/>
        <v>0.45</v>
      </c>
      <c r="DS48" s="86">
        <f t="shared" si="39"/>
        <v>0.45</v>
      </c>
      <c r="DT48" s="86">
        <f t="shared" si="39"/>
        <v>0.45</v>
      </c>
      <c r="DU48" s="86">
        <f t="shared" si="39"/>
        <v>0.45</v>
      </c>
      <c r="DV48" s="86">
        <f t="shared" si="39"/>
        <v>0.45</v>
      </c>
      <c r="DW48" s="86">
        <f t="shared" si="39"/>
        <v>0.45</v>
      </c>
      <c r="DX48" s="86">
        <f t="shared" si="39"/>
        <v>0.45</v>
      </c>
      <c r="DY48" s="86">
        <f t="shared" si="39"/>
        <v>0.45</v>
      </c>
      <c r="DZ48" s="86">
        <f t="shared" si="39"/>
        <v>0.45</v>
      </c>
      <c r="EA48" s="86">
        <f t="shared" si="39"/>
        <v>0.45</v>
      </c>
      <c r="EB48" s="86">
        <f t="shared" si="39"/>
        <v>0.45</v>
      </c>
      <c r="EC48" s="86">
        <f t="shared" si="39"/>
        <v>0.45</v>
      </c>
      <c r="ED48" s="86">
        <f t="shared" si="39"/>
        <v>0.45</v>
      </c>
      <c r="EE48" s="86">
        <f t="shared" si="39"/>
        <v>0.45</v>
      </c>
      <c r="EF48" s="86">
        <f t="shared" si="39"/>
        <v>0.45</v>
      </c>
      <c r="EG48" s="86">
        <f t="shared" si="39"/>
        <v>0.45</v>
      </c>
      <c r="EH48" s="86">
        <f t="shared" si="39"/>
        <v>0.45</v>
      </c>
      <c r="EI48" s="86">
        <f t="shared" si="39"/>
        <v>0.45</v>
      </c>
      <c r="EJ48" s="86">
        <f t="shared" si="39"/>
        <v>0.45</v>
      </c>
      <c r="EK48" s="86">
        <f t="shared" si="39"/>
        <v>0.45</v>
      </c>
      <c r="EL48" s="86">
        <f t="shared" si="39"/>
        <v>0.45</v>
      </c>
      <c r="EM48" s="86">
        <f t="shared" si="39"/>
        <v>0.45</v>
      </c>
      <c r="EN48" s="86">
        <f t="shared" si="39"/>
        <v>0.45</v>
      </c>
      <c r="EO48" s="86">
        <f t="shared" si="39"/>
        <v>0.45</v>
      </c>
      <c r="EP48" s="86">
        <f t="shared" si="39"/>
        <v>0.45</v>
      </c>
      <c r="EQ48" s="86">
        <f t="shared" si="39"/>
        <v>0.45</v>
      </c>
      <c r="ER48" s="86">
        <f t="shared" si="39"/>
        <v>0.45</v>
      </c>
      <c r="ES48" s="86">
        <f t="shared" si="39"/>
        <v>0.45</v>
      </c>
      <c r="ET48" s="86">
        <f t="shared" si="39"/>
        <v>0.45</v>
      </c>
      <c r="EU48" s="86">
        <f t="shared" si="39"/>
        <v>0.45</v>
      </c>
      <c r="EV48" s="86">
        <f t="shared" si="39"/>
        <v>0.45</v>
      </c>
      <c r="EW48" s="86">
        <f t="shared" si="39"/>
        <v>0.45</v>
      </c>
      <c r="EX48" s="86">
        <f t="shared" si="39"/>
        <v>0.45</v>
      </c>
      <c r="EY48" s="86">
        <f t="shared" si="39"/>
        <v>0.45</v>
      </c>
      <c r="EZ48" s="86">
        <f t="shared" si="39"/>
        <v>0.45</v>
      </c>
      <c r="FA48" s="86">
        <f t="shared" si="39"/>
        <v>0.45</v>
      </c>
      <c r="FB48" s="86">
        <f t="shared" si="39"/>
        <v>0.45</v>
      </c>
      <c r="FC48" s="86">
        <f t="shared" si="39"/>
        <v>0.45</v>
      </c>
      <c r="FD48" s="86">
        <f t="shared" si="39"/>
        <v>0.45</v>
      </c>
      <c r="FE48" s="86">
        <f t="shared" si="39"/>
        <v>0.45</v>
      </c>
      <c r="FF48" s="86">
        <f t="shared" si="39"/>
        <v>0.45</v>
      </c>
      <c r="FG48" s="86">
        <f t="shared" si="39"/>
        <v>0.45</v>
      </c>
      <c r="FH48" s="86">
        <f t="shared" si="39"/>
        <v>0.45</v>
      </c>
      <c r="FI48" s="86">
        <f t="shared" si="39"/>
        <v>0.45</v>
      </c>
      <c r="FJ48" s="86">
        <f t="shared" si="39"/>
        <v>0.45</v>
      </c>
      <c r="FK48" s="86">
        <f t="shared" si="39"/>
        <v>0.45</v>
      </c>
      <c r="FL48" s="86">
        <f t="shared" si="39"/>
        <v>0.45</v>
      </c>
      <c r="FM48" s="86">
        <f t="shared" si="39"/>
        <v>0.45</v>
      </c>
      <c r="FN48" s="86">
        <f t="shared" si="39"/>
        <v>0.45</v>
      </c>
      <c r="FO48" s="86">
        <f t="shared" si="39"/>
        <v>0.45</v>
      </c>
      <c r="FP48" s="86">
        <f t="shared" si="39"/>
        <v>0.45</v>
      </c>
      <c r="FQ48" s="86">
        <f t="shared" si="39"/>
        <v>0.45</v>
      </c>
      <c r="FR48" s="86">
        <f t="shared" si="39"/>
        <v>0.45</v>
      </c>
      <c r="FS48" s="86">
        <f t="shared" si="39"/>
        <v>0.45</v>
      </c>
      <c r="FT48" s="86">
        <f t="shared" si="39"/>
        <v>0.45</v>
      </c>
      <c r="FU48" s="86">
        <f t="shared" si="39"/>
        <v>0.45</v>
      </c>
      <c r="FV48" s="86">
        <f t="shared" si="39"/>
        <v>0.45</v>
      </c>
      <c r="FW48" s="86">
        <f t="shared" si="39"/>
        <v>0.45</v>
      </c>
      <c r="FX48" s="86">
        <f t="shared" si="39"/>
        <v>0.45</v>
      </c>
      <c r="FY48" s="86">
        <f t="shared" si="39"/>
        <v>0.45</v>
      </c>
      <c r="FZ48" s="86">
        <f t="shared" si="39"/>
        <v>0.45</v>
      </c>
      <c r="GA48" s="86">
        <f t="shared" si="39"/>
        <v>0.45</v>
      </c>
      <c r="GB48" s="86">
        <f t="shared" si="39"/>
        <v>0.45</v>
      </c>
      <c r="GC48" s="86">
        <f t="shared" si="39"/>
        <v>0.45</v>
      </c>
      <c r="GD48" s="86">
        <f t="shared" si="39"/>
        <v>0.45</v>
      </c>
      <c r="GE48" s="86">
        <f t="shared" si="39"/>
        <v>0.45</v>
      </c>
      <c r="GF48" s="86">
        <f t="shared" si="39"/>
        <v>0.45</v>
      </c>
      <c r="GG48" s="86">
        <f t="shared" si="39"/>
        <v>0.45</v>
      </c>
      <c r="GH48" s="86">
        <f t="shared" si="39"/>
        <v>0.45</v>
      </c>
      <c r="GI48" s="86">
        <f t="shared" si="39"/>
        <v>0.45</v>
      </c>
      <c r="GJ48" s="86">
        <f t="shared" si="39"/>
        <v>0.45</v>
      </c>
      <c r="GK48" s="86">
        <f t="shared" si="39"/>
        <v>0.45</v>
      </c>
      <c r="GL48" s="86">
        <f t="shared" si="39"/>
        <v>0.45</v>
      </c>
      <c r="GM48" s="86">
        <f t="shared" si="39"/>
        <v>0.45</v>
      </c>
      <c r="GN48" s="86">
        <f t="shared" si="39"/>
        <v>0.45</v>
      </c>
      <c r="GO48" s="86">
        <f t="shared" si="39"/>
        <v>0.45</v>
      </c>
      <c r="GP48" s="86">
        <f t="shared" si="39"/>
        <v>0.45</v>
      </c>
      <c r="GQ48" s="86">
        <f t="shared" si="39"/>
        <v>0.45</v>
      </c>
      <c r="GR48" s="86">
        <f t="shared" si="39"/>
        <v>0.45</v>
      </c>
      <c r="GS48" s="86">
        <f t="shared" si="39"/>
        <v>0.45</v>
      </c>
      <c r="GT48" s="86">
        <f t="shared" si="39"/>
        <v>0.45</v>
      </c>
      <c r="GU48" s="86">
        <f t="shared" si="39"/>
        <v>0.45</v>
      </c>
      <c r="GV48" s="86">
        <f t="shared" si="39"/>
        <v>0.45</v>
      </c>
      <c r="GW48" s="86">
        <f t="shared" si="39"/>
        <v>0.45</v>
      </c>
      <c r="GX48" s="86">
        <f t="shared" si="39"/>
        <v>0.45</v>
      </c>
      <c r="GY48" s="86">
        <f t="shared" si="39"/>
        <v>0.45</v>
      </c>
      <c r="GZ48" s="86">
        <f t="shared" si="39"/>
        <v>0.45</v>
      </c>
      <c r="HA48" s="86">
        <f t="shared" si="39"/>
        <v>0.45</v>
      </c>
      <c r="HB48" s="86">
        <f t="shared" si="39"/>
        <v>0.45</v>
      </c>
      <c r="HC48" s="86">
        <f t="shared" si="39"/>
        <v>0.45</v>
      </c>
      <c r="HD48" s="86">
        <f t="shared" si="39"/>
        <v>0.45</v>
      </c>
      <c r="HE48" s="86">
        <f t="shared" si="39"/>
        <v>0.45</v>
      </c>
      <c r="HF48" s="86">
        <f t="shared" si="39"/>
        <v>0.45</v>
      </c>
      <c r="HG48" s="86">
        <f t="shared" si="39"/>
        <v>0.45</v>
      </c>
      <c r="HH48" s="86">
        <f t="shared" si="39"/>
        <v>0.45</v>
      </c>
      <c r="HI48" s="86">
        <f t="shared" si="39"/>
        <v>0.45</v>
      </c>
      <c r="HJ48" s="86">
        <f t="shared" si="39"/>
        <v>0.45</v>
      </c>
      <c r="HK48" s="86">
        <f t="shared" si="39"/>
        <v>0.45</v>
      </c>
      <c r="HL48" s="86">
        <f t="shared" si="39"/>
        <v>0.45</v>
      </c>
      <c r="HM48" s="86">
        <f t="shared" si="39"/>
        <v>0.45</v>
      </c>
      <c r="HN48" s="86">
        <f t="shared" si="39"/>
        <v>0.45</v>
      </c>
      <c r="HO48" s="86">
        <f t="shared" si="39"/>
        <v>0.45</v>
      </c>
      <c r="HP48" s="86">
        <f t="shared" si="39"/>
        <v>0.45</v>
      </c>
      <c r="HQ48" s="86">
        <f t="shared" si="39"/>
        <v>0.45</v>
      </c>
      <c r="HR48" s="86">
        <f t="shared" si="39"/>
        <v>0.45</v>
      </c>
      <c r="HS48" s="86">
        <f t="shared" si="39"/>
        <v>0.45</v>
      </c>
      <c r="HT48" s="86">
        <f t="shared" si="39"/>
        <v>0.45</v>
      </c>
      <c r="HU48" s="86">
        <f t="shared" si="39"/>
        <v>0.45</v>
      </c>
      <c r="HV48" s="86">
        <f t="shared" si="39"/>
        <v>0.45</v>
      </c>
      <c r="HW48" s="86">
        <f t="shared" si="39"/>
        <v>0.45</v>
      </c>
      <c r="HX48" s="86">
        <f t="shared" si="39"/>
        <v>0.45</v>
      </c>
      <c r="HY48" s="86">
        <f t="shared" si="39"/>
        <v>0.45</v>
      </c>
      <c r="HZ48" s="86">
        <f t="shared" si="39"/>
        <v>0.45</v>
      </c>
      <c r="IA48" s="86">
        <f t="shared" si="39"/>
        <v>0.45</v>
      </c>
      <c r="IB48" s="86">
        <f t="shared" si="39"/>
        <v>0.45</v>
      </c>
      <c r="IC48" s="86">
        <f t="shared" si="39"/>
        <v>0.45</v>
      </c>
      <c r="ID48" s="86">
        <f t="shared" si="39"/>
        <v>0.45</v>
      </c>
      <c r="IE48" s="86">
        <f t="shared" si="39"/>
        <v>0.45</v>
      </c>
      <c r="IF48" s="86">
        <f t="shared" si="39"/>
        <v>0.45</v>
      </c>
      <c r="IG48" s="86">
        <f t="shared" si="39"/>
        <v>0.45</v>
      </c>
      <c r="IH48" s="86">
        <f t="shared" si="39"/>
        <v>0.45</v>
      </c>
      <c r="II48" s="86">
        <f t="shared" si="39"/>
        <v>0.45</v>
      </c>
      <c r="IJ48" s="86">
        <f t="shared" si="39"/>
        <v>0.45</v>
      </c>
      <c r="IK48" s="86">
        <f t="shared" si="39"/>
        <v>0.45</v>
      </c>
      <c r="IL48" s="86">
        <f t="shared" si="39"/>
        <v>0.45</v>
      </c>
      <c r="IM48" s="86">
        <f t="shared" si="39"/>
        <v>0.45</v>
      </c>
      <c r="IN48" s="86">
        <f t="shared" si="39"/>
        <v>0.45</v>
      </c>
      <c r="IO48" s="86">
        <f t="shared" si="39"/>
        <v>0.45</v>
      </c>
      <c r="IP48" s="86">
        <f t="shared" si="39"/>
        <v>0.45</v>
      </c>
      <c r="IQ48" s="86">
        <f t="shared" si="39"/>
        <v>0.45</v>
      </c>
      <c r="IR48" s="86">
        <f t="shared" si="39"/>
        <v>0.45</v>
      </c>
      <c r="IS48" s="86">
        <f t="shared" si="39"/>
        <v>0.45</v>
      </c>
      <c r="IT48" s="86">
        <f t="shared" si="39"/>
        <v>0.45</v>
      </c>
      <c r="IU48" s="86">
        <f t="shared" si="39"/>
        <v>0.45</v>
      </c>
      <c r="IV48" s="86">
        <f t="shared" si="39"/>
        <v>0.45</v>
      </c>
      <c r="IW48" s="86">
        <f t="shared" si="39"/>
        <v>0.45</v>
      </c>
      <c r="IX48" s="86">
        <f t="shared" si="39"/>
        <v>0.45</v>
      </c>
      <c r="IY48" s="86">
        <f t="shared" si="39"/>
        <v>0.45</v>
      </c>
      <c r="IZ48" s="86">
        <f t="shared" si="39"/>
        <v>0.45</v>
      </c>
      <c r="JA48" s="86">
        <f t="shared" si="39"/>
        <v>0.45</v>
      </c>
      <c r="JB48" s="86">
        <f t="shared" si="39"/>
        <v>0.45</v>
      </c>
      <c r="JC48" s="86">
        <f t="shared" si="39"/>
        <v>0.45</v>
      </c>
      <c r="JD48" s="86">
        <f t="shared" si="39"/>
        <v>0.45</v>
      </c>
      <c r="JE48" s="86">
        <f t="shared" si="39"/>
        <v>0.45</v>
      </c>
      <c r="JF48" s="86">
        <f t="shared" si="39"/>
        <v>0.45</v>
      </c>
      <c r="JG48" s="86">
        <f t="shared" si="39"/>
        <v>0.45</v>
      </c>
      <c r="JH48" s="86">
        <f t="shared" si="39"/>
        <v>0.45</v>
      </c>
      <c r="JI48" s="86">
        <f t="shared" si="39"/>
        <v>0.45</v>
      </c>
      <c r="JJ48" s="86">
        <f t="shared" si="39"/>
        <v>0.45</v>
      </c>
      <c r="JK48" s="86">
        <f t="shared" si="39"/>
        <v>0.45</v>
      </c>
      <c r="JL48" s="86">
        <f t="shared" si="39"/>
        <v>0.45</v>
      </c>
      <c r="JM48" s="86">
        <f t="shared" si="39"/>
        <v>0.45</v>
      </c>
      <c r="JN48" s="86">
        <f t="shared" si="39"/>
        <v>0.45</v>
      </c>
      <c r="JO48" s="86">
        <f t="shared" si="39"/>
        <v>0.45</v>
      </c>
      <c r="JP48" s="86">
        <f t="shared" si="39"/>
        <v>0.45</v>
      </c>
      <c r="JQ48" s="86">
        <f t="shared" si="39"/>
        <v>0.45</v>
      </c>
      <c r="JR48" s="86">
        <f t="shared" si="39"/>
        <v>0.45</v>
      </c>
      <c r="JS48" s="86">
        <f t="shared" si="39"/>
        <v>0.45</v>
      </c>
      <c r="JT48" s="86">
        <f t="shared" si="39"/>
        <v>0.45</v>
      </c>
      <c r="JU48" s="86">
        <f t="shared" si="39"/>
        <v>0.45</v>
      </c>
      <c r="JV48" s="86">
        <f t="shared" si="39"/>
        <v>0.45</v>
      </c>
      <c r="JW48" s="86">
        <f t="shared" si="39"/>
        <v>0.45</v>
      </c>
      <c r="JX48" s="86">
        <f t="shared" si="39"/>
        <v>0.45</v>
      </c>
      <c r="JY48" s="86">
        <f t="shared" si="39"/>
        <v>0.45</v>
      </c>
      <c r="JZ48" s="86">
        <f t="shared" si="39"/>
        <v>0.45</v>
      </c>
      <c r="KA48" s="86">
        <f t="shared" si="39"/>
        <v>0.45</v>
      </c>
      <c r="KB48" s="86">
        <f t="shared" si="39"/>
        <v>0.45</v>
      </c>
      <c r="KC48" s="86">
        <f t="shared" si="39"/>
        <v>0.45</v>
      </c>
      <c r="KD48" s="86">
        <f t="shared" si="39"/>
        <v>0.45</v>
      </c>
      <c r="KE48" s="86">
        <f t="shared" si="39"/>
        <v>0.45</v>
      </c>
      <c r="KF48" s="86">
        <f t="shared" si="39"/>
        <v>0.45</v>
      </c>
      <c r="KG48" s="86">
        <f t="shared" si="39"/>
        <v>0.45</v>
      </c>
      <c r="KH48" s="86">
        <f t="shared" si="39"/>
        <v>0.45</v>
      </c>
      <c r="KI48" s="86">
        <f t="shared" si="39"/>
        <v>0.45</v>
      </c>
      <c r="KJ48" s="86">
        <f t="shared" si="39"/>
        <v>0.45</v>
      </c>
      <c r="KK48" s="86">
        <f t="shared" si="39"/>
        <v>0.45</v>
      </c>
      <c r="KL48" s="86">
        <f t="shared" si="39"/>
        <v>0.45</v>
      </c>
      <c r="KM48" s="86">
        <f t="shared" si="39"/>
        <v>0.45</v>
      </c>
      <c r="KN48" s="86">
        <f t="shared" si="39"/>
        <v>0.45</v>
      </c>
      <c r="KO48" s="86">
        <f t="shared" si="39"/>
        <v>0.45</v>
      </c>
      <c r="KP48" s="86">
        <f t="shared" si="39"/>
        <v>0.45</v>
      </c>
      <c r="KQ48" s="86">
        <f t="shared" si="39"/>
        <v>0.45</v>
      </c>
      <c r="KR48" s="86">
        <f t="shared" si="39"/>
        <v>0.45</v>
      </c>
      <c r="KS48" s="86">
        <f t="shared" si="39"/>
        <v>0.45</v>
      </c>
      <c r="KT48" s="86">
        <f t="shared" si="39"/>
        <v>0.45</v>
      </c>
      <c r="KU48" s="86">
        <f t="shared" si="39"/>
        <v>0.45</v>
      </c>
      <c r="KV48" s="86">
        <f t="shared" si="39"/>
        <v>0.45</v>
      </c>
      <c r="KW48" s="86">
        <f t="shared" si="39"/>
        <v>0.45</v>
      </c>
      <c r="KX48" s="86">
        <f t="shared" si="39"/>
        <v>0.45</v>
      </c>
      <c r="KY48" s="86">
        <f t="shared" si="39"/>
        <v>0.45</v>
      </c>
      <c r="KZ48" s="86">
        <f t="shared" si="39"/>
        <v>0.45</v>
      </c>
      <c r="LA48" s="86">
        <f t="shared" si="39"/>
        <v>0.45</v>
      </c>
      <c r="LB48" s="86">
        <f t="shared" si="39"/>
        <v>0.45</v>
      </c>
      <c r="LC48" s="86">
        <f t="shared" si="39"/>
        <v>0.45</v>
      </c>
      <c r="LD48" s="86">
        <f t="shared" si="39"/>
        <v>0.45</v>
      </c>
      <c r="LE48" s="86">
        <f t="shared" si="39"/>
        <v>0.45</v>
      </c>
      <c r="LF48" s="86">
        <f t="shared" si="39"/>
        <v>0.45</v>
      </c>
      <c r="LG48" s="86">
        <f t="shared" si="39"/>
        <v>0.45</v>
      </c>
      <c r="LH48" s="86">
        <f t="shared" si="39"/>
        <v>0.45</v>
      </c>
      <c r="LI48" s="86">
        <f t="shared" si="39"/>
        <v>0.45</v>
      </c>
      <c r="LJ48" s="86">
        <f t="shared" si="39"/>
        <v>0.45</v>
      </c>
      <c r="LK48" s="86">
        <f t="shared" si="39"/>
        <v>0.45</v>
      </c>
      <c r="LL48" s="86">
        <f t="shared" si="39"/>
        <v>0.45</v>
      </c>
      <c r="LM48" s="86">
        <f t="shared" si="39"/>
        <v>0.45</v>
      </c>
      <c r="LN48" s="86">
        <f t="shared" si="39"/>
        <v>0.45</v>
      </c>
      <c r="LO48" s="86">
        <f t="shared" si="39"/>
        <v>0.45</v>
      </c>
      <c r="LP48" s="86">
        <f t="shared" si="39"/>
        <v>0.45</v>
      </c>
      <c r="LQ48" s="86">
        <f t="shared" si="39"/>
        <v>0.45</v>
      </c>
      <c r="LR48" s="86">
        <f t="shared" si="39"/>
        <v>0.45</v>
      </c>
      <c r="LS48" s="86">
        <f t="shared" si="39"/>
        <v>0.45</v>
      </c>
      <c r="LT48" s="86">
        <f t="shared" si="39"/>
        <v>0.45</v>
      </c>
      <c r="LU48" s="86">
        <f t="shared" si="39"/>
        <v>0.45</v>
      </c>
      <c r="LV48" s="86">
        <f t="shared" si="39"/>
        <v>0.45</v>
      </c>
      <c r="LW48" s="86">
        <f t="shared" si="39"/>
        <v>0.45</v>
      </c>
      <c r="LX48" s="86">
        <f t="shared" si="39"/>
        <v>0.45</v>
      </c>
      <c r="LY48" s="86">
        <f t="shared" si="39"/>
        <v>0.45</v>
      </c>
      <c r="LZ48" s="86">
        <f t="shared" si="39"/>
        <v>0.45</v>
      </c>
      <c r="MA48" s="86">
        <f t="shared" si="39"/>
        <v>0.45</v>
      </c>
      <c r="MB48" s="86">
        <f t="shared" si="39"/>
        <v>0.45</v>
      </c>
      <c r="MC48" s="86">
        <f t="shared" si="39"/>
        <v>0.45</v>
      </c>
      <c r="MD48" s="86">
        <f t="shared" si="39"/>
        <v>0.45</v>
      </c>
      <c r="ME48" s="86">
        <f t="shared" si="39"/>
        <v>0.45</v>
      </c>
      <c r="MF48" s="86">
        <f t="shared" si="39"/>
        <v>0.45</v>
      </c>
      <c r="MG48" s="86">
        <f t="shared" si="39"/>
        <v>0.45</v>
      </c>
      <c r="MH48" s="86">
        <f t="shared" si="39"/>
        <v>0.45</v>
      </c>
      <c r="MI48" s="86">
        <f t="shared" si="39"/>
        <v>0.45</v>
      </c>
      <c r="MJ48" s="86">
        <f t="shared" si="39"/>
        <v>0.45</v>
      </c>
      <c r="MK48" s="86">
        <f t="shared" si="39"/>
        <v>0.45</v>
      </c>
      <c r="ML48" s="86">
        <f t="shared" si="39"/>
        <v>0.45</v>
      </c>
      <c r="MM48" s="86">
        <f t="shared" si="39"/>
        <v>0.45</v>
      </c>
      <c r="MN48" s="86">
        <f t="shared" si="39"/>
        <v>0.45</v>
      </c>
      <c r="MO48" s="86">
        <f t="shared" si="39"/>
        <v>0.45</v>
      </c>
      <c r="MP48" s="86">
        <f t="shared" si="39"/>
        <v>0.45</v>
      </c>
      <c r="MQ48" s="86">
        <f t="shared" si="39"/>
        <v>0.45</v>
      </c>
      <c r="MR48" s="86">
        <f t="shared" si="39"/>
        <v>0.45</v>
      </c>
      <c r="MS48" s="86">
        <f t="shared" si="39"/>
        <v>0.45</v>
      </c>
      <c r="MT48" s="86">
        <f t="shared" si="39"/>
        <v>0.45</v>
      </c>
      <c r="MU48" s="86">
        <f t="shared" si="39"/>
        <v>0.45</v>
      </c>
      <c r="MV48" s="86">
        <f t="shared" si="39"/>
        <v>0.45</v>
      </c>
      <c r="MW48" s="86">
        <f t="shared" si="39"/>
        <v>0.45</v>
      </c>
      <c r="MX48" s="86">
        <f t="shared" si="39"/>
        <v>0.45</v>
      </c>
      <c r="MY48" s="86">
        <f t="shared" si="39"/>
        <v>0.45</v>
      </c>
      <c r="MZ48" s="86">
        <f t="shared" si="39"/>
        <v>0.45</v>
      </c>
      <c r="NA48" s="86">
        <f t="shared" si="39"/>
        <v>0.45</v>
      </c>
      <c r="NB48" s="86">
        <f t="shared" si="39"/>
        <v>0.45</v>
      </c>
      <c r="NC48" s="86">
        <f t="shared" si="39"/>
        <v>0.45</v>
      </c>
      <c r="ND48" s="86">
        <f t="shared" si="39"/>
        <v>0.45</v>
      </c>
      <c r="NE48" s="86">
        <f t="shared" si="39"/>
        <v>0.45</v>
      </c>
      <c r="NF48" s="86">
        <f t="shared" si="39"/>
        <v>0.45</v>
      </c>
      <c r="NG48" s="86">
        <f t="shared" si="39"/>
        <v>0.45</v>
      </c>
      <c r="NH48" s="86">
        <f t="shared" si="39"/>
        <v>0.45</v>
      </c>
      <c r="NI48" s="86">
        <f t="shared" si="39"/>
        <v>0.45</v>
      </c>
      <c r="NJ48" s="86">
        <f t="shared" si="39"/>
        <v>0.45</v>
      </c>
      <c r="NK48" s="86">
        <f t="shared" si="39"/>
        <v>0.45</v>
      </c>
      <c r="NL48" s="86">
        <f t="shared" si="39"/>
        <v>0.45</v>
      </c>
      <c r="NM48" s="86">
        <f t="shared" si="39"/>
        <v>0.45</v>
      </c>
      <c r="NN48" s="86">
        <f t="shared" si="39"/>
        <v>0.45</v>
      </c>
      <c r="NO48" s="86">
        <f t="shared" si="39"/>
        <v>0.45</v>
      </c>
      <c r="NP48" s="86">
        <f t="shared" si="39"/>
        <v>0.45</v>
      </c>
      <c r="NQ48" s="86">
        <f t="shared" si="39"/>
        <v>0.45</v>
      </c>
      <c r="NR48" s="86">
        <f t="shared" si="39"/>
        <v>0.45</v>
      </c>
      <c r="NS48" s="86">
        <f t="shared" si="39"/>
        <v>0.45</v>
      </c>
      <c r="NT48" s="86">
        <f t="shared" si="39"/>
        <v>0.45</v>
      </c>
      <c r="NU48" s="86">
        <f t="shared" si="39"/>
        <v>0.45</v>
      </c>
      <c r="NV48" s="86">
        <f t="shared" si="39"/>
        <v>0.45</v>
      </c>
      <c r="NW48" s="86">
        <f t="shared" si="39"/>
        <v>0.45</v>
      </c>
      <c r="NX48" s="86">
        <f t="shared" si="39"/>
        <v>0.45</v>
      </c>
      <c r="NY48" s="86">
        <f t="shared" si="39"/>
        <v>0.45</v>
      </c>
      <c r="NZ48" s="86">
        <f t="shared" si="39"/>
        <v>0.45</v>
      </c>
      <c r="OA48" s="86">
        <f t="shared" si="39"/>
        <v>0.45</v>
      </c>
      <c r="OB48" s="86">
        <f t="shared" si="39"/>
        <v>0.45</v>
      </c>
      <c r="OC48" s="86">
        <f t="shared" si="39"/>
        <v>0.45</v>
      </c>
      <c r="OD48" s="86">
        <f t="shared" si="39"/>
        <v>0.45</v>
      </c>
      <c r="OE48" s="86">
        <f t="shared" si="39"/>
        <v>0.45</v>
      </c>
      <c r="OF48" s="86">
        <f t="shared" si="39"/>
        <v>0.45</v>
      </c>
      <c r="OG48" s="86">
        <f t="shared" si="39"/>
        <v>0.45</v>
      </c>
      <c r="OH48" s="86">
        <f t="shared" si="39"/>
        <v>0.45</v>
      </c>
      <c r="OI48" s="86">
        <f t="shared" si="39"/>
        <v>0.45</v>
      </c>
      <c r="OJ48" s="86">
        <f t="shared" si="39"/>
        <v>0.45</v>
      </c>
      <c r="OK48" s="86">
        <f t="shared" si="39"/>
        <v>0.45</v>
      </c>
      <c r="OL48" s="86">
        <f t="shared" si="39"/>
        <v>0.45</v>
      </c>
      <c r="OM48" s="86">
        <f t="shared" si="39"/>
        <v>0.45</v>
      </c>
      <c r="ON48" s="86">
        <f t="shared" si="39"/>
        <v>0.45</v>
      </c>
      <c r="OO48" s="86">
        <f t="shared" si="39"/>
        <v>0.45</v>
      </c>
      <c r="OP48" s="86">
        <f t="shared" si="39"/>
        <v>0.45</v>
      </c>
      <c r="OQ48" s="86">
        <f t="shared" si="39"/>
        <v>0.45</v>
      </c>
      <c r="OR48" s="86">
        <f t="shared" si="39"/>
        <v>0.45</v>
      </c>
      <c r="OS48" s="86">
        <f t="shared" si="39"/>
        <v>0.45</v>
      </c>
      <c r="OT48" s="86">
        <f t="shared" si="39"/>
        <v>0.45</v>
      </c>
      <c r="OU48" s="86">
        <f t="shared" si="39"/>
        <v>0.45</v>
      </c>
      <c r="OV48" s="86">
        <f t="shared" si="39"/>
        <v>0.45</v>
      </c>
      <c r="OW48" s="86">
        <f t="shared" si="39"/>
        <v>0.45</v>
      </c>
      <c r="OX48" s="86">
        <f t="shared" si="39"/>
        <v>0.45</v>
      </c>
      <c r="OY48" s="86">
        <f t="shared" si="39"/>
        <v>0.45</v>
      </c>
      <c r="OZ48" s="86">
        <f t="shared" si="39"/>
        <v>0.45</v>
      </c>
      <c r="PA48" s="86">
        <f t="shared" si="39"/>
        <v>0.45</v>
      </c>
      <c r="PB48" s="86">
        <f t="shared" si="39"/>
        <v>0.45</v>
      </c>
      <c r="PC48" s="86">
        <f t="shared" si="39"/>
        <v>0.45</v>
      </c>
      <c r="PD48" s="86">
        <f t="shared" si="39"/>
        <v>0.45</v>
      </c>
      <c r="PE48" s="86">
        <f t="shared" si="39"/>
        <v>0.45</v>
      </c>
      <c r="PF48" s="86">
        <f t="shared" si="39"/>
        <v>0.45</v>
      </c>
      <c r="PG48" s="86">
        <f t="shared" si="39"/>
        <v>0.45</v>
      </c>
      <c r="PH48" s="86">
        <f t="shared" si="39"/>
        <v>0.45</v>
      </c>
      <c r="PI48" s="86">
        <f t="shared" si="39"/>
        <v>0.45</v>
      </c>
      <c r="PJ48" s="86">
        <f t="shared" si="39"/>
        <v>0.45</v>
      </c>
      <c r="PK48" s="86">
        <f t="shared" si="39"/>
        <v>0.45</v>
      </c>
      <c r="PL48" s="86">
        <f t="shared" si="39"/>
        <v>0.45</v>
      </c>
      <c r="PM48" s="86">
        <f t="shared" si="39"/>
        <v>0.45</v>
      </c>
      <c r="PN48" s="86">
        <f t="shared" si="39"/>
        <v>0.45</v>
      </c>
      <c r="PO48" s="86">
        <f t="shared" si="39"/>
        <v>0.45</v>
      </c>
      <c r="PP48" s="86">
        <f t="shared" si="39"/>
        <v>0.45</v>
      </c>
      <c r="PQ48" s="86">
        <f t="shared" si="39"/>
        <v>0.45</v>
      </c>
      <c r="PR48" s="86">
        <f t="shared" si="39"/>
        <v>0.45</v>
      </c>
      <c r="PS48" s="86">
        <f t="shared" si="39"/>
        <v>0.45</v>
      </c>
      <c r="PT48" s="86">
        <f t="shared" si="39"/>
        <v>0.45</v>
      </c>
      <c r="PU48" s="86">
        <f t="shared" si="39"/>
        <v>0.45</v>
      </c>
      <c r="PV48" s="86">
        <f t="shared" si="39"/>
        <v>0.45</v>
      </c>
      <c r="PW48" s="86">
        <f t="shared" si="39"/>
        <v>0.45</v>
      </c>
      <c r="PX48" s="86">
        <f t="shared" si="39"/>
        <v>0.45</v>
      </c>
      <c r="PY48" s="86">
        <f t="shared" si="39"/>
        <v>0.45</v>
      </c>
      <c r="PZ48" s="86">
        <f t="shared" si="39"/>
        <v>0.45</v>
      </c>
      <c r="QA48" s="86">
        <f t="shared" si="39"/>
        <v>0.45</v>
      </c>
      <c r="QB48" s="86">
        <f t="shared" si="39"/>
        <v>0.45</v>
      </c>
      <c r="QC48" s="86">
        <f t="shared" si="39"/>
        <v>0.45</v>
      </c>
      <c r="QD48" s="86">
        <f t="shared" si="39"/>
        <v>0.45</v>
      </c>
      <c r="QE48" s="86">
        <f t="shared" si="39"/>
        <v>0.45</v>
      </c>
      <c r="QF48" s="86">
        <f t="shared" si="39"/>
        <v>0.45</v>
      </c>
      <c r="QG48" s="86">
        <f t="shared" si="39"/>
        <v>0.45</v>
      </c>
      <c r="QH48" s="86">
        <f t="shared" si="39"/>
        <v>0.45</v>
      </c>
      <c r="QI48" s="86">
        <f t="shared" si="39"/>
        <v>0.45</v>
      </c>
      <c r="QJ48" s="86">
        <f t="shared" si="39"/>
        <v>0.45</v>
      </c>
      <c r="QK48" s="86">
        <f t="shared" si="39"/>
        <v>0.45</v>
      </c>
      <c r="QL48" s="86">
        <f t="shared" si="39"/>
        <v>0.45</v>
      </c>
      <c r="QM48" s="86">
        <f t="shared" si="39"/>
        <v>0.45</v>
      </c>
      <c r="QN48" s="86">
        <f t="shared" si="39"/>
        <v>0.45</v>
      </c>
      <c r="QO48" s="86">
        <f t="shared" si="39"/>
        <v>0.45</v>
      </c>
      <c r="QP48" s="86">
        <f t="shared" si="39"/>
        <v>0.45</v>
      </c>
      <c r="QQ48" s="86">
        <f t="shared" si="39"/>
        <v>0.45</v>
      </c>
      <c r="QR48" s="86">
        <f t="shared" si="39"/>
        <v>0.45</v>
      </c>
      <c r="QS48" s="86">
        <f t="shared" si="39"/>
        <v>0.45</v>
      </c>
      <c r="QT48" s="86">
        <f t="shared" si="39"/>
        <v>0.45</v>
      </c>
      <c r="QU48" s="86">
        <f t="shared" si="39"/>
        <v>0.45</v>
      </c>
      <c r="QV48" s="86">
        <f t="shared" si="39"/>
        <v>0.45</v>
      </c>
      <c r="QW48" s="86">
        <f t="shared" si="39"/>
        <v>0.45</v>
      </c>
      <c r="QX48" s="86">
        <f t="shared" si="39"/>
        <v>0.45</v>
      </c>
      <c r="QY48" s="86">
        <f t="shared" si="39"/>
        <v>0.45</v>
      </c>
      <c r="QZ48" s="86">
        <f t="shared" si="39"/>
        <v>0.45</v>
      </c>
      <c r="RA48" s="86">
        <f t="shared" si="39"/>
        <v>0.45</v>
      </c>
      <c r="RB48" s="86">
        <f t="shared" si="39"/>
        <v>0.45</v>
      </c>
      <c r="RC48" s="86">
        <f t="shared" si="39"/>
        <v>0.45</v>
      </c>
      <c r="RD48" s="86">
        <f t="shared" si="39"/>
        <v>0.45</v>
      </c>
      <c r="RE48" s="86">
        <f t="shared" si="39"/>
        <v>0.45</v>
      </c>
      <c r="RF48" s="86">
        <f t="shared" si="39"/>
        <v>0.45</v>
      </c>
      <c r="RG48" s="86">
        <f t="shared" si="39"/>
        <v>0.45</v>
      </c>
      <c r="RH48" s="86">
        <f t="shared" si="39"/>
        <v>0.45</v>
      </c>
      <c r="RI48" s="86">
        <f t="shared" si="39"/>
        <v>0.45</v>
      </c>
      <c r="RJ48" s="86">
        <f t="shared" si="39"/>
        <v>0.45</v>
      </c>
      <c r="RK48" s="86">
        <f t="shared" si="39"/>
        <v>0.45</v>
      </c>
      <c r="RL48" s="86">
        <f t="shared" si="39"/>
        <v>0.45</v>
      </c>
      <c r="RM48" s="86">
        <f t="shared" si="39"/>
        <v>0.45</v>
      </c>
      <c r="RN48" s="86">
        <f t="shared" si="39"/>
        <v>0.45</v>
      </c>
      <c r="RO48" s="86">
        <f t="shared" si="39"/>
        <v>0.45</v>
      </c>
      <c r="RP48" s="86">
        <f t="shared" si="39"/>
        <v>0.45</v>
      </c>
      <c r="RQ48" s="86">
        <f t="shared" si="39"/>
        <v>0.45</v>
      </c>
      <c r="RR48" s="86">
        <f t="shared" si="39"/>
        <v>0.45</v>
      </c>
      <c r="RS48" s="86">
        <f t="shared" si="39"/>
        <v>0.45</v>
      </c>
      <c r="RT48" s="86">
        <f t="shared" si="39"/>
        <v>0.45</v>
      </c>
      <c r="RU48" s="86">
        <f t="shared" si="39"/>
        <v>0.45</v>
      </c>
      <c r="RV48" s="86">
        <f t="shared" si="39"/>
        <v>0.45</v>
      </c>
      <c r="RW48" s="86">
        <f t="shared" si="39"/>
        <v>0.45</v>
      </c>
      <c r="RX48" s="86">
        <f t="shared" si="39"/>
        <v>0.45</v>
      </c>
      <c r="RY48" s="86">
        <f t="shared" si="39"/>
        <v>0.45</v>
      </c>
      <c r="RZ48" s="86">
        <f t="shared" si="39"/>
        <v>0.45</v>
      </c>
      <c r="SA48" s="86">
        <f t="shared" si="39"/>
        <v>0.45</v>
      </c>
      <c r="SB48" s="86">
        <f t="shared" si="39"/>
        <v>0.45</v>
      </c>
      <c r="SC48" s="86">
        <f t="shared" si="39"/>
        <v>0.45</v>
      </c>
      <c r="SD48" s="86">
        <f t="shared" si="39"/>
        <v>0.45</v>
      </c>
      <c r="SE48" s="86">
        <f t="shared" si="39"/>
        <v>0.45</v>
      </c>
      <c r="SF48" s="86">
        <f t="shared" si="39"/>
        <v>0.45</v>
      </c>
      <c r="SG48" s="86">
        <f t="shared" si="39"/>
        <v>0.45</v>
      </c>
      <c r="SH48" s="86">
        <f t="shared" si="39"/>
        <v>0.45</v>
      </c>
      <c r="SI48" s="86">
        <f t="shared" si="39"/>
        <v>0.45</v>
      </c>
      <c r="SJ48" s="86">
        <f t="shared" si="39"/>
        <v>0.45</v>
      </c>
      <c r="SK48" s="86">
        <f t="shared" si="39"/>
        <v>0.45</v>
      </c>
      <c r="SL48" s="86">
        <f t="shared" si="39"/>
        <v>0.45</v>
      </c>
    </row>
    <row r="49">
      <c r="A49" s="53" t="s">
        <v>378</v>
      </c>
      <c r="B49" s="75">
        <f t="array" ref="B49">INDEX('New CEA'!$B49:$F49,MATCH($B$2,'New CEA'!B$2:F$2,0))</f>
        <v>0.5</v>
      </c>
      <c r="C49" s="233">
        <f>AVERAGE(G49:SL49)</f>
        <v>0.501023</v>
      </c>
      <c r="D49" s="271">
        <f>PERCENTILE($G49:$SL49,0.25)</f>
        <v>0.2541</v>
      </c>
      <c r="E49" s="272">
        <f>PERCENTILE($G49:$SL49,0.75)</f>
        <v>0.76235</v>
      </c>
      <c r="F49" s="87"/>
      <c r="G49" s="236">
        <f>RANDBETWEEN((Inputs!$E49-(Inputs!$E49-Inputs!$D49)*2)*10000,(Inputs!$E49+(Inputs!$F49-Inputs!$E49)*2)*10000)/10000</f>
        <v>0.2333</v>
      </c>
      <c r="H49" s="236">
        <f>RANDBETWEEN((Inputs!$E49-(Inputs!$E49-Inputs!$D49)*2)*10000,(Inputs!$E49+(Inputs!$F49-Inputs!$E49)*2)*10000)/10000</f>
        <v>0.2058</v>
      </c>
      <c r="I49" s="236">
        <f>RANDBETWEEN((Inputs!$E49-(Inputs!$E49-Inputs!$D49)*2)*10000,(Inputs!$E49+(Inputs!$F49-Inputs!$E49)*2)*10000)/10000</f>
        <v>0.9509</v>
      </c>
      <c r="J49" s="236">
        <f>RANDBETWEEN((Inputs!$E49-(Inputs!$E49-Inputs!$D49)*2)*10000,(Inputs!$E49+(Inputs!$F49-Inputs!$E49)*2)*10000)/10000</f>
        <v>0.4367</v>
      </c>
      <c r="K49" s="236">
        <f>RANDBETWEEN((Inputs!$E49-(Inputs!$E49-Inputs!$D49)*2)*10000,(Inputs!$E49+(Inputs!$F49-Inputs!$E49)*2)*10000)/10000</f>
        <v>0.0283</v>
      </c>
      <c r="L49" s="236">
        <f>RANDBETWEEN((Inputs!$E49-(Inputs!$E49-Inputs!$D49)*2)*10000,(Inputs!$E49+(Inputs!$F49-Inputs!$E49)*2)*10000)/10000</f>
        <v>0.771</v>
      </c>
      <c r="M49" s="236">
        <f>RANDBETWEEN((Inputs!$E49-(Inputs!$E49-Inputs!$D49)*2)*10000,(Inputs!$E49+(Inputs!$F49-Inputs!$E49)*2)*10000)/10000</f>
        <v>0.2469</v>
      </c>
      <c r="N49" s="236">
        <f>RANDBETWEEN((Inputs!$E49-(Inputs!$E49-Inputs!$D49)*2)*10000,(Inputs!$E49+(Inputs!$F49-Inputs!$E49)*2)*10000)/10000</f>
        <v>0.3106</v>
      </c>
      <c r="O49" s="236">
        <f>RANDBETWEEN((Inputs!$E49-(Inputs!$E49-Inputs!$D49)*2)*10000,(Inputs!$E49+(Inputs!$F49-Inputs!$E49)*2)*10000)/10000</f>
        <v>0.0916</v>
      </c>
      <c r="P49" s="236">
        <f>RANDBETWEEN((Inputs!$E49-(Inputs!$E49-Inputs!$D49)*2)*10000,(Inputs!$E49+(Inputs!$F49-Inputs!$E49)*2)*10000)/10000</f>
        <v>0.347</v>
      </c>
      <c r="Q49" s="236">
        <f>RANDBETWEEN((Inputs!$E49-(Inputs!$E49-Inputs!$D49)*2)*10000,(Inputs!$E49+(Inputs!$F49-Inputs!$E49)*2)*10000)/10000</f>
        <v>0.9509</v>
      </c>
      <c r="R49" s="236">
        <f>RANDBETWEEN((Inputs!$E49-(Inputs!$E49-Inputs!$D49)*2)*10000,(Inputs!$E49+(Inputs!$F49-Inputs!$E49)*2)*10000)/10000</f>
        <v>0.8928</v>
      </c>
      <c r="S49" s="236">
        <f>RANDBETWEEN((Inputs!$E49-(Inputs!$E49-Inputs!$D49)*2)*10000,(Inputs!$E49+(Inputs!$F49-Inputs!$E49)*2)*10000)/10000</f>
        <v>0.467</v>
      </c>
      <c r="T49" s="236">
        <f>RANDBETWEEN((Inputs!$E49-(Inputs!$E49-Inputs!$D49)*2)*10000,(Inputs!$E49+(Inputs!$F49-Inputs!$E49)*2)*10000)/10000</f>
        <v>0.687</v>
      </c>
      <c r="U49" s="236">
        <f>RANDBETWEEN((Inputs!$E49-(Inputs!$E49-Inputs!$D49)*2)*10000,(Inputs!$E49+(Inputs!$F49-Inputs!$E49)*2)*10000)/10000</f>
        <v>0.7587</v>
      </c>
      <c r="V49" s="236">
        <f>RANDBETWEEN((Inputs!$E49-(Inputs!$E49-Inputs!$D49)*2)*10000,(Inputs!$E49+(Inputs!$F49-Inputs!$E49)*2)*10000)/10000</f>
        <v>0.6661</v>
      </c>
      <c r="W49" s="236">
        <f>RANDBETWEEN((Inputs!$E49-(Inputs!$E49-Inputs!$D49)*2)*10000,(Inputs!$E49+(Inputs!$F49-Inputs!$E49)*2)*10000)/10000</f>
        <v>0.6448</v>
      </c>
      <c r="X49" s="236">
        <f>RANDBETWEEN((Inputs!$E49-(Inputs!$E49-Inputs!$D49)*2)*10000,(Inputs!$E49+(Inputs!$F49-Inputs!$E49)*2)*10000)/10000</f>
        <v>0.7675</v>
      </c>
      <c r="Y49" s="236">
        <f>RANDBETWEEN((Inputs!$E49-(Inputs!$E49-Inputs!$D49)*2)*10000,(Inputs!$E49+(Inputs!$F49-Inputs!$E49)*2)*10000)/10000</f>
        <v>0.011</v>
      </c>
      <c r="Z49" s="236">
        <f>RANDBETWEEN((Inputs!$E49-(Inputs!$E49-Inputs!$D49)*2)*10000,(Inputs!$E49+(Inputs!$F49-Inputs!$E49)*2)*10000)/10000</f>
        <v>0.0522</v>
      </c>
      <c r="AA49" s="236">
        <f>RANDBETWEEN((Inputs!$E49-(Inputs!$E49-Inputs!$D49)*2)*10000,(Inputs!$E49+(Inputs!$F49-Inputs!$E49)*2)*10000)/10000</f>
        <v>0.8374</v>
      </c>
      <c r="AB49" s="236">
        <f>RANDBETWEEN((Inputs!$E49-(Inputs!$E49-Inputs!$D49)*2)*10000,(Inputs!$E49+(Inputs!$F49-Inputs!$E49)*2)*10000)/10000</f>
        <v>0.6397</v>
      </c>
      <c r="AC49" s="236">
        <f>RANDBETWEEN((Inputs!$E49-(Inputs!$E49-Inputs!$D49)*2)*10000,(Inputs!$E49+(Inputs!$F49-Inputs!$E49)*2)*10000)/10000</f>
        <v>0.7854</v>
      </c>
      <c r="AD49" s="236">
        <f>RANDBETWEEN((Inputs!$E49-(Inputs!$E49-Inputs!$D49)*2)*10000,(Inputs!$E49+(Inputs!$F49-Inputs!$E49)*2)*10000)/10000</f>
        <v>0.5593</v>
      </c>
      <c r="AE49" s="236">
        <f>RANDBETWEEN((Inputs!$E49-(Inputs!$E49-Inputs!$D49)*2)*10000,(Inputs!$E49+(Inputs!$F49-Inputs!$E49)*2)*10000)/10000</f>
        <v>0.4376</v>
      </c>
      <c r="AF49" s="236">
        <f>RANDBETWEEN((Inputs!$E49-(Inputs!$E49-Inputs!$D49)*2)*10000,(Inputs!$E49+(Inputs!$F49-Inputs!$E49)*2)*10000)/10000</f>
        <v>0.7746</v>
      </c>
      <c r="AG49" s="236">
        <f>RANDBETWEEN((Inputs!$E49-(Inputs!$E49-Inputs!$D49)*2)*10000,(Inputs!$E49+(Inputs!$F49-Inputs!$E49)*2)*10000)/10000</f>
        <v>0.4441</v>
      </c>
      <c r="AH49" s="236">
        <f>RANDBETWEEN((Inputs!$E49-(Inputs!$E49-Inputs!$D49)*2)*10000,(Inputs!$E49+(Inputs!$F49-Inputs!$E49)*2)*10000)/10000</f>
        <v>0.8019</v>
      </c>
      <c r="AI49" s="236">
        <f>RANDBETWEEN((Inputs!$E49-(Inputs!$E49-Inputs!$D49)*2)*10000,(Inputs!$E49+(Inputs!$F49-Inputs!$E49)*2)*10000)/10000</f>
        <v>0.8075</v>
      </c>
      <c r="AJ49" s="236">
        <f>RANDBETWEEN((Inputs!$E49-(Inputs!$E49-Inputs!$D49)*2)*10000,(Inputs!$E49+(Inputs!$F49-Inputs!$E49)*2)*10000)/10000</f>
        <v>0.2682</v>
      </c>
      <c r="AK49" s="236">
        <f>RANDBETWEEN((Inputs!$E49-(Inputs!$E49-Inputs!$D49)*2)*10000,(Inputs!$E49+(Inputs!$F49-Inputs!$E49)*2)*10000)/10000</f>
        <v>0.023</v>
      </c>
      <c r="AL49" s="236">
        <f>RANDBETWEEN((Inputs!$E49-(Inputs!$E49-Inputs!$D49)*2)*10000,(Inputs!$E49+(Inputs!$F49-Inputs!$E49)*2)*10000)/10000</f>
        <v>0.6706</v>
      </c>
      <c r="AM49" s="236">
        <f>RANDBETWEEN((Inputs!$E49-(Inputs!$E49-Inputs!$D49)*2)*10000,(Inputs!$E49+(Inputs!$F49-Inputs!$E49)*2)*10000)/10000</f>
        <v>0.6477</v>
      </c>
      <c r="AN49" s="236">
        <f>RANDBETWEEN((Inputs!$E49-(Inputs!$E49-Inputs!$D49)*2)*10000,(Inputs!$E49+(Inputs!$F49-Inputs!$E49)*2)*10000)/10000</f>
        <v>0.5406</v>
      </c>
      <c r="AO49" s="236">
        <f>RANDBETWEEN((Inputs!$E49-(Inputs!$E49-Inputs!$D49)*2)*10000,(Inputs!$E49+(Inputs!$F49-Inputs!$E49)*2)*10000)/10000</f>
        <v>0.3345</v>
      </c>
      <c r="AP49" s="236">
        <f>RANDBETWEEN((Inputs!$E49-(Inputs!$E49-Inputs!$D49)*2)*10000,(Inputs!$E49+(Inputs!$F49-Inputs!$E49)*2)*10000)/10000</f>
        <v>0.2098</v>
      </c>
      <c r="AQ49" s="236">
        <f>RANDBETWEEN((Inputs!$E49-(Inputs!$E49-Inputs!$D49)*2)*10000,(Inputs!$E49+(Inputs!$F49-Inputs!$E49)*2)*10000)/10000</f>
        <v>0.3333</v>
      </c>
      <c r="AR49" s="236">
        <f>RANDBETWEEN((Inputs!$E49-(Inputs!$E49-Inputs!$D49)*2)*10000,(Inputs!$E49+(Inputs!$F49-Inputs!$E49)*2)*10000)/10000</f>
        <v>0.7072</v>
      </c>
      <c r="AS49" s="236">
        <f>RANDBETWEEN((Inputs!$E49-(Inputs!$E49-Inputs!$D49)*2)*10000,(Inputs!$E49+(Inputs!$F49-Inputs!$E49)*2)*10000)/10000</f>
        <v>0.6867</v>
      </c>
      <c r="AT49" s="236">
        <f>RANDBETWEEN((Inputs!$E49-(Inputs!$E49-Inputs!$D49)*2)*10000,(Inputs!$E49+(Inputs!$F49-Inputs!$E49)*2)*10000)/10000</f>
        <v>0.8256</v>
      </c>
      <c r="AU49" s="236">
        <f>RANDBETWEEN((Inputs!$E49-(Inputs!$E49-Inputs!$D49)*2)*10000,(Inputs!$E49+(Inputs!$F49-Inputs!$E49)*2)*10000)/10000</f>
        <v>0.7631</v>
      </c>
      <c r="AV49" s="236">
        <f>RANDBETWEEN((Inputs!$E49-(Inputs!$E49-Inputs!$D49)*2)*10000,(Inputs!$E49+(Inputs!$F49-Inputs!$E49)*2)*10000)/10000</f>
        <v>0.6337</v>
      </c>
      <c r="AW49" s="236">
        <f>RANDBETWEEN((Inputs!$E49-(Inputs!$E49-Inputs!$D49)*2)*10000,(Inputs!$E49+(Inputs!$F49-Inputs!$E49)*2)*10000)/10000</f>
        <v>0.6752</v>
      </c>
      <c r="AX49" s="236">
        <f>RANDBETWEEN((Inputs!$E49-(Inputs!$E49-Inputs!$D49)*2)*10000,(Inputs!$E49+(Inputs!$F49-Inputs!$E49)*2)*10000)/10000</f>
        <v>0.2907</v>
      </c>
      <c r="AY49" s="236">
        <f>RANDBETWEEN((Inputs!$E49-(Inputs!$E49-Inputs!$D49)*2)*10000,(Inputs!$E49+(Inputs!$F49-Inputs!$E49)*2)*10000)/10000</f>
        <v>0.4699</v>
      </c>
      <c r="AZ49" s="236">
        <f>RANDBETWEEN((Inputs!$E49-(Inputs!$E49-Inputs!$D49)*2)*10000,(Inputs!$E49+(Inputs!$F49-Inputs!$E49)*2)*10000)/10000</f>
        <v>0.7942</v>
      </c>
      <c r="BA49" s="236">
        <f>RANDBETWEEN((Inputs!$E49-(Inputs!$E49-Inputs!$D49)*2)*10000,(Inputs!$E49+(Inputs!$F49-Inputs!$E49)*2)*10000)/10000</f>
        <v>0.5891</v>
      </c>
      <c r="BB49" s="236">
        <f>RANDBETWEEN((Inputs!$E49-(Inputs!$E49-Inputs!$D49)*2)*10000,(Inputs!$E49+(Inputs!$F49-Inputs!$E49)*2)*10000)/10000</f>
        <v>0.6413</v>
      </c>
      <c r="BC49" s="236">
        <f>RANDBETWEEN((Inputs!$E49-(Inputs!$E49-Inputs!$D49)*2)*10000,(Inputs!$E49+(Inputs!$F49-Inputs!$E49)*2)*10000)/10000</f>
        <v>0.9648</v>
      </c>
      <c r="BD49" s="236">
        <f>RANDBETWEEN((Inputs!$E49-(Inputs!$E49-Inputs!$D49)*2)*10000,(Inputs!$E49+(Inputs!$F49-Inputs!$E49)*2)*10000)/10000</f>
        <v>0.4427</v>
      </c>
      <c r="BE49" s="236">
        <f>RANDBETWEEN((Inputs!$E49-(Inputs!$E49-Inputs!$D49)*2)*10000,(Inputs!$E49+(Inputs!$F49-Inputs!$E49)*2)*10000)/10000</f>
        <v>0.5934</v>
      </c>
      <c r="BF49" s="236">
        <f>RANDBETWEEN((Inputs!$E49-(Inputs!$E49-Inputs!$D49)*2)*10000,(Inputs!$E49+(Inputs!$F49-Inputs!$E49)*2)*10000)/10000</f>
        <v>0.4627</v>
      </c>
      <c r="BG49" s="236">
        <f>RANDBETWEEN((Inputs!$E49-(Inputs!$E49-Inputs!$D49)*2)*10000,(Inputs!$E49+(Inputs!$F49-Inputs!$E49)*2)*10000)/10000</f>
        <v>0.5452</v>
      </c>
      <c r="BH49" s="236">
        <f>RANDBETWEEN((Inputs!$E49-(Inputs!$E49-Inputs!$D49)*2)*10000,(Inputs!$E49+(Inputs!$F49-Inputs!$E49)*2)*10000)/10000</f>
        <v>0.2841</v>
      </c>
      <c r="BI49" s="236">
        <f>RANDBETWEEN((Inputs!$E49-(Inputs!$E49-Inputs!$D49)*2)*10000,(Inputs!$E49+(Inputs!$F49-Inputs!$E49)*2)*10000)/10000</f>
        <v>0.9981</v>
      </c>
      <c r="BJ49" s="236">
        <f>RANDBETWEEN((Inputs!$E49-(Inputs!$E49-Inputs!$D49)*2)*10000,(Inputs!$E49+(Inputs!$F49-Inputs!$E49)*2)*10000)/10000</f>
        <v>0.2565</v>
      </c>
      <c r="BK49" s="236">
        <f>RANDBETWEEN((Inputs!$E49-(Inputs!$E49-Inputs!$D49)*2)*10000,(Inputs!$E49+(Inputs!$F49-Inputs!$E49)*2)*10000)/10000</f>
        <v>0.0928</v>
      </c>
      <c r="BL49" s="236">
        <f>RANDBETWEEN((Inputs!$E49-(Inputs!$E49-Inputs!$D49)*2)*10000,(Inputs!$E49+(Inputs!$F49-Inputs!$E49)*2)*10000)/10000</f>
        <v>0.7822</v>
      </c>
      <c r="BM49" s="236">
        <f>RANDBETWEEN((Inputs!$E49-(Inputs!$E49-Inputs!$D49)*2)*10000,(Inputs!$E49+(Inputs!$F49-Inputs!$E49)*2)*10000)/10000</f>
        <v>0.6053</v>
      </c>
      <c r="BN49" s="236">
        <f>RANDBETWEEN((Inputs!$E49-(Inputs!$E49-Inputs!$D49)*2)*10000,(Inputs!$E49+(Inputs!$F49-Inputs!$E49)*2)*10000)/10000</f>
        <v>0.5444</v>
      </c>
      <c r="BO49" s="236">
        <f>RANDBETWEEN((Inputs!$E49-(Inputs!$E49-Inputs!$D49)*2)*10000,(Inputs!$E49+(Inputs!$F49-Inputs!$E49)*2)*10000)/10000</f>
        <v>0.7004</v>
      </c>
      <c r="BP49" s="236">
        <f>RANDBETWEEN((Inputs!$E49-(Inputs!$E49-Inputs!$D49)*2)*10000,(Inputs!$E49+(Inputs!$F49-Inputs!$E49)*2)*10000)/10000</f>
        <v>0.4785</v>
      </c>
      <c r="BQ49" s="236">
        <f>RANDBETWEEN((Inputs!$E49-(Inputs!$E49-Inputs!$D49)*2)*10000,(Inputs!$E49+(Inputs!$F49-Inputs!$E49)*2)*10000)/10000</f>
        <v>0.3374</v>
      </c>
      <c r="BR49" s="236">
        <f>RANDBETWEEN((Inputs!$E49-(Inputs!$E49-Inputs!$D49)*2)*10000,(Inputs!$E49+(Inputs!$F49-Inputs!$E49)*2)*10000)/10000</f>
        <v>0.12</v>
      </c>
      <c r="BS49" s="236">
        <f>RANDBETWEEN((Inputs!$E49-(Inputs!$E49-Inputs!$D49)*2)*10000,(Inputs!$E49+(Inputs!$F49-Inputs!$E49)*2)*10000)/10000</f>
        <v>0.3254</v>
      </c>
      <c r="BT49" s="236">
        <f>RANDBETWEEN((Inputs!$E49-(Inputs!$E49-Inputs!$D49)*2)*10000,(Inputs!$E49+(Inputs!$F49-Inputs!$E49)*2)*10000)/10000</f>
        <v>0.2125</v>
      </c>
      <c r="BU49" s="236">
        <f>RANDBETWEEN((Inputs!$E49-(Inputs!$E49-Inputs!$D49)*2)*10000,(Inputs!$E49+(Inputs!$F49-Inputs!$E49)*2)*10000)/10000</f>
        <v>0.0926</v>
      </c>
      <c r="BV49" s="236">
        <f>RANDBETWEEN((Inputs!$E49-(Inputs!$E49-Inputs!$D49)*2)*10000,(Inputs!$E49+(Inputs!$F49-Inputs!$E49)*2)*10000)/10000</f>
        <v>0.3901</v>
      </c>
      <c r="BW49" s="236">
        <f>RANDBETWEEN((Inputs!$E49-(Inputs!$E49-Inputs!$D49)*2)*10000,(Inputs!$E49+(Inputs!$F49-Inputs!$E49)*2)*10000)/10000</f>
        <v>0.0513</v>
      </c>
      <c r="BX49" s="236">
        <f>RANDBETWEEN((Inputs!$E49-(Inputs!$E49-Inputs!$D49)*2)*10000,(Inputs!$E49+(Inputs!$F49-Inputs!$E49)*2)*10000)/10000</f>
        <v>0.9321</v>
      </c>
      <c r="BY49" s="236">
        <f>RANDBETWEEN((Inputs!$E49-(Inputs!$E49-Inputs!$D49)*2)*10000,(Inputs!$E49+(Inputs!$F49-Inputs!$E49)*2)*10000)/10000</f>
        <v>0.0488</v>
      </c>
      <c r="BZ49" s="236">
        <f>RANDBETWEEN((Inputs!$E49-(Inputs!$E49-Inputs!$D49)*2)*10000,(Inputs!$E49+(Inputs!$F49-Inputs!$E49)*2)*10000)/10000</f>
        <v>0.0594</v>
      </c>
      <c r="CA49" s="236">
        <f>RANDBETWEEN((Inputs!$E49-(Inputs!$E49-Inputs!$D49)*2)*10000,(Inputs!$E49+(Inputs!$F49-Inputs!$E49)*2)*10000)/10000</f>
        <v>0.9479</v>
      </c>
      <c r="CB49" s="236">
        <f>RANDBETWEEN((Inputs!$E49-(Inputs!$E49-Inputs!$D49)*2)*10000,(Inputs!$E49+(Inputs!$F49-Inputs!$E49)*2)*10000)/10000</f>
        <v>0.8598</v>
      </c>
      <c r="CC49" s="236">
        <f>RANDBETWEEN((Inputs!$E49-(Inputs!$E49-Inputs!$D49)*2)*10000,(Inputs!$E49+(Inputs!$F49-Inputs!$E49)*2)*10000)/10000</f>
        <v>0.4419</v>
      </c>
      <c r="CD49" s="236">
        <f>RANDBETWEEN((Inputs!$E49-(Inputs!$E49-Inputs!$D49)*2)*10000,(Inputs!$E49+(Inputs!$F49-Inputs!$E49)*2)*10000)/10000</f>
        <v>0.5102</v>
      </c>
      <c r="CE49" s="236">
        <f>RANDBETWEEN((Inputs!$E49-(Inputs!$E49-Inputs!$D49)*2)*10000,(Inputs!$E49+(Inputs!$F49-Inputs!$E49)*2)*10000)/10000</f>
        <v>0.9745</v>
      </c>
      <c r="CF49" s="236">
        <f>RANDBETWEEN((Inputs!$E49-(Inputs!$E49-Inputs!$D49)*2)*10000,(Inputs!$E49+(Inputs!$F49-Inputs!$E49)*2)*10000)/10000</f>
        <v>0.1452</v>
      </c>
      <c r="CG49" s="236">
        <f>RANDBETWEEN((Inputs!$E49-(Inputs!$E49-Inputs!$D49)*2)*10000,(Inputs!$E49+(Inputs!$F49-Inputs!$E49)*2)*10000)/10000</f>
        <v>0.1815</v>
      </c>
      <c r="CH49" s="236">
        <f>RANDBETWEEN((Inputs!$E49-(Inputs!$E49-Inputs!$D49)*2)*10000,(Inputs!$E49+(Inputs!$F49-Inputs!$E49)*2)*10000)/10000</f>
        <v>0.1021</v>
      </c>
      <c r="CI49" s="236">
        <f>RANDBETWEEN((Inputs!$E49-(Inputs!$E49-Inputs!$D49)*2)*10000,(Inputs!$E49+(Inputs!$F49-Inputs!$E49)*2)*10000)/10000</f>
        <v>0.8435</v>
      </c>
      <c r="CJ49" s="236">
        <f>RANDBETWEEN((Inputs!$E49-(Inputs!$E49-Inputs!$D49)*2)*10000,(Inputs!$E49+(Inputs!$F49-Inputs!$E49)*2)*10000)/10000</f>
        <v>0.7707</v>
      </c>
      <c r="CK49" s="236">
        <f>RANDBETWEEN((Inputs!$E49-(Inputs!$E49-Inputs!$D49)*2)*10000,(Inputs!$E49+(Inputs!$F49-Inputs!$E49)*2)*10000)/10000</f>
        <v>0.5372</v>
      </c>
      <c r="CL49" s="236">
        <f>RANDBETWEEN((Inputs!$E49-(Inputs!$E49-Inputs!$D49)*2)*10000,(Inputs!$E49+(Inputs!$F49-Inputs!$E49)*2)*10000)/10000</f>
        <v>0.2743</v>
      </c>
      <c r="CM49" s="236">
        <f>RANDBETWEEN((Inputs!$E49-(Inputs!$E49-Inputs!$D49)*2)*10000,(Inputs!$E49+(Inputs!$F49-Inputs!$E49)*2)*10000)/10000</f>
        <v>0.2708</v>
      </c>
      <c r="CN49" s="236">
        <f>RANDBETWEEN((Inputs!$E49-(Inputs!$E49-Inputs!$D49)*2)*10000,(Inputs!$E49+(Inputs!$F49-Inputs!$E49)*2)*10000)/10000</f>
        <v>0.4029</v>
      </c>
      <c r="CO49" s="236">
        <f>RANDBETWEEN((Inputs!$E49-(Inputs!$E49-Inputs!$D49)*2)*10000,(Inputs!$E49+(Inputs!$F49-Inputs!$E49)*2)*10000)/10000</f>
        <v>0.5237</v>
      </c>
      <c r="CP49" s="236">
        <f>RANDBETWEEN((Inputs!$E49-(Inputs!$E49-Inputs!$D49)*2)*10000,(Inputs!$E49+(Inputs!$F49-Inputs!$E49)*2)*10000)/10000</f>
        <v>0.7733</v>
      </c>
      <c r="CQ49" s="236">
        <f>RANDBETWEEN((Inputs!$E49-(Inputs!$E49-Inputs!$D49)*2)*10000,(Inputs!$E49+(Inputs!$F49-Inputs!$E49)*2)*10000)/10000</f>
        <v>0.5825</v>
      </c>
      <c r="CR49" s="236">
        <f>RANDBETWEEN((Inputs!$E49-(Inputs!$E49-Inputs!$D49)*2)*10000,(Inputs!$E49+(Inputs!$F49-Inputs!$E49)*2)*10000)/10000</f>
        <v>0.0882</v>
      </c>
      <c r="CS49" s="236">
        <f>RANDBETWEEN((Inputs!$E49-(Inputs!$E49-Inputs!$D49)*2)*10000,(Inputs!$E49+(Inputs!$F49-Inputs!$E49)*2)*10000)/10000</f>
        <v>0.549</v>
      </c>
      <c r="CT49" s="236">
        <f>RANDBETWEEN((Inputs!$E49-(Inputs!$E49-Inputs!$D49)*2)*10000,(Inputs!$E49+(Inputs!$F49-Inputs!$E49)*2)*10000)/10000</f>
        <v>0.5457</v>
      </c>
      <c r="CU49" s="236">
        <f>RANDBETWEEN((Inputs!$E49-(Inputs!$E49-Inputs!$D49)*2)*10000,(Inputs!$E49+(Inputs!$F49-Inputs!$E49)*2)*10000)/10000</f>
        <v>0.2129</v>
      </c>
      <c r="CV49" s="236">
        <f>RANDBETWEEN((Inputs!$E49-(Inputs!$E49-Inputs!$D49)*2)*10000,(Inputs!$E49+(Inputs!$F49-Inputs!$E49)*2)*10000)/10000</f>
        <v>0.1706</v>
      </c>
      <c r="CW49" s="236">
        <f>RANDBETWEEN((Inputs!$E49-(Inputs!$E49-Inputs!$D49)*2)*10000,(Inputs!$E49+(Inputs!$F49-Inputs!$E49)*2)*10000)/10000</f>
        <v>0.3463</v>
      </c>
      <c r="CX49" s="236">
        <f>RANDBETWEEN((Inputs!$E49-(Inputs!$E49-Inputs!$D49)*2)*10000,(Inputs!$E49+(Inputs!$F49-Inputs!$E49)*2)*10000)/10000</f>
        <v>0.8408</v>
      </c>
      <c r="CY49" s="236">
        <f>RANDBETWEEN((Inputs!$E49-(Inputs!$E49-Inputs!$D49)*2)*10000,(Inputs!$E49+(Inputs!$F49-Inputs!$E49)*2)*10000)/10000</f>
        <v>0.24</v>
      </c>
      <c r="CZ49" s="236">
        <f>RANDBETWEEN((Inputs!$E49-(Inputs!$E49-Inputs!$D49)*2)*10000,(Inputs!$E49+(Inputs!$F49-Inputs!$E49)*2)*10000)/10000</f>
        <v>0.583</v>
      </c>
      <c r="DA49" s="236">
        <f>RANDBETWEEN((Inputs!$E49-(Inputs!$E49-Inputs!$D49)*2)*10000,(Inputs!$E49+(Inputs!$F49-Inputs!$E49)*2)*10000)/10000</f>
        <v>0.2096</v>
      </c>
      <c r="DB49" s="236">
        <f>RANDBETWEEN((Inputs!$E49-(Inputs!$E49-Inputs!$D49)*2)*10000,(Inputs!$E49+(Inputs!$F49-Inputs!$E49)*2)*10000)/10000</f>
        <v>0.8439</v>
      </c>
      <c r="DC49" s="236">
        <f>RANDBETWEEN((Inputs!$E49-(Inputs!$E49-Inputs!$D49)*2)*10000,(Inputs!$E49+(Inputs!$F49-Inputs!$E49)*2)*10000)/10000</f>
        <v>0.7278</v>
      </c>
      <c r="DD49" s="236">
        <f>RANDBETWEEN((Inputs!$E49-(Inputs!$E49-Inputs!$D49)*2)*10000,(Inputs!$E49+(Inputs!$F49-Inputs!$E49)*2)*10000)/10000</f>
        <v>0.7068</v>
      </c>
      <c r="DE49" s="236">
        <f>RANDBETWEEN((Inputs!$E49-(Inputs!$E49-Inputs!$D49)*2)*10000,(Inputs!$E49+(Inputs!$F49-Inputs!$E49)*2)*10000)/10000</f>
        <v>0.0709</v>
      </c>
      <c r="DF49" s="236">
        <f>RANDBETWEEN((Inputs!$E49-(Inputs!$E49-Inputs!$D49)*2)*10000,(Inputs!$E49+(Inputs!$F49-Inputs!$E49)*2)*10000)/10000</f>
        <v>0.7321</v>
      </c>
      <c r="DG49" s="236">
        <f>RANDBETWEEN((Inputs!$E49-(Inputs!$E49-Inputs!$D49)*2)*10000,(Inputs!$E49+(Inputs!$F49-Inputs!$E49)*2)*10000)/10000</f>
        <v>0.3201</v>
      </c>
      <c r="DH49" s="236">
        <f>RANDBETWEEN((Inputs!$E49-(Inputs!$E49-Inputs!$D49)*2)*10000,(Inputs!$E49+(Inputs!$F49-Inputs!$E49)*2)*10000)/10000</f>
        <v>0.3246</v>
      </c>
      <c r="DI49" s="236">
        <f>RANDBETWEEN((Inputs!$E49-(Inputs!$E49-Inputs!$D49)*2)*10000,(Inputs!$E49+(Inputs!$F49-Inputs!$E49)*2)*10000)/10000</f>
        <v>0.0172</v>
      </c>
      <c r="DJ49" s="236">
        <f>RANDBETWEEN((Inputs!$E49-(Inputs!$E49-Inputs!$D49)*2)*10000,(Inputs!$E49+(Inputs!$F49-Inputs!$E49)*2)*10000)/10000</f>
        <v>0.3827</v>
      </c>
      <c r="DK49" s="236">
        <f>RANDBETWEEN((Inputs!$E49-(Inputs!$E49-Inputs!$D49)*2)*10000,(Inputs!$E49+(Inputs!$F49-Inputs!$E49)*2)*10000)/10000</f>
        <v>0.2196</v>
      </c>
      <c r="DL49" s="236">
        <f>RANDBETWEEN((Inputs!$E49-(Inputs!$E49-Inputs!$D49)*2)*10000,(Inputs!$E49+(Inputs!$F49-Inputs!$E49)*2)*10000)/10000</f>
        <v>0.8027</v>
      </c>
      <c r="DM49" s="236">
        <f>RANDBETWEEN((Inputs!$E49-(Inputs!$E49-Inputs!$D49)*2)*10000,(Inputs!$E49+(Inputs!$F49-Inputs!$E49)*2)*10000)/10000</f>
        <v>0.4317</v>
      </c>
      <c r="DN49" s="236">
        <f>RANDBETWEEN((Inputs!$E49-(Inputs!$E49-Inputs!$D49)*2)*10000,(Inputs!$E49+(Inputs!$F49-Inputs!$E49)*2)*10000)/10000</f>
        <v>0.0939</v>
      </c>
      <c r="DO49" s="236">
        <f>RANDBETWEEN((Inputs!$E49-(Inputs!$E49-Inputs!$D49)*2)*10000,(Inputs!$E49+(Inputs!$F49-Inputs!$E49)*2)*10000)/10000</f>
        <v>0.4162</v>
      </c>
      <c r="DP49" s="236">
        <f>RANDBETWEEN((Inputs!$E49-(Inputs!$E49-Inputs!$D49)*2)*10000,(Inputs!$E49+(Inputs!$F49-Inputs!$E49)*2)*10000)/10000</f>
        <v>0.5293</v>
      </c>
      <c r="DQ49" s="236">
        <f>RANDBETWEEN((Inputs!$E49-(Inputs!$E49-Inputs!$D49)*2)*10000,(Inputs!$E49+(Inputs!$F49-Inputs!$E49)*2)*10000)/10000</f>
        <v>0.0587</v>
      </c>
      <c r="DR49" s="236">
        <f>RANDBETWEEN((Inputs!$E49-(Inputs!$E49-Inputs!$D49)*2)*10000,(Inputs!$E49+(Inputs!$F49-Inputs!$E49)*2)*10000)/10000</f>
        <v>0.5834</v>
      </c>
      <c r="DS49" s="236">
        <f>RANDBETWEEN((Inputs!$E49-(Inputs!$E49-Inputs!$D49)*2)*10000,(Inputs!$E49+(Inputs!$F49-Inputs!$E49)*2)*10000)/10000</f>
        <v>0.788</v>
      </c>
      <c r="DT49" s="236">
        <f>RANDBETWEEN((Inputs!$E49-(Inputs!$E49-Inputs!$D49)*2)*10000,(Inputs!$E49+(Inputs!$F49-Inputs!$E49)*2)*10000)/10000</f>
        <v>0.8092</v>
      </c>
      <c r="DU49" s="236">
        <f>RANDBETWEEN((Inputs!$E49-(Inputs!$E49-Inputs!$D49)*2)*10000,(Inputs!$E49+(Inputs!$F49-Inputs!$E49)*2)*10000)/10000</f>
        <v>0.9461</v>
      </c>
      <c r="DV49" s="236">
        <f>RANDBETWEEN((Inputs!$E49-(Inputs!$E49-Inputs!$D49)*2)*10000,(Inputs!$E49+(Inputs!$F49-Inputs!$E49)*2)*10000)/10000</f>
        <v>0.2192</v>
      </c>
      <c r="DW49" s="236">
        <f>RANDBETWEEN((Inputs!$E49-(Inputs!$E49-Inputs!$D49)*2)*10000,(Inputs!$E49+(Inputs!$F49-Inputs!$E49)*2)*10000)/10000</f>
        <v>0.4865</v>
      </c>
      <c r="DX49" s="236">
        <f>RANDBETWEEN((Inputs!$E49-(Inputs!$E49-Inputs!$D49)*2)*10000,(Inputs!$E49+(Inputs!$F49-Inputs!$E49)*2)*10000)/10000</f>
        <v>0.8688</v>
      </c>
      <c r="DY49" s="236">
        <f>RANDBETWEEN((Inputs!$E49-(Inputs!$E49-Inputs!$D49)*2)*10000,(Inputs!$E49+(Inputs!$F49-Inputs!$E49)*2)*10000)/10000</f>
        <v>0.3947</v>
      </c>
      <c r="DZ49" s="236">
        <f>RANDBETWEEN((Inputs!$E49-(Inputs!$E49-Inputs!$D49)*2)*10000,(Inputs!$E49+(Inputs!$F49-Inputs!$E49)*2)*10000)/10000</f>
        <v>0.9077</v>
      </c>
      <c r="EA49" s="236">
        <f>RANDBETWEEN((Inputs!$E49-(Inputs!$E49-Inputs!$D49)*2)*10000,(Inputs!$E49+(Inputs!$F49-Inputs!$E49)*2)*10000)/10000</f>
        <v>0.8421</v>
      </c>
      <c r="EB49" s="236">
        <f>RANDBETWEEN((Inputs!$E49-(Inputs!$E49-Inputs!$D49)*2)*10000,(Inputs!$E49+(Inputs!$F49-Inputs!$E49)*2)*10000)/10000</f>
        <v>0.3607</v>
      </c>
      <c r="EC49" s="236">
        <f>RANDBETWEEN((Inputs!$E49-(Inputs!$E49-Inputs!$D49)*2)*10000,(Inputs!$E49+(Inputs!$F49-Inputs!$E49)*2)*10000)/10000</f>
        <v>0.7609</v>
      </c>
      <c r="ED49" s="236">
        <f>RANDBETWEEN((Inputs!$E49-(Inputs!$E49-Inputs!$D49)*2)*10000,(Inputs!$E49+(Inputs!$F49-Inputs!$E49)*2)*10000)/10000</f>
        <v>0.3118</v>
      </c>
      <c r="EE49" s="236">
        <f>RANDBETWEEN((Inputs!$E49-(Inputs!$E49-Inputs!$D49)*2)*10000,(Inputs!$E49+(Inputs!$F49-Inputs!$E49)*2)*10000)/10000</f>
        <v>0.8725</v>
      </c>
      <c r="EF49" s="236">
        <f>RANDBETWEEN((Inputs!$E49-(Inputs!$E49-Inputs!$D49)*2)*10000,(Inputs!$E49+(Inputs!$F49-Inputs!$E49)*2)*10000)/10000</f>
        <v>0.7746</v>
      </c>
      <c r="EG49" s="236">
        <f>RANDBETWEEN((Inputs!$E49-(Inputs!$E49-Inputs!$D49)*2)*10000,(Inputs!$E49+(Inputs!$F49-Inputs!$E49)*2)*10000)/10000</f>
        <v>0.1966</v>
      </c>
      <c r="EH49" s="236">
        <f>RANDBETWEEN((Inputs!$E49-(Inputs!$E49-Inputs!$D49)*2)*10000,(Inputs!$E49+(Inputs!$F49-Inputs!$E49)*2)*10000)/10000</f>
        <v>0.1102</v>
      </c>
      <c r="EI49" s="236">
        <f>RANDBETWEEN((Inputs!$E49-(Inputs!$E49-Inputs!$D49)*2)*10000,(Inputs!$E49+(Inputs!$F49-Inputs!$E49)*2)*10000)/10000</f>
        <v>0.3686</v>
      </c>
      <c r="EJ49" s="236">
        <f>RANDBETWEEN((Inputs!$E49-(Inputs!$E49-Inputs!$D49)*2)*10000,(Inputs!$E49+(Inputs!$F49-Inputs!$E49)*2)*10000)/10000</f>
        <v>0.457</v>
      </c>
      <c r="EK49" s="236">
        <f>RANDBETWEEN((Inputs!$E49-(Inputs!$E49-Inputs!$D49)*2)*10000,(Inputs!$E49+(Inputs!$F49-Inputs!$E49)*2)*10000)/10000</f>
        <v>0.1908</v>
      </c>
      <c r="EL49" s="236">
        <f>RANDBETWEEN((Inputs!$E49-(Inputs!$E49-Inputs!$D49)*2)*10000,(Inputs!$E49+(Inputs!$F49-Inputs!$E49)*2)*10000)/10000</f>
        <v>0.8139</v>
      </c>
      <c r="EM49" s="236">
        <f>RANDBETWEEN((Inputs!$E49-(Inputs!$E49-Inputs!$D49)*2)*10000,(Inputs!$E49+(Inputs!$F49-Inputs!$E49)*2)*10000)/10000</f>
        <v>0.4404</v>
      </c>
      <c r="EN49" s="236">
        <f>RANDBETWEEN((Inputs!$E49-(Inputs!$E49-Inputs!$D49)*2)*10000,(Inputs!$E49+(Inputs!$F49-Inputs!$E49)*2)*10000)/10000</f>
        <v>0.5246</v>
      </c>
      <c r="EO49" s="236">
        <f>RANDBETWEEN((Inputs!$E49-(Inputs!$E49-Inputs!$D49)*2)*10000,(Inputs!$E49+(Inputs!$F49-Inputs!$E49)*2)*10000)/10000</f>
        <v>0.0773</v>
      </c>
      <c r="EP49" s="236">
        <f>RANDBETWEEN((Inputs!$E49-(Inputs!$E49-Inputs!$D49)*2)*10000,(Inputs!$E49+(Inputs!$F49-Inputs!$E49)*2)*10000)/10000</f>
        <v>0.2588</v>
      </c>
      <c r="EQ49" s="236">
        <f>RANDBETWEEN((Inputs!$E49-(Inputs!$E49-Inputs!$D49)*2)*10000,(Inputs!$E49+(Inputs!$F49-Inputs!$E49)*2)*10000)/10000</f>
        <v>0.3547</v>
      </c>
      <c r="ER49" s="236">
        <f>RANDBETWEEN((Inputs!$E49-(Inputs!$E49-Inputs!$D49)*2)*10000,(Inputs!$E49+(Inputs!$F49-Inputs!$E49)*2)*10000)/10000</f>
        <v>0.8126</v>
      </c>
      <c r="ES49" s="236">
        <f>RANDBETWEEN((Inputs!$E49-(Inputs!$E49-Inputs!$D49)*2)*10000,(Inputs!$E49+(Inputs!$F49-Inputs!$E49)*2)*10000)/10000</f>
        <v>0.5146</v>
      </c>
      <c r="ET49" s="236">
        <f>RANDBETWEEN((Inputs!$E49-(Inputs!$E49-Inputs!$D49)*2)*10000,(Inputs!$E49+(Inputs!$F49-Inputs!$E49)*2)*10000)/10000</f>
        <v>0.2663</v>
      </c>
      <c r="EU49" s="236">
        <f>RANDBETWEEN((Inputs!$E49-(Inputs!$E49-Inputs!$D49)*2)*10000,(Inputs!$E49+(Inputs!$F49-Inputs!$E49)*2)*10000)/10000</f>
        <v>0.475</v>
      </c>
      <c r="EV49" s="236">
        <f>RANDBETWEEN((Inputs!$E49-(Inputs!$E49-Inputs!$D49)*2)*10000,(Inputs!$E49+(Inputs!$F49-Inputs!$E49)*2)*10000)/10000</f>
        <v>0.145</v>
      </c>
      <c r="EW49" s="236">
        <f>RANDBETWEEN((Inputs!$E49-(Inputs!$E49-Inputs!$D49)*2)*10000,(Inputs!$E49+(Inputs!$F49-Inputs!$E49)*2)*10000)/10000</f>
        <v>0.3078</v>
      </c>
      <c r="EX49" s="236">
        <f>RANDBETWEEN((Inputs!$E49-(Inputs!$E49-Inputs!$D49)*2)*10000,(Inputs!$E49+(Inputs!$F49-Inputs!$E49)*2)*10000)/10000</f>
        <v>0.1169</v>
      </c>
      <c r="EY49" s="236">
        <f>RANDBETWEEN((Inputs!$E49-(Inputs!$E49-Inputs!$D49)*2)*10000,(Inputs!$E49+(Inputs!$F49-Inputs!$E49)*2)*10000)/10000</f>
        <v>0.1205</v>
      </c>
      <c r="EZ49" s="236">
        <f>RANDBETWEEN((Inputs!$E49-(Inputs!$E49-Inputs!$D49)*2)*10000,(Inputs!$E49+(Inputs!$F49-Inputs!$E49)*2)*10000)/10000</f>
        <v>0.6334</v>
      </c>
      <c r="FA49" s="236">
        <f>RANDBETWEEN((Inputs!$E49-(Inputs!$E49-Inputs!$D49)*2)*10000,(Inputs!$E49+(Inputs!$F49-Inputs!$E49)*2)*10000)/10000</f>
        <v>0.8468</v>
      </c>
      <c r="FB49" s="236">
        <f>RANDBETWEEN((Inputs!$E49-(Inputs!$E49-Inputs!$D49)*2)*10000,(Inputs!$E49+(Inputs!$F49-Inputs!$E49)*2)*10000)/10000</f>
        <v>0.4278</v>
      </c>
      <c r="FC49" s="236">
        <f>RANDBETWEEN((Inputs!$E49-(Inputs!$E49-Inputs!$D49)*2)*10000,(Inputs!$E49+(Inputs!$F49-Inputs!$E49)*2)*10000)/10000</f>
        <v>0.2021</v>
      </c>
      <c r="FD49" s="236">
        <f>RANDBETWEEN((Inputs!$E49-(Inputs!$E49-Inputs!$D49)*2)*10000,(Inputs!$E49+(Inputs!$F49-Inputs!$E49)*2)*10000)/10000</f>
        <v>0.4153</v>
      </c>
      <c r="FE49" s="236">
        <f>RANDBETWEEN((Inputs!$E49-(Inputs!$E49-Inputs!$D49)*2)*10000,(Inputs!$E49+(Inputs!$F49-Inputs!$E49)*2)*10000)/10000</f>
        <v>0.8599</v>
      </c>
      <c r="FF49" s="236">
        <f>RANDBETWEEN((Inputs!$E49-(Inputs!$E49-Inputs!$D49)*2)*10000,(Inputs!$E49+(Inputs!$F49-Inputs!$E49)*2)*10000)/10000</f>
        <v>0.7399</v>
      </c>
      <c r="FG49" s="236">
        <f>RANDBETWEEN((Inputs!$E49-(Inputs!$E49-Inputs!$D49)*2)*10000,(Inputs!$E49+(Inputs!$F49-Inputs!$E49)*2)*10000)/10000</f>
        <v>0.5655</v>
      </c>
      <c r="FH49" s="236">
        <f>RANDBETWEEN((Inputs!$E49-(Inputs!$E49-Inputs!$D49)*2)*10000,(Inputs!$E49+(Inputs!$F49-Inputs!$E49)*2)*10000)/10000</f>
        <v>0.2321</v>
      </c>
      <c r="FI49" s="236">
        <f>RANDBETWEEN((Inputs!$E49-(Inputs!$E49-Inputs!$D49)*2)*10000,(Inputs!$E49+(Inputs!$F49-Inputs!$E49)*2)*10000)/10000</f>
        <v>0.1497</v>
      </c>
      <c r="FJ49" s="236">
        <f>RANDBETWEEN((Inputs!$E49-(Inputs!$E49-Inputs!$D49)*2)*10000,(Inputs!$E49+(Inputs!$F49-Inputs!$E49)*2)*10000)/10000</f>
        <v>0.6214</v>
      </c>
      <c r="FK49" s="236">
        <f>RANDBETWEEN((Inputs!$E49-(Inputs!$E49-Inputs!$D49)*2)*10000,(Inputs!$E49+(Inputs!$F49-Inputs!$E49)*2)*10000)/10000</f>
        <v>0.0717</v>
      </c>
      <c r="FL49" s="236">
        <f>RANDBETWEEN((Inputs!$E49-(Inputs!$E49-Inputs!$D49)*2)*10000,(Inputs!$E49+(Inputs!$F49-Inputs!$E49)*2)*10000)/10000</f>
        <v>0.5079</v>
      </c>
      <c r="FM49" s="236">
        <f>RANDBETWEEN((Inputs!$E49-(Inputs!$E49-Inputs!$D49)*2)*10000,(Inputs!$E49+(Inputs!$F49-Inputs!$E49)*2)*10000)/10000</f>
        <v>0.4672</v>
      </c>
      <c r="FN49" s="236">
        <f>RANDBETWEEN((Inputs!$E49-(Inputs!$E49-Inputs!$D49)*2)*10000,(Inputs!$E49+(Inputs!$F49-Inputs!$E49)*2)*10000)/10000</f>
        <v>0.3799</v>
      </c>
      <c r="FO49" s="236">
        <f>RANDBETWEEN((Inputs!$E49-(Inputs!$E49-Inputs!$D49)*2)*10000,(Inputs!$E49+(Inputs!$F49-Inputs!$E49)*2)*10000)/10000</f>
        <v>0.5826</v>
      </c>
      <c r="FP49" s="236">
        <f>RANDBETWEEN((Inputs!$E49-(Inputs!$E49-Inputs!$D49)*2)*10000,(Inputs!$E49+(Inputs!$F49-Inputs!$E49)*2)*10000)/10000</f>
        <v>0.1413</v>
      </c>
      <c r="FQ49" s="236">
        <f>RANDBETWEEN((Inputs!$E49-(Inputs!$E49-Inputs!$D49)*2)*10000,(Inputs!$E49+(Inputs!$F49-Inputs!$E49)*2)*10000)/10000</f>
        <v>0.7045</v>
      </c>
      <c r="FR49" s="236">
        <f>RANDBETWEEN((Inputs!$E49-(Inputs!$E49-Inputs!$D49)*2)*10000,(Inputs!$E49+(Inputs!$F49-Inputs!$E49)*2)*10000)/10000</f>
        <v>0.5347</v>
      </c>
      <c r="FS49" s="236">
        <f>RANDBETWEEN((Inputs!$E49-(Inputs!$E49-Inputs!$D49)*2)*10000,(Inputs!$E49+(Inputs!$F49-Inputs!$E49)*2)*10000)/10000</f>
        <v>0.1792</v>
      </c>
      <c r="FT49" s="236">
        <f>RANDBETWEEN((Inputs!$E49-(Inputs!$E49-Inputs!$D49)*2)*10000,(Inputs!$E49+(Inputs!$F49-Inputs!$E49)*2)*10000)/10000</f>
        <v>0.0524</v>
      </c>
      <c r="FU49" s="236">
        <f>RANDBETWEEN((Inputs!$E49-(Inputs!$E49-Inputs!$D49)*2)*10000,(Inputs!$E49+(Inputs!$F49-Inputs!$E49)*2)*10000)/10000</f>
        <v>0.1465</v>
      </c>
      <c r="FV49" s="236">
        <f>RANDBETWEEN((Inputs!$E49-(Inputs!$E49-Inputs!$D49)*2)*10000,(Inputs!$E49+(Inputs!$F49-Inputs!$E49)*2)*10000)/10000</f>
        <v>0.0488</v>
      </c>
      <c r="FW49" s="236">
        <f>RANDBETWEEN((Inputs!$E49-(Inputs!$E49-Inputs!$D49)*2)*10000,(Inputs!$E49+(Inputs!$F49-Inputs!$E49)*2)*10000)/10000</f>
        <v>0.1435</v>
      </c>
      <c r="FX49" s="236">
        <f>RANDBETWEEN((Inputs!$E49-(Inputs!$E49-Inputs!$D49)*2)*10000,(Inputs!$E49+(Inputs!$F49-Inputs!$E49)*2)*10000)/10000</f>
        <v>0.6346</v>
      </c>
      <c r="FY49" s="236">
        <f>RANDBETWEEN((Inputs!$E49-(Inputs!$E49-Inputs!$D49)*2)*10000,(Inputs!$E49+(Inputs!$F49-Inputs!$E49)*2)*10000)/10000</f>
        <v>0.6039</v>
      </c>
      <c r="FZ49" s="236">
        <f>RANDBETWEEN((Inputs!$E49-(Inputs!$E49-Inputs!$D49)*2)*10000,(Inputs!$E49+(Inputs!$F49-Inputs!$E49)*2)*10000)/10000</f>
        <v>0.9449</v>
      </c>
      <c r="GA49" s="236">
        <f>RANDBETWEEN((Inputs!$E49-(Inputs!$E49-Inputs!$D49)*2)*10000,(Inputs!$E49+(Inputs!$F49-Inputs!$E49)*2)*10000)/10000</f>
        <v>0.4536</v>
      </c>
      <c r="GB49" s="236">
        <f>RANDBETWEEN((Inputs!$E49-(Inputs!$E49-Inputs!$D49)*2)*10000,(Inputs!$E49+(Inputs!$F49-Inputs!$E49)*2)*10000)/10000</f>
        <v>0.6547</v>
      </c>
      <c r="GC49" s="236">
        <f>RANDBETWEEN((Inputs!$E49-(Inputs!$E49-Inputs!$D49)*2)*10000,(Inputs!$E49+(Inputs!$F49-Inputs!$E49)*2)*10000)/10000</f>
        <v>0.8687</v>
      </c>
      <c r="GD49" s="236">
        <f>RANDBETWEEN((Inputs!$E49-(Inputs!$E49-Inputs!$D49)*2)*10000,(Inputs!$E49+(Inputs!$F49-Inputs!$E49)*2)*10000)/10000</f>
        <v>0.3354</v>
      </c>
      <c r="GE49" s="236">
        <f>RANDBETWEEN((Inputs!$E49-(Inputs!$E49-Inputs!$D49)*2)*10000,(Inputs!$E49+(Inputs!$F49-Inputs!$E49)*2)*10000)/10000</f>
        <v>0.8096</v>
      </c>
      <c r="GF49" s="236">
        <f>RANDBETWEEN((Inputs!$E49-(Inputs!$E49-Inputs!$D49)*2)*10000,(Inputs!$E49+(Inputs!$F49-Inputs!$E49)*2)*10000)/10000</f>
        <v>0.8167</v>
      </c>
      <c r="GG49" s="236">
        <f>RANDBETWEEN((Inputs!$E49-(Inputs!$E49-Inputs!$D49)*2)*10000,(Inputs!$E49+(Inputs!$F49-Inputs!$E49)*2)*10000)/10000</f>
        <v>0.0877</v>
      </c>
      <c r="GH49" s="236">
        <f>RANDBETWEEN((Inputs!$E49-(Inputs!$E49-Inputs!$D49)*2)*10000,(Inputs!$E49+(Inputs!$F49-Inputs!$E49)*2)*10000)/10000</f>
        <v>0.09</v>
      </c>
      <c r="GI49" s="236">
        <f>RANDBETWEEN((Inputs!$E49-(Inputs!$E49-Inputs!$D49)*2)*10000,(Inputs!$E49+(Inputs!$F49-Inputs!$E49)*2)*10000)/10000</f>
        <v>0.4911</v>
      </c>
      <c r="GJ49" s="236">
        <f>RANDBETWEEN((Inputs!$E49-(Inputs!$E49-Inputs!$D49)*2)*10000,(Inputs!$E49+(Inputs!$F49-Inputs!$E49)*2)*10000)/10000</f>
        <v>0.1591</v>
      </c>
      <c r="GK49" s="236">
        <f>RANDBETWEEN((Inputs!$E49-(Inputs!$E49-Inputs!$D49)*2)*10000,(Inputs!$E49+(Inputs!$F49-Inputs!$E49)*2)*10000)/10000</f>
        <v>0.3227</v>
      </c>
      <c r="GL49" s="236">
        <f>RANDBETWEEN((Inputs!$E49-(Inputs!$E49-Inputs!$D49)*2)*10000,(Inputs!$E49+(Inputs!$F49-Inputs!$E49)*2)*10000)/10000</f>
        <v>0.3253</v>
      </c>
      <c r="GM49" s="236">
        <f>RANDBETWEEN((Inputs!$E49-(Inputs!$E49-Inputs!$D49)*2)*10000,(Inputs!$E49+(Inputs!$F49-Inputs!$E49)*2)*10000)/10000</f>
        <v>0.6713</v>
      </c>
      <c r="GN49" s="236">
        <f>RANDBETWEEN((Inputs!$E49-(Inputs!$E49-Inputs!$D49)*2)*10000,(Inputs!$E49+(Inputs!$F49-Inputs!$E49)*2)*10000)/10000</f>
        <v>0.6913</v>
      </c>
      <c r="GO49" s="236">
        <f>RANDBETWEEN((Inputs!$E49-(Inputs!$E49-Inputs!$D49)*2)*10000,(Inputs!$E49+(Inputs!$F49-Inputs!$E49)*2)*10000)/10000</f>
        <v>0.784</v>
      </c>
      <c r="GP49" s="236">
        <f>RANDBETWEEN((Inputs!$E49-(Inputs!$E49-Inputs!$D49)*2)*10000,(Inputs!$E49+(Inputs!$F49-Inputs!$E49)*2)*10000)/10000</f>
        <v>0.6623</v>
      </c>
      <c r="GQ49" s="236">
        <f>RANDBETWEEN((Inputs!$E49-(Inputs!$E49-Inputs!$D49)*2)*10000,(Inputs!$E49+(Inputs!$F49-Inputs!$E49)*2)*10000)/10000</f>
        <v>0.1652</v>
      </c>
      <c r="GR49" s="236">
        <f>RANDBETWEEN((Inputs!$E49-(Inputs!$E49-Inputs!$D49)*2)*10000,(Inputs!$E49+(Inputs!$F49-Inputs!$E49)*2)*10000)/10000</f>
        <v>0.1887</v>
      </c>
      <c r="GS49" s="236">
        <f>RANDBETWEEN((Inputs!$E49-(Inputs!$E49-Inputs!$D49)*2)*10000,(Inputs!$E49+(Inputs!$F49-Inputs!$E49)*2)*10000)/10000</f>
        <v>0.9639</v>
      </c>
      <c r="GT49" s="236">
        <f>RANDBETWEEN((Inputs!$E49-(Inputs!$E49-Inputs!$D49)*2)*10000,(Inputs!$E49+(Inputs!$F49-Inputs!$E49)*2)*10000)/10000</f>
        <v>0.7214</v>
      </c>
      <c r="GU49" s="236">
        <f>RANDBETWEEN((Inputs!$E49-(Inputs!$E49-Inputs!$D49)*2)*10000,(Inputs!$E49+(Inputs!$F49-Inputs!$E49)*2)*10000)/10000</f>
        <v>0.9722</v>
      </c>
      <c r="GV49" s="236">
        <f>RANDBETWEEN((Inputs!$E49-(Inputs!$E49-Inputs!$D49)*2)*10000,(Inputs!$E49+(Inputs!$F49-Inputs!$E49)*2)*10000)/10000</f>
        <v>0.8692</v>
      </c>
      <c r="GW49" s="236">
        <f>RANDBETWEEN((Inputs!$E49-(Inputs!$E49-Inputs!$D49)*2)*10000,(Inputs!$E49+(Inputs!$F49-Inputs!$E49)*2)*10000)/10000</f>
        <v>0.1729</v>
      </c>
      <c r="GX49" s="236">
        <f>RANDBETWEEN((Inputs!$E49-(Inputs!$E49-Inputs!$D49)*2)*10000,(Inputs!$E49+(Inputs!$F49-Inputs!$E49)*2)*10000)/10000</f>
        <v>0.6427</v>
      </c>
      <c r="GY49" s="236">
        <f>RANDBETWEEN((Inputs!$E49-(Inputs!$E49-Inputs!$D49)*2)*10000,(Inputs!$E49+(Inputs!$F49-Inputs!$E49)*2)*10000)/10000</f>
        <v>0.3894</v>
      </c>
      <c r="GZ49" s="236">
        <f>RANDBETWEEN((Inputs!$E49-(Inputs!$E49-Inputs!$D49)*2)*10000,(Inputs!$E49+(Inputs!$F49-Inputs!$E49)*2)*10000)/10000</f>
        <v>0.7468</v>
      </c>
      <c r="HA49" s="236">
        <f>RANDBETWEEN((Inputs!$E49-(Inputs!$E49-Inputs!$D49)*2)*10000,(Inputs!$E49+(Inputs!$F49-Inputs!$E49)*2)*10000)/10000</f>
        <v>0.7859</v>
      </c>
      <c r="HB49" s="236">
        <f>RANDBETWEEN((Inputs!$E49-(Inputs!$E49-Inputs!$D49)*2)*10000,(Inputs!$E49+(Inputs!$F49-Inputs!$E49)*2)*10000)/10000</f>
        <v>0.5122</v>
      </c>
      <c r="HC49" s="236">
        <f>RANDBETWEEN((Inputs!$E49-(Inputs!$E49-Inputs!$D49)*2)*10000,(Inputs!$E49+(Inputs!$F49-Inputs!$E49)*2)*10000)/10000</f>
        <v>0.9183</v>
      </c>
      <c r="HD49" s="236">
        <f>RANDBETWEEN((Inputs!$E49-(Inputs!$E49-Inputs!$D49)*2)*10000,(Inputs!$E49+(Inputs!$F49-Inputs!$E49)*2)*10000)/10000</f>
        <v>0.8232</v>
      </c>
      <c r="HE49" s="236">
        <f>RANDBETWEEN((Inputs!$E49-(Inputs!$E49-Inputs!$D49)*2)*10000,(Inputs!$E49+(Inputs!$F49-Inputs!$E49)*2)*10000)/10000</f>
        <v>0.8416</v>
      </c>
      <c r="HF49" s="236">
        <f>RANDBETWEEN((Inputs!$E49-(Inputs!$E49-Inputs!$D49)*2)*10000,(Inputs!$E49+(Inputs!$F49-Inputs!$E49)*2)*10000)/10000</f>
        <v>0.4516</v>
      </c>
      <c r="HG49" s="236">
        <f>RANDBETWEEN((Inputs!$E49-(Inputs!$E49-Inputs!$D49)*2)*10000,(Inputs!$E49+(Inputs!$F49-Inputs!$E49)*2)*10000)/10000</f>
        <v>0.6628</v>
      </c>
      <c r="HH49" s="236">
        <f>RANDBETWEEN((Inputs!$E49-(Inputs!$E49-Inputs!$D49)*2)*10000,(Inputs!$E49+(Inputs!$F49-Inputs!$E49)*2)*10000)/10000</f>
        <v>0.917</v>
      </c>
      <c r="HI49" s="236">
        <f>RANDBETWEEN((Inputs!$E49-(Inputs!$E49-Inputs!$D49)*2)*10000,(Inputs!$E49+(Inputs!$F49-Inputs!$E49)*2)*10000)/10000</f>
        <v>0.5109</v>
      </c>
      <c r="HJ49" s="236">
        <f>RANDBETWEEN((Inputs!$E49-(Inputs!$E49-Inputs!$D49)*2)*10000,(Inputs!$E49+(Inputs!$F49-Inputs!$E49)*2)*10000)/10000</f>
        <v>0.7854</v>
      </c>
      <c r="HK49" s="236">
        <f>RANDBETWEEN((Inputs!$E49-(Inputs!$E49-Inputs!$D49)*2)*10000,(Inputs!$E49+(Inputs!$F49-Inputs!$E49)*2)*10000)/10000</f>
        <v>0.4297</v>
      </c>
      <c r="HL49" s="236">
        <f>RANDBETWEEN((Inputs!$E49-(Inputs!$E49-Inputs!$D49)*2)*10000,(Inputs!$E49+(Inputs!$F49-Inputs!$E49)*2)*10000)/10000</f>
        <v>0.8538</v>
      </c>
      <c r="HM49" s="236">
        <f>RANDBETWEEN((Inputs!$E49-(Inputs!$E49-Inputs!$D49)*2)*10000,(Inputs!$E49+(Inputs!$F49-Inputs!$E49)*2)*10000)/10000</f>
        <v>0.3434</v>
      </c>
      <c r="HN49" s="236">
        <f>RANDBETWEEN((Inputs!$E49-(Inputs!$E49-Inputs!$D49)*2)*10000,(Inputs!$E49+(Inputs!$F49-Inputs!$E49)*2)*10000)/10000</f>
        <v>0.138</v>
      </c>
      <c r="HO49" s="236">
        <f>RANDBETWEEN((Inputs!$E49-(Inputs!$E49-Inputs!$D49)*2)*10000,(Inputs!$E49+(Inputs!$F49-Inputs!$E49)*2)*10000)/10000</f>
        <v>0.2779</v>
      </c>
      <c r="HP49" s="236">
        <f>RANDBETWEEN((Inputs!$E49-(Inputs!$E49-Inputs!$D49)*2)*10000,(Inputs!$E49+(Inputs!$F49-Inputs!$E49)*2)*10000)/10000</f>
        <v>0.946</v>
      </c>
      <c r="HQ49" s="236">
        <f>RANDBETWEEN((Inputs!$E49-(Inputs!$E49-Inputs!$D49)*2)*10000,(Inputs!$E49+(Inputs!$F49-Inputs!$E49)*2)*10000)/10000</f>
        <v>0.1367</v>
      </c>
      <c r="HR49" s="236">
        <f>RANDBETWEEN((Inputs!$E49-(Inputs!$E49-Inputs!$D49)*2)*10000,(Inputs!$E49+(Inputs!$F49-Inputs!$E49)*2)*10000)/10000</f>
        <v>0.5351</v>
      </c>
      <c r="HS49" s="236">
        <f>RANDBETWEEN((Inputs!$E49-(Inputs!$E49-Inputs!$D49)*2)*10000,(Inputs!$E49+(Inputs!$F49-Inputs!$E49)*2)*10000)/10000</f>
        <v>0.8371</v>
      </c>
      <c r="HT49" s="236">
        <f>RANDBETWEEN((Inputs!$E49-(Inputs!$E49-Inputs!$D49)*2)*10000,(Inputs!$E49+(Inputs!$F49-Inputs!$E49)*2)*10000)/10000</f>
        <v>0.1732</v>
      </c>
      <c r="HU49" s="236">
        <f>RANDBETWEEN((Inputs!$E49-(Inputs!$E49-Inputs!$D49)*2)*10000,(Inputs!$E49+(Inputs!$F49-Inputs!$E49)*2)*10000)/10000</f>
        <v>0.7317</v>
      </c>
      <c r="HV49" s="236">
        <f>RANDBETWEEN((Inputs!$E49-(Inputs!$E49-Inputs!$D49)*2)*10000,(Inputs!$E49+(Inputs!$F49-Inputs!$E49)*2)*10000)/10000</f>
        <v>0.5791</v>
      </c>
      <c r="HW49" s="236">
        <f>RANDBETWEEN((Inputs!$E49-(Inputs!$E49-Inputs!$D49)*2)*10000,(Inputs!$E49+(Inputs!$F49-Inputs!$E49)*2)*10000)/10000</f>
        <v>0.3189</v>
      </c>
      <c r="HX49" s="236">
        <f>RANDBETWEEN((Inputs!$E49-(Inputs!$E49-Inputs!$D49)*2)*10000,(Inputs!$E49+(Inputs!$F49-Inputs!$E49)*2)*10000)/10000</f>
        <v>0.2446</v>
      </c>
      <c r="HY49" s="236">
        <f>RANDBETWEEN((Inputs!$E49-(Inputs!$E49-Inputs!$D49)*2)*10000,(Inputs!$E49+(Inputs!$F49-Inputs!$E49)*2)*10000)/10000</f>
        <v>0.0335</v>
      </c>
      <c r="HZ49" s="236">
        <f>RANDBETWEEN((Inputs!$E49-(Inputs!$E49-Inputs!$D49)*2)*10000,(Inputs!$E49+(Inputs!$F49-Inputs!$E49)*2)*10000)/10000</f>
        <v>0.5595</v>
      </c>
      <c r="IA49" s="236">
        <f>RANDBETWEEN((Inputs!$E49-(Inputs!$E49-Inputs!$D49)*2)*10000,(Inputs!$E49+(Inputs!$F49-Inputs!$E49)*2)*10000)/10000</f>
        <v>0.7758</v>
      </c>
      <c r="IB49" s="236">
        <f>RANDBETWEEN((Inputs!$E49-(Inputs!$E49-Inputs!$D49)*2)*10000,(Inputs!$E49+(Inputs!$F49-Inputs!$E49)*2)*10000)/10000</f>
        <v>0.7692</v>
      </c>
      <c r="IC49" s="236">
        <f>RANDBETWEEN((Inputs!$E49-(Inputs!$E49-Inputs!$D49)*2)*10000,(Inputs!$E49+(Inputs!$F49-Inputs!$E49)*2)*10000)/10000</f>
        <v>0.0795</v>
      </c>
      <c r="ID49" s="236">
        <f>RANDBETWEEN((Inputs!$E49-(Inputs!$E49-Inputs!$D49)*2)*10000,(Inputs!$E49+(Inputs!$F49-Inputs!$E49)*2)*10000)/10000</f>
        <v>0.9127</v>
      </c>
      <c r="IE49" s="236">
        <f>RANDBETWEEN((Inputs!$E49-(Inputs!$E49-Inputs!$D49)*2)*10000,(Inputs!$E49+(Inputs!$F49-Inputs!$E49)*2)*10000)/10000</f>
        <v>0.829</v>
      </c>
      <c r="IF49" s="236">
        <f>RANDBETWEEN((Inputs!$E49-(Inputs!$E49-Inputs!$D49)*2)*10000,(Inputs!$E49+(Inputs!$F49-Inputs!$E49)*2)*10000)/10000</f>
        <v>0.0913</v>
      </c>
      <c r="IG49" s="236">
        <f>RANDBETWEEN((Inputs!$E49-(Inputs!$E49-Inputs!$D49)*2)*10000,(Inputs!$E49+(Inputs!$F49-Inputs!$E49)*2)*10000)/10000</f>
        <v>0.0314</v>
      </c>
      <c r="IH49" s="236">
        <f>RANDBETWEEN((Inputs!$E49-(Inputs!$E49-Inputs!$D49)*2)*10000,(Inputs!$E49+(Inputs!$F49-Inputs!$E49)*2)*10000)/10000</f>
        <v>0.7977</v>
      </c>
      <c r="II49" s="236">
        <f>RANDBETWEEN((Inputs!$E49-(Inputs!$E49-Inputs!$D49)*2)*10000,(Inputs!$E49+(Inputs!$F49-Inputs!$E49)*2)*10000)/10000</f>
        <v>0.7838</v>
      </c>
      <c r="IJ49" s="236">
        <f>RANDBETWEEN((Inputs!$E49-(Inputs!$E49-Inputs!$D49)*2)*10000,(Inputs!$E49+(Inputs!$F49-Inputs!$E49)*2)*10000)/10000</f>
        <v>0.9578</v>
      </c>
      <c r="IK49" s="236">
        <f>RANDBETWEEN((Inputs!$E49-(Inputs!$E49-Inputs!$D49)*2)*10000,(Inputs!$E49+(Inputs!$F49-Inputs!$E49)*2)*10000)/10000</f>
        <v>0.558</v>
      </c>
      <c r="IL49" s="236">
        <f>RANDBETWEEN((Inputs!$E49-(Inputs!$E49-Inputs!$D49)*2)*10000,(Inputs!$E49+(Inputs!$F49-Inputs!$E49)*2)*10000)/10000</f>
        <v>0.6773</v>
      </c>
      <c r="IM49" s="236">
        <f>RANDBETWEEN((Inputs!$E49-(Inputs!$E49-Inputs!$D49)*2)*10000,(Inputs!$E49+(Inputs!$F49-Inputs!$E49)*2)*10000)/10000</f>
        <v>0.7763</v>
      </c>
      <c r="IN49" s="236">
        <f>RANDBETWEEN((Inputs!$E49-(Inputs!$E49-Inputs!$D49)*2)*10000,(Inputs!$E49+(Inputs!$F49-Inputs!$E49)*2)*10000)/10000</f>
        <v>0.0748</v>
      </c>
      <c r="IO49" s="236">
        <f>RANDBETWEEN((Inputs!$E49-(Inputs!$E49-Inputs!$D49)*2)*10000,(Inputs!$E49+(Inputs!$F49-Inputs!$E49)*2)*10000)/10000</f>
        <v>0.1903</v>
      </c>
      <c r="IP49" s="236">
        <f>RANDBETWEEN((Inputs!$E49-(Inputs!$E49-Inputs!$D49)*2)*10000,(Inputs!$E49+(Inputs!$F49-Inputs!$E49)*2)*10000)/10000</f>
        <v>0.7016</v>
      </c>
      <c r="IQ49" s="236">
        <f>RANDBETWEEN((Inputs!$E49-(Inputs!$E49-Inputs!$D49)*2)*10000,(Inputs!$E49+(Inputs!$F49-Inputs!$E49)*2)*10000)/10000</f>
        <v>0.3559</v>
      </c>
      <c r="IR49" s="236">
        <f>RANDBETWEEN((Inputs!$E49-(Inputs!$E49-Inputs!$D49)*2)*10000,(Inputs!$E49+(Inputs!$F49-Inputs!$E49)*2)*10000)/10000</f>
        <v>0.7867</v>
      </c>
      <c r="IS49" s="236">
        <f>RANDBETWEEN((Inputs!$E49-(Inputs!$E49-Inputs!$D49)*2)*10000,(Inputs!$E49+(Inputs!$F49-Inputs!$E49)*2)*10000)/10000</f>
        <v>0.8831</v>
      </c>
      <c r="IT49" s="236">
        <f>RANDBETWEEN((Inputs!$E49-(Inputs!$E49-Inputs!$D49)*2)*10000,(Inputs!$E49+(Inputs!$F49-Inputs!$E49)*2)*10000)/10000</f>
        <v>0.3795</v>
      </c>
      <c r="IU49" s="236">
        <f>RANDBETWEEN((Inputs!$E49-(Inputs!$E49-Inputs!$D49)*2)*10000,(Inputs!$E49+(Inputs!$F49-Inputs!$E49)*2)*10000)/10000</f>
        <v>0.6976</v>
      </c>
      <c r="IV49" s="236">
        <f>RANDBETWEEN((Inputs!$E49-(Inputs!$E49-Inputs!$D49)*2)*10000,(Inputs!$E49+(Inputs!$F49-Inputs!$E49)*2)*10000)/10000</f>
        <v>0.56</v>
      </c>
      <c r="IW49" s="236">
        <f>RANDBETWEEN((Inputs!$E49-(Inputs!$E49-Inputs!$D49)*2)*10000,(Inputs!$E49+(Inputs!$F49-Inputs!$E49)*2)*10000)/10000</f>
        <v>0.193</v>
      </c>
      <c r="IX49" s="236">
        <f>RANDBETWEEN((Inputs!$E49-(Inputs!$E49-Inputs!$D49)*2)*10000,(Inputs!$E49+(Inputs!$F49-Inputs!$E49)*2)*10000)/10000</f>
        <v>0.4933</v>
      </c>
      <c r="IY49" s="236">
        <f>RANDBETWEEN((Inputs!$E49-(Inputs!$E49-Inputs!$D49)*2)*10000,(Inputs!$E49+(Inputs!$F49-Inputs!$E49)*2)*10000)/10000</f>
        <v>0.4586</v>
      </c>
      <c r="IZ49" s="236">
        <f>RANDBETWEEN((Inputs!$E49-(Inputs!$E49-Inputs!$D49)*2)*10000,(Inputs!$E49+(Inputs!$F49-Inputs!$E49)*2)*10000)/10000</f>
        <v>0.6971</v>
      </c>
      <c r="JA49" s="236">
        <f>RANDBETWEEN((Inputs!$E49-(Inputs!$E49-Inputs!$D49)*2)*10000,(Inputs!$E49+(Inputs!$F49-Inputs!$E49)*2)*10000)/10000</f>
        <v>0.2027</v>
      </c>
      <c r="JB49" s="236">
        <f>RANDBETWEEN((Inputs!$E49-(Inputs!$E49-Inputs!$D49)*2)*10000,(Inputs!$E49+(Inputs!$F49-Inputs!$E49)*2)*10000)/10000</f>
        <v>0.4637</v>
      </c>
      <c r="JC49" s="236">
        <f>RANDBETWEEN((Inputs!$E49-(Inputs!$E49-Inputs!$D49)*2)*10000,(Inputs!$E49+(Inputs!$F49-Inputs!$E49)*2)*10000)/10000</f>
        <v>0.1478</v>
      </c>
      <c r="JD49" s="236">
        <f>RANDBETWEEN((Inputs!$E49-(Inputs!$E49-Inputs!$D49)*2)*10000,(Inputs!$E49+(Inputs!$F49-Inputs!$E49)*2)*10000)/10000</f>
        <v>0.7119</v>
      </c>
      <c r="JE49" s="236">
        <f>RANDBETWEEN((Inputs!$E49-(Inputs!$E49-Inputs!$D49)*2)*10000,(Inputs!$E49+(Inputs!$F49-Inputs!$E49)*2)*10000)/10000</f>
        <v>0.5539</v>
      </c>
      <c r="JF49" s="236">
        <f>RANDBETWEEN((Inputs!$E49-(Inputs!$E49-Inputs!$D49)*2)*10000,(Inputs!$E49+(Inputs!$F49-Inputs!$E49)*2)*10000)/10000</f>
        <v>0.4025</v>
      </c>
      <c r="JG49" s="236">
        <f>RANDBETWEEN((Inputs!$E49-(Inputs!$E49-Inputs!$D49)*2)*10000,(Inputs!$E49+(Inputs!$F49-Inputs!$E49)*2)*10000)/10000</f>
        <v>0.7589</v>
      </c>
      <c r="JH49" s="236">
        <f>RANDBETWEEN((Inputs!$E49-(Inputs!$E49-Inputs!$D49)*2)*10000,(Inputs!$E49+(Inputs!$F49-Inputs!$E49)*2)*10000)/10000</f>
        <v>0.107</v>
      </c>
      <c r="JI49" s="236">
        <f>RANDBETWEEN((Inputs!$E49-(Inputs!$E49-Inputs!$D49)*2)*10000,(Inputs!$E49+(Inputs!$F49-Inputs!$E49)*2)*10000)/10000</f>
        <v>0.7373</v>
      </c>
      <c r="JJ49" s="236">
        <f>RANDBETWEEN((Inputs!$E49-(Inputs!$E49-Inputs!$D49)*2)*10000,(Inputs!$E49+(Inputs!$F49-Inputs!$E49)*2)*10000)/10000</f>
        <v>0.9056</v>
      </c>
      <c r="JK49" s="236">
        <f>RANDBETWEEN((Inputs!$E49-(Inputs!$E49-Inputs!$D49)*2)*10000,(Inputs!$E49+(Inputs!$F49-Inputs!$E49)*2)*10000)/10000</f>
        <v>0.3342</v>
      </c>
      <c r="JL49" s="236">
        <f>RANDBETWEEN((Inputs!$E49-(Inputs!$E49-Inputs!$D49)*2)*10000,(Inputs!$E49+(Inputs!$F49-Inputs!$E49)*2)*10000)/10000</f>
        <v>0.8644</v>
      </c>
      <c r="JM49" s="236">
        <f>RANDBETWEEN((Inputs!$E49-(Inputs!$E49-Inputs!$D49)*2)*10000,(Inputs!$E49+(Inputs!$F49-Inputs!$E49)*2)*10000)/10000</f>
        <v>0.0833</v>
      </c>
      <c r="JN49" s="236">
        <f>RANDBETWEEN((Inputs!$E49-(Inputs!$E49-Inputs!$D49)*2)*10000,(Inputs!$E49+(Inputs!$F49-Inputs!$E49)*2)*10000)/10000</f>
        <v>0.2336</v>
      </c>
      <c r="JO49" s="236">
        <f>RANDBETWEEN((Inputs!$E49-(Inputs!$E49-Inputs!$D49)*2)*10000,(Inputs!$E49+(Inputs!$F49-Inputs!$E49)*2)*10000)/10000</f>
        <v>0.0716</v>
      </c>
      <c r="JP49" s="236">
        <f>RANDBETWEEN((Inputs!$E49-(Inputs!$E49-Inputs!$D49)*2)*10000,(Inputs!$E49+(Inputs!$F49-Inputs!$E49)*2)*10000)/10000</f>
        <v>0.8239</v>
      </c>
      <c r="JQ49" s="236">
        <f>RANDBETWEEN((Inputs!$E49-(Inputs!$E49-Inputs!$D49)*2)*10000,(Inputs!$E49+(Inputs!$F49-Inputs!$E49)*2)*10000)/10000</f>
        <v>0.7415</v>
      </c>
      <c r="JR49" s="236">
        <f>RANDBETWEEN((Inputs!$E49-(Inputs!$E49-Inputs!$D49)*2)*10000,(Inputs!$E49+(Inputs!$F49-Inputs!$E49)*2)*10000)/10000</f>
        <v>0.9019</v>
      </c>
      <c r="JS49" s="236">
        <f>RANDBETWEEN((Inputs!$E49-(Inputs!$E49-Inputs!$D49)*2)*10000,(Inputs!$E49+(Inputs!$F49-Inputs!$E49)*2)*10000)/10000</f>
        <v>0.5655</v>
      </c>
      <c r="JT49" s="236">
        <f>RANDBETWEEN((Inputs!$E49-(Inputs!$E49-Inputs!$D49)*2)*10000,(Inputs!$E49+(Inputs!$F49-Inputs!$E49)*2)*10000)/10000</f>
        <v>0.2675</v>
      </c>
      <c r="JU49" s="236">
        <f>RANDBETWEEN((Inputs!$E49-(Inputs!$E49-Inputs!$D49)*2)*10000,(Inputs!$E49+(Inputs!$F49-Inputs!$E49)*2)*10000)/10000</f>
        <v>0.3004</v>
      </c>
      <c r="JV49" s="236">
        <f>RANDBETWEEN((Inputs!$E49-(Inputs!$E49-Inputs!$D49)*2)*10000,(Inputs!$E49+(Inputs!$F49-Inputs!$E49)*2)*10000)/10000</f>
        <v>0.8601</v>
      </c>
      <c r="JW49" s="236">
        <f>RANDBETWEEN((Inputs!$E49-(Inputs!$E49-Inputs!$D49)*2)*10000,(Inputs!$E49+(Inputs!$F49-Inputs!$E49)*2)*10000)/10000</f>
        <v>0.7797</v>
      </c>
      <c r="JX49" s="236">
        <f>RANDBETWEEN((Inputs!$E49-(Inputs!$E49-Inputs!$D49)*2)*10000,(Inputs!$E49+(Inputs!$F49-Inputs!$E49)*2)*10000)/10000</f>
        <v>0.4471</v>
      </c>
      <c r="JY49" s="236">
        <f>RANDBETWEEN((Inputs!$E49-(Inputs!$E49-Inputs!$D49)*2)*10000,(Inputs!$E49+(Inputs!$F49-Inputs!$E49)*2)*10000)/10000</f>
        <v>0.6025</v>
      </c>
      <c r="JZ49" s="236">
        <f>RANDBETWEEN((Inputs!$E49-(Inputs!$E49-Inputs!$D49)*2)*10000,(Inputs!$E49+(Inputs!$F49-Inputs!$E49)*2)*10000)/10000</f>
        <v>0.3805</v>
      </c>
      <c r="KA49" s="236">
        <f>RANDBETWEEN((Inputs!$E49-(Inputs!$E49-Inputs!$D49)*2)*10000,(Inputs!$E49+(Inputs!$F49-Inputs!$E49)*2)*10000)/10000</f>
        <v>0.3935</v>
      </c>
      <c r="KB49" s="236">
        <f>RANDBETWEEN((Inputs!$E49-(Inputs!$E49-Inputs!$D49)*2)*10000,(Inputs!$E49+(Inputs!$F49-Inputs!$E49)*2)*10000)/10000</f>
        <v>0.4986</v>
      </c>
      <c r="KC49" s="236">
        <f>RANDBETWEEN((Inputs!$E49-(Inputs!$E49-Inputs!$D49)*2)*10000,(Inputs!$E49+(Inputs!$F49-Inputs!$E49)*2)*10000)/10000</f>
        <v>0.7349</v>
      </c>
      <c r="KD49" s="236">
        <f>RANDBETWEEN((Inputs!$E49-(Inputs!$E49-Inputs!$D49)*2)*10000,(Inputs!$E49+(Inputs!$F49-Inputs!$E49)*2)*10000)/10000</f>
        <v>0.4926</v>
      </c>
      <c r="KE49" s="236">
        <f>RANDBETWEEN((Inputs!$E49-(Inputs!$E49-Inputs!$D49)*2)*10000,(Inputs!$E49+(Inputs!$F49-Inputs!$E49)*2)*10000)/10000</f>
        <v>0.2292</v>
      </c>
      <c r="KF49" s="236">
        <f>RANDBETWEEN((Inputs!$E49-(Inputs!$E49-Inputs!$D49)*2)*10000,(Inputs!$E49+(Inputs!$F49-Inputs!$E49)*2)*10000)/10000</f>
        <v>0.1721</v>
      </c>
      <c r="KG49" s="236">
        <f>RANDBETWEEN((Inputs!$E49-(Inputs!$E49-Inputs!$D49)*2)*10000,(Inputs!$E49+(Inputs!$F49-Inputs!$E49)*2)*10000)/10000</f>
        <v>0.1436</v>
      </c>
      <c r="KH49" s="236">
        <f>RANDBETWEEN((Inputs!$E49-(Inputs!$E49-Inputs!$D49)*2)*10000,(Inputs!$E49+(Inputs!$F49-Inputs!$E49)*2)*10000)/10000</f>
        <v>0.3022</v>
      </c>
      <c r="KI49" s="236">
        <f>RANDBETWEEN((Inputs!$E49-(Inputs!$E49-Inputs!$D49)*2)*10000,(Inputs!$E49+(Inputs!$F49-Inputs!$E49)*2)*10000)/10000</f>
        <v>0.5762</v>
      </c>
      <c r="KJ49" s="236">
        <f>RANDBETWEEN((Inputs!$E49-(Inputs!$E49-Inputs!$D49)*2)*10000,(Inputs!$E49+(Inputs!$F49-Inputs!$E49)*2)*10000)/10000</f>
        <v>0.0727</v>
      </c>
      <c r="KK49" s="236">
        <f>RANDBETWEEN((Inputs!$E49-(Inputs!$E49-Inputs!$D49)*2)*10000,(Inputs!$E49+(Inputs!$F49-Inputs!$E49)*2)*10000)/10000</f>
        <v>0.3092</v>
      </c>
      <c r="KL49" s="236">
        <f>RANDBETWEEN((Inputs!$E49-(Inputs!$E49-Inputs!$D49)*2)*10000,(Inputs!$E49+(Inputs!$F49-Inputs!$E49)*2)*10000)/10000</f>
        <v>0.8196</v>
      </c>
      <c r="KM49" s="236">
        <f>RANDBETWEEN((Inputs!$E49-(Inputs!$E49-Inputs!$D49)*2)*10000,(Inputs!$E49+(Inputs!$F49-Inputs!$E49)*2)*10000)/10000</f>
        <v>0.3559</v>
      </c>
      <c r="KN49" s="236">
        <f>RANDBETWEEN((Inputs!$E49-(Inputs!$E49-Inputs!$D49)*2)*10000,(Inputs!$E49+(Inputs!$F49-Inputs!$E49)*2)*10000)/10000</f>
        <v>0.6542</v>
      </c>
      <c r="KO49" s="236">
        <f>RANDBETWEEN((Inputs!$E49-(Inputs!$E49-Inputs!$D49)*2)*10000,(Inputs!$E49+(Inputs!$F49-Inputs!$E49)*2)*10000)/10000</f>
        <v>0.4459</v>
      </c>
      <c r="KP49" s="236">
        <f>RANDBETWEEN((Inputs!$E49-(Inputs!$E49-Inputs!$D49)*2)*10000,(Inputs!$E49+(Inputs!$F49-Inputs!$E49)*2)*10000)/10000</f>
        <v>0.9767</v>
      </c>
      <c r="KQ49" s="236">
        <f>RANDBETWEEN((Inputs!$E49-(Inputs!$E49-Inputs!$D49)*2)*10000,(Inputs!$E49+(Inputs!$F49-Inputs!$E49)*2)*10000)/10000</f>
        <v>0.2424</v>
      </c>
      <c r="KR49" s="236">
        <f>RANDBETWEEN((Inputs!$E49-(Inputs!$E49-Inputs!$D49)*2)*10000,(Inputs!$E49+(Inputs!$F49-Inputs!$E49)*2)*10000)/10000</f>
        <v>0.0384</v>
      </c>
      <c r="KS49" s="236">
        <f>RANDBETWEEN((Inputs!$E49-(Inputs!$E49-Inputs!$D49)*2)*10000,(Inputs!$E49+(Inputs!$F49-Inputs!$E49)*2)*10000)/10000</f>
        <v>0.2435</v>
      </c>
      <c r="KT49" s="236">
        <f>RANDBETWEEN((Inputs!$E49-(Inputs!$E49-Inputs!$D49)*2)*10000,(Inputs!$E49+(Inputs!$F49-Inputs!$E49)*2)*10000)/10000</f>
        <v>0.3679</v>
      </c>
      <c r="KU49" s="236">
        <f>RANDBETWEEN((Inputs!$E49-(Inputs!$E49-Inputs!$D49)*2)*10000,(Inputs!$E49+(Inputs!$F49-Inputs!$E49)*2)*10000)/10000</f>
        <v>0.0443</v>
      </c>
      <c r="KV49" s="236">
        <f>RANDBETWEEN((Inputs!$E49-(Inputs!$E49-Inputs!$D49)*2)*10000,(Inputs!$E49+(Inputs!$F49-Inputs!$E49)*2)*10000)/10000</f>
        <v>0.8434</v>
      </c>
      <c r="KW49" s="236">
        <f>RANDBETWEEN((Inputs!$E49-(Inputs!$E49-Inputs!$D49)*2)*10000,(Inputs!$E49+(Inputs!$F49-Inputs!$E49)*2)*10000)/10000</f>
        <v>0.7578</v>
      </c>
      <c r="KX49" s="236">
        <f>RANDBETWEEN((Inputs!$E49-(Inputs!$E49-Inputs!$D49)*2)*10000,(Inputs!$E49+(Inputs!$F49-Inputs!$E49)*2)*10000)/10000</f>
        <v>0.8664</v>
      </c>
      <c r="KY49" s="236">
        <f>RANDBETWEEN((Inputs!$E49-(Inputs!$E49-Inputs!$D49)*2)*10000,(Inputs!$E49+(Inputs!$F49-Inputs!$E49)*2)*10000)/10000</f>
        <v>0.8853</v>
      </c>
      <c r="KZ49" s="236">
        <f>RANDBETWEEN((Inputs!$E49-(Inputs!$E49-Inputs!$D49)*2)*10000,(Inputs!$E49+(Inputs!$F49-Inputs!$E49)*2)*10000)/10000</f>
        <v>0.5919</v>
      </c>
      <c r="LA49" s="236">
        <f>RANDBETWEEN((Inputs!$E49-(Inputs!$E49-Inputs!$D49)*2)*10000,(Inputs!$E49+(Inputs!$F49-Inputs!$E49)*2)*10000)/10000</f>
        <v>0.1727</v>
      </c>
      <c r="LB49" s="236">
        <f>RANDBETWEEN((Inputs!$E49-(Inputs!$E49-Inputs!$D49)*2)*10000,(Inputs!$E49+(Inputs!$F49-Inputs!$E49)*2)*10000)/10000</f>
        <v>0.6803</v>
      </c>
      <c r="LC49" s="236">
        <f>RANDBETWEEN((Inputs!$E49-(Inputs!$E49-Inputs!$D49)*2)*10000,(Inputs!$E49+(Inputs!$F49-Inputs!$E49)*2)*10000)/10000</f>
        <v>0.9762</v>
      </c>
      <c r="LD49" s="236">
        <f>RANDBETWEEN((Inputs!$E49-(Inputs!$E49-Inputs!$D49)*2)*10000,(Inputs!$E49+(Inputs!$F49-Inputs!$E49)*2)*10000)/10000</f>
        <v>0.9504</v>
      </c>
      <c r="LE49" s="236">
        <f>RANDBETWEEN((Inputs!$E49-(Inputs!$E49-Inputs!$D49)*2)*10000,(Inputs!$E49+(Inputs!$F49-Inputs!$E49)*2)*10000)/10000</f>
        <v>0.3071</v>
      </c>
      <c r="LF49" s="236">
        <f>RANDBETWEEN((Inputs!$E49-(Inputs!$E49-Inputs!$D49)*2)*10000,(Inputs!$E49+(Inputs!$F49-Inputs!$E49)*2)*10000)/10000</f>
        <v>0.6003</v>
      </c>
      <c r="LG49" s="236">
        <f>RANDBETWEEN((Inputs!$E49-(Inputs!$E49-Inputs!$D49)*2)*10000,(Inputs!$E49+(Inputs!$F49-Inputs!$E49)*2)*10000)/10000</f>
        <v>0.0649</v>
      </c>
      <c r="LH49" s="236">
        <f>RANDBETWEEN((Inputs!$E49-(Inputs!$E49-Inputs!$D49)*2)*10000,(Inputs!$E49+(Inputs!$F49-Inputs!$E49)*2)*10000)/10000</f>
        <v>0.9965</v>
      </c>
      <c r="LI49" s="236">
        <f>RANDBETWEEN((Inputs!$E49-(Inputs!$E49-Inputs!$D49)*2)*10000,(Inputs!$E49+(Inputs!$F49-Inputs!$E49)*2)*10000)/10000</f>
        <v>0.4203</v>
      </c>
      <c r="LJ49" s="236">
        <f>RANDBETWEEN((Inputs!$E49-(Inputs!$E49-Inputs!$D49)*2)*10000,(Inputs!$E49+(Inputs!$F49-Inputs!$E49)*2)*10000)/10000</f>
        <v>0.1584</v>
      </c>
      <c r="LK49" s="236">
        <f>RANDBETWEEN((Inputs!$E49-(Inputs!$E49-Inputs!$D49)*2)*10000,(Inputs!$E49+(Inputs!$F49-Inputs!$E49)*2)*10000)/10000</f>
        <v>0.969</v>
      </c>
      <c r="LL49" s="236">
        <f>RANDBETWEEN((Inputs!$E49-(Inputs!$E49-Inputs!$D49)*2)*10000,(Inputs!$E49+(Inputs!$F49-Inputs!$E49)*2)*10000)/10000</f>
        <v>0.9533</v>
      </c>
      <c r="LM49" s="236">
        <f>RANDBETWEEN((Inputs!$E49-(Inputs!$E49-Inputs!$D49)*2)*10000,(Inputs!$E49+(Inputs!$F49-Inputs!$E49)*2)*10000)/10000</f>
        <v>0.0822</v>
      </c>
      <c r="LN49" s="236">
        <f>RANDBETWEEN((Inputs!$E49-(Inputs!$E49-Inputs!$D49)*2)*10000,(Inputs!$E49+(Inputs!$F49-Inputs!$E49)*2)*10000)/10000</f>
        <v>0.1708</v>
      </c>
      <c r="LO49" s="236">
        <f>RANDBETWEEN((Inputs!$E49-(Inputs!$E49-Inputs!$D49)*2)*10000,(Inputs!$E49+(Inputs!$F49-Inputs!$E49)*2)*10000)/10000</f>
        <v>0.9482</v>
      </c>
      <c r="LP49" s="236">
        <f>RANDBETWEEN((Inputs!$E49-(Inputs!$E49-Inputs!$D49)*2)*10000,(Inputs!$E49+(Inputs!$F49-Inputs!$E49)*2)*10000)/10000</f>
        <v>0.342</v>
      </c>
      <c r="LQ49" s="236">
        <f>RANDBETWEEN((Inputs!$E49-(Inputs!$E49-Inputs!$D49)*2)*10000,(Inputs!$E49+(Inputs!$F49-Inputs!$E49)*2)*10000)/10000</f>
        <v>0.6163</v>
      </c>
      <c r="LR49" s="236">
        <f>RANDBETWEEN((Inputs!$E49-(Inputs!$E49-Inputs!$D49)*2)*10000,(Inputs!$E49+(Inputs!$F49-Inputs!$E49)*2)*10000)/10000</f>
        <v>0.6686</v>
      </c>
      <c r="LS49" s="236">
        <f>RANDBETWEEN((Inputs!$E49-(Inputs!$E49-Inputs!$D49)*2)*10000,(Inputs!$E49+(Inputs!$F49-Inputs!$E49)*2)*10000)/10000</f>
        <v>0.0617</v>
      </c>
      <c r="LT49" s="236">
        <f>RANDBETWEEN((Inputs!$E49-(Inputs!$E49-Inputs!$D49)*2)*10000,(Inputs!$E49+(Inputs!$F49-Inputs!$E49)*2)*10000)/10000</f>
        <v>0.3054</v>
      </c>
      <c r="LU49" s="236">
        <f>RANDBETWEEN((Inputs!$E49-(Inputs!$E49-Inputs!$D49)*2)*10000,(Inputs!$E49+(Inputs!$F49-Inputs!$E49)*2)*10000)/10000</f>
        <v>0.8991</v>
      </c>
      <c r="LV49" s="236">
        <f>RANDBETWEEN((Inputs!$E49-(Inputs!$E49-Inputs!$D49)*2)*10000,(Inputs!$E49+(Inputs!$F49-Inputs!$E49)*2)*10000)/10000</f>
        <v>0.5347</v>
      </c>
      <c r="LW49" s="236">
        <f>RANDBETWEEN((Inputs!$E49-(Inputs!$E49-Inputs!$D49)*2)*10000,(Inputs!$E49+(Inputs!$F49-Inputs!$E49)*2)*10000)/10000</f>
        <v>0.0647</v>
      </c>
      <c r="LX49" s="236">
        <f>RANDBETWEEN((Inputs!$E49-(Inputs!$E49-Inputs!$D49)*2)*10000,(Inputs!$E49+(Inputs!$F49-Inputs!$E49)*2)*10000)/10000</f>
        <v>0.9294</v>
      </c>
      <c r="LY49" s="236">
        <f>RANDBETWEEN((Inputs!$E49-(Inputs!$E49-Inputs!$D49)*2)*10000,(Inputs!$E49+(Inputs!$F49-Inputs!$E49)*2)*10000)/10000</f>
        <v>0.1045</v>
      </c>
      <c r="LZ49" s="236">
        <f>RANDBETWEEN((Inputs!$E49-(Inputs!$E49-Inputs!$D49)*2)*10000,(Inputs!$E49+(Inputs!$F49-Inputs!$E49)*2)*10000)/10000</f>
        <v>0.2578</v>
      </c>
      <c r="MA49" s="236">
        <f>RANDBETWEEN((Inputs!$E49-(Inputs!$E49-Inputs!$D49)*2)*10000,(Inputs!$E49+(Inputs!$F49-Inputs!$E49)*2)*10000)/10000</f>
        <v>0.8493</v>
      </c>
      <c r="MB49" s="236">
        <f>RANDBETWEEN((Inputs!$E49-(Inputs!$E49-Inputs!$D49)*2)*10000,(Inputs!$E49+(Inputs!$F49-Inputs!$E49)*2)*10000)/10000</f>
        <v>0.7555</v>
      </c>
      <c r="MC49" s="236">
        <f>RANDBETWEEN((Inputs!$E49-(Inputs!$E49-Inputs!$D49)*2)*10000,(Inputs!$E49+(Inputs!$F49-Inputs!$E49)*2)*10000)/10000</f>
        <v>0.3204</v>
      </c>
      <c r="MD49" s="236">
        <f>RANDBETWEEN((Inputs!$E49-(Inputs!$E49-Inputs!$D49)*2)*10000,(Inputs!$E49+(Inputs!$F49-Inputs!$E49)*2)*10000)/10000</f>
        <v>0.0937</v>
      </c>
      <c r="ME49" s="236">
        <f>RANDBETWEEN((Inputs!$E49-(Inputs!$E49-Inputs!$D49)*2)*10000,(Inputs!$E49+(Inputs!$F49-Inputs!$E49)*2)*10000)/10000</f>
        <v>0.9091</v>
      </c>
      <c r="MF49" s="236">
        <f>RANDBETWEEN((Inputs!$E49-(Inputs!$E49-Inputs!$D49)*2)*10000,(Inputs!$E49+(Inputs!$F49-Inputs!$E49)*2)*10000)/10000</f>
        <v>0.3149</v>
      </c>
      <c r="MG49" s="236">
        <f>RANDBETWEEN((Inputs!$E49-(Inputs!$E49-Inputs!$D49)*2)*10000,(Inputs!$E49+(Inputs!$F49-Inputs!$E49)*2)*10000)/10000</f>
        <v>0.8283</v>
      </c>
      <c r="MH49" s="236">
        <f>RANDBETWEEN((Inputs!$E49-(Inputs!$E49-Inputs!$D49)*2)*10000,(Inputs!$E49+(Inputs!$F49-Inputs!$E49)*2)*10000)/10000</f>
        <v>0.5778</v>
      </c>
      <c r="MI49" s="236">
        <f>RANDBETWEEN((Inputs!$E49-(Inputs!$E49-Inputs!$D49)*2)*10000,(Inputs!$E49+(Inputs!$F49-Inputs!$E49)*2)*10000)/10000</f>
        <v>0.8204</v>
      </c>
      <c r="MJ49" s="236">
        <f>RANDBETWEEN((Inputs!$E49-(Inputs!$E49-Inputs!$D49)*2)*10000,(Inputs!$E49+(Inputs!$F49-Inputs!$E49)*2)*10000)/10000</f>
        <v>0.4381</v>
      </c>
      <c r="MK49" s="236">
        <f>RANDBETWEEN((Inputs!$E49-(Inputs!$E49-Inputs!$D49)*2)*10000,(Inputs!$E49+(Inputs!$F49-Inputs!$E49)*2)*10000)/10000</f>
        <v>0.2434</v>
      </c>
      <c r="ML49" s="236">
        <f>RANDBETWEEN((Inputs!$E49-(Inputs!$E49-Inputs!$D49)*2)*10000,(Inputs!$E49+(Inputs!$F49-Inputs!$E49)*2)*10000)/10000</f>
        <v>0.7744</v>
      </c>
      <c r="MM49" s="236">
        <f>RANDBETWEEN((Inputs!$E49-(Inputs!$E49-Inputs!$D49)*2)*10000,(Inputs!$E49+(Inputs!$F49-Inputs!$E49)*2)*10000)/10000</f>
        <v>0.2656</v>
      </c>
      <c r="MN49" s="236">
        <f>RANDBETWEEN((Inputs!$E49-(Inputs!$E49-Inputs!$D49)*2)*10000,(Inputs!$E49+(Inputs!$F49-Inputs!$E49)*2)*10000)/10000</f>
        <v>0.3005</v>
      </c>
      <c r="MO49" s="236">
        <f>RANDBETWEEN((Inputs!$E49-(Inputs!$E49-Inputs!$D49)*2)*10000,(Inputs!$E49+(Inputs!$F49-Inputs!$E49)*2)*10000)/10000</f>
        <v>0.6362</v>
      </c>
      <c r="MP49" s="236">
        <f>RANDBETWEEN((Inputs!$E49-(Inputs!$E49-Inputs!$D49)*2)*10000,(Inputs!$E49+(Inputs!$F49-Inputs!$E49)*2)*10000)/10000</f>
        <v>0.865</v>
      </c>
      <c r="MQ49" s="236">
        <f>RANDBETWEEN((Inputs!$E49-(Inputs!$E49-Inputs!$D49)*2)*10000,(Inputs!$E49+(Inputs!$F49-Inputs!$E49)*2)*10000)/10000</f>
        <v>0.7035</v>
      </c>
      <c r="MR49" s="236">
        <f>RANDBETWEEN((Inputs!$E49-(Inputs!$E49-Inputs!$D49)*2)*10000,(Inputs!$E49+(Inputs!$F49-Inputs!$E49)*2)*10000)/10000</f>
        <v>0.6465</v>
      </c>
      <c r="MS49" s="236">
        <f>RANDBETWEEN((Inputs!$E49-(Inputs!$E49-Inputs!$D49)*2)*10000,(Inputs!$E49+(Inputs!$F49-Inputs!$E49)*2)*10000)/10000</f>
        <v>0.2222</v>
      </c>
      <c r="MT49" s="236">
        <f>RANDBETWEEN((Inputs!$E49-(Inputs!$E49-Inputs!$D49)*2)*10000,(Inputs!$E49+(Inputs!$F49-Inputs!$E49)*2)*10000)/10000</f>
        <v>0.682</v>
      </c>
      <c r="MU49" s="236">
        <f>RANDBETWEEN((Inputs!$E49-(Inputs!$E49-Inputs!$D49)*2)*10000,(Inputs!$E49+(Inputs!$F49-Inputs!$E49)*2)*10000)/10000</f>
        <v>0.3879</v>
      </c>
      <c r="MV49" s="236">
        <f>RANDBETWEEN((Inputs!$E49-(Inputs!$E49-Inputs!$D49)*2)*10000,(Inputs!$E49+(Inputs!$F49-Inputs!$E49)*2)*10000)/10000</f>
        <v>0.4041</v>
      </c>
      <c r="MW49" s="236">
        <f>RANDBETWEEN((Inputs!$E49-(Inputs!$E49-Inputs!$D49)*2)*10000,(Inputs!$E49+(Inputs!$F49-Inputs!$E49)*2)*10000)/10000</f>
        <v>0.2004</v>
      </c>
      <c r="MX49" s="236">
        <f>RANDBETWEEN((Inputs!$E49-(Inputs!$E49-Inputs!$D49)*2)*10000,(Inputs!$E49+(Inputs!$F49-Inputs!$E49)*2)*10000)/10000</f>
        <v>0.5736</v>
      </c>
      <c r="MY49" s="236">
        <f>RANDBETWEEN((Inputs!$E49-(Inputs!$E49-Inputs!$D49)*2)*10000,(Inputs!$E49+(Inputs!$F49-Inputs!$E49)*2)*10000)/10000</f>
        <v>0.0732</v>
      </c>
      <c r="MZ49" s="236">
        <f>RANDBETWEEN((Inputs!$E49-(Inputs!$E49-Inputs!$D49)*2)*10000,(Inputs!$E49+(Inputs!$F49-Inputs!$E49)*2)*10000)/10000</f>
        <v>0.9474</v>
      </c>
      <c r="NA49" s="236">
        <f>RANDBETWEEN((Inputs!$E49-(Inputs!$E49-Inputs!$D49)*2)*10000,(Inputs!$E49+(Inputs!$F49-Inputs!$E49)*2)*10000)/10000</f>
        <v>0.8418</v>
      </c>
      <c r="NB49" s="236">
        <f>RANDBETWEEN((Inputs!$E49-(Inputs!$E49-Inputs!$D49)*2)*10000,(Inputs!$E49+(Inputs!$F49-Inputs!$E49)*2)*10000)/10000</f>
        <v>0.5505</v>
      </c>
      <c r="NC49" s="236">
        <f>RANDBETWEEN((Inputs!$E49-(Inputs!$E49-Inputs!$D49)*2)*10000,(Inputs!$E49+(Inputs!$F49-Inputs!$E49)*2)*10000)/10000</f>
        <v>0.4091</v>
      </c>
      <c r="ND49" s="236">
        <f>RANDBETWEEN((Inputs!$E49-(Inputs!$E49-Inputs!$D49)*2)*10000,(Inputs!$E49+(Inputs!$F49-Inputs!$E49)*2)*10000)/10000</f>
        <v>0.5958</v>
      </c>
      <c r="NE49" s="236">
        <f>RANDBETWEEN((Inputs!$E49-(Inputs!$E49-Inputs!$D49)*2)*10000,(Inputs!$E49+(Inputs!$F49-Inputs!$E49)*2)*10000)/10000</f>
        <v>0.9885</v>
      </c>
      <c r="NF49" s="236">
        <f>RANDBETWEEN((Inputs!$E49-(Inputs!$E49-Inputs!$D49)*2)*10000,(Inputs!$E49+(Inputs!$F49-Inputs!$E49)*2)*10000)/10000</f>
        <v>0.0103</v>
      </c>
      <c r="NG49" s="236">
        <f>RANDBETWEEN((Inputs!$E49-(Inputs!$E49-Inputs!$D49)*2)*10000,(Inputs!$E49+(Inputs!$F49-Inputs!$E49)*2)*10000)/10000</f>
        <v>0.7226</v>
      </c>
      <c r="NH49" s="236">
        <f>RANDBETWEEN((Inputs!$E49-(Inputs!$E49-Inputs!$D49)*2)*10000,(Inputs!$E49+(Inputs!$F49-Inputs!$E49)*2)*10000)/10000</f>
        <v>0.5473</v>
      </c>
      <c r="NI49" s="236">
        <f>RANDBETWEEN((Inputs!$E49-(Inputs!$E49-Inputs!$D49)*2)*10000,(Inputs!$E49+(Inputs!$F49-Inputs!$E49)*2)*10000)/10000</f>
        <v>0.7097</v>
      </c>
      <c r="NJ49" s="236">
        <f>RANDBETWEEN((Inputs!$E49-(Inputs!$E49-Inputs!$D49)*2)*10000,(Inputs!$E49+(Inputs!$F49-Inputs!$E49)*2)*10000)/10000</f>
        <v>0.4603</v>
      </c>
      <c r="NK49" s="236">
        <f>RANDBETWEEN((Inputs!$E49-(Inputs!$E49-Inputs!$D49)*2)*10000,(Inputs!$E49+(Inputs!$F49-Inputs!$E49)*2)*10000)/10000</f>
        <v>0.6143</v>
      </c>
      <c r="NL49" s="236">
        <f>RANDBETWEEN((Inputs!$E49-(Inputs!$E49-Inputs!$D49)*2)*10000,(Inputs!$E49+(Inputs!$F49-Inputs!$E49)*2)*10000)/10000</f>
        <v>0.3351</v>
      </c>
      <c r="NM49" s="236">
        <f>RANDBETWEEN((Inputs!$E49-(Inputs!$E49-Inputs!$D49)*2)*10000,(Inputs!$E49+(Inputs!$F49-Inputs!$E49)*2)*10000)/10000</f>
        <v>0.9783</v>
      </c>
      <c r="NN49" s="236">
        <f>RANDBETWEEN((Inputs!$E49-(Inputs!$E49-Inputs!$D49)*2)*10000,(Inputs!$E49+(Inputs!$F49-Inputs!$E49)*2)*10000)/10000</f>
        <v>0.5669</v>
      </c>
      <c r="NO49" s="236">
        <f>RANDBETWEEN((Inputs!$E49-(Inputs!$E49-Inputs!$D49)*2)*10000,(Inputs!$E49+(Inputs!$F49-Inputs!$E49)*2)*10000)/10000</f>
        <v>0.554</v>
      </c>
      <c r="NP49" s="236">
        <f>RANDBETWEEN((Inputs!$E49-(Inputs!$E49-Inputs!$D49)*2)*10000,(Inputs!$E49+(Inputs!$F49-Inputs!$E49)*2)*10000)/10000</f>
        <v>0.0714</v>
      </c>
      <c r="NQ49" s="236">
        <f>RANDBETWEEN((Inputs!$E49-(Inputs!$E49-Inputs!$D49)*2)*10000,(Inputs!$E49+(Inputs!$F49-Inputs!$E49)*2)*10000)/10000</f>
        <v>0.8816</v>
      </c>
      <c r="NR49" s="236">
        <f>RANDBETWEEN((Inputs!$E49-(Inputs!$E49-Inputs!$D49)*2)*10000,(Inputs!$E49+(Inputs!$F49-Inputs!$E49)*2)*10000)/10000</f>
        <v>0.5484</v>
      </c>
      <c r="NS49" s="236">
        <f>RANDBETWEEN((Inputs!$E49-(Inputs!$E49-Inputs!$D49)*2)*10000,(Inputs!$E49+(Inputs!$F49-Inputs!$E49)*2)*10000)/10000</f>
        <v>0.4508</v>
      </c>
      <c r="NT49" s="236">
        <f>RANDBETWEEN((Inputs!$E49-(Inputs!$E49-Inputs!$D49)*2)*10000,(Inputs!$E49+(Inputs!$F49-Inputs!$E49)*2)*10000)/10000</f>
        <v>0.1936</v>
      </c>
      <c r="NU49" s="236">
        <f>RANDBETWEEN((Inputs!$E49-(Inputs!$E49-Inputs!$D49)*2)*10000,(Inputs!$E49+(Inputs!$F49-Inputs!$E49)*2)*10000)/10000</f>
        <v>0.0612</v>
      </c>
      <c r="NV49" s="236">
        <f>RANDBETWEEN((Inputs!$E49-(Inputs!$E49-Inputs!$D49)*2)*10000,(Inputs!$E49+(Inputs!$F49-Inputs!$E49)*2)*10000)/10000</f>
        <v>0.3994</v>
      </c>
      <c r="NW49" s="236">
        <f>RANDBETWEEN((Inputs!$E49-(Inputs!$E49-Inputs!$D49)*2)*10000,(Inputs!$E49+(Inputs!$F49-Inputs!$E49)*2)*10000)/10000</f>
        <v>0.9934</v>
      </c>
      <c r="NX49" s="236">
        <f>RANDBETWEEN((Inputs!$E49-(Inputs!$E49-Inputs!$D49)*2)*10000,(Inputs!$E49+(Inputs!$F49-Inputs!$E49)*2)*10000)/10000</f>
        <v>0.1651</v>
      </c>
      <c r="NY49" s="236">
        <f>RANDBETWEEN((Inputs!$E49-(Inputs!$E49-Inputs!$D49)*2)*10000,(Inputs!$E49+(Inputs!$F49-Inputs!$E49)*2)*10000)/10000</f>
        <v>0.7881</v>
      </c>
      <c r="NZ49" s="236">
        <f>RANDBETWEEN((Inputs!$E49-(Inputs!$E49-Inputs!$D49)*2)*10000,(Inputs!$E49+(Inputs!$F49-Inputs!$E49)*2)*10000)/10000</f>
        <v>0.6814</v>
      </c>
      <c r="OA49" s="236">
        <f>RANDBETWEEN((Inputs!$E49-(Inputs!$E49-Inputs!$D49)*2)*10000,(Inputs!$E49+(Inputs!$F49-Inputs!$E49)*2)*10000)/10000</f>
        <v>0.4098</v>
      </c>
      <c r="OB49" s="236">
        <f>RANDBETWEEN((Inputs!$E49-(Inputs!$E49-Inputs!$D49)*2)*10000,(Inputs!$E49+(Inputs!$F49-Inputs!$E49)*2)*10000)/10000</f>
        <v>0.5998</v>
      </c>
      <c r="OC49" s="236">
        <f>RANDBETWEEN((Inputs!$E49-(Inputs!$E49-Inputs!$D49)*2)*10000,(Inputs!$E49+(Inputs!$F49-Inputs!$E49)*2)*10000)/10000</f>
        <v>0.3215</v>
      </c>
      <c r="OD49" s="236">
        <f>RANDBETWEEN((Inputs!$E49-(Inputs!$E49-Inputs!$D49)*2)*10000,(Inputs!$E49+(Inputs!$F49-Inputs!$E49)*2)*10000)/10000</f>
        <v>0.6521</v>
      </c>
      <c r="OE49" s="236">
        <f>RANDBETWEEN((Inputs!$E49-(Inputs!$E49-Inputs!$D49)*2)*10000,(Inputs!$E49+(Inputs!$F49-Inputs!$E49)*2)*10000)/10000</f>
        <v>0.181</v>
      </c>
      <c r="OF49" s="236">
        <f>RANDBETWEEN((Inputs!$E49-(Inputs!$E49-Inputs!$D49)*2)*10000,(Inputs!$E49+(Inputs!$F49-Inputs!$E49)*2)*10000)/10000</f>
        <v>0.5767</v>
      </c>
      <c r="OG49" s="236">
        <f>RANDBETWEEN((Inputs!$E49-(Inputs!$E49-Inputs!$D49)*2)*10000,(Inputs!$E49+(Inputs!$F49-Inputs!$E49)*2)*10000)/10000</f>
        <v>0.9776</v>
      </c>
      <c r="OH49" s="236">
        <f>RANDBETWEEN((Inputs!$E49-(Inputs!$E49-Inputs!$D49)*2)*10000,(Inputs!$E49+(Inputs!$F49-Inputs!$E49)*2)*10000)/10000</f>
        <v>0.3157</v>
      </c>
      <c r="OI49" s="236">
        <f>RANDBETWEEN((Inputs!$E49-(Inputs!$E49-Inputs!$D49)*2)*10000,(Inputs!$E49+(Inputs!$F49-Inputs!$E49)*2)*10000)/10000</f>
        <v>0.1529</v>
      </c>
      <c r="OJ49" s="236">
        <f>RANDBETWEEN((Inputs!$E49-(Inputs!$E49-Inputs!$D49)*2)*10000,(Inputs!$E49+(Inputs!$F49-Inputs!$E49)*2)*10000)/10000</f>
        <v>0.4888</v>
      </c>
      <c r="OK49" s="236">
        <f>RANDBETWEEN((Inputs!$E49-(Inputs!$E49-Inputs!$D49)*2)*10000,(Inputs!$E49+(Inputs!$F49-Inputs!$E49)*2)*10000)/10000</f>
        <v>0.6343</v>
      </c>
      <c r="OL49" s="236">
        <f>RANDBETWEEN((Inputs!$E49-(Inputs!$E49-Inputs!$D49)*2)*10000,(Inputs!$E49+(Inputs!$F49-Inputs!$E49)*2)*10000)/10000</f>
        <v>0.5719</v>
      </c>
      <c r="OM49" s="236">
        <f>RANDBETWEEN((Inputs!$E49-(Inputs!$E49-Inputs!$D49)*2)*10000,(Inputs!$E49+(Inputs!$F49-Inputs!$E49)*2)*10000)/10000</f>
        <v>0.4439</v>
      </c>
      <c r="ON49" s="236">
        <f>RANDBETWEEN((Inputs!$E49-(Inputs!$E49-Inputs!$D49)*2)*10000,(Inputs!$E49+(Inputs!$F49-Inputs!$E49)*2)*10000)/10000</f>
        <v>0.6342</v>
      </c>
      <c r="OO49" s="236">
        <f>RANDBETWEEN((Inputs!$E49-(Inputs!$E49-Inputs!$D49)*2)*10000,(Inputs!$E49+(Inputs!$F49-Inputs!$E49)*2)*10000)/10000</f>
        <v>0.2427</v>
      </c>
      <c r="OP49" s="236">
        <f>RANDBETWEEN((Inputs!$E49-(Inputs!$E49-Inputs!$D49)*2)*10000,(Inputs!$E49+(Inputs!$F49-Inputs!$E49)*2)*10000)/10000</f>
        <v>0.0173</v>
      </c>
      <c r="OQ49" s="236">
        <f>RANDBETWEEN((Inputs!$E49-(Inputs!$E49-Inputs!$D49)*2)*10000,(Inputs!$E49+(Inputs!$F49-Inputs!$E49)*2)*10000)/10000</f>
        <v>0.5175</v>
      </c>
      <c r="OR49" s="236">
        <f>RANDBETWEEN((Inputs!$E49-(Inputs!$E49-Inputs!$D49)*2)*10000,(Inputs!$E49+(Inputs!$F49-Inputs!$E49)*2)*10000)/10000</f>
        <v>0.8949</v>
      </c>
      <c r="OS49" s="236">
        <f>RANDBETWEEN((Inputs!$E49-(Inputs!$E49-Inputs!$D49)*2)*10000,(Inputs!$E49+(Inputs!$F49-Inputs!$E49)*2)*10000)/10000</f>
        <v>0.2751</v>
      </c>
      <c r="OT49" s="236">
        <f>RANDBETWEEN((Inputs!$E49-(Inputs!$E49-Inputs!$D49)*2)*10000,(Inputs!$E49+(Inputs!$F49-Inputs!$E49)*2)*10000)/10000</f>
        <v>0.1128</v>
      </c>
      <c r="OU49" s="236">
        <f>RANDBETWEEN((Inputs!$E49-(Inputs!$E49-Inputs!$D49)*2)*10000,(Inputs!$E49+(Inputs!$F49-Inputs!$E49)*2)*10000)/10000</f>
        <v>0.802</v>
      </c>
      <c r="OV49" s="236">
        <f>RANDBETWEEN((Inputs!$E49-(Inputs!$E49-Inputs!$D49)*2)*10000,(Inputs!$E49+(Inputs!$F49-Inputs!$E49)*2)*10000)/10000</f>
        <v>0.2744</v>
      </c>
      <c r="OW49" s="236">
        <f>RANDBETWEEN((Inputs!$E49-(Inputs!$E49-Inputs!$D49)*2)*10000,(Inputs!$E49+(Inputs!$F49-Inputs!$E49)*2)*10000)/10000</f>
        <v>0.9477</v>
      </c>
      <c r="OX49" s="236">
        <f>RANDBETWEEN((Inputs!$E49-(Inputs!$E49-Inputs!$D49)*2)*10000,(Inputs!$E49+(Inputs!$F49-Inputs!$E49)*2)*10000)/10000</f>
        <v>0.3625</v>
      </c>
      <c r="OY49" s="236">
        <f>RANDBETWEEN((Inputs!$E49-(Inputs!$E49-Inputs!$D49)*2)*10000,(Inputs!$E49+(Inputs!$F49-Inputs!$E49)*2)*10000)/10000</f>
        <v>0.2758</v>
      </c>
      <c r="OZ49" s="236">
        <f>RANDBETWEEN((Inputs!$E49-(Inputs!$E49-Inputs!$D49)*2)*10000,(Inputs!$E49+(Inputs!$F49-Inputs!$E49)*2)*10000)/10000</f>
        <v>0.7698</v>
      </c>
      <c r="PA49" s="236">
        <f>RANDBETWEEN((Inputs!$E49-(Inputs!$E49-Inputs!$D49)*2)*10000,(Inputs!$E49+(Inputs!$F49-Inputs!$E49)*2)*10000)/10000</f>
        <v>0.4801</v>
      </c>
      <c r="PB49" s="236">
        <f>RANDBETWEEN((Inputs!$E49-(Inputs!$E49-Inputs!$D49)*2)*10000,(Inputs!$E49+(Inputs!$F49-Inputs!$E49)*2)*10000)/10000</f>
        <v>0.8776</v>
      </c>
      <c r="PC49" s="236">
        <f>RANDBETWEEN((Inputs!$E49-(Inputs!$E49-Inputs!$D49)*2)*10000,(Inputs!$E49+(Inputs!$F49-Inputs!$E49)*2)*10000)/10000</f>
        <v>0.5129</v>
      </c>
      <c r="PD49" s="236">
        <f>RANDBETWEEN((Inputs!$E49-(Inputs!$E49-Inputs!$D49)*2)*10000,(Inputs!$E49+(Inputs!$F49-Inputs!$E49)*2)*10000)/10000</f>
        <v>0.0346</v>
      </c>
      <c r="PE49" s="236">
        <f>RANDBETWEEN((Inputs!$E49-(Inputs!$E49-Inputs!$D49)*2)*10000,(Inputs!$E49+(Inputs!$F49-Inputs!$E49)*2)*10000)/10000</f>
        <v>0.6198</v>
      </c>
      <c r="PF49" s="236">
        <f>RANDBETWEEN((Inputs!$E49-(Inputs!$E49-Inputs!$D49)*2)*10000,(Inputs!$E49+(Inputs!$F49-Inputs!$E49)*2)*10000)/10000</f>
        <v>0.1934</v>
      </c>
      <c r="PG49" s="236">
        <f>RANDBETWEEN((Inputs!$E49-(Inputs!$E49-Inputs!$D49)*2)*10000,(Inputs!$E49+(Inputs!$F49-Inputs!$E49)*2)*10000)/10000</f>
        <v>0.7793</v>
      </c>
      <c r="PH49" s="236">
        <f>RANDBETWEEN((Inputs!$E49-(Inputs!$E49-Inputs!$D49)*2)*10000,(Inputs!$E49+(Inputs!$F49-Inputs!$E49)*2)*10000)/10000</f>
        <v>0.5635</v>
      </c>
      <c r="PI49" s="236">
        <f>RANDBETWEEN((Inputs!$E49-(Inputs!$E49-Inputs!$D49)*2)*10000,(Inputs!$E49+(Inputs!$F49-Inputs!$E49)*2)*10000)/10000</f>
        <v>0.1498</v>
      </c>
      <c r="PJ49" s="236">
        <f>RANDBETWEEN((Inputs!$E49-(Inputs!$E49-Inputs!$D49)*2)*10000,(Inputs!$E49+(Inputs!$F49-Inputs!$E49)*2)*10000)/10000</f>
        <v>0.493</v>
      </c>
      <c r="PK49" s="236">
        <f>RANDBETWEEN((Inputs!$E49-(Inputs!$E49-Inputs!$D49)*2)*10000,(Inputs!$E49+(Inputs!$F49-Inputs!$E49)*2)*10000)/10000</f>
        <v>0.911</v>
      </c>
      <c r="PL49" s="236">
        <f>RANDBETWEEN((Inputs!$E49-(Inputs!$E49-Inputs!$D49)*2)*10000,(Inputs!$E49+(Inputs!$F49-Inputs!$E49)*2)*10000)/10000</f>
        <v>0.6679</v>
      </c>
      <c r="PM49" s="236">
        <f>RANDBETWEEN((Inputs!$E49-(Inputs!$E49-Inputs!$D49)*2)*10000,(Inputs!$E49+(Inputs!$F49-Inputs!$E49)*2)*10000)/10000</f>
        <v>0.1253</v>
      </c>
      <c r="PN49" s="236">
        <f>RANDBETWEEN((Inputs!$E49-(Inputs!$E49-Inputs!$D49)*2)*10000,(Inputs!$E49+(Inputs!$F49-Inputs!$E49)*2)*10000)/10000</f>
        <v>0.452</v>
      </c>
      <c r="PO49" s="236">
        <f>RANDBETWEEN((Inputs!$E49-(Inputs!$E49-Inputs!$D49)*2)*10000,(Inputs!$E49+(Inputs!$F49-Inputs!$E49)*2)*10000)/10000</f>
        <v>0.8661</v>
      </c>
      <c r="PP49" s="236">
        <f>RANDBETWEEN((Inputs!$E49-(Inputs!$E49-Inputs!$D49)*2)*10000,(Inputs!$E49+(Inputs!$F49-Inputs!$E49)*2)*10000)/10000</f>
        <v>0.351</v>
      </c>
      <c r="PQ49" s="236">
        <f>RANDBETWEEN((Inputs!$E49-(Inputs!$E49-Inputs!$D49)*2)*10000,(Inputs!$E49+(Inputs!$F49-Inputs!$E49)*2)*10000)/10000</f>
        <v>0.1376</v>
      </c>
      <c r="PR49" s="236">
        <f>RANDBETWEEN((Inputs!$E49-(Inputs!$E49-Inputs!$D49)*2)*10000,(Inputs!$E49+(Inputs!$F49-Inputs!$E49)*2)*10000)/10000</f>
        <v>0.7687</v>
      </c>
      <c r="PS49" s="236">
        <f>RANDBETWEEN((Inputs!$E49-(Inputs!$E49-Inputs!$D49)*2)*10000,(Inputs!$E49+(Inputs!$F49-Inputs!$E49)*2)*10000)/10000</f>
        <v>0.0399</v>
      </c>
      <c r="PT49" s="236">
        <f>RANDBETWEEN((Inputs!$E49-(Inputs!$E49-Inputs!$D49)*2)*10000,(Inputs!$E49+(Inputs!$F49-Inputs!$E49)*2)*10000)/10000</f>
        <v>0.2911</v>
      </c>
      <c r="PU49" s="236">
        <f>RANDBETWEEN((Inputs!$E49-(Inputs!$E49-Inputs!$D49)*2)*10000,(Inputs!$E49+(Inputs!$F49-Inputs!$E49)*2)*10000)/10000</f>
        <v>0.9935</v>
      </c>
      <c r="PV49" s="236">
        <f>RANDBETWEEN((Inputs!$E49-(Inputs!$E49-Inputs!$D49)*2)*10000,(Inputs!$E49+(Inputs!$F49-Inputs!$E49)*2)*10000)/10000</f>
        <v>0.0618</v>
      </c>
      <c r="PW49" s="236">
        <f>RANDBETWEEN((Inputs!$E49-(Inputs!$E49-Inputs!$D49)*2)*10000,(Inputs!$E49+(Inputs!$F49-Inputs!$E49)*2)*10000)/10000</f>
        <v>0.6605</v>
      </c>
      <c r="PX49" s="236">
        <f>RANDBETWEEN((Inputs!$E49-(Inputs!$E49-Inputs!$D49)*2)*10000,(Inputs!$E49+(Inputs!$F49-Inputs!$E49)*2)*10000)/10000</f>
        <v>0.542</v>
      </c>
      <c r="PY49" s="236">
        <f>RANDBETWEEN((Inputs!$E49-(Inputs!$E49-Inputs!$D49)*2)*10000,(Inputs!$E49+(Inputs!$F49-Inputs!$E49)*2)*10000)/10000</f>
        <v>0.8136</v>
      </c>
      <c r="PZ49" s="236">
        <f>RANDBETWEEN((Inputs!$E49-(Inputs!$E49-Inputs!$D49)*2)*10000,(Inputs!$E49+(Inputs!$F49-Inputs!$E49)*2)*10000)/10000</f>
        <v>0.2348</v>
      </c>
      <c r="QA49" s="236">
        <f>RANDBETWEEN((Inputs!$E49-(Inputs!$E49-Inputs!$D49)*2)*10000,(Inputs!$E49+(Inputs!$F49-Inputs!$E49)*2)*10000)/10000</f>
        <v>0.8389</v>
      </c>
      <c r="QB49" s="236">
        <f>RANDBETWEEN((Inputs!$E49-(Inputs!$E49-Inputs!$D49)*2)*10000,(Inputs!$E49+(Inputs!$F49-Inputs!$E49)*2)*10000)/10000</f>
        <v>0.2269</v>
      </c>
      <c r="QC49" s="236">
        <f>RANDBETWEEN((Inputs!$E49-(Inputs!$E49-Inputs!$D49)*2)*10000,(Inputs!$E49+(Inputs!$F49-Inputs!$E49)*2)*10000)/10000</f>
        <v>0.7057</v>
      </c>
      <c r="QD49" s="236">
        <f>RANDBETWEEN((Inputs!$E49-(Inputs!$E49-Inputs!$D49)*2)*10000,(Inputs!$E49+(Inputs!$F49-Inputs!$E49)*2)*10000)/10000</f>
        <v>0.5842</v>
      </c>
      <c r="QE49" s="236">
        <f>RANDBETWEEN((Inputs!$E49-(Inputs!$E49-Inputs!$D49)*2)*10000,(Inputs!$E49+(Inputs!$F49-Inputs!$E49)*2)*10000)/10000</f>
        <v>0.1432</v>
      </c>
      <c r="QF49" s="236">
        <f>RANDBETWEEN((Inputs!$E49-(Inputs!$E49-Inputs!$D49)*2)*10000,(Inputs!$E49+(Inputs!$F49-Inputs!$E49)*2)*10000)/10000</f>
        <v>0.4578</v>
      </c>
      <c r="QG49" s="236">
        <f>RANDBETWEEN((Inputs!$E49-(Inputs!$E49-Inputs!$D49)*2)*10000,(Inputs!$E49+(Inputs!$F49-Inputs!$E49)*2)*10000)/10000</f>
        <v>0.8462</v>
      </c>
      <c r="QH49" s="236">
        <f>RANDBETWEEN((Inputs!$E49-(Inputs!$E49-Inputs!$D49)*2)*10000,(Inputs!$E49+(Inputs!$F49-Inputs!$E49)*2)*10000)/10000</f>
        <v>0.9085</v>
      </c>
      <c r="QI49" s="236">
        <f>RANDBETWEEN((Inputs!$E49-(Inputs!$E49-Inputs!$D49)*2)*10000,(Inputs!$E49+(Inputs!$F49-Inputs!$E49)*2)*10000)/10000</f>
        <v>0.8799</v>
      </c>
      <c r="QJ49" s="236">
        <f>RANDBETWEEN((Inputs!$E49-(Inputs!$E49-Inputs!$D49)*2)*10000,(Inputs!$E49+(Inputs!$F49-Inputs!$E49)*2)*10000)/10000</f>
        <v>0.9493</v>
      </c>
      <c r="QK49" s="236">
        <f>RANDBETWEEN((Inputs!$E49-(Inputs!$E49-Inputs!$D49)*2)*10000,(Inputs!$E49+(Inputs!$F49-Inputs!$E49)*2)*10000)/10000</f>
        <v>0.0174</v>
      </c>
      <c r="QL49" s="236">
        <f>RANDBETWEEN((Inputs!$E49-(Inputs!$E49-Inputs!$D49)*2)*10000,(Inputs!$E49+(Inputs!$F49-Inputs!$E49)*2)*10000)/10000</f>
        <v>0.6182</v>
      </c>
      <c r="QM49" s="236">
        <f>RANDBETWEEN((Inputs!$E49-(Inputs!$E49-Inputs!$D49)*2)*10000,(Inputs!$E49+(Inputs!$F49-Inputs!$E49)*2)*10000)/10000</f>
        <v>0.6228</v>
      </c>
      <c r="QN49" s="236">
        <f>RANDBETWEEN((Inputs!$E49-(Inputs!$E49-Inputs!$D49)*2)*10000,(Inputs!$E49+(Inputs!$F49-Inputs!$E49)*2)*10000)/10000</f>
        <v>0.3096</v>
      </c>
      <c r="QO49" s="236">
        <f>RANDBETWEEN((Inputs!$E49-(Inputs!$E49-Inputs!$D49)*2)*10000,(Inputs!$E49+(Inputs!$F49-Inputs!$E49)*2)*10000)/10000</f>
        <v>0.3923</v>
      </c>
      <c r="QP49" s="236">
        <f>RANDBETWEEN((Inputs!$E49-(Inputs!$E49-Inputs!$D49)*2)*10000,(Inputs!$E49+(Inputs!$F49-Inputs!$E49)*2)*10000)/10000</f>
        <v>0.3837</v>
      </c>
      <c r="QQ49" s="236">
        <f>RANDBETWEEN((Inputs!$E49-(Inputs!$E49-Inputs!$D49)*2)*10000,(Inputs!$E49+(Inputs!$F49-Inputs!$E49)*2)*10000)/10000</f>
        <v>0.9157</v>
      </c>
      <c r="QR49" s="236">
        <f>RANDBETWEEN((Inputs!$E49-(Inputs!$E49-Inputs!$D49)*2)*10000,(Inputs!$E49+(Inputs!$F49-Inputs!$E49)*2)*10000)/10000</f>
        <v>0.7921</v>
      </c>
      <c r="QS49" s="236">
        <f>RANDBETWEEN((Inputs!$E49-(Inputs!$E49-Inputs!$D49)*2)*10000,(Inputs!$E49+(Inputs!$F49-Inputs!$E49)*2)*10000)/10000</f>
        <v>0.6275</v>
      </c>
      <c r="QT49" s="236">
        <f>RANDBETWEEN((Inputs!$E49-(Inputs!$E49-Inputs!$D49)*2)*10000,(Inputs!$E49+(Inputs!$F49-Inputs!$E49)*2)*10000)/10000</f>
        <v>0.1692</v>
      </c>
      <c r="QU49" s="236">
        <f>RANDBETWEEN((Inputs!$E49-(Inputs!$E49-Inputs!$D49)*2)*10000,(Inputs!$E49+(Inputs!$F49-Inputs!$E49)*2)*10000)/10000</f>
        <v>0.4836</v>
      </c>
      <c r="QV49" s="236">
        <f>RANDBETWEEN((Inputs!$E49-(Inputs!$E49-Inputs!$D49)*2)*10000,(Inputs!$E49+(Inputs!$F49-Inputs!$E49)*2)*10000)/10000</f>
        <v>0.3662</v>
      </c>
      <c r="QW49" s="236">
        <f>RANDBETWEEN((Inputs!$E49-(Inputs!$E49-Inputs!$D49)*2)*10000,(Inputs!$E49+(Inputs!$F49-Inputs!$E49)*2)*10000)/10000</f>
        <v>0.1384</v>
      </c>
      <c r="QX49" s="236">
        <f>RANDBETWEEN((Inputs!$E49-(Inputs!$E49-Inputs!$D49)*2)*10000,(Inputs!$E49+(Inputs!$F49-Inputs!$E49)*2)*10000)/10000</f>
        <v>0.5964</v>
      </c>
      <c r="QY49" s="236">
        <f>RANDBETWEEN((Inputs!$E49-(Inputs!$E49-Inputs!$D49)*2)*10000,(Inputs!$E49+(Inputs!$F49-Inputs!$E49)*2)*10000)/10000</f>
        <v>0.7388</v>
      </c>
      <c r="QZ49" s="236">
        <f>RANDBETWEEN((Inputs!$E49-(Inputs!$E49-Inputs!$D49)*2)*10000,(Inputs!$E49+(Inputs!$F49-Inputs!$E49)*2)*10000)/10000</f>
        <v>0.3325</v>
      </c>
      <c r="RA49" s="236">
        <f>RANDBETWEEN((Inputs!$E49-(Inputs!$E49-Inputs!$D49)*2)*10000,(Inputs!$E49+(Inputs!$F49-Inputs!$E49)*2)*10000)/10000</f>
        <v>0.7621</v>
      </c>
      <c r="RB49" s="236">
        <f>RANDBETWEEN((Inputs!$E49-(Inputs!$E49-Inputs!$D49)*2)*10000,(Inputs!$E49+(Inputs!$F49-Inputs!$E49)*2)*10000)/10000</f>
        <v>0.4582</v>
      </c>
      <c r="RC49" s="236">
        <f>RANDBETWEEN((Inputs!$E49-(Inputs!$E49-Inputs!$D49)*2)*10000,(Inputs!$E49+(Inputs!$F49-Inputs!$E49)*2)*10000)/10000</f>
        <v>0.8444</v>
      </c>
      <c r="RD49" s="236">
        <f>RANDBETWEEN((Inputs!$E49-(Inputs!$E49-Inputs!$D49)*2)*10000,(Inputs!$E49+(Inputs!$F49-Inputs!$E49)*2)*10000)/10000</f>
        <v>0.3422</v>
      </c>
      <c r="RE49" s="236">
        <f>RANDBETWEEN((Inputs!$E49-(Inputs!$E49-Inputs!$D49)*2)*10000,(Inputs!$E49+(Inputs!$F49-Inputs!$E49)*2)*10000)/10000</f>
        <v>0.8817</v>
      </c>
      <c r="RF49" s="236">
        <f>RANDBETWEEN((Inputs!$E49-(Inputs!$E49-Inputs!$D49)*2)*10000,(Inputs!$E49+(Inputs!$F49-Inputs!$E49)*2)*10000)/10000</f>
        <v>0.8583</v>
      </c>
      <c r="RG49" s="236">
        <f>RANDBETWEEN((Inputs!$E49-(Inputs!$E49-Inputs!$D49)*2)*10000,(Inputs!$E49+(Inputs!$F49-Inputs!$E49)*2)*10000)/10000</f>
        <v>0.1059</v>
      </c>
      <c r="RH49" s="236">
        <f>RANDBETWEEN((Inputs!$E49-(Inputs!$E49-Inputs!$D49)*2)*10000,(Inputs!$E49+(Inputs!$F49-Inputs!$E49)*2)*10000)/10000</f>
        <v>0.6079</v>
      </c>
      <c r="RI49" s="236">
        <f>RANDBETWEEN((Inputs!$E49-(Inputs!$E49-Inputs!$D49)*2)*10000,(Inputs!$E49+(Inputs!$F49-Inputs!$E49)*2)*10000)/10000</f>
        <v>0.4901</v>
      </c>
      <c r="RJ49" s="236">
        <f>RANDBETWEEN((Inputs!$E49-(Inputs!$E49-Inputs!$D49)*2)*10000,(Inputs!$E49+(Inputs!$F49-Inputs!$E49)*2)*10000)/10000</f>
        <v>0.8931</v>
      </c>
      <c r="RK49" s="236">
        <f>RANDBETWEEN((Inputs!$E49-(Inputs!$E49-Inputs!$D49)*2)*10000,(Inputs!$E49+(Inputs!$F49-Inputs!$E49)*2)*10000)/10000</f>
        <v>0.0014</v>
      </c>
      <c r="RL49" s="236">
        <f>RANDBETWEEN((Inputs!$E49-(Inputs!$E49-Inputs!$D49)*2)*10000,(Inputs!$E49+(Inputs!$F49-Inputs!$E49)*2)*10000)/10000</f>
        <v>0.2961</v>
      </c>
      <c r="RM49" s="236">
        <f>RANDBETWEEN((Inputs!$E49-(Inputs!$E49-Inputs!$D49)*2)*10000,(Inputs!$E49+(Inputs!$F49-Inputs!$E49)*2)*10000)/10000</f>
        <v>0.5954</v>
      </c>
      <c r="RN49" s="236">
        <f>RANDBETWEEN((Inputs!$E49-(Inputs!$E49-Inputs!$D49)*2)*10000,(Inputs!$E49+(Inputs!$F49-Inputs!$E49)*2)*10000)/10000</f>
        <v>0.0096</v>
      </c>
      <c r="RO49" s="236">
        <f>RANDBETWEEN((Inputs!$E49-(Inputs!$E49-Inputs!$D49)*2)*10000,(Inputs!$E49+(Inputs!$F49-Inputs!$E49)*2)*10000)/10000</f>
        <v>0.7337</v>
      </c>
      <c r="RP49" s="236">
        <f>RANDBETWEEN((Inputs!$E49-(Inputs!$E49-Inputs!$D49)*2)*10000,(Inputs!$E49+(Inputs!$F49-Inputs!$E49)*2)*10000)/10000</f>
        <v>0.5767</v>
      </c>
      <c r="RQ49" s="236">
        <f>RANDBETWEEN((Inputs!$E49-(Inputs!$E49-Inputs!$D49)*2)*10000,(Inputs!$E49+(Inputs!$F49-Inputs!$E49)*2)*10000)/10000</f>
        <v>0.8361</v>
      </c>
      <c r="RR49" s="236">
        <f>RANDBETWEEN((Inputs!$E49-(Inputs!$E49-Inputs!$D49)*2)*10000,(Inputs!$E49+(Inputs!$F49-Inputs!$E49)*2)*10000)/10000</f>
        <v>0.177</v>
      </c>
      <c r="RS49" s="236">
        <f>RANDBETWEEN((Inputs!$E49-(Inputs!$E49-Inputs!$D49)*2)*10000,(Inputs!$E49+(Inputs!$F49-Inputs!$E49)*2)*10000)/10000</f>
        <v>0.7881</v>
      </c>
      <c r="RT49" s="236">
        <f>RANDBETWEEN((Inputs!$E49-(Inputs!$E49-Inputs!$D49)*2)*10000,(Inputs!$E49+(Inputs!$F49-Inputs!$E49)*2)*10000)/10000</f>
        <v>0.5701</v>
      </c>
      <c r="RU49" s="236">
        <f>RANDBETWEEN((Inputs!$E49-(Inputs!$E49-Inputs!$D49)*2)*10000,(Inputs!$E49+(Inputs!$F49-Inputs!$E49)*2)*10000)/10000</f>
        <v>0.1682</v>
      </c>
      <c r="RV49" s="236">
        <f>RANDBETWEEN((Inputs!$E49-(Inputs!$E49-Inputs!$D49)*2)*10000,(Inputs!$E49+(Inputs!$F49-Inputs!$E49)*2)*10000)/10000</f>
        <v>0.7882</v>
      </c>
      <c r="RW49" s="236">
        <f>RANDBETWEEN((Inputs!$E49-(Inputs!$E49-Inputs!$D49)*2)*10000,(Inputs!$E49+(Inputs!$F49-Inputs!$E49)*2)*10000)/10000</f>
        <v>0.6165</v>
      </c>
      <c r="RX49" s="236">
        <f>RANDBETWEEN((Inputs!$E49-(Inputs!$E49-Inputs!$D49)*2)*10000,(Inputs!$E49+(Inputs!$F49-Inputs!$E49)*2)*10000)/10000</f>
        <v>0.4844</v>
      </c>
      <c r="RY49" s="236">
        <f>RANDBETWEEN((Inputs!$E49-(Inputs!$E49-Inputs!$D49)*2)*10000,(Inputs!$E49+(Inputs!$F49-Inputs!$E49)*2)*10000)/10000</f>
        <v>0.006</v>
      </c>
      <c r="RZ49" s="236">
        <f>RANDBETWEEN((Inputs!$E49-(Inputs!$E49-Inputs!$D49)*2)*10000,(Inputs!$E49+(Inputs!$F49-Inputs!$E49)*2)*10000)/10000</f>
        <v>0.7747</v>
      </c>
      <c r="SA49" s="236">
        <f>RANDBETWEEN((Inputs!$E49-(Inputs!$E49-Inputs!$D49)*2)*10000,(Inputs!$E49+(Inputs!$F49-Inputs!$E49)*2)*10000)/10000</f>
        <v>0.2287</v>
      </c>
      <c r="SB49" s="236">
        <f>RANDBETWEEN((Inputs!$E49-(Inputs!$E49-Inputs!$D49)*2)*10000,(Inputs!$E49+(Inputs!$F49-Inputs!$E49)*2)*10000)/10000</f>
        <v>0.5587</v>
      </c>
      <c r="SC49" s="236">
        <f>RANDBETWEEN((Inputs!$E49-(Inputs!$E49-Inputs!$D49)*2)*10000,(Inputs!$E49+(Inputs!$F49-Inputs!$E49)*2)*10000)/10000</f>
        <v>0.2595</v>
      </c>
      <c r="SD49" s="236">
        <f>RANDBETWEEN((Inputs!$E49-(Inputs!$E49-Inputs!$D49)*2)*10000,(Inputs!$E49+(Inputs!$F49-Inputs!$E49)*2)*10000)/10000</f>
        <v>0.7608</v>
      </c>
      <c r="SE49" s="236">
        <f>RANDBETWEEN((Inputs!$E49-(Inputs!$E49-Inputs!$D49)*2)*10000,(Inputs!$E49+(Inputs!$F49-Inputs!$E49)*2)*10000)/10000</f>
        <v>0.1737</v>
      </c>
      <c r="SF49" s="236">
        <f>RANDBETWEEN((Inputs!$E49-(Inputs!$E49-Inputs!$D49)*2)*10000,(Inputs!$E49+(Inputs!$F49-Inputs!$E49)*2)*10000)/10000</f>
        <v>0.0436</v>
      </c>
      <c r="SG49" s="236">
        <f>RANDBETWEEN((Inputs!$E49-(Inputs!$E49-Inputs!$D49)*2)*10000,(Inputs!$E49+(Inputs!$F49-Inputs!$E49)*2)*10000)/10000</f>
        <v>0.2945</v>
      </c>
      <c r="SH49" s="236">
        <f>RANDBETWEEN((Inputs!$E49-(Inputs!$E49-Inputs!$D49)*2)*10000,(Inputs!$E49+(Inputs!$F49-Inputs!$E49)*2)*10000)/10000</f>
        <v>0.2091</v>
      </c>
      <c r="SI49" s="236">
        <f>RANDBETWEEN((Inputs!$E49-(Inputs!$E49-Inputs!$D49)*2)*10000,(Inputs!$E49+(Inputs!$F49-Inputs!$E49)*2)*10000)/10000</f>
        <v>0.1163</v>
      </c>
      <c r="SJ49" s="236">
        <f>RANDBETWEEN((Inputs!$E49-(Inputs!$E49-Inputs!$D49)*2)*10000,(Inputs!$E49+(Inputs!$F49-Inputs!$E49)*2)*10000)/10000</f>
        <v>0.3402</v>
      </c>
      <c r="SK49" s="236">
        <f>RANDBETWEEN((Inputs!$E49-(Inputs!$E49-Inputs!$D49)*2)*10000,(Inputs!$E49+(Inputs!$F49-Inputs!$E49)*2)*10000)/10000</f>
        <v>0.9614</v>
      </c>
      <c r="SL49" s="236">
        <f>RANDBETWEEN((Inputs!$E49-(Inputs!$E49-Inputs!$D49)*2)*10000,(Inputs!$E49+(Inputs!$F49-Inputs!$E49)*2)*10000)/10000</f>
        <v>0.4173</v>
      </c>
    </row>
    <row r="50">
      <c r="A50" s="53" t="s">
        <v>126</v>
      </c>
      <c r="B50" s="87">
        <f>B48*B49</f>
        <v>0.225</v>
      </c>
      <c r="C50" s="299"/>
      <c r="D50" s="300"/>
      <c r="E50" s="301"/>
      <c r="F50" s="87"/>
      <c r="G50" s="87">
        <f t="shared" ref="G50:SL50" si="40">G48*G49</f>
        <v>0.104985</v>
      </c>
      <c r="H50" s="87">
        <f t="shared" si="40"/>
        <v>0.09261</v>
      </c>
      <c r="I50" s="87">
        <f t="shared" si="40"/>
        <v>0.427905</v>
      </c>
      <c r="J50" s="87">
        <f t="shared" si="40"/>
        <v>0.196515</v>
      </c>
      <c r="K50" s="87">
        <f t="shared" si="40"/>
        <v>0.012735</v>
      </c>
      <c r="L50" s="87">
        <f t="shared" si="40"/>
        <v>0.34695</v>
      </c>
      <c r="M50" s="87">
        <f t="shared" si="40"/>
        <v>0.111105</v>
      </c>
      <c r="N50" s="87">
        <f t="shared" si="40"/>
        <v>0.13977</v>
      </c>
      <c r="O50" s="87">
        <f t="shared" si="40"/>
        <v>0.04122</v>
      </c>
      <c r="P50" s="87">
        <f t="shared" si="40"/>
        <v>0.15615</v>
      </c>
      <c r="Q50" s="87">
        <f t="shared" si="40"/>
        <v>0.427905</v>
      </c>
      <c r="R50" s="87">
        <f t="shared" si="40"/>
        <v>0.40176</v>
      </c>
      <c r="S50" s="87">
        <f t="shared" si="40"/>
        <v>0.21015</v>
      </c>
      <c r="T50" s="87">
        <f t="shared" si="40"/>
        <v>0.30915</v>
      </c>
      <c r="U50" s="87">
        <f t="shared" si="40"/>
        <v>0.341415</v>
      </c>
      <c r="V50" s="87">
        <f t="shared" si="40"/>
        <v>0.299745</v>
      </c>
      <c r="W50" s="87">
        <f t="shared" si="40"/>
        <v>0.29016</v>
      </c>
      <c r="X50" s="87">
        <f t="shared" si="40"/>
        <v>0.345375</v>
      </c>
      <c r="Y50" s="87">
        <f t="shared" si="40"/>
        <v>0.00495</v>
      </c>
      <c r="Z50" s="87">
        <f t="shared" si="40"/>
        <v>0.02349</v>
      </c>
      <c r="AA50" s="87">
        <f t="shared" si="40"/>
        <v>0.37683</v>
      </c>
      <c r="AB50" s="87">
        <f t="shared" si="40"/>
        <v>0.287865</v>
      </c>
      <c r="AC50" s="87">
        <f t="shared" si="40"/>
        <v>0.35343</v>
      </c>
      <c r="AD50" s="87">
        <f t="shared" si="40"/>
        <v>0.251685</v>
      </c>
      <c r="AE50" s="87">
        <f t="shared" si="40"/>
        <v>0.19692</v>
      </c>
      <c r="AF50" s="87">
        <f t="shared" si="40"/>
        <v>0.34857</v>
      </c>
      <c r="AG50" s="87">
        <f t="shared" si="40"/>
        <v>0.199845</v>
      </c>
      <c r="AH50" s="87">
        <f t="shared" si="40"/>
        <v>0.360855</v>
      </c>
      <c r="AI50" s="87">
        <f t="shared" si="40"/>
        <v>0.363375</v>
      </c>
      <c r="AJ50" s="87">
        <f t="shared" si="40"/>
        <v>0.12069</v>
      </c>
      <c r="AK50" s="87">
        <f t="shared" si="40"/>
        <v>0.01035</v>
      </c>
      <c r="AL50" s="87">
        <f t="shared" si="40"/>
        <v>0.30177</v>
      </c>
      <c r="AM50" s="87">
        <f t="shared" si="40"/>
        <v>0.291465</v>
      </c>
      <c r="AN50" s="87">
        <f t="shared" si="40"/>
        <v>0.24327</v>
      </c>
      <c r="AO50" s="87">
        <f t="shared" si="40"/>
        <v>0.150525</v>
      </c>
      <c r="AP50" s="87">
        <f t="shared" si="40"/>
        <v>0.09441</v>
      </c>
      <c r="AQ50" s="87">
        <f t="shared" si="40"/>
        <v>0.149985</v>
      </c>
      <c r="AR50" s="87">
        <f t="shared" si="40"/>
        <v>0.31824</v>
      </c>
      <c r="AS50" s="87">
        <f t="shared" si="40"/>
        <v>0.309015</v>
      </c>
      <c r="AT50" s="87">
        <f t="shared" si="40"/>
        <v>0.37152</v>
      </c>
      <c r="AU50" s="87">
        <f t="shared" si="40"/>
        <v>0.343395</v>
      </c>
      <c r="AV50" s="87">
        <f t="shared" si="40"/>
        <v>0.285165</v>
      </c>
      <c r="AW50" s="87">
        <f t="shared" si="40"/>
        <v>0.30384</v>
      </c>
      <c r="AX50" s="87">
        <f t="shared" si="40"/>
        <v>0.130815</v>
      </c>
      <c r="AY50" s="87">
        <f t="shared" si="40"/>
        <v>0.211455</v>
      </c>
      <c r="AZ50" s="87">
        <f t="shared" si="40"/>
        <v>0.35739</v>
      </c>
      <c r="BA50" s="87">
        <f t="shared" si="40"/>
        <v>0.265095</v>
      </c>
      <c r="BB50" s="87">
        <f t="shared" si="40"/>
        <v>0.288585</v>
      </c>
      <c r="BC50" s="87">
        <f t="shared" si="40"/>
        <v>0.43416</v>
      </c>
      <c r="BD50" s="87">
        <f t="shared" si="40"/>
        <v>0.199215</v>
      </c>
      <c r="BE50" s="87">
        <f t="shared" si="40"/>
        <v>0.26703</v>
      </c>
      <c r="BF50" s="87">
        <f t="shared" si="40"/>
        <v>0.208215</v>
      </c>
      <c r="BG50" s="87">
        <f t="shared" si="40"/>
        <v>0.24534</v>
      </c>
      <c r="BH50" s="87">
        <f t="shared" si="40"/>
        <v>0.127845</v>
      </c>
      <c r="BI50" s="87">
        <f t="shared" si="40"/>
        <v>0.449145</v>
      </c>
      <c r="BJ50" s="87">
        <f t="shared" si="40"/>
        <v>0.115425</v>
      </c>
      <c r="BK50" s="87">
        <f t="shared" si="40"/>
        <v>0.04176</v>
      </c>
      <c r="BL50" s="87">
        <f t="shared" si="40"/>
        <v>0.35199</v>
      </c>
      <c r="BM50" s="87">
        <f t="shared" si="40"/>
        <v>0.272385</v>
      </c>
      <c r="BN50" s="87">
        <f t="shared" si="40"/>
        <v>0.24498</v>
      </c>
      <c r="BO50" s="87">
        <f t="shared" si="40"/>
        <v>0.31518</v>
      </c>
      <c r="BP50" s="87">
        <f t="shared" si="40"/>
        <v>0.215325</v>
      </c>
      <c r="BQ50" s="87">
        <f t="shared" si="40"/>
        <v>0.15183</v>
      </c>
      <c r="BR50" s="87">
        <f t="shared" si="40"/>
        <v>0.054</v>
      </c>
      <c r="BS50" s="87">
        <f t="shared" si="40"/>
        <v>0.14643</v>
      </c>
      <c r="BT50" s="87">
        <f t="shared" si="40"/>
        <v>0.095625</v>
      </c>
      <c r="BU50" s="87">
        <f t="shared" si="40"/>
        <v>0.04167</v>
      </c>
      <c r="BV50" s="87">
        <f t="shared" si="40"/>
        <v>0.175545</v>
      </c>
      <c r="BW50" s="87">
        <f t="shared" si="40"/>
        <v>0.023085</v>
      </c>
      <c r="BX50" s="87">
        <f t="shared" si="40"/>
        <v>0.419445</v>
      </c>
      <c r="BY50" s="87">
        <f t="shared" si="40"/>
        <v>0.02196</v>
      </c>
      <c r="BZ50" s="87">
        <f t="shared" si="40"/>
        <v>0.02673</v>
      </c>
      <c r="CA50" s="87">
        <f t="shared" si="40"/>
        <v>0.426555</v>
      </c>
      <c r="CB50" s="87">
        <f t="shared" si="40"/>
        <v>0.38691</v>
      </c>
      <c r="CC50" s="87">
        <f t="shared" si="40"/>
        <v>0.198855</v>
      </c>
      <c r="CD50" s="87">
        <f t="shared" si="40"/>
        <v>0.22959</v>
      </c>
      <c r="CE50" s="87">
        <f t="shared" si="40"/>
        <v>0.438525</v>
      </c>
      <c r="CF50" s="87">
        <f t="shared" si="40"/>
        <v>0.06534</v>
      </c>
      <c r="CG50" s="87">
        <f t="shared" si="40"/>
        <v>0.081675</v>
      </c>
      <c r="CH50" s="87">
        <f t="shared" si="40"/>
        <v>0.045945</v>
      </c>
      <c r="CI50" s="87">
        <f t="shared" si="40"/>
        <v>0.379575</v>
      </c>
      <c r="CJ50" s="87">
        <f t="shared" si="40"/>
        <v>0.346815</v>
      </c>
      <c r="CK50" s="87">
        <f t="shared" si="40"/>
        <v>0.24174</v>
      </c>
      <c r="CL50" s="87">
        <f t="shared" si="40"/>
        <v>0.123435</v>
      </c>
      <c r="CM50" s="87">
        <f t="shared" si="40"/>
        <v>0.12186</v>
      </c>
      <c r="CN50" s="87">
        <f t="shared" si="40"/>
        <v>0.181305</v>
      </c>
      <c r="CO50" s="87">
        <f t="shared" si="40"/>
        <v>0.235665</v>
      </c>
      <c r="CP50" s="87">
        <f t="shared" si="40"/>
        <v>0.347985</v>
      </c>
      <c r="CQ50" s="87">
        <f t="shared" si="40"/>
        <v>0.262125</v>
      </c>
      <c r="CR50" s="87">
        <f t="shared" si="40"/>
        <v>0.03969</v>
      </c>
      <c r="CS50" s="87">
        <f t="shared" si="40"/>
        <v>0.24705</v>
      </c>
      <c r="CT50" s="87">
        <f t="shared" si="40"/>
        <v>0.245565</v>
      </c>
      <c r="CU50" s="87">
        <f t="shared" si="40"/>
        <v>0.095805</v>
      </c>
      <c r="CV50" s="87">
        <f t="shared" si="40"/>
        <v>0.07677</v>
      </c>
      <c r="CW50" s="87">
        <f t="shared" si="40"/>
        <v>0.155835</v>
      </c>
      <c r="CX50" s="87">
        <f t="shared" si="40"/>
        <v>0.37836</v>
      </c>
      <c r="CY50" s="87">
        <f t="shared" si="40"/>
        <v>0.108</v>
      </c>
      <c r="CZ50" s="87">
        <f t="shared" si="40"/>
        <v>0.26235</v>
      </c>
      <c r="DA50" s="87">
        <f t="shared" si="40"/>
        <v>0.09432</v>
      </c>
      <c r="DB50" s="87">
        <f t="shared" si="40"/>
        <v>0.379755</v>
      </c>
      <c r="DC50" s="87">
        <f t="shared" si="40"/>
        <v>0.32751</v>
      </c>
      <c r="DD50" s="87">
        <f t="shared" si="40"/>
        <v>0.31806</v>
      </c>
      <c r="DE50" s="87">
        <f t="shared" si="40"/>
        <v>0.031905</v>
      </c>
      <c r="DF50" s="87">
        <f t="shared" si="40"/>
        <v>0.329445</v>
      </c>
      <c r="DG50" s="87">
        <f t="shared" si="40"/>
        <v>0.144045</v>
      </c>
      <c r="DH50" s="87">
        <f t="shared" si="40"/>
        <v>0.14607</v>
      </c>
      <c r="DI50" s="87">
        <f t="shared" si="40"/>
        <v>0.00774</v>
      </c>
      <c r="DJ50" s="87">
        <f t="shared" si="40"/>
        <v>0.172215</v>
      </c>
      <c r="DK50" s="87">
        <f t="shared" si="40"/>
        <v>0.09882</v>
      </c>
      <c r="DL50" s="87">
        <f t="shared" si="40"/>
        <v>0.361215</v>
      </c>
      <c r="DM50" s="87">
        <f t="shared" si="40"/>
        <v>0.194265</v>
      </c>
      <c r="DN50" s="87">
        <f t="shared" si="40"/>
        <v>0.042255</v>
      </c>
      <c r="DO50" s="87">
        <f t="shared" si="40"/>
        <v>0.18729</v>
      </c>
      <c r="DP50" s="87">
        <f t="shared" si="40"/>
        <v>0.238185</v>
      </c>
      <c r="DQ50" s="87">
        <f t="shared" si="40"/>
        <v>0.026415</v>
      </c>
      <c r="DR50" s="87">
        <f t="shared" si="40"/>
        <v>0.26253</v>
      </c>
      <c r="DS50" s="87">
        <f t="shared" si="40"/>
        <v>0.3546</v>
      </c>
      <c r="DT50" s="87">
        <f t="shared" si="40"/>
        <v>0.36414</v>
      </c>
      <c r="DU50" s="87">
        <f t="shared" si="40"/>
        <v>0.425745</v>
      </c>
      <c r="DV50" s="87">
        <f t="shared" si="40"/>
        <v>0.09864</v>
      </c>
      <c r="DW50" s="87">
        <f t="shared" si="40"/>
        <v>0.218925</v>
      </c>
      <c r="DX50" s="87">
        <f t="shared" si="40"/>
        <v>0.39096</v>
      </c>
      <c r="DY50" s="87">
        <f t="shared" si="40"/>
        <v>0.177615</v>
      </c>
      <c r="DZ50" s="87">
        <f t="shared" si="40"/>
        <v>0.408465</v>
      </c>
      <c r="EA50" s="87">
        <f t="shared" si="40"/>
        <v>0.378945</v>
      </c>
      <c r="EB50" s="87">
        <f t="shared" si="40"/>
        <v>0.162315</v>
      </c>
      <c r="EC50" s="87">
        <f t="shared" si="40"/>
        <v>0.342405</v>
      </c>
      <c r="ED50" s="87">
        <f t="shared" si="40"/>
        <v>0.14031</v>
      </c>
      <c r="EE50" s="87">
        <f t="shared" si="40"/>
        <v>0.392625</v>
      </c>
      <c r="EF50" s="87">
        <f t="shared" si="40"/>
        <v>0.34857</v>
      </c>
      <c r="EG50" s="87">
        <f t="shared" si="40"/>
        <v>0.08847</v>
      </c>
      <c r="EH50" s="87">
        <f t="shared" si="40"/>
        <v>0.04959</v>
      </c>
      <c r="EI50" s="87">
        <f t="shared" si="40"/>
        <v>0.16587</v>
      </c>
      <c r="EJ50" s="87">
        <f t="shared" si="40"/>
        <v>0.20565</v>
      </c>
      <c r="EK50" s="87">
        <f t="shared" si="40"/>
        <v>0.08586</v>
      </c>
      <c r="EL50" s="87">
        <f t="shared" si="40"/>
        <v>0.366255</v>
      </c>
      <c r="EM50" s="87">
        <f t="shared" si="40"/>
        <v>0.19818</v>
      </c>
      <c r="EN50" s="87">
        <f t="shared" si="40"/>
        <v>0.23607</v>
      </c>
      <c r="EO50" s="87">
        <f t="shared" si="40"/>
        <v>0.034785</v>
      </c>
      <c r="EP50" s="87">
        <f t="shared" si="40"/>
        <v>0.11646</v>
      </c>
      <c r="EQ50" s="87">
        <f t="shared" si="40"/>
        <v>0.159615</v>
      </c>
      <c r="ER50" s="87">
        <f t="shared" si="40"/>
        <v>0.36567</v>
      </c>
      <c r="ES50" s="87">
        <f t="shared" si="40"/>
        <v>0.23157</v>
      </c>
      <c r="ET50" s="87">
        <f t="shared" si="40"/>
        <v>0.119835</v>
      </c>
      <c r="EU50" s="87">
        <f t="shared" si="40"/>
        <v>0.21375</v>
      </c>
      <c r="EV50" s="87">
        <f t="shared" si="40"/>
        <v>0.06525</v>
      </c>
      <c r="EW50" s="87">
        <f t="shared" si="40"/>
        <v>0.13851</v>
      </c>
      <c r="EX50" s="87">
        <f t="shared" si="40"/>
        <v>0.052605</v>
      </c>
      <c r="EY50" s="87">
        <f t="shared" si="40"/>
        <v>0.054225</v>
      </c>
      <c r="EZ50" s="87">
        <f t="shared" si="40"/>
        <v>0.28503</v>
      </c>
      <c r="FA50" s="87">
        <f t="shared" si="40"/>
        <v>0.38106</v>
      </c>
      <c r="FB50" s="87">
        <f t="shared" si="40"/>
        <v>0.19251</v>
      </c>
      <c r="FC50" s="87">
        <f t="shared" si="40"/>
        <v>0.090945</v>
      </c>
      <c r="FD50" s="87">
        <f t="shared" si="40"/>
        <v>0.186885</v>
      </c>
      <c r="FE50" s="87">
        <f t="shared" si="40"/>
        <v>0.386955</v>
      </c>
      <c r="FF50" s="87">
        <f t="shared" si="40"/>
        <v>0.332955</v>
      </c>
      <c r="FG50" s="87">
        <f t="shared" si="40"/>
        <v>0.254475</v>
      </c>
      <c r="FH50" s="87">
        <f t="shared" si="40"/>
        <v>0.104445</v>
      </c>
      <c r="FI50" s="87">
        <f t="shared" si="40"/>
        <v>0.067365</v>
      </c>
      <c r="FJ50" s="87">
        <f t="shared" si="40"/>
        <v>0.27963</v>
      </c>
      <c r="FK50" s="87">
        <f t="shared" si="40"/>
        <v>0.032265</v>
      </c>
      <c r="FL50" s="87">
        <f t="shared" si="40"/>
        <v>0.228555</v>
      </c>
      <c r="FM50" s="87">
        <f t="shared" si="40"/>
        <v>0.21024</v>
      </c>
      <c r="FN50" s="87">
        <f t="shared" si="40"/>
        <v>0.170955</v>
      </c>
      <c r="FO50" s="87">
        <f t="shared" si="40"/>
        <v>0.26217</v>
      </c>
      <c r="FP50" s="87">
        <f t="shared" si="40"/>
        <v>0.063585</v>
      </c>
      <c r="FQ50" s="87">
        <f t="shared" si="40"/>
        <v>0.317025</v>
      </c>
      <c r="FR50" s="87">
        <f t="shared" si="40"/>
        <v>0.240615</v>
      </c>
      <c r="FS50" s="87">
        <f t="shared" si="40"/>
        <v>0.08064</v>
      </c>
      <c r="FT50" s="87">
        <f t="shared" si="40"/>
        <v>0.02358</v>
      </c>
      <c r="FU50" s="87">
        <f t="shared" si="40"/>
        <v>0.065925</v>
      </c>
      <c r="FV50" s="87">
        <f t="shared" si="40"/>
        <v>0.02196</v>
      </c>
      <c r="FW50" s="87">
        <f t="shared" si="40"/>
        <v>0.064575</v>
      </c>
      <c r="FX50" s="87">
        <f t="shared" si="40"/>
        <v>0.28557</v>
      </c>
      <c r="FY50" s="87">
        <f t="shared" si="40"/>
        <v>0.271755</v>
      </c>
      <c r="FZ50" s="87">
        <f t="shared" si="40"/>
        <v>0.425205</v>
      </c>
      <c r="GA50" s="87">
        <f t="shared" si="40"/>
        <v>0.20412</v>
      </c>
      <c r="GB50" s="87">
        <f t="shared" si="40"/>
        <v>0.294615</v>
      </c>
      <c r="GC50" s="87">
        <f t="shared" si="40"/>
        <v>0.390915</v>
      </c>
      <c r="GD50" s="87">
        <f t="shared" si="40"/>
        <v>0.15093</v>
      </c>
      <c r="GE50" s="87">
        <f t="shared" si="40"/>
        <v>0.36432</v>
      </c>
      <c r="GF50" s="87">
        <f t="shared" si="40"/>
        <v>0.367515</v>
      </c>
      <c r="GG50" s="87">
        <f t="shared" si="40"/>
        <v>0.039465</v>
      </c>
      <c r="GH50" s="87">
        <f t="shared" si="40"/>
        <v>0.0405</v>
      </c>
      <c r="GI50" s="87">
        <f t="shared" si="40"/>
        <v>0.220995</v>
      </c>
      <c r="GJ50" s="87">
        <f t="shared" si="40"/>
        <v>0.071595</v>
      </c>
      <c r="GK50" s="87">
        <f t="shared" si="40"/>
        <v>0.145215</v>
      </c>
      <c r="GL50" s="87">
        <f t="shared" si="40"/>
        <v>0.146385</v>
      </c>
      <c r="GM50" s="87">
        <f t="shared" si="40"/>
        <v>0.302085</v>
      </c>
      <c r="GN50" s="87">
        <f t="shared" si="40"/>
        <v>0.311085</v>
      </c>
      <c r="GO50" s="87">
        <f t="shared" si="40"/>
        <v>0.3528</v>
      </c>
      <c r="GP50" s="87">
        <f t="shared" si="40"/>
        <v>0.298035</v>
      </c>
      <c r="GQ50" s="87">
        <f t="shared" si="40"/>
        <v>0.07434</v>
      </c>
      <c r="GR50" s="87">
        <f t="shared" si="40"/>
        <v>0.084915</v>
      </c>
      <c r="GS50" s="87">
        <f t="shared" si="40"/>
        <v>0.433755</v>
      </c>
      <c r="GT50" s="87">
        <f t="shared" si="40"/>
        <v>0.32463</v>
      </c>
      <c r="GU50" s="87">
        <f t="shared" si="40"/>
        <v>0.43749</v>
      </c>
      <c r="GV50" s="87">
        <f t="shared" si="40"/>
        <v>0.39114</v>
      </c>
      <c r="GW50" s="87">
        <f t="shared" si="40"/>
        <v>0.077805</v>
      </c>
      <c r="GX50" s="87">
        <f t="shared" si="40"/>
        <v>0.289215</v>
      </c>
      <c r="GY50" s="87">
        <f t="shared" si="40"/>
        <v>0.17523</v>
      </c>
      <c r="GZ50" s="87">
        <f t="shared" si="40"/>
        <v>0.33606</v>
      </c>
      <c r="HA50" s="87">
        <f t="shared" si="40"/>
        <v>0.353655</v>
      </c>
      <c r="HB50" s="87">
        <f t="shared" si="40"/>
        <v>0.23049</v>
      </c>
      <c r="HC50" s="87">
        <f t="shared" si="40"/>
        <v>0.413235</v>
      </c>
      <c r="HD50" s="87">
        <f t="shared" si="40"/>
        <v>0.37044</v>
      </c>
      <c r="HE50" s="87">
        <f t="shared" si="40"/>
        <v>0.37872</v>
      </c>
      <c r="HF50" s="87">
        <f t="shared" si="40"/>
        <v>0.20322</v>
      </c>
      <c r="HG50" s="87">
        <f t="shared" si="40"/>
        <v>0.29826</v>
      </c>
      <c r="HH50" s="87">
        <f t="shared" si="40"/>
        <v>0.41265</v>
      </c>
      <c r="HI50" s="87">
        <f t="shared" si="40"/>
        <v>0.229905</v>
      </c>
      <c r="HJ50" s="87">
        <f t="shared" si="40"/>
        <v>0.35343</v>
      </c>
      <c r="HK50" s="87">
        <f t="shared" si="40"/>
        <v>0.193365</v>
      </c>
      <c r="HL50" s="87">
        <f t="shared" si="40"/>
        <v>0.38421</v>
      </c>
      <c r="HM50" s="87">
        <f t="shared" si="40"/>
        <v>0.15453</v>
      </c>
      <c r="HN50" s="87">
        <f t="shared" si="40"/>
        <v>0.0621</v>
      </c>
      <c r="HO50" s="87">
        <f t="shared" si="40"/>
        <v>0.125055</v>
      </c>
      <c r="HP50" s="87">
        <f t="shared" si="40"/>
        <v>0.4257</v>
      </c>
      <c r="HQ50" s="87">
        <f t="shared" si="40"/>
        <v>0.061515</v>
      </c>
      <c r="HR50" s="87">
        <f t="shared" si="40"/>
        <v>0.240795</v>
      </c>
      <c r="HS50" s="87">
        <f t="shared" si="40"/>
        <v>0.376695</v>
      </c>
      <c r="HT50" s="87">
        <f t="shared" si="40"/>
        <v>0.07794</v>
      </c>
      <c r="HU50" s="87">
        <f t="shared" si="40"/>
        <v>0.329265</v>
      </c>
      <c r="HV50" s="87">
        <f t="shared" si="40"/>
        <v>0.260595</v>
      </c>
      <c r="HW50" s="87">
        <f t="shared" si="40"/>
        <v>0.143505</v>
      </c>
      <c r="HX50" s="87">
        <f t="shared" si="40"/>
        <v>0.11007</v>
      </c>
      <c r="HY50" s="87">
        <f t="shared" si="40"/>
        <v>0.015075</v>
      </c>
      <c r="HZ50" s="87">
        <f t="shared" si="40"/>
        <v>0.251775</v>
      </c>
      <c r="IA50" s="87">
        <f t="shared" si="40"/>
        <v>0.34911</v>
      </c>
      <c r="IB50" s="87">
        <f t="shared" si="40"/>
        <v>0.34614</v>
      </c>
      <c r="IC50" s="87">
        <f t="shared" si="40"/>
        <v>0.035775</v>
      </c>
      <c r="ID50" s="87">
        <f t="shared" si="40"/>
        <v>0.410715</v>
      </c>
      <c r="IE50" s="87">
        <f t="shared" si="40"/>
        <v>0.37305</v>
      </c>
      <c r="IF50" s="87">
        <f t="shared" si="40"/>
        <v>0.041085</v>
      </c>
      <c r="IG50" s="87">
        <f t="shared" si="40"/>
        <v>0.01413</v>
      </c>
      <c r="IH50" s="87">
        <f t="shared" si="40"/>
        <v>0.358965</v>
      </c>
      <c r="II50" s="87">
        <f t="shared" si="40"/>
        <v>0.35271</v>
      </c>
      <c r="IJ50" s="87">
        <f t="shared" si="40"/>
        <v>0.43101</v>
      </c>
      <c r="IK50" s="87">
        <f t="shared" si="40"/>
        <v>0.2511</v>
      </c>
      <c r="IL50" s="87">
        <f t="shared" si="40"/>
        <v>0.304785</v>
      </c>
      <c r="IM50" s="87">
        <f t="shared" si="40"/>
        <v>0.349335</v>
      </c>
      <c r="IN50" s="87">
        <f t="shared" si="40"/>
        <v>0.03366</v>
      </c>
      <c r="IO50" s="87">
        <f t="shared" si="40"/>
        <v>0.085635</v>
      </c>
      <c r="IP50" s="87">
        <f t="shared" si="40"/>
        <v>0.31572</v>
      </c>
      <c r="IQ50" s="87">
        <f t="shared" si="40"/>
        <v>0.160155</v>
      </c>
      <c r="IR50" s="87">
        <f t="shared" si="40"/>
        <v>0.354015</v>
      </c>
      <c r="IS50" s="87">
        <f t="shared" si="40"/>
        <v>0.397395</v>
      </c>
      <c r="IT50" s="87">
        <f t="shared" si="40"/>
        <v>0.170775</v>
      </c>
      <c r="IU50" s="87">
        <f t="shared" si="40"/>
        <v>0.31392</v>
      </c>
      <c r="IV50" s="87">
        <f t="shared" si="40"/>
        <v>0.252</v>
      </c>
      <c r="IW50" s="87">
        <f t="shared" si="40"/>
        <v>0.08685</v>
      </c>
      <c r="IX50" s="87">
        <f t="shared" si="40"/>
        <v>0.221985</v>
      </c>
      <c r="IY50" s="87">
        <f t="shared" si="40"/>
        <v>0.20637</v>
      </c>
      <c r="IZ50" s="87">
        <f t="shared" si="40"/>
        <v>0.313695</v>
      </c>
      <c r="JA50" s="87">
        <f t="shared" si="40"/>
        <v>0.091215</v>
      </c>
      <c r="JB50" s="87">
        <f t="shared" si="40"/>
        <v>0.208665</v>
      </c>
      <c r="JC50" s="87">
        <f t="shared" si="40"/>
        <v>0.06651</v>
      </c>
      <c r="JD50" s="87">
        <f t="shared" si="40"/>
        <v>0.320355</v>
      </c>
      <c r="JE50" s="87">
        <f t="shared" si="40"/>
        <v>0.249255</v>
      </c>
      <c r="JF50" s="87">
        <f t="shared" si="40"/>
        <v>0.181125</v>
      </c>
      <c r="JG50" s="87">
        <f t="shared" si="40"/>
        <v>0.341505</v>
      </c>
      <c r="JH50" s="87">
        <f t="shared" si="40"/>
        <v>0.04815</v>
      </c>
      <c r="JI50" s="87">
        <f t="shared" si="40"/>
        <v>0.331785</v>
      </c>
      <c r="JJ50" s="87">
        <f t="shared" si="40"/>
        <v>0.40752</v>
      </c>
      <c r="JK50" s="87">
        <f t="shared" si="40"/>
        <v>0.15039</v>
      </c>
      <c r="JL50" s="87">
        <f t="shared" si="40"/>
        <v>0.38898</v>
      </c>
      <c r="JM50" s="87">
        <f t="shared" si="40"/>
        <v>0.037485</v>
      </c>
      <c r="JN50" s="87">
        <f t="shared" si="40"/>
        <v>0.10512</v>
      </c>
      <c r="JO50" s="87">
        <f t="shared" si="40"/>
        <v>0.03222</v>
      </c>
      <c r="JP50" s="87">
        <f t="shared" si="40"/>
        <v>0.370755</v>
      </c>
      <c r="JQ50" s="87">
        <f t="shared" si="40"/>
        <v>0.333675</v>
      </c>
      <c r="JR50" s="87">
        <f t="shared" si="40"/>
        <v>0.405855</v>
      </c>
      <c r="JS50" s="87">
        <f t="shared" si="40"/>
        <v>0.254475</v>
      </c>
      <c r="JT50" s="87">
        <f t="shared" si="40"/>
        <v>0.120375</v>
      </c>
      <c r="JU50" s="87">
        <f t="shared" si="40"/>
        <v>0.13518</v>
      </c>
      <c r="JV50" s="87">
        <f t="shared" si="40"/>
        <v>0.387045</v>
      </c>
      <c r="JW50" s="87">
        <f t="shared" si="40"/>
        <v>0.350865</v>
      </c>
      <c r="JX50" s="87">
        <f t="shared" si="40"/>
        <v>0.201195</v>
      </c>
      <c r="JY50" s="87">
        <f t="shared" si="40"/>
        <v>0.271125</v>
      </c>
      <c r="JZ50" s="87">
        <f t="shared" si="40"/>
        <v>0.171225</v>
      </c>
      <c r="KA50" s="87">
        <f t="shared" si="40"/>
        <v>0.177075</v>
      </c>
      <c r="KB50" s="87">
        <f t="shared" si="40"/>
        <v>0.22437</v>
      </c>
      <c r="KC50" s="87">
        <f t="shared" si="40"/>
        <v>0.330705</v>
      </c>
      <c r="KD50" s="87">
        <f t="shared" si="40"/>
        <v>0.22167</v>
      </c>
      <c r="KE50" s="87">
        <f t="shared" si="40"/>
        <v>0.10314</v>
      </c>
      <c r="KF50" s="87">
        <f t="shared" si="40"/>
        <v>0.077445</v>
      </c>
      <c r="KG50" s="87">
        <f t="shared" si="40"/>
        <v>0.06462</v>
      </c>
      <c r="KH50" s="87">
        <f t="shared" si="40"/>
        <v>0.13599</v>
      </c>
      <c r="KI50" s="87">
        <f t="shared" si="40"/>
        <v>0.25929</v>
      </c>
      <c r="KJ50" s="87">
        <f t="shared" si="40"/>
        <v>0.032715</v>
      </c>
      <c r="KK50" s="87">
        <f t="shared" si="40"/>
        <v>0.13914</v>
      </c>
      <c r="KL50" s="87">
        <f t="shared" si="40"/>
        <v>0.36882</v>
      </c>
      <c r="KM50" s="87">
        <f t="shared" si="40"/>
        <v>0.160155</v>
      </c>
      <c r="KN50" s="87">
        <f t="shared" si="40"/>
        <v>0.29439</v>
      </c>
      <c r="KO50" s="87">
        <f t="shared" si="40"/>
        <v>0.200655</v>
      </c>
      <c r="KP50" s="87">
        <f t="shared" si="40"/>
        <v>0.439515</v>
      </c>
      <c r="KQ50" s="87">
        <f t="shared" si="40"/>
        <v>0.10908</v>
      </c>
      <c r="KR50" s="87">
        <f t="shared" si="40"/>
        <v>0.01728</v>
      </c>
      <c r="KS50" s="87">
        <f t="shared" si="40"/>
        <v>0.109575</v>
      </c>
      <c r="KT50" s="87">
        <f t="shared" si="40"/>
        <v>0.165555</v>
      </c>
      <c r="KU50" s="87">
        <f t="shared" si="40"/>
        <v>0.019935</v>
      </c>
      <c r="KV50" s="87">
        <f t="shared" si="40"/>
        <v>0.37953</v>
      </c>
      <c r="KW50" s="87">
        <f t="shared" si="40"/>
        <v>0.34101</v>
      </c>
      <c r="KX50" s="87">
        <f t="shared" si="40"/>
        <v>0.38988</v>
      </c>
      <c r="KY50" s="87">
        <f t="shared" si="40"/>
        <v>0.398385</v>
      </c>
      <c r="KZ50" s="87">
        <f t="shared" si="40"/>
        <v>0.266355</v>
      </c>
      <c r="LA50" s="87">
        <f t="shared" si="40"/>
        <v>0.077715</v>
      </c>
      <c r="LB50" s="87">
        <f t="shared" si="40"/>
        <v>0.306135</v>
      </c>
      <c r="LC50" s="87">
        <f t="shared" si="40"/>
        <v>0.43929</v>
      </c>
      <c r="LD50" s="87">
        <f t="shared" si="40"/>
        <v>0.42768</v>
      </c>
      <c r="LE50" s="87">
        <f t="shared" si="40"/>
        <v>0.138195</v>
      </c>
      <c r="LF50" s="87">
        <f t="shared" si="40"/>
        <v>0.270135</v>
      </c>
      <c r="LG50" s="87">
        <f t="shared" si="40"/>
        <v>0.029205</v>
      </c>
      <c r="LH50" s="87">
        <f t="shared" si="40"/>
        <v>0.448425</v>
      </c>
      <c r="LI50" s="87">
        <f t="shared" si="40"/>
        <v>0.189135</v>
      </c>
      <c r="LJ50" s="87">
        <f t="shared" si="40"/>
        <v>0.07128</v>
      </c>
      <c r="LK50" s="87">
        <f t="shared" si="40"/>
        <v>0.43605</v>
      </c>
      <c r="LL50" s="87">
        <f t="shared" si="40"/>
        <v>0.428985</v>
      </c>
      <c r="LM50" s="87">
        <f t="shared" si="40"/>
        <v>0.03699</v>
      </c>
      <c r="LN50" s="87">
        <f t="shared" si="40"/>
        <v>0.07686</v>
      </c>
      <c r="LO50" s="87">
        <f t="shared" si="40"/>
        <v>0.42669</v>
      </c>
      <c r="LP50" s="87">
        <f t="shared" si="40"/>
        <v>0.1539</v>
      </c>
      <c r="LQ50" s="87">
        <f t="shared" si="40"/>
        <v>0.277335</v>
      </c>
      <c r="LR50" s="87">
        <f t="shared" si="40"/>
        <v>0.30087</v>
      </c>
      <c r="LS50" s="87">
        <f t="shared" si="40"/>
        <v>0.027765</v>
      </c>
      <c r="LT50" s="87">
        <f t="shared" si="40"/>
        <v>0.13743</v>
      </c>
      <c r="LU50" s="87">
        <f t="shared" si="40"/>
        <v>0.404595</v>
      </c>
      <c r="LV50" s="87">
        <f t="shared" si="40"/>
        <v>0.240615</v>
      </c>
      <c r="LW50" s="87">
        <f t="shared" si="40"/>
        <v>0.029115</v>
      </c>
      <c r="LX50" s="87">
        <f t="shared" si="40"/>
        <v>0.41823</v>
      </c>
      <c r="LY50" s="87">
        <f t="shared" si="40"/>
        <v>0.047025</v>
      </c>
      <c r="LZ50" s="87">
        <f t="shared" si="40"/>
        <v>0.11601</v>
      </c>
      <c r="MA50" s="87">
        <f t="shared" si="40"/>
        <v>0.382185</v>
      </c>
      <c r="MB50" s="87">
        <f t="shared" si="40"/>
        <v>0.339975</v>
      </c>
      <c r="MC50" s="87">
        <f t="shared" si="40"/>
        <v>0.14418</v>
      </c>
      <c r="MD50" s="87">
        <f t="shared" si="40"/>
        <v>0.042165</v>
      </c>
      <c r="ME50" s="87">
        <f t="shared" si="40"/>
        <v>0.409095</v>
      </c>
      <c r="MF50" s="87">
        <f t="shared" si="40"/>
        <v>0.141705</v>
      </c>
      <c r="MG50" s="87">
        <f t="shared" si="40"/>
        <v>0.372735</v>
      </c>
      <c r="MH50" s="87">
        <f t="shared" si="40"/>
        <v>0.26001</v>
      </c>
      <c r="MI50" s="87">
        <f t="shared" si="40"/>
        <v>0.36918</v>
      </c>
      <c r="MJ50" s="87">
        <f t="shared" si="40"/>
        <v>0.197145</v>
      </c>
      <c r="MK50" s="87">
        <f t="shared" si="40"/>
        <v>0.10953</v>
      </c>
      <c r="ML50" s="87">
        <f t="shared" si="40"/>
        <v>0.34848</v>
      </c>
      <c r="MM50" s="87">
        <f t="shared" si="40"/>
        <v>0.11952</v>
      </c>
      <c r="MN50" s="87">
        <f t="shared" si="40"/>
        <v>0.135225</v>
      </c>
      <c r="MO50" s="87">
        <f t="shared" si="40"/>
        <v>0.28629</v>
      </c>
      <c r="MP50" s="87">
        <f t="shared" si="40"/>
        <v>0.38925</v>
      </c>
      <c r="MQ50" s="87">
        <f t="shared" si="40"/>
        <v>0.316575</v>
      </c>
      <c r="MR50" s="87">
        <f t="shared" si="40"/>
        <v>0.290925</v>
      </c>
      <c r="MS50" s="87">
        <f t="shared" si="40"/>
        <v>0.09999</v>
      </c>
      <c r="MT50" s="87">
        <f t="shared" si="40"/>
        <v>0.3069</v>
      </c>
      <c r="MU50" s="87">
        <f t="shared" si="40"/>
        <v>0.174555</v>
      </c>
      <c r="MV50" s="87">
        <f t="shared" si="40"/>
        <v>0.181845</v>
      </c>
      <c r="MW50" s="87">
        <f t="shared" si="40"/>
        <v>0.09018</v>
      </c>
      <c r="MX50" s="87">
        <f t="shared" si="40"/>
        <v>0.25812</v>
      </c>
      <c r="MY50" s="87">
        <f t="shared" si="40"/>
        <v>0.03294</v>
      </c>
      <c r="MZ50" s="87">
        <f t="shared" si="40"/>
        <v>0.42633</v>
      </c>
      <c r="NA50" s="87">
        <f t="shared" si="40"/>
        <v>0.37881</v>
      </c>
      <c r="NB50" s="87">
        <f t="shared" si="40"/>
        <v>0.247725</v>
      </c>
      <c r="NC50" s="87">
        <f t="shared" si="40"/>
        <v>0.184095</v>
      </c>
      <c r="ND50" s="87">
        <f t="shared" si="40"/>
        <v>0.26811</v>
      </c>
      <c r="NE50" s="87">
        <f t="shared" si="40"/>
        <v>0.444825</v>
      </c>
      <c r="NF50" s="87">
        <f t="shared" si="40"/>
        <v>0.004635</v>
      </c>
      <c r="NG50" s="87">
        <f t="shared" si="40"/>
        <v>0.32517</v>
      </c>
      <c r="NH50" s="87">
        <f t="shared" si="40"/>
        <v>0.246285</v>
      </c>
      <c r="NI50" s="87">
        <f t="shared" si="40"/>
        <v>0.319365</v>
      </c>
      <c r="NJ50" s="87">
        <f t="shared" si="40"/>
        <v>0.207135</v>
      </c>
      <c r="NK50" s="87">
        <f t="shared" si="40"/>
        <v>0.276435</v>
      </c>
      <c r="NL50" s="87">
        <f t="shared" si="40"/>
        <v>0.150795</v>
      </c>
      <c r="NM50" s="87">
        <f t="shared" si="40"/>
        <v>0.440235</v>
      </c>
      <c r="NN50" s="87">
        <f t="shared" si="40"/>
        <v>0.255105</v>
      </c>
      <c r="NO50" s="87">
        <f t="shared" si="40"/>
        <v>0.2493</v>
      </c>
      <c r="NP50" s="87">
        <f t="shared" si="40"/>
        <v>0.03213</v>
      </c>
      <c r="NQ50" s="87">
        <f t="shared" si="40"/>
        <v>0.39672</v>
      </c>
      <c r="NR50" s="87">
        <f t="shared" si="40"/>
        <v>0.24678</v>
      </c>
      <c r="NS50" s="87">
        <f t="shared" si="40"/>
        <v>0.20286</v>
      </c>
      <c r="NT50" s="87">
        <f t="shared" si="40"/>
        <v>0.08712</v>
      </c>
      <c r="NU50" s="87">
        <f t="shared" si="40"/>
        <v>0.02754</v>
      </c>
      <c r="NV50" s="87">
        <f t="shared" si="40"/>
        <v>0.17973</v>
      </c>
      <c r="NW50" s="87">
        <f t="shared" si="40"/>
        <v>0.44703</v>
      </c>
      <c r="NX50" s="87">
        <f t="shared" si="40"/>
        <v>0.074295</v>
      </c>
      <c r="NY50" s="87">
        <f t="shared" si="40"/>
        <v>0.354645</v>
      </c>
      <c r="NZ50" s="87">
        <f t="shared" si="40"/>
        <v>0.30663</v>
      </c>
      <c r="OA50" s="87">
        <f t="shared" si="40"/>
        <v>0.18441</v>
      </c>
      <c r="OB50" s="87">
        <f t="shared" si="40"/>
        <v>0.26991</v>
      </c>
      <c r="OC50" s="87">
        <f t="shared" si="40"/>
        <v>0.144675</v>
      </c>
      <c r="OD50" s="87">
        <f t="shared" si="40"/>
        <v>0.293445</v>
      </c>
      <c r="OE50" s="87">
        <f t="shared" si="40"/>
        <v>0.08145</v>
      </c>
      <c r="OF50" s="87">
        <f t="shared" si="40"/>
        <v>0.259515</v>
      </c>
      <c r="OG50" s="87">
        <f t="shared" si="40"/>
        <v>0.43992</v>
      </c>
      <c r="OH50" s="87">
        <f t="shared" si="40"/>
        <v>0.142065</v>
      </c>
      <c r="OI50" s="87">
        <f t="shared" si="40"/>
        <v>0.068805</v>
      </c>
      <c r="OJ50" s="87">
        <f t="shared" si="40"/>
        <v>0.21996</v>
      </c>
      <c r="OK50" s="87">
        <f t="shared" si="40"/>
        <v>0.285435</v>
      </c>
      <c r="OL50" s="87">
        <f t="shared" si="40"/>
        <v>0.257355</v>
      </c>
      <c r="OM50" s="87">
        <f t="shared" si="40"/>
        <v>0.199755</v>
      </c>
      <c r="ON50" s="87">
        <f t="shared" si="40"/>
        <v>0.28539</v>
      </c>
      <c r="OO50" s="87">
        <f t="shared" si="40"/>
        <v>0.109215</v>
      </c>
      <c r="OP50" s="87">
        <f t="shared" si="40"/>
        <v>0.007785</v>
      </c>
      <c r="OQ50" s="87">
        <f t="shared" si="40"/>
        <v>0.232875</v>
      </c>
      <c r="OR50" s="87">
        <f t="shared" si="40"/>
        <v>0.402705</v>
      </c>
      <c r="OS50" s="87">
        <f t="shared" si="40"/>
        <v>0.123795</v>
      </c>
      <c r="OT50" s="87">
        <f t="shared" si="40"/>
        <v>0.05076</v>
      </c>
      <c r="OU50" s="87">
        <f t="shared" si="40"/>
        <v>0.3609</v>
      </c>
      <c r="OV50" s="87">
        <f t="shared" si="40"/>
        <v>0.12348</v>
      </c>
      <c r="OW50" s="87">
        <f t="shared" si="40"/>
        <v>0.426465</v>
      </c>
      <c r="OX50" s="87">
        <f t="shared" si="40"/>
        <v>0.163125</v>
      </c>
      <c r="OY50" s="87">
        <f t="shared" si="40"/>
        <v>0.12411</v>
      </c>
      <c r="OZ50" s="87">
        <f t="shared" si="40"/>
        <v>0.34641</v>
      </c>
      <c r="PA50" s="87">
        <f t="shared" si="40"/>
        <v>0.216045</v>
      </c>
      <c r="PB50" s="87">
        <f t="shared" si="40"/>
        <v>0.39492</v>
      </c>
      <c r="PC50" s="87">
        <f t="shared" si="40"/>
        <v>0.230805</v>
      </c>
      <c r="PD50" s="87">
        <f t="shared" si="40"/>
        <v>0.01557</v>
      </c>
      <c r="PE50" s="87">
        <f t="shared" si="40"/>
        <v>0.27891</v>
      </c>
      <c r="PF50" s="87">
        <f t="shared" si="40"/>
        <v>0.08703</v>
      </c>
      <c r="PG50" s="87">
        <f t="shared" si="40"/>
        <v>0.350685</v>
      </c>
      <c r="PH50" s="87">
        <f t="shared" si="40"/>
        <v>0.253575</v>
      </c>
      <c r="PI50" s="87">
        <f t="shared" si="40"/>
        <v>0.06741</v>
      </c>
      <c r="PJ50" s="87">
        <f t="shared" si="40"/>
        <v>0.22185</v>
      </c>
      <c r="PK50" s="87">
        <f t="shared" si="40"/>
        <v>0.40995</v>
      </c>
      <c r="PL50" s="87">
        <f t="shared" si="40"/>
        <v>0.300555</v>
      </c>
      <c r="PM50" s="87">
        <f t="shared" si="40"/>
        <v>0.056385</v>
      </c>
      <c r="PN50" s="87">
        <f t="shared" si="40"/>
        <v>0.2034</v>
      </c>
      <c r="PO50" s="87">
        <f t="shared" si="40"/>
        <v>0.389745</v>
      </c>
      <c r="PP50" s="87">
        <f t="shared" si="40"/>
        <v>0.15795</v>
      </c>
      <c r="PQ50" s="87">
        <f t="shared" si="40"/>
        <v>0.06192</v>
      </c>
      <c r="PR50" s="87">
        <f t="shared" si="40"/>
        <v>0.345915</v>
      </c>
      <c r="PS50" s="87">
        <f t="shared" si="40"/>
        <v>0.017955</v>
      </c>
      <c r="PT50" s="87">
        <f t="shared" si="40"/>
        <v>0.130995</v>
      </c>
      <c r="PU50" s="87">
        <f t="shared" si="40"/>
        <v>0.447075</v>
      </c>
      <c r="PV50" s="87">
        <f t="shared" si="40"/>
        <v>0.02781</v>
      </c>
      <c r="PW50" s="87">
        <f t="shared" si="40"/>
        <v>0.297225</v>
      </c>
      <c r="PX50" s="87">
        <f t="shared" si="40"/>
        <v>0.2439</v>
      </c>
      <c r="PY50" s="87">
        <f t="shared" si="40"/>
        <v>0.36612</v>
      </c>
      <c r="PZ50" s="87">
        <f t="shared" si="40"/>
        <v>0.10566</v>
      </c>
      <c r="QA50" s="87">
        <f t="shared" si="40"/>
        <v>0.377505</v>
      </c>
      <c r="QB50" s="87">
        <f t="shared" si="40"/>
        <v>0.102105</v>
      </c>
      <c r="QC50" s="87">
        <f t="shared" si="40"/>
        <v>0.317565</v>
      </c>
      <c r="QD50" s="87">
        <f t="shared" si="40"/>
        <v>0.26289</v>
      </c>
      <c r="QE50" s="87">
        <f t="shared" si="40"/>
        <v>0.06444</v>
      </c>
      <c r="QF50" s="87">
        <f t="shared" si="40"/>
        <v>0.20601</v>
      </c>
      <c r="QG50" s="87">
        <f t="shared" si="40"/>
        <v>0.38079</v>
      </c>
      <c r="QH50" s="87">
        <f t="shared" si="40"/>
        <v>0.408825</v>
      </c>
      <c r="QI50" s="87">
        <f t="shared" si="40"/>
        <v>0.395955</v>
      </c>
      <c r="QJ50" s="87">
        <f t="shared" si="40"/>
        <v>0.427185</v>
      </c>
      <c r="QK50" s="87">
        <f t="shared" si="40"/>
        <v>0.00783</v>
      </c>
      <c r="QL50" s="87">
        <f t="shared" si="40"/>
        <v>0.27819</v>
      </c>
      <c r="QM50" s="87">
        <f t="shared" si="40"/>
        <v>0.28026</v>
      </c>
      <c r="QN50" s="87">
        <f t="shared" si="40"/>
        <v>0.13932</v>
      </c>
      <c r="QO50" s="87">
        <f t="shared" si="40"/>
        <v>0.176535</v>
      </c>
      <c r="QP50" s="87">
        <f t="shared" si="40"/>
        <v>0.172665</v>
      </c>
      <c r="QQ50" s="87">
        <f t="shared" si="40"/>
        <v>0.412065</v>
      </c>
      <c r="QR50" s="87">
        <f t="shared" si="40"/>
        <v>0.356445</v>
      </c>
      <c r="QS50" s="87">
        <f t="shared" si="40"/>
        <v>0.282375</v>
      </c>
      <c r="QT50" s="87">
        <f t="shared" si="40"/>
        <v>0.07614</v>
      </c>
      <c r="QU50" s="87">
        <f t="shared" si="40"/>
        <v>0.21762</v>
      </c>
      <c r="QV50" s="87">
        <f t="shared" si="40"/>
        <v>0.16479</v>
      </c>
      <c r="QW50" s="87">
        <f t="shared" si="40"/>
        <v>0.06228</v>
      </c>
      <c r="QX50" s="87">
        <f t="shared" si="40"/>
        <v>0.26838</v>
      </c>
      <c r="QY50" s="87">
        <f t="shared" si="40"/>
        <v>0.33246</v>
      </c>
      <c r="QZ50" s="87">
        <f t="shared" si="40"/>
        <v>0.149625</v>
      </c>
      <c r="RA50" s="87">
        <f t="shared" si="40"/>
        <v>0.342945</v>
      </c>
      <c r="RB50" s="87">
        <f t="shared" si="40"/>
        <v>0.20619</v>
      </c>
      <c r="RC50" s="87">
        <f t="shared" si="40"/>
        <v>0.37998</v>
      </c>
      <c r="RD50" s="87">
        <f t="shared" si="40"/>
        <v>0.15399</v>
      </c>
      <c r="RE50" s="87">
        <f t="shared" si="40"/>
        <v>0.396765</v>
      </c>
      <c r="RF50" s="87">
        <f t="shared" si="40"/>
        <v>0.386235</v>
      </c>
      <c r="RG50" s="87">
        <f t="shared" si="40"/>
        <v>0.047655</v>
      </c>
      <c r="RH50" s="87">
        <f t="shared" si="40"/>
        <v>0.273555</v>
      </c>
      <c r="RI50" s="87">
        <f t="shared" si="40"/>
        <v>0.220545</v>
      </c>
      <c r="RJ50" s="87">
        <f t="shared" si="40"/>
        <v>0.401895</v>
      </c>
      <c r="RK50" s="87">
        <f t="shared" si="40"/>
        <v>0.00063</v>
      </c>
      <c r="RL50" s="87">
        <f t="shared" si="40"/>
        <v>0.133245</v>
      </c>
      <c r="RM50" s="87">
        <f t="shared" si="40"/>
        <v>0.26793</v>
      </c>
      <c r="RN50" s="87">
        <f t="shared" si="40"/>
        <v>0.00432</v>
      </c>
      <c r="RO50" s="87">
        <f t="shared" si="40"/>
        <v>0.330165</v>
      </c>
      <c r="RP50" s="87">
        <f t="shared" si="40"/>
        <v>0.259515</v>
      </c>
      <c r="RQ50" s="87">
        <f t="shared" si="40"/>
        <v>0.376245</v>
      </c>
      <c r="RR50" s="87">
        <f t="shared" si="40"/>
        <v>0.07965</v>
      </c>
      <c r="RS50" s="87">
        <f t="shared" si="40"/>
        <v>0.354645</v>
      </c>
      <c r="RT50" s="87">
        <f t="shared" si="40"/>
        <v>0.256545</v>
      </c>
      <c r="RU50" s="87">
        <f t="shared" si="40"/>
        <v>0.07569</v>
      </c>
      <c r="RV50" s="87">
        <f t="shared" si="40"/>
        <v>0.35469</v>
      </c>
      <c r="RW50" s="87">
        <f t="shared" si="40"/>
        <v>0.277425</v>
      </c>
      <c r="RX50" s="87">
        <f t="shared" si="40"/>
        <v>0.21798</v>
      </c>
      <c r="RY50" s="87">
        <f t="shared" si="40"/>
        <v>0.0027</v>
      </c>
      <c r="RZ50" s="87">
        <f t="shared" si="40"/>
        <v>0.348615</v>
      </c>
      <c r="SA50" s="87">
        <f t="shared" si="40"/>
        <v>0.102915</v>
      </c>
      <c r="SB50" s="87">
        <f t="shared" si="40"/>
        <v>0.251415</v>
      </c>
      <c r="SC50" s="87">
        <f t="shared" si="40"/>
        <v>0.116775</v>
      </c>
      <c r="SD50" s="87">
        <f t="shared" si="40"/>
        <v>0.34236</v>
      </c>
      <c r="SE50" s="87">
        <f t="shared" si="40"/>
        <v>0.078165</v>
      </c>
      <c r="SF50" s="87">
        <f t="shared" si="40"/>
        <v>0.01962</v>
      </c>
      <c r="SG50" s="87">
        <f t="shared" si="40"/>
        <v>0.132525</v>
      </c>
      <c r="SH50" s="87">
        <f t="shared" si="40"/>
        <v>0.094095</v>
      </c>
      <c r="SI50" s="87">
        <f t="shared" si="40"/>
        <v>0.052335</v>
      </c>
      <c r="SJ50" s="87">
        <f t="shared" si="40"/>
        <v>0.15309</v>
      </c>
      <c r="SK50" s="87">
        <f t="shared" si="40"/>
        <v>0.43263</v>
      </c>
      <c r="SL50" s="87">
        <f t="shared" si="40"/>
        <v>0.187785</v>
      </c>
    </row>
    <row r="51">
      <c r="A51" s="53" t="s">
        <v>379</v>
      </c>
      <c r="B51" s="88">
        <f>B42*B47*B50</f>
        <v>5.986295771</v>
      </c>
      <c r="C51" s="302"/>
      <c r="D51" s="303"/>
      <c r="E51" s="304"/>
      <c r="F51" s="88"/>
      <c r="G51" s="88">
        <f t="shared" ref="G51:SL51" si="41">G42*G47*G50</f>
        <v>2.904268782</v>
      </c>
      <c r="H51" s="88">
        <f t="shared" si="41"/>
        <v>2.732061582</v>
      </c>
      <c r="I51" s="88">
        <f t="shared" si="41"/>
        <v>11.61514269</v>
      </c>
      <c r="J51" s="88">
        <f t="shared" si="41"/>
        <v>4.784014114</v>
      </c>
      <c r="K51" s="88">
        <f t="shared" si="41"/>
        <v>0.3146629382</v>
      </c>
      <c r="L51" s="88">
        <f t="shared" si="41"/>
        <v>8.279209536</v>
      </c>
      <c r="M51" s="88">
        <f t="shared" si="41"/>
        <v>2.938437418</v>
      </c>
      <c r="N51" s="88">
        <f t="shared" si="41"/>
        <v>4.063550876</v>
      </c>
      <c r="O51" s="88">
        <f t="shared" si="41"/>
        <v>1.084678025</v>
      </c>
      <c r="P51" s="88">
        <f t="shared" si="41"/>
        <v>3.877028732</v>
      </c>
      <c r="Q51" s="88">
        <f t="shared" si="41"/>
        <v>10.29641062</v>
      </c>
      <c r="R51" s="88">
        <f t="shared" si="41"/>
        <v>11.43864132</v>
      </c>
      <c r="S51" s="88">
        <f t="shared" si="41"/>
        <v>5.74229578</v>
      </c>
      <c r="T51" s="88">
        <f t="shared" si="41"/>
        <v>8.130189255</v>
      </c>
      <c r="U51" s="88">
        <f t="shared" si="41"/>
        <v>9.565901383</v>
      </c>
      <c r="V51" s="88">
        <f t="shared" si="41"/>
        <v>8.818008652</v>
      </c>
      <c r="W51" s="88">
        <f t="shared" si="41"/>
        <v>6.867977936</v>
      </c>
      <c r="X51" s="88">
        <f t="shared" si="41"/>
        <v>8.236155954</v>
      </c>
      <c r="Y51" s="88">
        <f t="shared" si="41"/>
        <v>0.134567653</v>
      </c>
      <c r="Z51" s="88">
        <f t="shared" si="41"/>
        <v>0.6029465515</v>
      </c>
      <c r="AA51" s="88">
        <f t="shared" si="41"/>
        <v>10.67156052</v>
      </c>
      <c r="AB51" s="88">
        <f t="shared" si="41"/>
        <v>6.87930358</v>
      </c>
      <c r="AC51" s="88">
        <f t="shared" si="41"/>
        <v>10.23501532</v>
      </c>
      <c r="AD51" s="88">
        <f t="shared" si="41"/>
        <v>6.876432011</v>
      </c>
      <c r="AE51" s="88">
        <f t="shared" si="41"/>
        <v>5.052091556</v>
      </c>
      <c r="AF51" s="88">
        <f t="shared" si="41"/>
        <v>10.3206031</v>
      </c>
      <c r="AG51" s="88">
        <f t="shared" si="41"/>
        <v>5.521480286</v>
      </c>
      <c r="AH51" s="88">
        <f t="shared" si="41"/>
        <v>9.998569462</v>
      </c>
      <c r="AI51" s="88">
        <f t="shared" si="41"/>
        <v>8.6884206</v>
      </c>
      <c r="AJ51" s="88">
        <f t="shared" si="41"/>
        <v>2.855157782</v>
      </c>
      <c r="AK51" s="88">
        <f t="shared" si="41"/>
        <v>0.2860893508</v>
      </c>
      <c r="AL51" s="88">
        <f t="shared" si="41"/>
        <v>7.606351032</v>
      </c>
      <c r="AM51" s="88">
        <f t="shared" si="41"/>
        <v>7.32167972</v>
      </c>
      <c r="AN51" s="88">
        <f t="shared" si="41"/>
        <v>6.470071422</v>
      </c>
      <c r="AO51" s="88">
        <f t="shared" si="41"/>
        <v>3.961922958</v>
      </c>
      <c r="AP51" s="88">
        <f t="shared" si="41"/>
        <v>2.243321011</v>
      </c>
      <c r="AQ51" s="88">
        <f t="shared" si="41"/>
        <v>3.704481453</v>
      </c>
      <c r="AR51" s="88">
        <f t="shared" si="41"/>
        <v>7.965043603</v>
      </c>
      <c r="AS51" s="88">
        <f t="shared" si="41"/>
        <v>8.673765435</v>
      </c>
      <c r="AT51" s="88">
        <f t="shared" si="41"/>
        <v>10.58472873</v>
      </c>
      <c r="AU51" s="88">
        <f t="shared" si="41"/>
        <v>8.155221663</v>
      </c>
      <c r="AV51" s="88">
        <f t="shared" si="41"/>
        <v>8.071156112</v>
      </c>
      <c r="AW51" s="88">
        <f t="shared" si="41"/>
        <v>7.852925414</v>
      </c>
      <c r="AX51" s="88">
        <f t="shared" si="41"/>
        <v>3.745193823</v>
      </c>
      <c r="AY51" s="88">
        <f t="shared" si="41"/>
        <v>4.960856561</v>
      </c>
      <c r="AZ51" s="88">
        <f t="shared" si="41"/>
        <v>9.752007907</v>
      </c>
      <c r="BA51" s="88">
        <f t="shared" si="41"/>
        <v>7.430056189</v>
      </c>
      <c r="BB51" s="88">
        <f t="shared" si="41"/>
        <v>7.003453796</v>
      </c>
      <c r="BC51" s="88">
        <f t="shared" si="41"/>
        <v>12.08470973</v>
      </c>
      <c r="BD51" s="88">
        <f t="shared" si="41"/>
        <v>5.272502976</v>
      </c>
      <c r="BE51" s="88">
        <f t="shared" si="41"/>
        <v>7.562947537</v>
      </c>
      <c r="BF51" s="88">
        <f t="shared" si="41"/>
        <v>5.07543697</v>
      </c>
      <c r="BG51" s="88">
        <f t="shared" si="41"/>
        <v>7.16699227</v>
      </c>
      <c r="BH51" s="88">
        <f t="shared" si="41"/>
        <v>3.109053689</v>
      </c>
      <c r="BI51" s="88">
        <f t="shared" si="41"/>
        <v>13.10641777</v>
      </c>
      <c r="BJ51" s="88">
        <f t="shared" si="41"/>
        <v>2.767163082</v>
      </c>
      <c r="BK51" s="88">
        <f t="shared" si="41"/>
        <v>1.144917264</v>
      </c>
      <c r="BL51" s="88">
        <f t="shared" si="41"/>
        <v>9.386143754</v>
      </c>
      <c r="BM51" s="88">
        <f t="shared" si="41"/>
        <v>6.467956122</v>
      </c>
      <c r="BN51" s="88">
        <f t="shared" si="41"/>
        <v>6.942316897</v>
      </c>
      <c r="BO51" s="88">
        <f t="shared" si="41"/>
        <v>7.764669171</v>
      </c>
      <c r="BP51" s="88">
        <f t="shared" si="41"/>
        <v>5.463583114</v>
      </c>
      <c r="BQ51" s="88">
        <f t="shared" si="41"/>
        <v>4.390127825</v>
      </c>
      <c r="BR51" s="88">
        <f t="shared" si="41"/>
        <v>1.454156761</v>
      </c>
      <c r="BS51" s="88">
        <f t="shared" si="41"/>
        <v>4.04058545</v>
      </c>
      <c r="BT51" s="88">
        <f t="shared" si="41"/>
        <v>2.330040914</v>
      </c>
      <c r="BU51" s="88">
        <f t="shared" si="41"/>
        <v>1.047421601</v>
      </c>
      <c r="BV51" s="88">
        <f t="shared" si="41"/>
        <v>4.182328676</v>
      </c>
      <c r="BW51" s="88">
        <f t="shared" si="41"/>
        <v>0.5760992977</v>
      </c>
      <c r="BX51" s="88">
        <f t="shared" si="41"/>
        <v>11.31376206</v>
      </c>
      <c r="BY51" s="88">
        <f t="shared" si="41"/>
        <v>0.5582488764</v>
      </c>
      <c r="BZ51" s="88">
        <f t="shared" si="41"/>
        <v>0.6730734409</v>
      </c>
      <c r="CA51" s="88">
        <f t="shared" si="41"/>
        <v>12.69716737</v>
      </c>
      <c r="CB51" s="88">
        <f t="shared" si="41"/>
        <v>10.15310398</v>
      </c>
      <c r="CC51" s="88">
        <f t="shared" si="41"/>
        <v>5.864475934</v>
      </c>
      <c r="CD51" s="88">
        <f t="shared" si="41"/>
        <v>6.440743134</v>
      </c>
      <c r="CE51" s="88">
        <f t="shared" si="41"/>
        <v>12.38260648</v>
      </c>
      <c r="CF51" s="88">
        <f t="shared" si="41"/>
        <v>1.883081695</v>
      </c>
      <c r="CG51" s="88">
        <f t="shared" si="41"/>
        <v>2.001252884</v>
      </c>
      <c r="CH51" s="88">
        <f t="shared" si="41"/>
        <v>1.133486433</v>
      </c>
      <c r="CI51" s="88">
        <f t="shared" si="41"/>
        <v>10.74328575</v>
      </c>
      <c r="CJ51" s="88">
        <f t="shared" si="41"/>
        <v>8.725268531</v>
      </c>
      <c r="CK51" s="88">
        <f t="shared" si="41"/>
        <v>6.774698905</v>
      </c>
      <c r="CL51" s="88">
        <f t="shared" si="41"/>
        <v>2.963101954</v>
      </c>
      <c r="CM51" s="88">
        <f t="shared" si="41"/>
        <v>3.133719223</v>
      </c>
      <c r="CN51" s="88">
        <f t="shared" si="41"/>
        <v>5.150509252</v>
      </c>
      <c r="CO51" s="88">
        <f t="shared" si="41"/>
        <v>5.975204732</v>
      </c>
      <c r="CP51" s="88">
        <f t="shared" si="41"/>
        <v>9.56701854</v>
      </c>
      <c r="CQ51" s="88">
        <f t="shared" si="41"/>
        <v>6.785569591</v>
      </c>
      <c r="CR51" s="88">
        <f t="shared" si="41"/>
        <v>0.9570470637</v>
      </c>
      <c r="CS51" s="88">
        <f t="shared" si="41"/>
        <v>6.055723974</v>
      </c>
      <c r="CT51" s="88">
        <f t="shared" si="41"/>
        <v>6.773780579</v>
      </c>
      <c r="CU51" s="88">
        <f t="shared" si="41"/>
        <v>2.39177858</v>
      </c>
      <c r="CV51" s="88">
        <f t="shared" si="41"/>
        <v>2.041794644</v>
      </c>
      <c r="CW51" s="88">
        <f t="shared" si="41"/>
        <v>4.374638</v>
      </c>
      <c r="CX51" s="88">
        <f t="shared" si="41"/>
        <v>8.993987504</v>
      </c>
      <c r="CY51" s="88">
        <f t="shared" si="41"/>
        <v>2.98425396</v>
      </c>
      <c r="CZ51" s="88">
        <f t="shared" si="41"/>
        <v>7.090537866</v>
      </c>
      <c r="DA51" s="88">
        <f t="shared" si="41"/>
        <v>2.70304173</v>
      </c>
      <c r="DB51" s="88">
        <f t="shared" si="41"/>
        <v>9.991807941</v>
      </c>
      <c r="DC51" s="88">
        <f t="shared" si="41"/>
        <v>9.077758302</v>
      </c>
      <c r="DD51" s="88">
        <f t="shared" si="41"/>
        <v>8.488420311</v>
      </c>
      <c r="DE51" s="88">
        <f t="shared" si="41"/>
        <v>0.7719543618</v>
      </c>
      <c r="DF51" s="88">
        <f t="shared" si="41"/>
        <v>7.944968132</v>
      </c>
      <c r="DG51" s="88">
        <f t="shared" si="41"/>
        <v>3.850219961</v>
      </c>
      <c r="DH51" s="88">
        <f t="shared" si="41"/>
        <v>3.6017703</v>
      </c>
      <c r="DI51" s="88">
        <f t="shared" si="41"/>
        <v>0.1930580386</v>
      </c>
      <c r="DJ51" s="88">
        <f t="shared" si="41"/>
        <v>4.449908115</v>
      </c>
      <c r="DK51" s="88">
        <f t="shared" si="41"/>
        <v>2.665801839</v>
      </c>
      <c r="DL51" s="88">
        <f t="shared" si="41"/>
        <v>8.721437301</v>
      </c>
      <c r="DM51" s="88">
        <f t="shared" si="41"/>
        <v>5.625739894</v>
      </c>
      <c r="DN51" s="88">
        <f t="shared" si="41"/>
        <v>1.042318426</v>
      </c>
      <c r="DO51" s="88">
        <f t="shared" si="41"/>
        <v>5.251718272</v>
      </c>
      <c r="DP51" s="88">
        <f t="shared" si="41"/>
        <v>5.828616455</v>
      </c>
      <c r="DQ51" s="88">
        <f t="shared" si="41"/>
        <v>0.7264684911</v>
      </c>
      <c r="DR51" s="88">
        <f t="shared" si="41"/>
        <v>7.02222853</v>
      </c>
      <c r="DS51" s="88">
        <f t="shared" si="41"/>
        <v>9.183941221</v>
      </c>
      <c r="DT51" s="88">
        <f t="shared" si="41"/>
        <v>8.674417941</v>
      </c>
      <c r="DU51" s="88">
        <f t="shared" si="41"/>
        <v>10.21207227</v>
      </c>
      <c r="DV51" s="88">
        <f t="shared" si="41"/>
        <v>2.798726682</v>
      </c>
      <c r="DW51" s="88">
        <f t="shared" si="41"/>
        <v>6.506983777</v>
      </c>
      <c r="DX51" s="88">
        <f t="shared" si="41"/>
        <v>11.01103509</v>
      </c>
      <c r="DY51" s="88">
        <f t="shared" si="41"/>
        <v>4.739083544</v>
      </c>
      <c r="DZ51" s="88">
        <f t="shared" si="41"/>
        <v>9.862275618</v>
      </c>
      <c r="EA51" s="88">
        <f t="shared" si="41"/>
        <v>9.450786626</v>
      </c>
      <c r="EB51" s="88">
        <f t="shared" si="41"/>
        <v>4.465548881</v>
      </c>
      <c r="EC51" s="88">
        <f t="shared" si="41"/>
        <v>8.763983901</v>
      </c>
      <c r="ED51" s="88">
        <f t="shared" si="41"/>
        <v>3.375747441</v>
      </c>
      <c r="EE51" s="88">
        <f t="shared" si="41"/>
        <v>9.920051069</v>
      </c>
      <c r="EF51" s="88">
        <f t="shared" si="41"/>
        <v>9.781829637</v>
      </c>
      <c r="EG51" s="88">
        <f t="shared" si="41"/>
        <v>2.13244113</v>
      </c>
      <c r="EH51" s="88">
        <f t="shared" si="41"/>
        <v>1.401212536</v>
      </c>
      <c r="EI51" s="88">
        <f t="shared" si="41"/>
        <v>4.577012283</v>
      </c>
      <c r="EJ51" s="88">
        <f t="shared" si="41"/>
        <v>5.242193505</v>
      </c>
      <c r="EK51" s="88">
        <f t="shared" si="41"/>
        <v>2.509272177</v>
      </c>
      <c r="EL51" s="88">
        <f t="shared" si="41"/>
        <v>8.988134047</v>
      </c>
      <c r="EM51" s="88">
        <f t="shared" si="41"/>
        <v>5.140283376</v>
      </c>
      <c r="EN51" s="88">
        <f t="shared" si="41"/>
        <v>5.916683418</v>
      </c>
      <c r="EO51" s="88">
        <f t="shared" si="41"/>
        <v>1.005579531</v>
      </c>
      <c r="EP51" s="88">
        <f t="shared" si="41"/>
        <v>3.399135614</v>
      </c>
      <c r="EQ51" s="88">
        <f t="shared" si="41"/>
        <v>4.345767378</v>
      </c>
      <c r="ER51" s="88">
        <f t="shared" si="41"/>
        <v>10.06017472</v>
      </c>
      <c r="ES51" s="88">
        <f t="shared" si="41"/>
        <v>6.772804385</v>
      </c>
      <c r="ET51" s="88">
        <f t="shared" si="41"/>
        <v>2.861120702</v>
      </c>
      <c r="EU51" s="88">
        <f t="shared" si="41"/>
        <v>6.108765405</v>
      </c>
      <c r="EV51" s="88">
        <f t="shared" si="41"/>
        <v>1.799060043</v>
      </c>
      <c r="EW51" s="88">
        <f t="shared" si="41"/>
        <v>3.265318243</v>
      </c>
      <c r="EX51" s="88">
        <f t="shared" si="41"/>
        <v>1.50889773</v>
      </c>
      <c r="EY51" s="88">
        <f t="shared" si="41"/>
        <v>1.547636333</v>
      </c>
      <c r="EZ51" s="88">
        <f t="shared" si="41"/>
        <v>8.433868053</v>
      </c>
      <c r="FA51" s="88">
        <f t="shared" si="41"/>
        <v>10.49564809</v>
      </c>
      <c r="FB51" s="88">
        <f t="shared" si="41"/>
        <v>5.638940103</v>
      </c>
      <c r="FC51" s="88">
        <f t="shared" si="41"/>
        <v>2.532578252</v>
      </c>
      <c r="FD51" s="88">
        <f t="shared" si="41"/>
        <v>4.584502706</v>
      </c>
      <c r="FE51" s="88">
        <f t="shared" si="41"/>
        <v>9.414008678</v>
      </c>
      <c r="FF51" s="88">
        <f t="shared" si="41"/>
        <v>8.937614414</v>
      </c>
      <c r="FG51" s="88">
        <f t="shared" si="41"/>
        <v>6.265131014</v>
      </c>
      <c r="FH51" s="88">
        <f t="shared" si="41"/>
        <v>2.656106463</v>
      </c>
      <c r="FI51" s="88">
        <f t="shared" si="41"/>
        <v>1.943148614</v>
      </c>
      <c r="FJ51" s="88">
        <f t="shared" si="41"/>
        <v>6.893299682</v>
      </c>
      <c r="FK51" s="88">
        <f t="shared" si="41"/>
        <v>0.856697505</v>
      </c>
      <c r="FL51" s="88">
        <f t="shared" si="41"/>
        <v>6.706341109</v>
      </c>
      <c r="FM51" s="88">
        <f t="shared" si="41"/>
        <v>5.07418954</v>
      </c>
      <c r="FN51" s="88">
        <f t="shared" si="41"/>
        <v>4.442799959</v>
      </c>
      <c r="FO51" s="88">
        <f t="shared" si="41"/>
        <v>6.454580599</v>
      </c>
      <c r="FP51" s="88">
        <f t="shared" si="41"/>
        <v>1.654066115</v>
      </c>
      <c r="FQ51" s="88">
        <f t="shared" si="41"/>
        <v>9.167705531</v>
      </c>
      <c r="FR51" s="88">
        <f t="shared" si="41"/>
        <v>5.830160349</v>
      </c>
      <c r="FS51" s="88">
        <f t="shared" si="41"/>
        <v>2.017525346</v>
      </c>
      <c r="FT51" s="88">
        <f t="shared" si="41"/>
        <v>0.5851661128</v>
      </c>
      <c r="FU51" s="88">
        <f t="shared" si="41"/>
        <v>1.947549397</v>
      </c>
      <c r="FV51" s="88">
        <f t="shared" si="41"/>
        <v>0.5686125797</v>
      </c>
      <c r="FW51" s="88">
        <f t="shared" si="41"/>
        <v>1.571417606</v>
      </c>
      <c r="FX51" s="88">
        <f t="shared" si="41"/>
        <v>7.659312645</v>
      </c>
      <c r="FY51" s="88">
        <f t="shared" si="41"/>
        <v>7.795756717</v>
      </c>
      <c r="FZ51" s="88">
        <f t="shared" si="41"/>
        <v>10.94657921</v>
      </c>
      <c r="GA51" s="88">
        <f t="shared" si="41"/>
        <v>5.988067714</v>
      </c>
      <c r="GB51" s="88">
        <f t="shared" si="41"/>
        <v>7.140459867</v>
      </c>
      <c r="GC51" s="88">
        <f t="shared" si="41"/>
        <v>10.64946154</v>
      </c>
      <c r="GD51" s="88">
        <f t="shared" si="41"/>
        <v>3.71539276</v>
      </c>
      <c r="GE51" s="88">
        <f t="shared" si="41"/>
        <v>8.82987064</v>
      </c>
      <c r="GF51" s="88">
        <f t="shared" si="41"/>
        <v>8.67100447</v>
      </c>
      <c r="GG51" s="88">
        <f t="shared" si="41"/>
        <v>1.027871357</v>
      </c>
      <c r="GH51" s="88">
        <f t="shared" si="41"/>
        <v>0.9954354681</v>
      </c>
      <c r="GI51" s="88">
        <f t="shared" si="41"/>
        <v>5.372962141</v>
      </c>
      <c r="GJ51" s="88">
        <f t="shared" si="41"/>
        <v>1.740206773</v>
      </c>
      <c r="GK51" s="88">
        <f t="shared" si="41"/>
        <v>3.573328697</v>
      </c>
      <c r="GL51" s="88">
        <f t="shared" si="41"/>
        <v>4.086636313</v>
      </c>
      <c r="GM51" s="88">
        <f t="shared" si="41"/>
        <v>8.694528902</v>
      </c>
      <c r="GN51" s="88">
        <f t="shared" si="41"/>
        <v>8.003720062</v>
      </c>
      <c r="GO51" s="88">
        <f t="shared" si="41"/>
        <v>9.91729666</v>
      </c>
      <c r="GP51" s="88">
        <f t="shared" si="41"/>
        <v>8.68840877</v>
      </c>
      <c r="GQ51" s="88">
        <f t="shared" si="41"/>
        <v>1.820819658</v>
      </c>
      <c r="GR51" s="88">
        <f t="shared" si="41"/>
        <v>1.995651421</v>
      </c>
      <c r="GS51" s="88">
        <f t="shared" si="41"/>
        <v>12.4746023</v>
      </c>
      <c r="GT51" s="88">
        <f t="shared" si="41"/>
        <v>8.823134917</v>
      </c>
      <c r="GU51" s="88">
        <f t="shared" si="41"/>
        <v>11.45268603</v>
      </c>
      <c r="GV51" s="88">
        <f t="shared" si="41"/>
        <v>9.529450828</v>
      </c>
      <c r="GW51" s="88">
        <f t="shared" si="41"/>
        <v>2.023484703</v>
      </c>
      <c r="GX51" s="88">
        <f t="shared" si="41"/>
        <v>7.323786041</v>
      </c>
      <c r="GY51" s="88">
        <f t="shared" si="41"/>
        <v>4.275281596</v>
      </c>
      <c r="GZ51" s="88">
        <f t="shared" si="41"/>
        <v>8.555811178</v>
      </c>
      <c r="HA51" s="88">
        <f t="shared" si="41"/>
        <v>10.11047357</v>
      </c>
      <c r="HB51" s="88">
        <f t="shared" si="41"/>
        <v>6.621490212</v>
      </c>
      <c r="HC51" s="88">
        <f t="shared" si="41"/>
        <v>10.78632194</v>
      </c>
      <c r="HD51" s="88">
        <f t="shared" si="41"/>
        <v>10.10809986</v>
      </c>
      <c r="HE51" s="88">
        <f t="shared" si="41"/>
        <v>11.0945422</v>
      </c>
      <c r="HF51" s="88">
        <f t="shared" si="41"/>
        <v>5.002598003</v>
      </c>
      <c r="HG51" s="88">
        <f t="shared" si="41"/>
        <v>8.502250365</v>
      </c>
      <c r="HH51" s="88">
        <f t="shared" si="41"/>
        <v>10.37372178</v>
      </c>
      <c r="HI51" s="88">
        <f t="shared" si="41"/>
        <v>6.060726379</v>
      </c>
      <c r="HJ51" s="88">
        <f t="shared" si="41"/>
        <v>9.652907916</v>
      </c>
      <c r="HK51" s="88">
        <f t="shared" si="41"/>
        <v>4.573202005</v>
      </c>
      <c r="HL51" s="88">
        <f t="shared" si="41"/>
        <v>9.603999025</v>
      </c>
      <c r="HM51" s="88">
        <f t="shared" si="41"/>
        <v>4.427083795</v>
      </c>
      <c r="HN51" s="88">
        <f t="shared" si="41"/>
        <v>1.617206354</v>
      </c>
      <c r="HO51" s="88">
        <f t="shared" si="41"/>
        <v>2.955647733</v>
      </c>
      <c r="HP51" s="88">
        <f t="shared" si="41"/>
        <v>12.07305299</v>
      </c>
      <c r="HQ51" s="88">
        <f t="shared" si="41"/>
        <v>1.648733323</v>
      </c>
      <c r="HR51" s="88">
        <f t="shared" si="41"/>
        <v>6.993036643</v>
      </c>
      <c r="HS51" s="88">
        <f t="shared" si="41"/>
        <v>10.42314663</v>
      </c>
      <c r="HT51" s="88">
        <f t="shared" si="41"/>
        <v>2.245469806</v>
      </c>
      <c r="HU51" s="88">
        <f t="shared" si="41"/>
        <v>8.352572018</v>
      </c>
      <c r="HV51" s="88">
        <f t="shared" si="41"/>
        <v>7.664628761</v>
      </c>
      <c r="HW51" s="88">
        <f t="shared" si="41"/>
        <v>3.773515416</v>
      </c>
      <c r="HX51" s="88">
        <f t="shared" si="41"/>
        <v>3.197987239</v>
      </c>
      <c r="HY51" s="88">
        <f t="shared" si="41"/>
        <v>0.4088647138</v>
      </c>
      <c r="HZ51" s="88">
        <f t="shared" si="41"/>
        <v>6.58143833</v>
      </c>
      <c r="IA51" s="88">
        <f t="shared" si="41"/>
        <v>8.703392468</v>
      </c>
      <c r="IB51" s="88">
        <f t="shared" si="41"/>
        <v>10.19274095</v>
      </c>
      <c r="IC51" s="88">
        <f t="shared" si="41"/>
        <v>0.9006039913</v>
      </c>
      <c r="ID51" s="88">
        <f t="shared" si="41"/>
        <v>11.90824713</v>
      </c>
      <c r="IE51" s="88">
        <f t="shared" si="41"/>
        <v>9.776399212</v>
      </c>
      <c r="IF51" s="88">
        <f t="shared" si="41"/>
        <v>0.9654394228</v>
      </c>
      <c r="IG51" s="88">
        <f t="shared" si="41"/>
        <v>0.3903503837</v>
      </c>
      <c r="IH51" s="88">
        <f t="shared" si="41"/>
        <v>9.183295413</v>
      </c>
      <c r="II51" s="88">
        <f t="shared" si="41"/>
        <v>9.854440269</v>
      </c>
      <c r="IJ51" s="88">
        <f t="shared" si="41"/>
        <v>11.40045531</v>
      </c>
      <c r="IK51" s="88">
        <f t="shared" si="41"/>
        <v>7.385361507</v>
      </c>
      <c r="IL51" s="88">
        <f t="shared" si="41"/>
        <v>8.039530226</v>
      </c>
      <c r="IM51" s="88">
        <f t="shared" si="41"/>
        <v>8.932508104</v>
      </c>
      <c r="IN51" s="88">
        <f t="shared" si="41"/>
        <v>0.924228765</v>
      </c>
      <c r="IO51" s="88">
        <f t="shared" si="41"/>
        <v>2.277027989</v>
      </c>
      <c r="IP51" s="88">
        <f t="shared" si="41"/>
        <v>7.707972678</v>
      </c>
      <c r="IQ51" s="88">
        <f t="shared" si="41"/>
        <v>3.761894305</v>
      </c>
      <c r="IR51" s="88">
        <f t="shared" si="41"/>
        <v>8.813341052</v>
      </c>
      <c r="IS51" s="88">
        <f t="shared" si="41"/>
        <v>10.52642406</v>
      </c>
      <c r="IT51" s="88">
        <f t="shared" si="41"/>
        <v>4.522503211</v>
      </c>
      <c r="IU51" s="88">
        <f t="shared" si="41"/>
        <v>7.562609453</v>
      </c>
      <c r="IV51" s="88">
        <f t="shared" si="41"/>
        <v>6.381391292</v>
      </c>
      <c r="IW51" s="88">
        <f t="shared" si="41"/>
        <v>2.47796157</v>
      </c>
      <c r="IX51" s="88">
        <f t="shared" si="41"/>
        <v>5.373829156</v>
      </c>
      <c r="IY51" s="88">
        <f t="shared" si="41"/>
        <v>4.959869534</v>
      </c>
      <c r="IZ51" s="88">
        <f t="shared" si="41"/>
        <v>7.872154679</v>
      </c>
      <c r="JA51" s="88">
        <f t="shared" si="41"/>
        <v>2.398531122</v>
      </c>
      <c r="JB51" s="88">
        <f t="shared" si="41"/>
        <v>5.619765</v>
      </c>
      <c r="JC51" s="88">
        <f t="shared" si="41"/>
        <v>1.645469937</v>
      </c>
      <c r="JD51" s="88">
        <f t="shared" si="41"/>
        <v>7.959127432</v>
      </c>
      <c r="JE51" s="88">
        <f t="shared" si="41"/>
        <v>6.592144535</v>
      </c>
      <c r="JF51" s="88">
        <f t="shared" si="41"/>
        <v>4.606130338</v>
      </c>
      <c r="JG51" s="88">
        <f t="shared" si="41"/>
        <v>10.06707136</v>
      </c>
      <c r="JH51" s="88">
        <f t="shared" si="41"/>
        <v>1.270086718</v>
      </c>
      <c r="JI51" s="88">
        <f t="shared" si="41"/>
        <v>9.514667243</v>
      </c>
      <c r="JJ51" s="88">
        <f t="shared" si="41"/>
        <v>10.32220286</v>
      </c>
      <c r="JK51" s="88">
        <f t="shared" si="41"/>
        <v>4.270847461</v>
      </c>
      <c r="JL51" s="88">
        <f t="shared" si="41"/>
        <v>11.01933608</v>
      </c>
      <c r="JM51" s="88">
        <f t="shared" si="41"/>
        <v>1.073659108</v>
      </c>
      <c r="JN51" s="88">
        <f t="shared" si="41"/>
        <v>2.843410674</v>
      </c>
      <c r="JO51" s="88">
        <f t="shared" si="41"/>
        <v>0.9003035363</v>
      </c>
      <c r="JP51" s="88">
        <f t="shared" si="41"/>
        <v>10.79075009</v>
      </c>
      <c r="JQ51" s="88">
        <f t="shared" si="41"/>
        <v>9.772842355</v>
      </c>
      <c r="JR51" s="88">
        <f t="shared" si="41"/>
        <v>10.5191299</v>
      </c>
      <c r="JS51" s="88">
        <f t="shared" si="41"/>
        <v>6.461797934</v>
      </c>
      <c r="JT51" s="88">
        <f t="shared" si="41"/>
        <v>3.230119679</v>
      </c>
      <c r="JU51" s="88">
        <f t="shared" si="41"/>
        <v>3.191952768</v>
      </c>
      <c r="JV51" s="88">
        <f t="shared" si="41"/>
        <v>10.22897514</v>
      </c>
      <c r="JW51" s="88">
        <f t="shared" si="41"/>
        <v>8.827159561</v>
      </c>
      <c r="JX51" s="88">
        <f t="shared" si="41"/>
        <v>5.477210489</v>
      </c>
      <c r="JY51" s="88">
        <f t="shared" si="41"/>
        <v>7.440195976</v>
      </c>
      <c r="JZ51" s="88">
        <f t="shared" si="41"/>
        <v>4.914051139</v>
      </c>
      <c r="KA51" s="88">
        <f t="shared" si="41"/>
        <v>4.504257837</v>
      </c>
      <c r="KB51" s="88">
        <f t="shared" si="41"/>
        <v>6.611969722</v>
      </c>
      <c r="KC51" s="88">
        <f t="shared" si="41"/>
        <v>8.974630674</v>
      </c>
      <c r="KD51" s="88">
        <f t="shared" si="41"/>
        <v>6.41374722</v>
      </c>
      <c r="KE51" s="88">
        <f t="shared" si="41"/>
        <v>2.421030757</v>
      </c>
      <c r="KF51" s="88">
        <f t="shared" si="41"/>
        <v>1.820583912</v>
      </c>
      <c r="KG51" s="88">
        <f t="shared" si="41"/>
        <v>1.77800567</v>
      </c>
      <c r="KH51" s="88">
        <f t="shared" si="41"/>
        <v>3.256305447</v>
      </c>
      <c r="KI51" s="88">
        <f t="shared" si="41"/>
        <v>7.420109103</v>
      </c>
      <c r="KJ51" s="88">
        <f t="shared" si="41"/>
        <v>0.8727906634</v>
      </c>
      <c r="KK51" s="88">
        <f t="shared" si="41"/>
        <v>3.496115886</v>
      </c>
      <c r="KL51" s="88">
        <f t="shared" si="41"/>
        <v>10.01132711</v>
      </c>
      <c r="KM51" s="88">
        <f t="shared" si="41"/>
        <v>4.218942144</v>
      </c>
      <c r="KN51" s="88">
        <f t="shared" si="41"/>
        <v>7.23384494</v>
      </c>
      <c r="KO51" s="88">
        <f t="shared" si="41"/>
        <v>5.44916341</v>
      </c>
      <c r="KP51" s="88">
        <f t="shared" si="41"/>
        <v>12.96879269</v>
      </c>
      <c r="KQ51" s="88">
        <f t="shared" si="41"/>
        <v>2.929795772</v>
      </c>
      <c r="KR51" s="88">
        <f t="shared" si="41"/>
        <v>0.4189722891</v>
      </c>
      <c r="KS51" s="88">
        <f t="shared" si="41"/>
        <v>2.573469356</v>
      </c>
      <c r="KT51" s="88">
        <f t="shared" si="41"/>
        <v>4.326585149</v>
      </c>
      <c r="KU51" s="88">
        <f t="shared" si="41"/>
        <v>0.4866921175</v>
      </c>
      <c r="KV51" s="88">
        <f t="shared" si="41"/>
        <v>9.674542674</v>
      </c>
      <c r="KW51" s="88">
        <f t="shared" si="41"/>
        <v>8.693715193</v>
      </c>
      <c r="KX51" s="88">
        <f t="shared" si="41"/>
        <v>9.588899877</v>
      </c>
      <c r="KY51" s="88">
        <f t="shared" si="41"/>
        <v>9.861167298</v>
      </c>
      <c r="KZ51" s="88">
        <f t="shared" si="41"/>
        <v>6.524712619</v>
      </c>
      <c r="LA51" s="88">
        <f t="shared" si="41"/>
        <v>2.186803537</v>
      </c>
      <c r="LB51" s="88">
        <f t="shared" si="41"/>
        <v>8.217676829</v>
      </c>
      <c r="LC51" s="88">
        <f t="shared" si="41"/>
        <v>12.96076221</v>
      </c>
      <c r="LD51" s="88">
        <f t="shared" si="41"/>
        <v>11.69708511</v>
      </c>
      <c r="LE51" s="88">
        <f t="shared" si="41"/>
        <v>3.949915304</v>
      </c>
      <c r="LF51" s="88">
        <f t="shared" si="41"/>
        <v>6.751639837</v>
      </c>
      <c r="LG51" s="88">
        <f t="shared" si="41"/>
        <v>0.7417777299</v>
      </c>
      <c r="LH51" s="88">
        <f t="shared" si="41"/>
        <v>10.92510096</v>
      </c>
      <c r="LI51" s="88">
        <f t="shared" si="41"/>
        <v>5.500542931</v>
      </c>
      <c r="LJ51" s="88">
        <f t="shared" si="41"/>
        <v>1.99624834</v>
      </c>
      <c r="LK51" s="88">
        <f t="shared" si="41"/>
        <v>11.48680792</v>
      </c>
      <c r="LL51" s="88">
        <f t="shared" si="41"/>
        <v>10.33598546</v>
      </c>
      <c r="LM51" s="88">
        <f t="shared" si="41"/>
        <v>0.9084614321</v>
      </c>
      <c r="LN51" s="88">
        <f t="shared" si="41"/>
        <v>2.218736719</v>
      </c>
      <c r="LO51" s="88">
        <f t="shared" si="41"/>
        <v>10.45908465</v>
      </c>
      <c r="LP51" s="88">
        <f t="shared" si="41"/>
        <v>3.846511451</v>
      </c>
      <c r="LQ51" s="88">
        <f t="shared" si="41"/>
        <v>7.117818128</v>
      </c>
      <c r="LR51" s="88">
        <f t="shared" si="41"/>
        <v>7.750434044</v>
      </c>
      <c r="LS51" s="88">
        <f t="shared" si="41"/>
        <v>0.7375656581</v>
      </c>
      <c r="LT51" s="88">
        <f t="shared" si="41"/>
        <v>3.345632953</v>
      </c>
      <c r="LU51" s="88">
        <f t="shared" si="41"/>
        <v>9.713731247</v>
      </c>
      <c r="LV51" s="88">
        <f t="shared" si="41"/>
        <v>5.721178267</v>
      </c>
      <c r="LW51" s="88">
        <f t="shared" si="41"/>
        <v>0.742073909</v>
      </c>
      <c r="LX51" s="88">
        <f t="shared" si="41"/>
        <v>9.837086568</v>
      </c>
      <c r="LY51" s="88">
        <f t="shared" si="41"/>
        <v>1.391590706</v>
      </c>
      <c r="LZ51" s="88">
        <f t="shared" si="41"/>
        <v>2.723498898</v>
      </c>
      <c r="MA51" s="88">
        <f t="shared" si="41"/>
        <v>10.59563362</v>
      </c>
      <c r="MB51" s="88">
        <f t="shared" si="41"/>
        <v>9.717228954</v>
      </c>
      <c r="MC51" s="88">
        <f t="shared" si="41"/>
        <v>3.765234658</v>
      </c>
      <c r="MD51" s="88">
        <f t="shared" si="41"/>
        <v>0.9977625694</v>
      </c>
      <c r="ME51" s="88">
        <f t="shared" si="41"/>
        <v>10.64586534</v>
      </c>
      <c r="MF51" s="88">
        <f t="shared" si="41"/>
        <v>4.197006075</v>
      </c>
      <c r="MG51" s="88">
        <f t="shared" si="41"/>
        <v>10.64059498</v>
      </c>
      <c r="MH51" s="88">
        <f t="shared" si="41"/>
        <v>7.213415423</v>
      </c>
      <c r="MI51" s="88">
        <f t="shared" si="41"/>
        <v>9.860901763</v>
      </c>
      <c r="MJ51" s="88">
        <f t="shared" si="41"/>
        <v>4.768754049</v>
      </c>
      <c r="MK51" s="88">
        <f t="shared" si="41"/>
        <v>3.126790798</v>
      </c>
      <c r="ML51" s="88">
        <f t="shared" si="41"/>
        <v>10.22522259</v>
      </c>
      <c r="MM51" s="88">
        <f t="shared" si="41"/>
        <v>2.891077552</v>
      </c>
      <c r="MN51" s="88">
        <f t="shared" si="41"/>
        <v>3.99009133</v>
      </c>
      <c r="MO51" s="88">
        <f t="shared" si="41"/>
        <v>8.299769041</v>
      </c>
      <c r="MP51" s="88">
        <f t="shared" si="41"/>
        <v>10.53136233</v>
      </c>
      <c r="MQ51" s="88">
        <f t="shared" si="41"/>
        <v>8.759626875</v>
      </c>
      <c r="MR51" s="88">
        <f t="shared" si="41"/>
        <v>7.027068877</v>
      </c>
      <c r="MS51" s="88">
        <f t="shared" si="41"/>
        <v>2.787624669</v>
      </c>
      <c r="MT51" s="88">
        <f t="shared" si="41"/>
        <v>7.669556623</v>
      </c>
      <c r="MU51" s="88">
        <f t="shared" si="41"/>
        <v>5.169954451</v>
      </c>
      <c r="MV51" s="88">
        <f t="shared" si="41"/>
        <v>4.788015098</v>
      </c>
      <c r="MW51" s="88">
        <f t="shared" si="41"/>
        <v>2.140239278</v>
      </c>
      <c r="MX51" s="88">
        <f t="shared" si="41"/>
        <v>7.27380432</v>
      </c>
      <c r="MY51" s="88">
        <f t="shared" si="41"/>
        <v>0.8074298632</v>
      </c>
      <c r="MZ51" s="88">
        <f t="shared" si="41"/>
        <v>10.0019483</v>
      </c>
      <c r="NA51" s="88">
        <f t="shared" si="41"/>
        <v>11.13677295</v>
      </c>
      <c r="NB51" s="88">
        <f t="shared" si="41"/>
        <v>7.126815531</v>
      </c>
      <c r="NC51" s="88">
        <f t="shared" si="41"/>
        <v>5.28574452</v>
      </c>
      <c r="ND51" s="88">
        <f t="shared" si="41"/>
        <v>6.764717755</v>
      </c>
      <c r="NE51" s="88">
        <f t="shared" si="41"/>
        <v>11.17412445</v>
      </c>
      <c r="NF51" s="88">
        <f t="shared" si="41"/>
        <v>0.1325958812</v>
      </c>
      <c r="NG51" s="88">
        <f t="shared" si="41"/>
        <v>9.465037716</v>
      </c>
      <c r="NH51" s="88">
        <f t="shared" si="41"/>
        <v>5.798270354</v>
      </c>
      <c r="NI51" s="88">
        <f t="shared" si="41"/>
        <v>9.320342961</v>
      </c>
      <c r="NJ51" s="88">
        <f t="shared" si="41"/>
        <v>5.335813327</v>
      </c>
      <c r="NK51" s="88">
        <f t="shared" si="41"/>
        <v>7.436190717</v>
      </c>
      <c r="NL51" s="88">
        <f t="shared" si="41"/>
        <v>3.76030922</v>
      </c>
      <c r="NM51" s="88">
        <f t="shared" si="41"/>
        <v>11.20104909</v>
      </c>
      <c r="NN51" s="88">
        <f t="shared" si="41"/>
        <v>7.316506991</v>
      </c>
      <c r="NO51" s="88">
        <f t="shared" si="41"/>
        <v>6.52621689</v>
      </c>
      <c r="NP51" s="88">
        <f t="shared" si="41"/>
        <v>0.8856784456</v>
      </c>
      <c r="NQ51" s="88">
        <f t="shared" si="41"/>
        <v>11.41326171</v>
      </c>
      <c r="NR51" s="88">
        <f t="shared" si="41"/>
        <v>6.951898961</v>
      </c>
      <c r="NS51" s="88">
        <f t="shared" si="41"/>
        <v>4.909564696</v>
      </c>
      <c r="NT51" s="88">
        <f t="shared" si="41"/>
        <v>2.441238781</v>
      </c>
      <c r="NU51" s="88">
        <f t="shared" si="41"/>
        <v>0.7883746286</v>
      </c>
      <c r="NV51" s="88">
        <f t="shared" si="41"/>
        <v>5.218481788</v>
      </c>
      <c r="NW51" s="88">
        <f t="shared" si="41"/>
        <v>11.1912853</v>
      </c>
      <c r="NX51" s="88">
        <f t="shared" si="41"/>
        <v>1.931023087</v>
      </c>
      <c r="NY51" s="88">
        <f t="shared" si="41"/>
        <v>10.38589905</v>
      </c>
      <c r="NZ51" s="88">
        <f t="shared" si="41"/>
        <v>7.319973768</v>
      </c>
      <c r="OA51" s="88">
        <f t="shared" si="41"/>
        <v>4.565258618</v>
      </c>
      <c r="OB51" s="88">
        <f t="shared" si="41"/>
        <v>7.057199899</v>
      </c>
      <c r="OC51" s="88">
        <f t="shared" si="41"/>
        <v>3.519716002</v>
      </c>
      <c r="OD51" s="88">
        <f t="shared" si="41"/>
        <v>7.112103069</v>
      </c>
      <c r="OE51" s="88">
        <f t="shared" si="41"/>
        <v>2.322343536</v>
      </c>
      <c r="OF51" s="88">
        <f t="shared" si="41"/>
        <v>6.56018584</v>
      </c>
      <c r="OG51" s="88">
        <f t="shared" si="41"/>
        <v>10.5297848</v>
      </c>
      <c r="OH51" s="88">
        <f t="shared" si="41"/>
        <v>4.190569667</v>
      </c>
      <c r="OI51" s="88">
        <f t="shared" si="41"/>
        <v>2.011055015</v>
      </c>
      <c r="OJ51" s="88">
        <f t="shared" si="41"/>
        <v>5.889824049</v>
      </c>
      <c r="OK51" s="88">
        <f t="shared" si="41"/>
        <v>7.479397519</v>
      </c>
      <c r="OL51" s="88">
        <f t="shared" si="41"/>
        <v>6.293649157</v>
      </c>
      <c r="OM51" s="88">
        <f t="shared" si="41"/>
        <v>5.690453889</v>
      </c>
      <c r="ON51" s="88">
        <f t="shared" si="41"/>
        <v>7.809960914</v>
      </c>
      <c r="OO51" s="88">
        <f t="shared" si="41"/>
        <v>3.089086827</v>
      </c>
      <c r="OP51" s="88">
        <f t="shared" si="41"/>
        <v>0.1958818598</v>
      </c>
      <c r="OQ51" s="88">
        <f t="shared" si="41"/>
        <v>5.703838819</v>
      </c>
      <c r="OR51" s="88">
        <f t="shared" si="41"/>
        <v>11.99998483</v>
      </c>
      <c r="OS51" s="88">
        <f t="shared" si="41"/>
        <v>3.648904683</v>
      </c>
      <c r="OT51" s="88">
        <f t="shared" si="41"/>
        <v>1.195199868</v>
      </c>
      <c r="OU51" s="88">
        <f t="shared" si="41"/>
        <v>8.682968082</v>
      </c>
      <c r="OV51" s="88">
        <f t="shared" si="41"/>
        <v>3.558661274</v>
      </c>
      <c r="OW51" s="88">
        <f t="shared" si="41"/>
        <v>10.00916777</v>
      </c>
      <c r="OX51" s="88">
        <f t="shared" si="41"/>
        <v>4.649552362</v>
      </c>
      <c r="OY51" s="88">
        <f t="shared" si="41"/>
        <v>3.0933046</v>
      </c>
      <c r="OZ51" s="88">
        <f t="shared" si="41"/>
        <v>8.212560684</v>
      </c>
      <c r="PA51" s="88">
        <f t="shared" si="41"/>
        <v>5.511960935</v>
      </c>
      <c r="PB51" s="88">
        <f t="shared" si="41"/>
        <v>9.921748184</v>
      </c>
      <c r="PC51" s="88">
        <f t="shared" si="41"/>
        <v>6.479945104</v>
      </c>
      <c r="PD51" s="88">
        <f t="shared" si="41"/>
        <v>0.4217969656</v>
      </c>
      <c r="PE51" s="88">
        <f t="shared" si="41"/>
        <v>7.675916635</v>
      </c>
      <c r="PF51" s="88">
        <f t="shared" si="41"/>
        <v>2.126400102</v>
      </c>
      <c r="PG51" s="88">
        <f t="shared" si="41"/>
        <v>10.36101002</v>
      </c>
      <c r="PH51" s="88">
        <f t="shared" si="41"/>
        <v>7.0838831</v>
      </c>
      <c r="PI51" s="88">
        <f t="shared" si="41"/>
        <v>1.861604291</v>
      </c>
      <c r="PJ51" s="88">
        <f t="shared" si="41"/>
        <v>6.445657027</v>
      </c>
      <c r="PK51" s="88">
        <f t="shared" si="41"/>
        <v>11.9795556</v>
      </c>
      <c r="PL51" s="88">
        <f t="shared" si="41"/>
        <v>8.810422733</v>
      </c>
      <c r="PM51" s="88">
        <f t="shared" si="41"/>
        <v>1.474448593</v>
      </c>
      <c r="PN51" s="88">
        <f t="shared" si="41"/>
        <v>4.946470494</v>
      </c>
      <c r="PO51" s="88">
        <f t="shared" si="41"/>
        <v>11.40517323</v>
      </c>
      <c r="PP51" s="88">
        <f t="shared" si="41"/>
        <v>3.832169997</v>
      </c>
      <c r="PQ51" s="88">
        <f t="shared" si="41"/>
        <v>1.565449411</v>
      </c>
      <c r="PR51" s="88">
        <f t="shared" si="41"/>
        <v>10.13790748</v>
      </c>
      <c r="PS51" s="88">
        <f t="shared" si="41"/>
        <v>0.4598492822</v>
      </c>
      <c r="PT51" s="88">
        <f t="shared" si="41"/>
        <v>3.764868924</v>
      </c>
      <c r="PU51" s="88">
        <f t="shared" si="41"/>
        <v>11.68094705</v>
      </c>
      <c r="PV51" s="88">
        <f t="shared" si="41"/>
        <v>0.7011491681</v>
      </c>
      <c r="PW51" s="88">
        <f t="shared" si="41"/>
        <v>8.151723528</v>
      </c>
      <c r="PX51" s="88">
        <f t="shared" si="41"/>
        <v>5.914391807</v>
      </c>
      <c r="PY51" s="88">
        <f t="shared" si="41"/>
        <v>10.53640735</v>
      </c>
      <c r="PZ51" s="88">
        <f t="shared" si="41"/>
        <v>2.595976545</v>
      </c>
      <c r="QA51" s="88">
        <f t="shared" si="41"/>
        <v>8.894747691</v>
      </c>
      <c r="QB51" s="88">
        <f t="shared" si="41"/>
        <v>2.462063251</v>
      </c>
      <c r="QC51" s="88">
        <f t="shared" si="41"/>
        <v>9.412652782</v>
      </c>
      <c r="QD51" s="88">
        <f t="shared" si="41"/>
        <v>6.48896018</v>
      </c>
      <c r="QE51" s="88">
        <f t="shared" si="41"/>
        <v>1.665898314</v>
      </c>
      <c r="QF51" s="88">
        <f t="shared" si="41"/>
        <v>6.058520429</v>
      </c>
      <c r="QG51" s="88">
        <f t="shared" si="41"/>
        <v>10.93446694</v>
      </c>
      <c r="QH51" s="88">
        <f t="shared" si="41"/>
        <v>10.42129715</v>
      </c>
      <c r="QI51" s="88">
        <f t="shared" si="41"/>
        <v>9.833625206</v>
      </c>
      <c r="QJ51" s="88">
        <f t="shared" si="41"/>
        <v>10.53481129</v>
      </c>
      <c r="QK51" s="88">
        <f t="shared" si="41"/>
        <v>0.183820329</v>
      </c>
      <c r="QL51" s="88">
        <f t="shared" si="41"/>
        <v>6.904501182</v>
      </c>
      <c r="QM51" s="88">
        <f t="shared" si="41"/>
        <v>7.245261662</v>
      </c>
      <c r="QN51" s="88">
        <f t="shared" si="41"/>
        <v>3.568595104</v>
      </c>
      <c r="QO51" s="88">
        <f t="shared" si="41"/>
        <v>5.14304819</v>
      </c>
      <c r="QP51" s="88">
        <f t="shared" si="41"/>
        <v>4.287624483</v>
      </c>
      <c r="QQ51" s="88">
        <f t="shared" si="41"/>
        <v>11.16168564</v>
      </c>
      <c r="QR51" s="88">
        <f t="shared" si="41"/>
        <v>8.349986936</v>
      </c>
      <c r="QS51" s="88">
        <f t="shared" si="41"/>
        <v>7.744445896</v>
      </c>
      <c r="QT51" s="88">
        <f t="shared" si="41"/>
        <v>1.857672435</v>
      </c>
      <c r="QU51" s="88">
        <f t="shared" si="41"/>
        <v>5.463226929</v>
      </c>
      <c r="QV51" s="88">
        <f t="shared" si="41"/>
        <v>4.48301119</v>
      </c>
      <c r="QW51" s="88">
        <f t="shared" si="41"/>
        <v>1.671012321</v>
      </c>
      <c r="QX51" s="88">
        <f t="shared" si="41"/>
        <v>7.026546359</v>
      </c>
      <c r="QY51" s="88">
        <f t="shared" si="41"/>
        <v>8.496801695</v>
      </c>
      <c r="QZ51" s="88">
        <f t="shared" si="41"/>
        <v>3.793216315</v>
      </c>
      <c r="RA51" s="88">
        <f t="shared" si="41"/>
        <v>8.291175429</v>
      </c>
      <c r="RB51" s="88">
        <f t="shared" si="41"/>
        <v>5.237672427</v>
      </c>
      <c r="RC51" s="88">
        <f t="shared" si="41"/>
        <v>9.414015662</v>
      </c>
      <c r="RD51" s="88">
        <f t="shared" si="41"/>
        <v>4.318942787</v>
      </c>
      <c r="RE51" s="88">
        <f t="shared" si="41"/>
        <v>11.24238917</v>
      </c>
      <c r="RF51" s="88">
        <f t="shared" si="41"/>
        <v>9.292508111</v>
      </c>
      <c r="RG51" s="88">
        <f t="shared" si="41"/>
        <v>1.183672828</v>
      </c>
      <c r="RH51" s="88">
        <f t="shared" si="41"/>
        <v>7.269473947</v>
      </c>
      <c r="RI51" s="88">
        <f t="shared" si="41"/>
        <v>6.423807903</v>
      </c>
      <c r="RJ51" s="88">
        <f t="shared" si="41"/>
        <v>9.721465969</v>
      </c>
      <c r="RK51" s="88">
        <f t="shared" si="41"/>
        <v>0.01549452889</v>
      </c>
      <c r="RL51" s="88">
        <f t="shared" si="41"/>
        <v>3.339131836</v>
      </c>
      <c r="RM51" s="88">
        <f t="shared" si="41"/>
        <v>6.725382376</v>
      </c>
      <c r="RN51" s="88">
        <f t="shared" si="41"/>
        <v>0.1202869168</v>
      </c>
      <c r="RO51" s="88">
        <f t="shared" si="41"/>
        <v>8.719453985</v>
      </c>
      <c r="RP51" s="88">
        <f t="shared" si="41"/>
        <v>7.309827425</v>
      </c>
      <c r="RQ51" s="88">
        <f t="shared" si="41"/>
        <v>11.20317594</v>
      </c>
      <c r="RR51" s="88">
        <f t="shared" si="41"/>
        <v>2.343929833</v>
      </c>
      <c r="RS51" s="88">
        <f t="shared" si="41"/>
        <v>10.55888504</v>
      </c>
      <c r="RT51" s="88">
        <f t="shared" si="41"/>
        <v>6.629745457</v>
      </c>
      <c r="RU51" s="88">
        <f t="shared" si="41"/>
        <v>2.117356235</v>
      </c>
      <c r="RV51" s="88">
        <f t="shared" si="41"/>
        <v>9.071682497</v>
      </c>
      <c r="RW51" s="88">
        <f t="shared" si="41"/>
        <v>8.169299008</v>
      </c>
      <c r="RX51" s="88">
        <f t="shared" si="41"/>
        <v>6.25105766</v>
      </c>
      <c r="RY51" s="88">
        <f t="shared" si="41"/>
        <v>0.06572097571</v>
      </c>
      <c r="RZ51" s="88">
        <f t="shared" si="41"/>
        <v>10.17728704</v>
      </c>
      <c r="SA51" s="88">
        <f t="shared" si="41"/>
        <v>2.591446059</v>
      </c>
      <c r="SB51" s="88">
        <f t="shared" si="41"/>
        <v>5.976380612</v>
      </c>
      <c r="SC51" s="88">
        <f t="shared" si="41"/>
        <v>3.178271944</v>
      </c>
      <c r="SD51" s="88">
        <f t="shared" si="41"/>
        <v>9.577197523</v>
      </c>
      <c r="SE51" s="88">
        <f t="shared" si="41"/>
        <v>2.082362488</v>
      </c>
      <c r="SF51" s="88">
        <f t="shared" si="41"/>
        <v>0.4789395794</v>
      </c>
      <c r="SG51" s="88">
        <f t="shared" si="41"/>
        <v>3.532224509</v>
      </c>
      <c r="SH51" s="88">
        <f t="shared" si="41"/>
        <v>2.748749236</v>
      </c>
      <c r="SI51" s="88">
        <f t="shared" si="41"/>
        <v>1.409320261</v>
      </c>
      <c r="SJ51" s="88">
        <f t="shared" si="41"/>
        <v>4.278184094</v>
      </c>
      <c r="SK51" s="88">
        <f t="shared" si="41"/>
        <v>11.68310625</v>
      </c>
      <c r="SL51" s="88">
        <f t="shared" si="41"/>
        <v>5.25429751</v>
      </c>
    </row>
    <row r="52">
      <c r="A52" s="53" t="s">
        <v>128</v>
      </c>
      <c r="B52" s="74">
        <f t="array" ref="B52">INDEX('New CEA'!$B52:$F52,MATCH($B$2,'New CEA'!B$2:F$2,0))</f>
        <v>116</v>
      </c>
      <c r="C52" s="305"/>
      <c r="D52" s="306"/>
      <c r="E52" s="307"/>
      <c r="F52" s="25"/>
      <c r="G52" s="197">
        <f t="shared" ref="G52:SL52" si="42">$B52</f>
        <v>116</v>
      </c>
      <c r="H52" s="197">
        <f t="shared" si="42"/>
        <v>116</v>
      </c>
      <c r="I52" s="197">
        <f t="shared" si="42"/>
        <v>116</v>
      </c>
      <c r="J52" s="197">
        <f t="shared" si="42"/>
        <v>116</v>
      </c>
      <c r="K52" s="197">
        <f t="shared" si="42"/>
        <v>116</v>
      </c>
      <c r="L52" s="197">
        <f t="shared" si="42"/>
        <v>116</v>
      </c>
      <c r="M52" s="197">
        <f t="shared" si="42"/>
        <v>116</v>
      </c>
      <c r="N52" s="197">
        <f t="shared" si="42"/>
        <v>116</v>
      </c>
      <c r="O52" s="197">
        <f t="shared" si="42"/>
        <v>116</v>
      </c>
      <c r="P52" s="197">
        <f t="shared" si="42"/>
        <v>116</v>
      </c>
      <c r="Q52" s="197">
        <f t="shared" si="42"/>
        <v>116</v>
      </c>
      <c r="R52" s="197">
        <f t="shared" si="42"/>
        <v>116</v>
      </c>
      <c r="S52" s="197">
        <f t="shared" si="42"/>
        <v>116</v>
      </c>
      <c r="T52" s="197">
        <f t="shared" si="42"/>
        <v>116</v>
      </c>
      <c r="U52" s="197">
        <f t="shared" si="42"/>
        <v>116</v>
      </c>
      <c r="V52" s="197">
        <f t="shared" si="42"/>
        <v>116</v>
      </c>
      <c r="W52" s="197">
        <f t="shared" si="42"/>
        <v>116</v>
      </c>
      <c r="X52" s="197">
        <f t="shared" si="42"/>
        <v>116</v>
      </c>
      <c r="Y52" s="197">
        <f t="shared" si="42"/>
        <v>116</v>
      </c>
      <c r="Z52" s="197">
        <f t="shared" si="42"/>
        <v>116</v>
      </c>
      <c r="AA52" s="197">
        <f t="shared" si="42"/>
        <v>116</v>
      </c>
      <c r="AB52" s="197">
        <f t="shared" si="42"/>
        <v>116</v>
      </c>
      <c r="AC52" s="197">
        <f t="shared" si="42"/>
        <v>116</v>
      </c>
      <c r="AD52" s="197">
        <f t="shared" si="42"/>
        <v>116</v>
      </c>
      <c r="AE52" s="197">
        <f t="shared" si="42"/>
        <v>116</v>
      </c>
      <c r="AF52" s="197">
        <f t="shared" si="42"/>
        <v>116</v>
      </c>
      <c r="AG52" s="197">
        <f t="shared" si="42"/>
        <v>116</v>
      </c>
      <c r="AH52" s="197">
        <f t="shared" si="42"/>
        <v>116</v>
      </c>
      <c r="AI52" s="197">
        <f t="shared" si="42"/>
        <v>116</v>
      </c>
      <c r="AJ52" s="197">
        <f t="shared" si="42"/>
        <v>116</v>
      </c>
      <c r="AK52" s="197">
        <f t="shared" si="42"/>
        <v>116</v>
      </c>
      <c r="AL52" s="197">
        <f t="shared" si="42"/>
        <v>116</v>
      </c>
      <c r="AM52" s="197">
        <f t="shared" si="42"/>
        <v>116</v>
      </c>
      <c r="AN52" s="197">
        <f t="shared" si="42"/>
        <v>116</v>
      </c>
      <c r="AO52" s="197">
        <f t="shared" si="42"/>
        <v>116</v>
      </c>
      <c r="AP52" s="197">
        <f t="shared" si="42"/>
        <v>116</v>
      </c>
      <c r="AQ52" s="197">
        <f t="shared" si="42"/>
        <v>116</v>
      </c>
      <c r="AR52" s="197">
        <f t="shared" si="42"/>
        <v>116</v>
      </c>
      <c r="AS52" s="197">
        <f t="shared" si="42"/>
        <v>116</v>
      </c>
      <c r="AT52" s="197">
        <f t="shared" si="42"/>
        <v>116</v>
      </c>
      <c r="AU52" s="197">
        <f t="shared" si="42"/>
        <v>116</v>
      </c>
      <c r="AV52" s="197">
        <f t="shared" si="42"/>
        <v>116</v>
      </c>
      <c r="AW52" s="197">
        <f t="shared" si="42"/>
        <v>116</v>
      </c>
      <c r="AX52" s="197">
        <f t="shared" si="42"/>
        <v>116</v>
      </c>
      <c r="AY52" s="197">
        <f t="shared" si="42"/>
        <v>116</v>
      </c>
      <c r="AZ52" s="197">
        <f t="shared" si="42"/>
        <v>116</v>
      </c>
      <c r="BA52" s="197">
        <f t="shared" si="42"/>
        <v>116</v>
      </c>
      <c r="BB52" s="197">
        <f t="shared" si="42"/>
        <v>116</v>
      </c>
      <c r="BC52" s="197">
        <f t="shared" si="42"/>
        <v>116</v>
      </c>
      <c r="BD52" s="197">
        <f t="shared" si="42"/>
        <v>116</v>
      </c>
      <c r="BE52" s="197">
        <f t="shared" si="42"/>
        <v>116</v>
      </c>
      <c r="BF52" s="197">
        <f t="shared" si="42"/>
        <v>116</v>
      </c>
      <c r="BG52" s="197">
        <f t="shared" si="42"/>
        <v>116</v>
      </c>
      <c r="BH52" s="197">
        <f t="shared" si="42"/>
        <v>116</v>
      </c>
      <c r="BI52" s="197">
        <f t="shared" si="42"/>
        <v>116</v>
      </c>
      <c r="BJ52" s="197">
        <f t="shared" si="42"/>
        <v>116</v>
      </c>
      <c r="BK52" s="197">
        <f t="shared" si="42"/>
        <v>116</v>
      </c>
      <c r="BL52" s="197">
        <f t="shared" si="42"/>
        <v>116</v>
      </c>
      <c r="BM52" s="197">
        <f t="shared" si="42"/>
        <v>116</v>
      </c>
      <c r="BN52" s="197">
        <f t="shared" si="42"/>
        <v>116</v>
      </c>
      <c r="BO52" s="197">
        <f t="shared" si="42"/>
        <v>116</v>
      </c>
      <c r="BP52" s="197">
        <f t="shared" si="42"/>
        <v>116</v>
      </c>
      <c r="BQ52" s="197">
        <f t="shared" si="42"/>
        <v>116</v>
      </c>
      <c r="BR52" s="197">
        <f t="shared" si="42"/>
        <v>116</v>
      </c>
      <c r="BS52" s="197">
        <f t="shared" si="42"/>
        <v>116</v>
      </c>
      <c r="BT52" s="197">
        <f t="shared" si="42"/>
        <v>116</v>
      </c>
      <c r="BU52" s="197">
        <f t="shared" si="42"/>
        <v>116</v>
      </c>
      <c r="BV52" s="197">
        <f t="shared" si="42"/>
        <v>116</v>
      </c>
      <c r="BW52" s="197">
        <f t="shared" si="42"/>
        <v>116</v>
      </c>
      <c r="BX52" s="197">
        <f t="shared" si="42"/>
        <v>116</v>
      </c>
      <c r="BY52" s="197">
        <f t="shared" si="42"/>
        <v>116</v>
      </c>
      <c r="BZ52" s="197">
        <f t="shared" si="42"/>
        <v>116</v>
      </c>
      <c r="CA52" s="197">
        <f t="shared" si="42"/>
        <v>116</v>
      </c>
      <c r="CB52" s="197">
        <f t="shared" si="42"/>
        <v>116</v>
      </c>
      <c r="CC52" s="197">
        <f t="shared" si="42"/>
        <v>116</v>
      </c>
      <c r="CD52" s="197">
        <f t="shared" si="42"/>
        <v>116</v>
      </c>
      <c r="CE52" s="197">
        <f t="shared" si="42"/>
        <v>116</v>
      </c>
      <c r="CF52" s="197">
        <f t="shared" si="42"/>
        <v>116</v>
      </c>
      <c r="CG52" s="197">
        <f t="shared" si="42"/>
        <v>116</v>
      </c>
      <c r="CH52" s="197">
        <f t="shared" si="42"/>
        <v>116</v>
      </c>
      <c r="CI52" s="197">
        <f t="shared" si="42"/>
        <v>116</v>
      </c>
      <c r="CJ52" s="197">
        <f t="shared" si="42"/>
        <v>116</v>
      </c>
      <c r="CK52" s="197">
        <f t="shared" si="42"/>
        <v>116</v>
      </c>
      <c r="CL52" s="197">
        <f t="shared" si="42"/>
        <v>116</v>
      </c>
      <c r="CM52" s="197">
        <f t="shared" si="42"/>
        <v>116</v>
      </c>
      <c r="CN52" s="197">
        <f t="shared" si="42"/>
        <v>116</v>
      </c>
      <c r="CO52" s="197">
        <f t="shared" si="42"/>
        <v>116</v>
      </c>
      <c r="CP52" s="197">
        <f t="shared" si="42"/>
        <v>116</v>
      </c>
      <c r="CQ52" s="197">
        <f t="shared" si="42"/>
        <v>116</v>
      </c>
      <c r="CR52" s="197">
        <f t="shared" si="42"/>
        <v>116</v>
      </c>
      <c r="CS52" s="197">
        <f t="shared" si="42"/>
        <v>116</v>
      </c>
      <c r="CT52" s="197">
        <f t="shared" si="42"/>
        <v>116</v>
      </c>
      <c r="CU52" s="197">
        <f t="shared" si="42"/>
        <v>116</v>
      </c>
      <c r="CV52" s="197">
        <f t="shared" si="42"/>
        <v>116</v>
      </c>
      <c r="CW52" s="197">
        <f t="shared" si="42"/>
        <v>116</v>
      </c>
      <c r="CX52" s="197">
        <f t="shared" si="42"/>
        <v>116</v>
      </c>
      <c r="CY52" s="197">
        <f t="shared" si="42"/>
        <v>116</v>
      </c>
      <c r="CZ52" s="197">
        <f t="shared" si="42"/>
        <v>116</v>
      </c>
      <c r="DA52" s="197">
        <f t="shared" si="42"/>
        <v>116</v>
      </c>
      <c r="DB52" s="197">
        <f t="shared" si="42"/>
        <v>116</v>
      </c>
      <c r="DC52" s="197">
        <f t="shared" si="42"/>
        <v>116</v>
      </c>
      <c r="DD52" s="197">
        <f t="shared" si="42"/>
        <v>116</v>
      </c>
      <c r="DE52" s="197">
        <f t="shared" si="42"/>
        <v>116</v>
      </c>
      <c r="DF52" s="197">
        <f t="shared" si="42"/>
        <v>116</v>
      </c>
      <c r="DG52" s="197">
        <f t="shared" si="42"/>
        <v>116</v>
      </c>
      <c r="DH52" s="197">
        <f t="shared" si="42"/>
        <v>116</v>
      </c>
      <c r="DI52" s="197">
        <f t="shared" si="42"/>
        <v>116</v>
      </c>
      <c r="DJ52" s="197">
        <f t="shared" si="42"/>
        <v>116</v>
      </c>
      <c r="DK52" s="197">
        <f t="shared" si="42"/>
        <v>116</v>
      </c>
      <c r="DL52" s="197">
        <f t="shared" si="42"/>
        <v>116</v>
      </c>
      <c r="DM52" s="197">
        <f t="shared" si="42"/>
        <v>116</v>
      </c>
      <c r="DN52" s="197">
        <f t="shared" si="42"/>
        <v>116</v>
      </c>
      <c r="DO52" s="197">
        <f t="shared" si="42"/>
        <v>116</v>
      </c>
      <c r="DP52" s="197">
        <f t="shared" si="42"/>
        <v>116</v>
      </c>
      <c r="DQ52" s="197">
        <f t="shared" si="42"/>
        <v>116</v>
      </c>
      <c r="DR52" s="197">
        <f t="shared" si="42"/>
        <v>116</v>
      </c>
      <c r="DS52" s="197">
        <f t="shared" si="42"/>
        <v>116</v>
      </c>
      <c r="DT52" s="197">
        <f t="shared" si="42"/>
        <v>116</v>
      </c>
      <c r="DU52" s="197">
        <f t="shared" si="42"/>
        <v>116</v>
      </c>
      <c r="DV52" s="197">
        <f t="shared" si="42"/>
        <v>116</v>
      </c>
      <c r="DW52" s="197">
        <f t="shared" si="42"/>
        <v>116</v>
      </c>
      <c r="DX52" s="197">
        <f t="shared" si="42"/>
        <v>116</v>
      </c>
      <c r="DY52" s="197">
        <f t="shared" si="42"/>
        <v>116</v>
      </c>
      <c r="DZ52" s="197">
        <f t="shared" si="42"/>
        <v>116</v>
      </c>
      <c r="EA52" s="197">
        <f t="shared" si="42"/>
        <v>116</v>
      </c>
      <c r="EB52" s="197">
        <f t="shared" si="42"/>
        <v>116</v>
      </c>
      <c r="EC52" s="197">
        <f t="shared" si="42"/>
        <v>116</v>
      </c>
      <c r="ED52" s="197">
        <f t="shared" si="42"/>
        <v>116</v>
      </c>
      <c r="EE52" s="197">
        <f t="shared" si="42"/>
        <v>116</v>
      </c>
      <c r="EF52" s="197">
        <f t="shared" si="42"/>
        <v>116</v>
      </c>
      <c r="EG52" s="197">
        <f t="shared" si="42"/>
        <v>116</v>
      </c>
      <c r="EH52" s="197">
        <f t="shared" si="42"/>
        <v>116</v>
      </c>
      <c r="EI52" s="197">
        <f t="shared" si="42"/>
        <v>116</v>
      </c>
      <c r="EJ52" s="197">
        <f t="shared" si="42"/>
        <v>116</v>
      </c>
      <c r="EK52" s="197">
        <f t="shared" si="42"/>
        <v>116</v>
      </c>
      <c r="EL52" s="197">
        <f t="shared" si="42"/>
        <v>116</v>
      </c>
      <c r="EM52" s="197">
        <f t="shared" si="42"/>
        <v>116</v>
      </c>
      <c r="EN52" s="197">
        <f t="shared" si="42"/>
        <v>116</v>
      </c>
      <c r="EO52" s="197">
        <f t="shared" si="42"/>
        <v>116</v>
      </c>
      <c r="EP52" s="197">
        <f t="shared" si="42"/>
        <v>116</v>
      </c>
      <c r="EQ52" s="197">
        <f t="shared" si="42"/>
        <v>116</v>
      </c>
      <c r="ER52" s="197">
        <f t="shared" si="42"/>
        <v>116</v>
      </c>
      <c r="ES52" s="197">
        <f t="shared" si="42"/>
        <v>116</v>
      </c>
      <c r="ET52" s="197">
        <f t="shared" si="42"/>
        <v>116</v>
      </c>
      <c r="EU52" s="197">
        <f t="shared" si="42"/>
        <v>116</v>
      </c>
      <c r="EV52" s="197">
        <f t="shared" si="42"/>
        <v>116</v>
      </c>
      <c r="EW52" s="197">
        <f t="shared" si="42"/>
        <v>116</v>
      </c>
      <c r="EX52" s="197">
        <f t="shared" si="42"/>
        <v>116</v>
      </c>
      <c r="EY52" s="197">
        <f t="shared" si="42"/>
        <v>116</v>
      </c>
      <c r="EZ52" s="197">
        <f t="shared" si="42"/>
        <v>116</v>
      </c>
      <c r="FA52" s="197">
        <f t="shared" si="42"/>
        <v>116</v>
      </c>
      <c r="FB52" s="197">
        <f t="shared" si="42"/>
        <v>116</v>
      </c>
      <c r="FC52" s="197">
        <f t="shared" si="42"/>
        <v>116</v>
      </c>
      <c r="FD52" s="197">
        <f t="shared" si="42"/>
        <v>116</v>
      </c>
      <c r="FE52" s="197">
        <f t="shared" si="42"/>
        <v>116</v>
      </c>
      <c r="FF52" s="197">
        <f t="shared" si="42"/>
        <v>116</v>
      </c>
      <c r="FG52" s="197">
        <f t="shared" si="42"/>
        <v>116</v>
      </c>
      <c r="FH52" s="197">
        <f t="shared" si="42"/>
        <v>116</v>
      </c>
      <c r="FI52" s="197">
        <f t="shared" si="42"/>
        <v>116</v>
      </c>
      <c r="FJ52" s="197">
        <f t="shared" si="42"/>
        <v>116</v>
      </c>
      <c r="FK52" s="197">
        <f t="shared" si="42"/>
        <v>116</v>
      </c>
      <c r="FL52" s="197">
        <f t="shared" si="42"/>
        <v>116</v>
      </c>
      <c r="FM52" s="197">
        <f t="shared" si="42"/>
        <v>116</v>
      </c>
      <c r="FN52" s="197">
        <f t="shared" si="42"/>
        <v>116</v>
      </c>
      <c r="FO52" s="197">
        <f t="shared" si="42"/>
        <v>116</v>
      </c>
      <c r="FP52" s="197">
        <f t="shared" si="42"/>
        <v>116</v>
      </c>
      <c r="FQ52" s="197">
        <f t="shared" si="42"/>
        <v>116</v>
      </c>
      <c r="FR52" s="197">
        <f t="shared" si="42"/>
        <v>116</v>
      </c>
      <c r="FS52" s="197">
        <f t="shared" si="42"/>
        <v>116</v>
      </c>
      <c r="FT52" s="197">
        <f t="shared" si="42"/>
        <v>116</v>
      </c>
      <c r="FU52" s="197">
        <f t="shared" si="42"/>
        <v>116</v>
      </c>
      <c r="FV52" s="197">
        <f t="shared" si="42"/>
        <v>116</v>
      </c>
      <c r="FW52" s="197">
        <f t="shared" si="42"/>
        <v>116</v>
      </c>
      <c r="FX52" s="197">
        <f t="shared" si="42"/>
        <v>116</v>
      </c>
      <c r="FY52" s="197">
        <f t="shared" si="42"/>
        <v>116</v>
      </c>
      <c r="FZ52" s="197">
        <f t="shared" si="42"/>
        <v>116</v>
      </c>
      <c r="GA52" s="197">
        <f t="shared" si="42"/>
        <v>116</v>
      </c>
      <c r="GB52" s="197">
        <f t="shared" si="42"/>
        <v>116</v>
      </c>
      <c r="GC52" s="197">
        <f t="shared" si="42"/>
        <v>116</v>
      </c>
      <c r="GD52" s="197">
        <f t="shared" si="42"/>
        <v>116</v>
      </c>
      <c r="GE52" s="197">
        <f t="shared" si="42"/>
        <v>116</v>
      </c>
      <c r="GF52" s="197">
        <f t="shared" si="42"/>
        <v>116</v>
      </c>
      <c r="GG52" s="197">
        <f t="shared" si="42"/>
        <v>116</v>
      </c>
      <c r="GH52" s="197">
        <f t="shared" si="42"/>
        <v>116</v>
      </c>
      <c r="GI52" s="197">
        <f t="shared" si="42"/>
        <v>116</v>
      </c>
      <c r="GJ52" s="197">
        <f t="shared" si="42"/>
        <v>116</v>
      </c>
      <c r="GK52" s="197">
        <f t="shared" si="42"/>
        <v>116</v>
      </c>
      <c r="GL52" s="197">
        <f t="shared" si="42"/>
        <v>116</v>
      </c>
      <c r="GM52" s="197">
        <f t="shared" si="42"/>
        <v>116</v>
      </c>
      <c r="GN52" s="197">
        <f t="shared" si="42"/>
        <v>116</v>
      </c>
      <c r="GO52" s="197">
        <f t="shared" si="42"/>
        <v>116</v>
      </c>
      <c r="GP52" s="197">
        <f t="shared" si="42"/>
        <v>116</v>
      </c>
      <c r="GQ52" s="197">
        <f t="shared" si="42"/>
        <v>116</v>
      </c>
      <c r="GR52" s="197">
        <f t="shared" si="42"/>
        <v>116</v>
      </c>
      <c r="GS52" s="197">
        <f t="shared" si="42"/>
        <v>116</v>
      </c>
      <c r="GT52" s="197">
        <f t="shared" si="42"/>
        <v>116</v>
      </c>
      <c r="GU52" s="197">
        <f t="shared" si="42"/>
        <v>116</v>
      </c>
      <c r="GV52" s="197">
        <f t="shared" si="42"/>
        <v>116</v>
      </c>
      <c r="GW52" s="197">
        <f t="shared" si="42"/>
        <v>116</v>
      </c>
      <c r="GX52" s="197">
        <f t="shared" si="42"/>
        <v>116</v>
      </c>
      <c r="GY52" s="197">
        <f t="shared" si="42"/>
        <v>116</v>
      </c>
      <c r="GZ52" s="197">
        <f t="shared" si="42"/>
        <v>116</v>
      </c>
      <c r="HA52" s="197">
        <f t="shared" si="42"/>
        <v>116</v>
      </c>
      <c r="HB52" s="197">
        <f t="shared" si="42"/>
        <v>116</v>
      </c>
      <c r="HC52" s="197">
        <f t="shared" si="42"/>
        <v>116</v>
      </c>
      <c r="HD52" s="197">
        <f t="shared" si="42"/>
        <v>116</v>
      </c>
      <c r="HE52" s="197">
        <f t="shared" si="42"/>
        <v>116</v>
      </c>
      <c r="HF52" s="197">
        <f t="shared" si="42"/>
        <v>116</v>
      </c>
      <c r="HG52" s="197">
        <f t="shared" si="42"/>
        <v>116</v>
      </c>
      <c r="HH52" s="197">
        <f t="shared" si="42"/>
        <v>116</v>
      </c>
      <c r="HI52" s="197">
        <f t="shared" si="42"/>
        <v>116</v>
      </c>
      <c r="HJ52" s="197">
        <f t="shared" si="42"/>
        <v>116</v>
      </c>
      <c r="HK52" s="197">
        <f t="shared" si="42"/>
        <v>116</v>
      </c>
      <c r="HL52" s="197">
        <f t="shared" si="42"/>
        <v>116</v>
      </c>
      <c r="HM52" s="197">
        <f t="shared" si="42"/>
        <v>116</v>
      </c>
      <c r="HN52" s="197">
        <f t="shared" si="42"/>
        <v>116</v>
      </c>
      <c r="HO52" s="197">
        <f t="shared" si="42"/>
        <v>116</v>
      </c>
      <c r="HP52" s="197">
        <f t="shared" si="42"/>
        <v>116</v>
      </c>
      <c r="HQ52" s="197">
        <f t="shared" si="42"/>
        <v>116</v>
      </c>
      <c r="HR52" s="197">
        <f t="shared" si="42"/>
        <v>116</v>
      </c>
      <c r="HS52" s="197">
        <f t="shared" si="42"/>
        <v>116</v>
      </c>
      <c r="HT52" s="197">
        <f t="shared" si="42"/>
        <v>116</v>
      </c>
      <c r="HU52" s="197">
        <f t="shared" si="42"/>
        <v>116</v>
      </c>
      <c r="HV52" s="197">
        <f t="shared" si="42"/>
        <v>116</v>
      </c>
      <c r="HW52" s="197">
        <f t="shared" si="42"/>
        <v>116</v>
      </c>
      <c r="HX52" s="197">
        <f t="shared" si="42"/>
        <v>116</v>
      </c>
      <c r="HY52" s="197">
        <f t="shared" si="42"/>
        <v>116</v>
      </c>
      <c r="HZ52" s="197">
        <f t="shared" si="42"/>
        <v>116</v>
      </c>
      <c r="IA52" s="197">
        <f t="shared" si="42"/>
        <v>116</v>
      </c>
      <c r="IB52" s="197">
        <f t="shared" si="42"/>
        <v>116</v>
      </c>
      <c r="IC52" s="197">
        <f t="shared" si="42"/>
        <v>116</v>
      </c>
      <c r="ID52" s="197">
        <f t="shared" si="42"/>
        <v>116</v>
      </c>
      <c r="IE52" s="197">
        <f t="shared" si="42"/>
        <v>116</v>
      </c>
      <c r="IF52" s="197">
        <f t="shared" si="42"/>
        <v>116</v>
      </c>
      <c r="IG52" s="197">
        <f t="shared" si="42"/>
        <v>116</v>
      </c>
      <c r="IH52" s="197">
        <f t="shared" si="42"/>
        <v>116</v>
      </c>
      <c r="II52" s="197">
        <f t="shared" si="42"/>
        <v>116</v>
      </c>
      <c r="IJ52" s="197">
        <f t="shared" si="42"/>
        <v>116</v>
      </c>
      <c r="IK52" s="197">
        <f t="shared" si="42"/>
        <v>116</v>
      </c>
      <c r="IL52" s="197">
        <f t="shared" si="42"/>
        <v>116</v>
      </c>
      <c r="IM52" s="197">
        <f t="shared" si="42"/>
        <v>116</v>
      </c>
      <c r="IN52" s="197">
        <f t="shared" si="42"/>
        <v>116</v>
      </c>
      <c r="IO52" s="197">
        <f t="shared" si="42"/>
        <v>116</v>
      </c>
      <c r="IP52" s="197">
        <f t="shared" si="42"/>
        <v>116</v>
      </c>
      <c r="IQ52" s="197">
        <f t="shared" si="42"/>
        <v>116</v>
      </c>
      <c r="IR52" s="197">
        <f t="shared" si="42"/>
        <v>116</v>
      </c>
      <c r="IS52" s="197">
        <f t="shared" si="42"/>
        <v>116</v>
      </c>
      <c r="IT52" s="197">
        <f t="shared" si="42"/>
        <v>116</v>
      </c>
      <c r="IU52" s="197">
        <f t="shared" si="42"/>
        <v>116</v>
      </c>
      <c r="IV52" s="197">
        <f t="shared" si="42"/>
        <v>116</v>
      </c>
      <c r="IW52" s="197">
        <f t="shared" si="42"/>
        <v>116</v>
      </c>
      <c r="IX52" s="197">
        <f t="shared" si="42"/>
        <v>116</v>
      </c>
      <c r="IY52" s="197">
        <f t="shared" si="42"/>
        <v>116</v>
      </c>
      <c r="IZ52" s="197">
        <f t="shared" si="42"/>
        <v>116</v>
      </c>
      <c r="JA52" s="197">
        <f t="shared" si="42"/>
        <v>116</v>
      </c>
      <c r="JB52" s="197">
        <f t="shared" si="42"/>
        <v>116</v>
      </c>
      <c r="JC52" s="197">
        <f t="shared" si="42"/>
        <v>116</v>
      </c>
      <c r="JD52" s="197">
        <f t="shared" si="42"/>
        <v>116</v>
      </c>
      <c r="JE52" s="197">
        <f t="shared" si="42"/>
        <v>116</v>
      </c>
      <c r="JF52" s="197">
        <f t="shared" si="42"/>
        <v>116</v>
      </c>
      <c r="JG52" s="197">
        <f t="shared" si="42"/>
        <v>116</v>
      </c>
      <c r="JH52" s="197">
        <f t="shared" si="42"/>
        <v>116</v>
      </c>
      <c r="JI52" s="197">
        <f t="shared" si="42"/>
        <v>116</v>
      </c>
      <c r="JJ52" s="197">
        <f t="shared" si="42"/>
        <v>116</v>
      </c>
      <c r="JK52" s="197">
        <f t="shared" si="42"/>
        <v>116</v>
      </c>
      <c r="JL52" s="197">
        <f t="shared" si="42"/>
        <v>116</v>
      </c>
      <c r="JM52" s="197">
        <f t="shared" si="42"/>
        <v>116</v>
      </c>
      <c r="JN52" s="197">
        <f t="shared" si="42"/>
        <v>116</v>
      </c>
      <c r="JO52" s="197">
        <f t="shared" si="42"/>
        <v>116</v>
      </c>
      <c r="JP52" s="197">
        <f t="shared" si="42"/>
        <v>116</v>
      </c>
      <c r="JQ52" s="197">
        <f t="shared" si="42"/>
        <v>116</v>
      </c>
      <c r="JR52" s="197">
        <f t="shared" si="42"/>
        <v>116</v>
      </c>
      <c r="JS52" s="197">
        <f t="shared" si="42"/>
        <v>116</v>
      </c>
      <c r="JT52" s="197">
        <f t="shared" si="42"/>
        <v>116</v>
      </c>
      <c r="JU52" s="197">
        <f t="shared" si="42"/>
        <v>116</v>
      </c>
      <c r="JV52" s="197">
        <f t="shared" si="42"/>
        <v>116</v>
      </c>
      <c r="JW52" s="197">
        <f t="shared" si="42"/>
        <v>116</v>
      </c>
      <c r="JX52" s="197">
        <f t="shared" si="42"/>
        <v>116</v>
      </c>
      <c r="JY52" s="197">
        <f t="shared" si="42"/>
        <v>116</v>
      </c>
      <c r="JZ52" s="197">
        <f t="shared" si="42"/>
        <v>116</v>
      </c>
      <c r="KA52" s="197">
        <f t="shared" si="42"/>
        <v>116</v>
      </c>
      <c r="KB52" s="197">
        <f t="shared" si="42"/>
        <v>116</v>
      </c>
      <c r="KC52" s="197">
        <f t="shared" si="42"/>
        <v>116</v>
      </c>
      <c r="KD52" s="197">
        <f t="shared" si="42"/>
        <v>116</v>
      </c>
      <c r="KE52" s="197">
        <f t="shared" si="42"/>
        <v>116</v>
      </c>
      <c r="KF52" s="197">
        <f t="shared" si="42"/>
        <v>116</v>
      </c>
      <c r="KG52" s="197">
        <f t="shared" si="42"/>
        <v>116</v>
      </c>
      <c r="KH52" s="197">
        <f t="shared" si="42"/>
        <v>116</v>
      </c>
      <c r="KI52" s="197">
        <f t="shared" si="42"/>
        <v>116</v>
      </c>
      <c r="KJ52" s="197">
        <f t="shared" si="42"/>
        <v>116</v>
      </c>
      <c r="KK52" s="197">
        <f t="shared" si="42"/>
        <v>116</v>
      </c>
      <c r="KL52" s="197">
        <f t="shared" si="42"/>
        <v>116</v>
      </c>
      <c r="KM52" s="197">
        <f t="shared" si="42"/>
        <v>116</v>
      </c>
      <c r="KN52" s="197">
        <f t="shared" si="42"/>
        <v>116</v>
      </c>
      <c r="KO52" s="197">
        <f t="shared" si="42"/>
        <v>116</v>
      </c>
      <c r="KP52" s="197">
        <f t="shared" si="42"/>
        <v>116</v>
      </c>
      <c r="KQ52" s="197">
        <f t="shared" si="42"/>
        <v>116</v>
      </c>
      <c r="KR52" s="197">
        <f t="shared" si="42"/>
        <v>116</v>
      </c>
      <c r="KS52" s="197">
        <f t="shared" si="42"/>
        <v>116</v>
      </c>
      <c r="KT52" s="197">
        <f t="shared" si="42"/>
        <v>116</v>
      </c>
      <c r="KU52" s="197">
        <f t="shared" si="42"/>
        <v>116</v>
      </c>
      <c r="KV52" s="197">
        <f t="shared" si="42"/>
        <v>116</v>
      </c>
      <c r="KW52" s="197">
        <f t="shared" si="42"/>
        <v>116</v>
      </c>
      <c r="KX52" s="197">
        <f t="shared" si="42"/>
        <v>116</v>
      </c>
      <c r="KY52" s="197">
        <f t="shared" si="42"/>
        <v>116</v>
      </c>
      <c r="KZ52" s="197">
        <f t="shared" si="42"/>
        <v>116</v>
      </c>
      <c r="LA52" s="197">
        <f t="shared" si="42"/>
        <v>116</v>
      </c>
      <c r="LB52" s="197">
        <f t="shared" si="42"/>
        <v>116</v>
      </c>
      <c r="LC52" s="197">
        <f t="shared" si="42"/>
        <v>116</v>
      </c>
      <c r="LD52" s="197">
        <f t="shared" si="42"/>
        <v>116</v>
      </c>
      <c r="LE52" s="197">
        <f t="shared" si="42"/>
        <v>116</v>
      </c>
      <c r="LF52" s="197">
        <f t="shared" si="42"/>
        <v>116</v>
      </c>
      <c r="LG52" s="197">
        <f t="shared" si="42"/>
        <v>116</v>
      </c>
      <c r="LH52" s="197">
        <f t="shared" si="42"/>
        <v>116</v>
      </c>
      <c r="LI52" s="197">
        <f t="shared" si="42"/>
        <v>116</v>
      </c>
      <c r="LJ52" s="197">
        <f t="shared" si="42"/>
        <v>116</v>
      </c>
      <c r="LK52" s="197">
        <f t="shared" si="42"/>
        <v>116</v>
      </c>
      <c r="LL52" s="197">
        <f t="shared" si="42"/>
        <v>116</v>
      </c>
      <c r="LM52" s="197">
        <f t="shared" si="42"/>
        <v>116</v>
      </c>
      <c r="LN52" s="197">
        <f t="shared" si="42"/>
        <v>116</v>
      </c>
      <c r="LO52" s="197">
        <f t="shared" si="42"/>
        <v>116</v>
      </c>
      <c r="LP52" s="197">
        <f t="shared" si="42"/>
        <v>116</v>
      </c>
      <c r="LQ52" s="197">
        <f t="shared" si="42"/>
        <v>116</v>
      </c>
      <c r="LR52" s="197">
        <f t="shared" si="42"/>
        <v>116</v>
      </c>
      <c r="LS52" s="197">
        <f t="shared" si="42"/>
        <v>116</v>
      </c>
      <c r="LT52" s="197">
        <f t="shared" si="42"/>
        <v>116</v>
      </c>
      <c r="LU52" s="197">
        <f t="shared" si="42"/>
        <v>116</v>
      </c>
      <c r="LV52" s="197">
        <f t="shared" si="42"/>
        <v>116</v>
      </c>
      <c r="LW52" s="197">
        <f t="shared" si="42"/>
        <v>116</v>
      </c>
      <c r="LX52" s="197">
        <f t="shared" si="42"/>
        <v>116</v>
      </c>
      <c r="LY52" s="197">
        <f t="shared" si="42"/>
        <v>116</v>
      </c>
      <c r="LZ52" s="197">
        <f t="shared" si="42"/>
        <v>116</v>
      </c>
      <c r="MA52" s="197">
        <f t="shared" si="42"/>
        <v>116</v>
      </c>
      <c r="MB52" s="197">
        <f t="shared" si="42"/>
        <v>116</v>
      </c>
      <c r="MC52" s="197">
        <f t="shared" si="42"/>
        <v>116</v>
      </c>
      <c r="MD52" s="197">
        <f t="shared" si="42"/>
        <v>116</v>
      </c>
      <c r="ME52" s="197">
        <f t="shared" si="42"/>
        <v>116</v>
      </c>
      <c r="MF52" s="197">
        <f t="shared" si="42"/>
        <v>116</v>
      </c>
      <c r="MG52" s="197">
        <f t="shared" si="42"/>
        <v>116</v>
      </c>
      <c r="MH52" s="197">
        <f t="shared" si="42"/>
        <v>116</v>
      </c>
      <c r="MI52" s="197">
        <f t="shared" si="42"/>
        <v>116</v>
      </c>
      <c r="MJ52" s="197">
        <f t="shared" si="42"/>
        <v>116</v>
      </c>
      <c r="MK52" s="197">
        <f t="shared" si="42"/>
        <v>116</v>
      </c>
      <c r="ML52" s="197">
        <f t="shared" si="42"/>
        <v>116</v>
      </c>
      <c r="MM52" s="197">
        <f t="shared" si="42"/>
        <v>116</v>
      </c>
      <c r="MN52" s="197">
        <f t="shared" si="42"/>
        <v>116</v>
      </c>
      <c r="MO52" s="197">
        <f t="shared" si="42"/>
        <v>116</v>
      </c>
      <c r="MP52" s="197">
        <f t="shared" si="42"/>
        <v>116</v>
      </c>
      <c r="MQ52" s="197">
        <f t="shared" si="42"/>
        <v>116</v>
      </c>
      <c r="MR52" s="197">
        <f t="shared" si="42"/>
        <v>116</v>
      </c>
      <c r="MS52" s="197">
        <f t="shared" si="42"/>
        <v>116</v>
      </c>
      <c r="MT52" s="197">
        <f t="shared" si="42"/>
        <v>116</v>
      </c>
      <c r="MU52" s="197">
        <f t="shared" si="42"/>
        <v>116</v>
      </c>
      <c r="MV52" s="197">
        <f t="shared" si="42"/>
        <v>116</v>
      </c>
      <c r="MW52" s="197">
        <f t="shared" si="42"/>
        <v>116</v>
      </c>
      <c r="MX52" s="197">
        <f t="shared" si="42"/>
        <v>116</v>
      </c>
      <c r="MY52" s="197">
        <f t="shared" si="42"/>
        <v>116</v>
      </c>
      <c r="MZ52" s="197">
        <f t="shared" si="42"/>
        <v>116</v>
      </c>
      <c r="NA52" s="197">
        <f t="shared" si="42"/>
        <v>116</v>
      </c>
      <c r="NB52" s="197">
        <f t="shared" si="42"/>
        <v>116</v>
      </c>
      <c r="NC52" s="197">
        <f t="shared" si="42"/>
        <v>116</v>
      </c>
      <c r="ND52" s="197">
        <f t="shared" si="42"/>
        <v>116</v>
      </c>
      <c r="NE52" s="197">
        <f t="shared" si="42"/>
        <v>116</v>
      </c>
      <c r="NF52" s="197">
        <f t="shared" si="42"/>
        <v>116</v>
      </c>
      <c r="NG52" s="197">
        <f t="shared" si="42"/>
        <v>116</v>
      </c>
      <c r="NH52" s="197">
        <f t="shared" si="42"/>
        <v>116</v>
      </c>
      <c r="NI52" s="197">
        <f t="shared" si="42"/>
        <v>116</v>
      </c>
      <c r="NJ52" s="197">
        <f t="shared" si="42"/>
        <v>116</v>
      </c>
      <c r="NK52" s="197">
        <f t="shared" si="42"/>
        <v>116</v>
      </c>
      <c r="NL52" s="197">
        <f t="shared" si="42"/>
        <v>116</v>
      </c>
      <c r="NM52" s="197">
        <f t="shared" si="42"/>
        <v>116</v>
      </c>
      <c r="NN52" s="197">
        <f t="shared" si="42"/>
        <v>116</v>
      </c>
      <c r="NO52" s="197">
        <f t="shared" si="42"/>
        <v>116</v>
      </c>
      <c r="NP52" s="197">
        <f t="shared" si="42"/>
        <v>116</v>
      </c>
      <c r="NQ52" s="197">
        <f t="shared" si="42"/>
        <v>116</v>
      </c>
      <c r="NR52" s="197">
        <f t="shared" si="42"/>
        <v>116</v>
      </c>
      <c r="NS52" s="197">
        <f t="shared" si="42"/>
        <v>116</v>
      </c>
      <c r="NT52" s="197">
        <f t="shared" si="42"/>
        <v>116</v>
      </c>
      <c r="NU52" s="197">
        <f t="shared" si="42"/>
        <v>116</v>
      </c>
      <c r="NV52" s="197">
        <f t="shared" si="42"/>
        <v>116</v>
      </c>
      <c r="NW52" s="197">
        <f t="shared" si="42"/>
        <v>116</v>
      </c>
      <c r="NX52" s="197">
        <f t="shared" si="42"/>
        <v>116</v>
      </c>
      <c r="NY52" s="197">
        <f t="shared" si="42"/>
        <v>116</v>
      </c>
      <c r="NZ52" s="197">
        <f t="shared" si="42"/>
        <v>116</v>
      </c>
      <c r="OA52" s="197">
        <f t="shared" si="42"/>
        <v>116</v>
      </c>
      <c r="OB52" s="197">
        <f t="shared" si="42"/>
        <v>116</v>
      </c>
      <c r="OC52" s="197">
        <f t="shared" si="42"/>
        <v>116</v>
      </c>
      <c r="OD52" s="197">
        <f t="shared" si="42"/>
        <v>116</v>
      </c>
      <c r="OE52" s="197">
        <f t="shared" si="42"/>
        <v>116</v>
      </c>
      <c r="OF52" s="197">
        <f t="shared" si="42"/>
        <v>116</v>
      </c>
      <c r="OG52" s="197">
        <f t="shared" si="42"/>
        <v>116</v>
      </c>
      <c r="OH52" s="197">
        <f t="shared" si="42"/>
        <v>116</v>
      </c>
      <c r="OI52" s="197">
        <f t="shared" si="42"/>
        <v>116</v>
      </c>
      <c r="OJ52" s="197">
        <f t="shared" si="42"/>
        <v>116</v>
      </c>
      <c r="OK52" s="197">
        <f t="shared" si="42"/>
        <v>116</v>
      </c>
      <c r="OL52" s="197">
        <f t="shared" si="42"/>
        <v>116</v>
      </c>
      <c r="OM52" s="197">
        <f t="shared" si="42"/>
        <v>116</v>
      </c>
      <c r="ON52" s="197">
        <f t="shared" si="42"/>
        <v>116</v>
      </c>
      <c r="OO52" s="197">
        <f t="shared" si="42"/>
        <v>116</v>
      </c>
      <c r="OP52" s="197">
        <f t="shared" si="42"/>
        <v>116</v>
      </c>
      <c r="OQ52" s="197">
        <f t="shared" si="42"/>
        <v>116</v>
      </c>
      <c r="OR52" s="197">
        <f t="shared" si="42"/>
        <v>116</v>
      </c>
      <c r="OS52" s="197">
        <f t="shared" si="42"/>
        <v>116</v>
      </c>
      <c r="OT52" s="197">
        <f t="shared" si="42"/>
        <v>116</v>
      </c>
      <c r="OU52" s="197">
        <f t="shared" si="42"/>
        <v>116</v>
      </c>
      <c r="OV52" s="197">
        <f t="shared" si="42"/>
        <v>116</v>
      </c>
      <c r="OW52" s="197">
        <f t="shared" si="42"/>
        <v>116</v>
      </c>
      <c r="OX52" s="197">
        <f t="shared" si="42"/>
        <v>116</v>
      </c>
      <c r="OY52" s="197">
        <f t="shared" si="42"/>
        <v>116</v>
      </c>
      <c r="OZ52" s="197">
        <f t="shared" si="42"/>
        <v>116</v>
      </c>
      <c r="PA52" s="197">
        <f t="shared" si="42"/>
        <v>116</v>
      </c>
      <c r="PB52" s="197">
        <f t="shared" si="42"/>
        <v>116</v>
      </c>
      <c r="PC52" s="197">
        <f t="shared" si="42"/>
        <v>116</v>
      </c>
      <c r="PD52" s="197">
        <f t="shared" si="42"/>
        <v>116</v>
      </c>
      <c r="PE52" s="197">
        <f t="shared" si="42"/>
        <v>116</v>
      </c>
      <c r="PF52" s="197">
        <f t="shared" si="42"/>
        <v>116</v>
      </c>
      <c r="PG52" s="197">
        <f t="shared" si="42"/>
        <v>116</v>
      </c>
      <c r="PH52" s="197">
        <f t="shared" si="42"/>
        <v>116</v>
      </c>
      <c r="PI52" s="197">
        <f t="shared" si="42"/>
        <v>116</v>
      </c>
      <c r="PJ52" s="197">
        <f t="shared" si="42"/>
        <v>116</v>
      </c>
      <c r="PK52" s="197">
        <f t="shared" si="42"/>
        <v>116</v>
      </c>
      <c r="PL52" s="197">
        <f t="shared" si="42"/>
        <v>116</v>
      </c>
      <c r="PM52" s="197">
        <f t="shared" si="42"/>
        <v>116</v>
      </c>
      <c r="PN52" s="197">
        <f t="shared" si="42"/>
        <v>116</v>
      </c>
      <c r="PO52" s="197">
        <f t="shared" si="42"/>
        <v>116</v>
      </c>
      <c r="PP52" s="197">
        <f t="shared" si="42"/>
        <v>116</v>
      </c>
      <c r="PQ52" s="197">
        <f t="shared" si="42"/>
        <v>116</v>
      </c>
      <c r="PR52" s="197">
        <f t="shared" si="42"/>
        <v>116</v>
      </c>
      <c r="PS52" s="197">
        <f t="shared" si="42"/>
        <v>116</v>
      </c>
      <c r="PT52" s="197">
        <f t="shared" si="42"/>
        <v>116</v>
      </c>
      <c r="PU52" s="197">
        <f t="shared" si="42"/>
        <v>116</v>
      </c>
      <c r="PV52" s="197">
        <f t="shared" si="42"/>
        <v>116</v>
      </c>
      <c r="PW52" s="197">
        <f t="shared" si="42"/>
        <v>116</v>
      </c>
      <c r="PX52" s="197">
        <f t="shared" si="42"/>
        <v>116</v>
      </c>
      <c r="PY52" s="197">
        <f t="shared" si="42"/>
        <v>116</v>
      </c>
      <c r="PZ52" s="197">
        <f t="shared" si="42"/>
        <v>116</v>
      </c>
      <c r="QA52" s="197">
        <f t="shared" si="42"/>
        <v>116</v>
      </c>
      <c r="QB52" s="197">
        <f t="shared" si="42"/>
        <v>116</v>
      </c>
      <c r="QC52" s="197">
        <f t="shared" si="42"/>
        <v>116</v>
      </c>
      <c r="QD52" s="197">
        <f t="shared" si="42"/>
        <v>116</v>
      </c>
      <c r="QE52" s="197">
        <f t="shared" si="42"/>
        <v>116</v>
      </c>
      <c r="QF52" s="197">
        <f t="shared" si="42"/>
        <v>116</v>
      </c>
      <c r="QG52" s="197">
        <f t="shared" si="42"/>
        <v>116</v>
      </c>
      <c r="QH52" s="197">
        <f t="shared" si="42"/>
        <v>116</v>
      </c>
      <c r="QI52" s="197">
        <f t="shared" si="42"/>
        <v>116</v>
      </c>
      <c r="QJ52" s="197">
        <f t="shared" si="42"/>
        <v>116</v>
      </c>
      <c r="QK52" s="197">
        <f t="shared" si="42"/>
        <v>116</v>
      </c>
      <c r="QL52" s="197">
        <f t="shared" si="42"/>
        <v>116</v>
      </c>
      <c r="QM52" s="197">
        <f t="shared" si="42"/>
        <v>116</v>
      </c>
      <c r="QN52" s="197">
        <f t="shared" si="42"/>
        <v>116</v>
      </c>
      <c r="QO52" s="197">
        <f t="shared" si="42"/>
        <v>116</v>
      </c>
      <c r="QP52" s="197">
        <f t="shared" si="42"/>
        <v>116</v>
      </c>
      <c r="QQ52" s="197">
        <f t="shared" si="42"/>
        <v>116</v>
      </c>
      <c r="QR52" s="197">
        <f t="shared" si="42"/>
        <v>116</v>
      </c>
      <c r="QS52" s="197">
        <f t="shared" si="42"/>
        <v>116</v>
      </c>
      <c r="QT52" s="197">
        <f t="shared" si="42"/>
        <v>116</v>
      </c>
      <c r="QU52" s="197">
        <f t="shared" si="42"/>
        <v>116</v>
      </c>
      <c r="QV52" s="197">
        <f t="shared" si="42"/>
        <v>116</v>
      </c>
      <c r="QW52" s="197">
        <f t="shared" si="42"/>
        <v>116</v>
      </c>
      <c r="QX52" s="197">
        <f t="shared" si="42"/>
        <v>116</v>
      </c>
      <c r="QY52" s="197">
        <f t="shared" si="42"/>
        <v>116</v>
      </c>
      <c r="QZ52" s="197">
        <f t="shared" si="42"/>
        <v>116</v>
      </c>
      <c r="RA52" s="197">
        <f t="shared" si="42"/>
        <v>116</v>
      </c>
      <c r="RB52" s="197">
        <f t="shared" si="42"/>
        <v>116</v>
      </c>
      <c r="RC52" s="197">
        <f t="shared" si="42"/>
        <v>116</v>
      </c>
      <c r="RD52" s="197">
        <f t="shared" si="42"/>
        <v>116</v>
      </c>
      <c r="RE52" s="197">
        <f t="shared" si="42"/>
        <v>116</v>
      </c>
      <c r="RF52" s="197">
        <f t="shared" si="42"/>
        <v>116</v>
      </c>
      <c r="RG52" s="197">
        <f t="shared" si="42"/>
        <v>116</v>
      </c>
      <c r="RH52" s="197">
        <f t="shared" si="42"/>
        <v>116</v>
      </c>
      <c r="RI52" s="197">
        <f t="shared" si="42"/>
        <v>116</v>
      </c>
      <c r="RJ52" s="197">
        <f t="shared" si="42"/>
        <v>116</v>
      </c>
      <c r="RK52" s="197">
        <f t="shared" si="42"/>
        <v>116</v>
      </c>
      <c r="RL52" s="197">
        <f t="shared" si="42"/>
        <v>116</v>
      </c>
      <c r="RM52" s="197">
        <f t="shared" si="42"/>
        <v>116</v>
      </c>
      <c r="RN52" s="197">
        <f t="shared" si="42"/>
        <v>116</v>
      </c>
      <c r="RO52" s="197">
        <f t="shared" si="42"/>
        <v>116</v>
      </c>
      <c r="RP52" s="197">
        <f t="shared" si="42"/>
        <v>116</v>
      </c>
      <c r="RQ52" s="197">
        <f t="shared" si="42"/>
        <v>116</v>
      </c>
      <c r="RR52" s="197">
        <f t="shared" si="42"/>
        <v>116</v>
      </c>
      <c r="RS52" s="197">
        <f t="shared" si="42"/>
        <v>116</v>
      </c>
      <c r="RT52" s="197">
        <f t="shared" si="42"/>
        <v>116</v>
      </c>
      <c r="RU52" s="197">
        <f t="shared" si="42"/>
        <v>116</v>
      </c>
      <c r="RV52" s="197">
        <f t="shared" si="42"/>
        <v>116</v>
      </c>
      <c r="RW52" s="197">
        <f t="shared" si="42"/>
        <v>116</v>
      </c>
      <c r="RX52" s="197">
        <f t="shared" si="42"/>
        <v>116</v>
      </c>
      <c r="RY52" s="197">
        <f t="shared" si="42"/>
        <v>116</v>
      </c>
      <c r="RZ52" s="197">
        <f t="shared" si="42"/>
        <v>116</v>
      </c>
      <c r="SA52" s="197">
        <f t="shared" si="42"/>
        <v>116</v>
      </c>
      <c r="SB52" s="197">
        <f t="shared" si="42"/>
        <v>116</v>
      </c>
      <c r="SC52" s="197">
        <f t="shared" si="42"/>
        <v>116</v>
      </c>
      <c r="SD52" s="197">
        <f t="shared" si="42"/>
        <v>116</v>
      </c>
      <c r="SE52" s="197">
        <f t="shared" si="42"/>
        <v>116</v>
      </c>
      <c r="SF52" s="197">
        <f t="shared" si="42"/>
        <v>116</v>
      </c>
      <c r="SG52" s="197">
        <f t="shared" si="42"/>
        <v>116</v>
      </c>
      <c r="SH52" s="197">
        <f t="shared" si="42"/>
        <v>116</v>
      </c>
      <c r="SI52" s="197">
        <f t="shared" si="42"/>
        <v>116</v>
      </c>
      <c r="SJ52" s="197">
        <f t="shared" si="42"/>
        <v>116</v>
      </c>
      <c r="SK52" s="197">
        <f t="shared" si="42"/>
        <v>116</v>
      </c>
      <c r="SL52" s="197">
        <f t="shared" si="42"/>
        <v>116</v>
      </c>
    </row>
    <row r="53">
      <c r="A53" s="53" t="s">
        <v>129</v>
      </c>
      <c r="B53" s="89">
        <f>B51*B52</f>
        <v>694.4103094</v>
      </c>
      <c r="C53" s="308"/>
      <c r="D53" s="309"/>
      <c r="E53" s="310"/>
      <c r="F53" s="89"/>
      <c r="G53" s="89">
        <f t="shared" ref="G53:SL53" si="43">G51*G52</f>
        <v>336.8951787</v>
      </c>
      <c r="H53" s="89">
        <f t="shared" si="43"/>
        <v>316.9191435</v>
      </c>
      <c r="I53" s="89">
        <f t="shared" si="43"/>
        <v>1347.356553</v>
      </c>
      <c r="J53" s="89">
        <f t="shared" si="43"/>
        <v>554.9456373</v>
      </c>
      <c r="K53" s="89">
        <f t="shared" si="43"/>
        <v>36.50090084</v>
      </c>
      <c r="L53" s="89">
        <f t="shared" si="43"/>
        <v>960.3883062</v>
      </c>
      <c r="M53" s="89">
        <f t="shared" si="43"/>
        <v>340.8587405</v>
      </c>
      <c r="N53" s="89">
        <f t="shared" si="43"/>
        <v>471.3719016</v>
      </c>
      <c r="O53" s="89">
        <f t="shared" si="43"/>
        <v>125.8226509</v>
      </c>
      <c r="P53" s="89">
        <f t="shared" si="43"/>
        <v>449.7353329</v>
      </c>
      <c r="Q53" s="89">
        <f t="shared" si="43"/>
        <v>1194.383632</v>
      </c>
      <c r="R53" s="89">
        <f t="shared" si="43"/>
        <v>1326.882394</v>
      </c>
      <c r="S53" s="89">
        <f t="shared" si="43"/>
        <v>666.1063105</v>
      </c>
      <c r="T53" s="89">
        <f t="shared" si="43"/>
        <v>943.1019535</v>
      </c>
      <c r="U53" s="89">
        <f t="shared" si="43"/>
        <v>1109.64456</v>
      </c>
      <c r="V53" s="89">
        <f t="shared" si="43"/>
        <v>1022.889004</v>
      </c>
      <c r="W53" s="89">
        <f t="shared" si="43"/>
        <v>796.6854406</v>
      </c>
      <c r="X53" s="89">
        <f t="shared" si="43"/>
        <v>955.3940907</v>
      </c>
      <c r="Y53" s="89">
        <f t="shared" si="43"/>
        <v>15.60984775</v>
      </c>
      <c r="Z53" s="89">
        <f t="shared" si="43"/>
        <v>69.94179997</v>
      </c>
      <c r="AA53" s="89">
        <f t="shared" si="43"/>
        <v>1237.90102</v>
      </c>
      <c r="AB53" s="89">
        <f t="shared" si="43"/>
        <v>797.9992153</v>
      </c>
      <c r="AC53" s="89">
        <f t="shared" si="43"/>
        <v>1187.261777</v>
      </c>
      <c r="AD53" s="89">
        <f t="shared" si="43"/>
        <v>797.6661133</v>
      </c>
      <c r="AE53" s="89">
        <f t="shared" si="43"/>
        <v>586.0426205</v>
      </c>
      <c r="AF53" s="89">
        <f t="shared" si="43"/>
        <v>1197.189959</v>
      </c>
      <c r="AG53" s="89">
        <f t="shared" si="43"/>
        <v>640.4917132</v>
      </c>
      <c r="AH53" s="89">
        <f t="shared" si="43"/>
        <v>1159.834058</v>
      </c>
      <c r="AI53" s="89">
        <f t="shared" si="43"/>
        <v>1007.85679</v>
      </c>
      <c r="AJ53" s="89">
        <f t="shared" si="43"/>
        <v>331.1983027</v>
      </c>
      <c r="AK53" s="89">
        <f t="shared" si="43"/>
        <v>33.18636469</v>
      </c>
      <c r="AL53" s="89">
        <f t="shared" si="43"/>
        <v>882.3367197</v>
      </c>
      <c r="AM53" s="89">
        <f t="shared" si="43"/>
        <v>849.3148475</v>
      </c>
      <c r="AN53" s="89">
        <f t="shared" si="43"/>
        <v>750.5282849</v>
      </c>
      <c r="AO53" s="89">
        <f t="shared" si="43"/>
        <v>459.5830631</v>
      </c>
      <c r="AP53" s="89">
        <f t="shared" si="43"/>
        <v>260.2252372</v>
      </c>
      <c r="AQ53" s="89">
        <f t="shared" si="43"/>
        <v>429.7198485</v>
      </c>
      <c r="AR53" s="89">
        <f t="shared" si="43"/>
        <v>923.9450579</v>
      </c>
      <c r="AS53" s="89">
        <f t="shared" si="43"/>
        <v>1006.15679</v>
      </c>
      <c r="AT53" s="89">
        <f t="shared" si="43"/>
        <v>1227.828533</v>
      </c>
      <c r="AU53" s="89">
        <f t="shared" si="43"/>
        <v>946.0057129</v>
      </c>
      <c r="AV53" s="89">
        <f t="shared" si="43"/>
        <v>936.2541089</v>
      </c>
      <c r="AW53" s="89">
        <f t="shared" si="43"/>
        <v>910.939348</v>
      </c>
      <c r="AX53" s="89">
        <f t="shared" si="43"/>
        <v>434.4424834</v>
      </c>
      <c r="AY53" s="89">
        <f t="shared" si="43"/>
        <v>575.459361</v>
      </c>
      <c r="AZ53" s="89">
        <f t="shared" si="43"/>
        <v>1131.232917</v>
      </c>
      <c r="BA53" s="89">
        <f t="shared" si="43"/>
        <v>861.8865179</v>
      </c>
      <c r="BB53" s="89">
        <f t="shared" si="43"/>
        <v>812.4006403</v>
      </c>
      <c r="BC53" s="89">
        <f t="shared" si="43"/>
        <v>1401.826329</v>
      </c>
      <c r="BD53" s="89">
        <f t="shared" si="43"/>
        <v>611.6103452</v>
      </c>
      <c r="BE53" s="89">
        <f t="shared" si="43"/>
        <v>877.3019143</v>
      </c>
      <c r="BF53" s="89">
        <f t="shared" si="43"/>
        <v>588.7506885</v>
      </c>
      <c r="BG53" s="89">
        <f t="shared" si="43"/>
        <v>831.3711033</v>
      </c>
      <c r="BH53" s="89">
        <f t="shared" si="43"/>
        <v>360.6502279</v>
      </c>
      <c r="BI53" s="89">
        <f t="shared" si="43"/>
        <v>1520.344461</v>
      </c>
      <c r="BJ53" s="89">
        <f t="shared" si="43"/>
        <v>320.9909175</v>
      </c>
      <c r="BK53" s="89">
        <f t="shared" si="43"/>
        <v>132.8104027</v>
      </c>
      <c r="BL53" s="89">
        <f t="shared" si="43"/>
        <v>1088.792675</v>
      </c>
      <c r="BM53" s="89">
        <f t="shared" si="43"/>
        <v>750.2829101</v>
      </c>
      <c r="BN53" s="89">
        <f t="shared" si="43"/>
        <v>805.3087601</v>
      </c>
      <c r="BO53" s="89">
        <f t="shared" si="43"/>
        <v>900.7016238</v>
      </c>
      <c r="BP53" s="89">
        <f t="shared" si="43"/>
        <v>633.7756412</v>
      </c>
      <c r="BQ53" s="89">
        <f t="shared" si="43"/>
        <v>509.2548277</v>
      </c>
      <c r="BR53" s="89">
        <f t="shared" si="43"/>
        <v>168.6821843</v>
      </c>
      <c r="BS53" s="89">
        <f t="shared" si="43"/>
        <v>468.7079122</v>
      </c>
      <c r="BT53" s="89">
        <f t="shared" si="43"/>
        <v>270.2847461</v>
      </c>
      <c r="BU53" s="89">
        <f t="shared" si="43"/>
        <v>121.5009057</v>
      </c>
      <c r="BV53" s="89">
        <f t="shared" si="43"/>
        <v>485.1501264</v>
      </c>
      <c r="BW53" s="89">
        <f t="shared" si="43"/>
        <v>66.82751854</v>
      </c>
      <c r="BX53" s="89">
        <f t="shared" si="43"/>
        <v>1312.396399</v>
      </c>
      <c r="BY53" s="89">
        <f t="shared" si="43"/>
        <v>64.75686966</v>
      </c>
      <c r="BZ53" s="89">
        <f t="shared" si="43"/>
        <v>78.07651914</v>
      </c>
      <c r="CA53" s="89">
        <f t="shared" si="43"/>
        <v>1472.871414</v>
      </c>
      <c r="CB53" s="89">
        <f t="shared" si="43"/>
        <v>1177.760061</v>
      </c>
      <c r="CC53" s="89">
        <f t="shared" si="43"/>
        <v>680.2792084</v>
      </c>
      <c r="CD53" s="89">
        <f t="shared" si="43"/>
        <v>747.1262035</v>
      </c>
      <c r="CE53" s="89">
        <f t="shared" si="43"/>
        <v>1436.382352</v>
      </c>
      <c r="CF53" s="89">
        <f t="shared" si="43"/>
        <v>218.4374766</v>
      </c>
      <c r="CG53" s="89">
        <f t="shared" si="43"/>
        <v>232.1453345</v>
      </c>
      <c r="CH53" s="89">
        <f t="shared" si="43"/>
        <v>131.4844262</v>
      </c>
      <c r="CI53" s="89">
        <f t="shared" si="43"/>
        <v>1246.221147</v>
      </c>
      <c r="CJ53" s="89">
        <f t="shared" si="43"/>
        <v>1012.13115</v>
      </c>
      <c r="CK53" s="89">
        <f t="shared" si="43"/>
        <v>785.865073</v>
      </c>
      <c r="CL53" s="89">
        <f t="shared" si="43"/>
        <v>343.7198267</v>
      </c>
      <c r="CM53" s="89">
        <f t="shared" si="43"/>
        <v>363.5114299</v>
      </c>
      <c r="CN53" s="89">
        <f t="shared" si="43"/>
        <v>597.4590732</v>
      </c>
      <c r="CO53" s="89">
        <f t="shared" si="43"/>
        <v>693.123749</v>
      </c>
      <c r="CP53" s="89">
        <f t="shared" si="43"/>
        <v>1109.774151</v>
      </c>
      <c r="CQ53" s="89">
        <f t="shared" si="43"/>
        <v>787.1260725</v>
      </c>
      <c r="CR53" s="89">
        <f t="shared" si="43"/>
        <v>111.0174594</v>
      </c>
      <c r="CS53" s="89">
        <f t="shared" si="43"/>
        <v>702.463981</v>
      </c>
      <c r="CT53" s="89">
        <f t="shared" si="43"/>
        <v>785.7585472</v>
      </c>
      <c r="CU53" s="89">
        <f t="shared" si="43"/>
        <v>277.4463153</v>
      </c>
      <c r="CV53" s="89">
        <f t="shared" si="43"/>
        <v>236.8481787</v>
      </c>
      <c r="CW53" s="89">
        <f t="shared" si="43"/>
        <v>507.458008</v>
      </c>
      <c r="CX53" s="89">
        <f t="shared" si="43"/>
        <v>1043.30255</v>
      </c>
      <c r="CY53" s="89">
        <f t="shared" si="43"/>
        <v>346.1734594</v>
      </c>
      <c r="CZ53" s="89">
        <f t="shared" si="43"/>
        <v>822.5023924</v>
      </c>
      <c r="DA53" s="89">
        <f t="shared" si="43"/>
        <v>313.5528407</v>
      </c>
      <c r="DB53" s="89">
        <f t="shared" si="43"/>
        <v>1159.049721</v>
      </c>
      <c r="DC53" s="89">
        <f t="shared" si="43"/>
        <v>1053.019963</v>
      </c>
      <c r="DD53" s="89">
        <f t="shared" si="43"/>
        <v>984.6567561</v>
      </c>
      <c r="DE53" s="89">
        <f t="shared" si="43"/>
        <v>89.54670597</v>
      </c>
      <c r="DF53" s="89">
        <f t="shared" si="43"/>
        <v>921.6163034</v>
      </c>
      <c r="DG53" s="89">
        <f t="shared" si="43"/>
        <v>446.6255155</v>
      </c>
      <c r="DH53" s="89">
        <f t="shared" si="43"/>
        <v>417.8053548</v>
      </c>
      <c r="DI53" s="89">
        <f t="shared" si="43"/>
        <v>22.39473248</v>
      </c>
      <c r="DJ53" s="89">
        <f t="shared" si="43"/>
        <v>516.1893413</v>
      </c>
      <c r="DK53" s="89">
        <f t="shared" si="43"/>
        <v>309.2330134</v>
      </c>
      <c r="DL53" s="89">
        <f t="shared" si="43"/>
        <v>1011.686727</v>
      </c>
      <c r="DM53" s="89">
        <f t="shared" si="43"/>
        <v>652.5858277</v>
      </c>
      <c r="DN53" s="89">
        <f t="shared" si="43"/>
        <v>120.9089374</v>
      </c>
      <c r="DO53" s="89">
        <f t="shared" si="43"/>
        <v>609.1993195</v>
      </c>
      <c r="DP53" s="89">
        <f t="shared" si="43"/>
        <v>676.1195088</v>
      </c>
      <c r="DQ53" s="89">
        <f t="shared" si="43"/>
        <v>84.27034497</v>
      </c>
      <c r="DR53" s="89">
        <f t="shared" si="43"/>
        <v>814.5785094</v>
      </c>
      <c r="DS53" s="89">
        <f t="shared" si="43"/>
        <v>1065.337182</v>
      </c>
      <c r="DT53" s="89">
        <f t="shared" si="43"/>
        <v>1006.232481</v>
      </c>
      <c r="DU53" s="89">
        <f t="shared" si="43"/>
        <v>1184.600383</v>
      </c>
      <c r="DV53" s="89">
        <f t="shared" si="43"/>
        <v>324.6522951</v>
      </c>
      <c r="DW53" s="89">
        <f t="shared" si="43"/>
        <v>754.8101181</v>
      </c>
      <c r="DX53" s="89">
        <f t="shared" si="43"/>
        <v>1277.28007</v>
      </c>
      <c r="DY53" s="89">
        <f t="shared" si="43"/>
        <v>549.7336911</v>
      </c>
      <c r="DZ53" s="89">
        <f t="shared" si="43"/>
        <v>1144.023972</v>
      </c>
      <c r="EA53" s="89">
        <f t="shared" si="43"/>
        <v>1096.291249</v>
      </c>
      <c r="EB53" s="89">
        <f t="shared" si="43"/>
        <v>518.0036702</v>
      </c>
      <c r="EC53" s="89">
        <f t="shared" si="43"/>
        <v>1016.622133</v>
      </c>
      <c r="ED53" s="89">
        <f t="shared" si="43"/>
        <v>391.5867032</v>
      </c>
      <c r="EE53" s="89">
        <f t="shared" si="43"/>
        <v>1150.725924</v>
      </c>
      <c r="EF53" s="89">
        <f t="shared" si="43"/>
        <v>1134.692238</v>
      </c>
      <c r="EG53" s="89">
        <f t="shared" si="43"/>
        <v>247.3631711</v>
      </c>
      <c r="EH53" s="89">
        <f t="shared" si="43"/>
        <v>162.5406542</v>
      </c>
      <c r="EI53" s="89">
        <f t="shared" si="43"/>
        <v>530.9334248</v>
      </c>
      <c r="EJ53" s="89">
        <f t="shared" si="43"/>
        <v>608.0944466</v>
      </c>
      <c r="EK53" s="89">
        <f t="shared" si="43"/>
        <v>291.0755726</v>
      </c>
      <c r="EL53" s="89">
        <f t="shared" si="43"/>
        <v>1042.623549</v>
      </c>
      <c r="EM53" s="89">
        <f t="shared" si="43"/>
        <v>596.2728716</v>
      </c>
      <c r="EN53" s="89">
        <f t="shared" si="43"/>
        <v>686.3352764</v>
      </c>
      <c r="EO53" s="89">
        <f t="shared" si="43"/>
        <v>116.6472256</v>
      </c>
      <c r="EP53" s="89">
        <f t="shared" si="43"/>
        <v>394.2997312</v>
      </c>
      <c r="EQ53" s="89">
        <f t="shared" si="43"/>
        <v>504.1090159</v>
      </c>
      <c r="ER53" s="89">
        <f t="shared" si="43"/>
        <v>1166.980267</v>
      </c>
      <c r="ES53" s="89">
        <f t="shared" si="43"/>
        <v>785.6453087</v>
      </c>
      <c r="ET53" s="89">
        <f t="shared" si="43"/>
        <v>331.8900015</v>
      </c>
      <c r="EU53" s="89">
        <f t="shared" si="43"/>
        <v>708.616787</v>
      </c>
      <c r="EV53" s="89">
        <f t="shared" si="43"/>
        <v>208.6909649</v>
      </c>
      <c r="EW53" s="89">
        <f t="shared" si="43"/>
        <v>378.7769162</v>
      </c>
      <c r="EX53" s="89">
        <f t="shared" si="43"/>
        <v>175.0321367</v>
      </c>
      <c r="EY53" s="89">
        <f t="shared" si="43"/>
        <v>179.5258146</v>
      </c>
      <c r="EZ53" s="89">
        <f t="shared" si="43"/>
        <v>978.3286941</v>
      </c>
      <c r="FA53" s="89">
        <f t="shared" si="43"/>
        <v>1217.495178</v>
      </c>
      <c r="FB53" s="89">
        <f t="shared" si="43"/>
        <v>654.117052</v>
      </c>
      <c r="FC53" s="89">
        <f t="shared" si="43"/>
        <v>293.7790773</v>
      </c>
      <c r="FD53" s="89">
        <f t="shared" si="43"/>
        <v>531.8023139</v>
      </c>
      <c r="FE53" s="89">
        <f t="shared" si="43"/>
        <v>1092.025007</v>
      </c>
      <c r="FF53" s="89">
        <f t="shared" si="43"/>
        <v>1036.763272</v>
      </c>
      <c r="FG53" s="89">
        <f t="shared" si="43"/>
        <v>726.7551976</v>
      </c>
      <c r="FH53" s="89">
        <f t="shared" si="43"/>
        <v>308.1083497</v>
      </c>
      <c r="FI53" s="89">
        <f t="shared" si="43"/>
        <v>225.4052392</v>
      </c>
      <c r="FJ53" s="89">
        <f t="shared" si="43"/>
        <v>799.6227631</v>
      </c>
      <c r="FK53" s="89">
        <f t="shared" si="43"/>
        <v>99.37691058</v>
      </c>
      <c r="FL53" s="89">
        <f t="shared" si="43"/>
        <v>777.9355686</v>
      </c>
      <c r="FM53" s="89">
        <f t="shared" si="43"/>
        <v>588.6059866</v>
      </c>
      <c r="FN53" s="89">
        <f t="shared" si="43"/>
        <v>515.3647952</v>
      </c>
      <c r="FO53" s="89">
        <f t="shared" si="43"/>
        <v>748.7313495</v>
      </c>
      <c r="FP53" s="89">
        <f t="shared" si="43"/>
        <v>191.8716694</v>
      </c>
      <c r="FQ53" s="89">
        <f t="shared" si="43"/>
        <v>1063.453842</v>
      </c>
      <c r="FR53" s="89">
        <f t="shared" si="43"/>
        <v>676.2986005</v>
      </c>
      <c r="FS53" s="89">
        <f t="shared" si="43"/>
        <v>234.0329401</v>
      </c>
      <c r="FT53" s="89">
        <f t="shared" si="43"/>
        <v>67.87926909</v>
      </c>
      <c r="FU53" s="89">
        <f t="shared" si="43"/>
        <v>225.91573</v>
      </c>
      <c r="FV53" s="89">
        <f t="shared" si="43"/>
        <v>65.95905925</v>
      </c>
      <c r="FW53" s="89">
        <f t="shared" si="43"/>
        <v>182.2844422</v>
      </c>
      <c r="FX53" s="89">
        <f t="shared" si="43"/>
        <v>888.4802669</v>
      </c>
      <c r="FY53" s="89">
        <f t="shared" si="43"/>
        <v>904.3077792</v>
      </c>
      <c r="FZ53" s="89">
        <f t="shared" si="43"/>
        <v>1269.803189</v>
      </c>
      <c r="GA53" s="89">
        <f t="shared" si="43"/>
        <v>694.6158548</v>
      </c>
      <c r="GB53" s="89">
        <f t="shared" si="43"/>
        <v>828.2933445</v>
      </c>
      <c r="GC53" s="89">
        <f t="shared" si="43"/>
        <v>1235.337539</v>
      </c>
      <c r="GD53" s="89">
        <f t="shared" si="43"/>
        <v>430.9855601</v>
      </c>
      <c r="GE53" s="89">
        <f t="shared" si="43"/>
        <v>1024.264994</v>
      </c>
      <c r="GF53" s="89">
        <f t="shared" si="43"/>
        <v>1005.836519</v>
      </c>
      <c r="GG53" s="89">
        <f t="shared" si="43"/>
        <v>119.2330774</v>
      </c>
      <c r="GH53" s="89">
        <f t="shared" si="43"/>
        <v>115.4705143</v>
      </c>
      <c r="GI53" s="89">
        <f t="shared" si="43"/>
        <v>623.2636083</v>
      </c>
      <c r="GJ53" s="89">
        <f t="shared" si="43"/>
        <v>201.8639857</v>
      </c>
      <c r="GK53" s="89">
        <f t="shared" si="43"/>
        <v>414.5061288</v>
      </c>
      <c r="GL53" s="89">
        <f t="shared" si="43"/>
        <v>474.0498123</v>
      </c>
      <c r="GM53" s="89">
        <f t="shared" si="43"/>
        <v>1008.565353</v>
      </c>
      <c r="GN53" s="89">
        <f t="shared" si="43"/>
        <v>928.4315272</v>
      </c>
      <c r="GO53" s="89">
        <f t="shared" si="43"/>
        <v>1150.406413</v>
      </c>
      <c r="GP53" s="89">
        <f t="shared" si="43"/>
        <v>1007.855417</v>
      </c>
      <c r="GQ53" s="89">
        <f t="shared" si="43"/>
        <v>211.2150803</v>
      </c>
      <c r="GR53" s="89">
        <f t="shared" si="43"/>
        <v>231.4955648</v>
      </c>
      <c r="GS53" s="89">
        <f t="shared" si="43"/>
        <v>1447.053867</v>
      </c>
      <c r="GT53" s="89">
        <f t="shared" si="43"/>
        <v>1023.48365</v>
      </c>
      <c r="GU53" s="89">
        <f t="shared" si="43"/>
        <v>1328.511579</v>
      </c>
      <c r="GV53" s="89">
        <f t="shared" si="43"/>
        <v>1105.416296</v>
      </c>
      <c r="GW53" s="89">
        <f t="shared" si="43"/>
        <v>234.7242256</v>
      </c>
      <c r="GX53" s="89">
        <f t="shared" si="43"/>
        <v>849.5591808</v>
      </c>
      <c r="GY53" s="89">
        <f t="shared" si="43"/>
        <v>495.9326651</v>
      </c>
      <c r="GZ53" s="89">
        <f t="shared" si="43"/>
        <v>992.4740967</v>
      </c>
      <c r="HA53" s="89">
        <f t="shared" si="43"/>
        <v>1172.814934</v>
      </c>
      <c r="HB53" s="89">
        <f t="shared" si="43"/>
        <v>768.0928646</v>
      </c>
      <c r="HC53" s="89">
        <f t="shared" si="43"/>
        <v>1251.213345</v>
      </c>
      <c r="HD53" s="89">
        <f t="shared" si="43"/>
        <v>1172.539584</v>
      </c>
      <c r="HE53" s="89">
        <f t="shared" si="43"/>
        <v>1286.966895</v>
      </c>
      <c r="HF53" s="89">
        <f t="shared" si="43"/>
        <v>580.3013684</v>
      </c>
      <c r="HG53" s="89">
        <f t="shared" si="43"/>
        <v>986.2610423</v>
      </c>
      <c r="HH53" s="89">
        <f t="shared" si="43"/>
        <v>1203.351727</v>
      </c>
      <c r="HI53" s="89">
        <f t="shared" si="43"/>
        <v>703.04426</v>
      </c>
      <c r="HJ53" s="89">
        <f t="shared" si="43"/>
        <v>1119.737318</v>
      </c>
      <c r="HK53" s="89">
        <f t="shared" si="43"/>
        <v>530.4914326</v>
      </c>
      <c r="HL53" s="89">
        <f t="shared" si="43"/>
        <v>1114.063887</v>
      </c>
      <c r="HM53" s="89">
        <f t="shared" si="43"/>
        <v>513.5417202</v>
      </c>
      <c r="HN53" s="89">
        <f t="shared" si="43"/>
        <v>187.5959371</v>
      </c>
      <c r="HO53" s="89">
        <f t="shared" si="43"/>
        <v>342.855137</v>
      </c>
      <c r="HP53" s="89">
        <f t="shared" si="43"/>
        <v>1400.474146</v>
      </c>
      <c r="HQ53" s="89">
        <f t="shared" si="43"/>
        <v>191.2530655</v>
      </c>
      <c r="HR53" s="89">
        <f t="shared" si="43"/>
        <v>811.1922506</v>
      </c>
      <c r="HS53" s="89">
        <f t="shared" si="43"/>
        <v>1209.08501</v>
      </c>
      <c r="HT53" s="89">
        <f t="shared" si="43"/>
        <v>260.4744975</v>
      </c>
      <c r="HU53" s="89">
        <f t="shared" si="43"/>
        <v>968.8983541</v>
      </c>
      <c r="HV53" s="89">
        <f t="shared" si="43"/>
        <v>889.0969363</v>
      </c>
      <c r="HW53" s="89">
        <f t="shared" si="43"/>
        <v>437.7277882</v>
      </c>
      <c r="HX53" s="89">
        <f t="shared" si="43"/>
        <v>370.9665197</v>
      </c>
      <c r="HY53" s="89">
        <f t="shared" si="43"/>
        <v>47.4283068</v>
      </c>
      <c r="HZ53" s="89">
        <f t="shared" si="43"/>
        <v>763.4468463</v>
      </c>
      <c r="IA53" s="89">
        <f t="shared" si="43"/>
        <v>1009.593526</v>
      </c>
      <c r="IB53" s="89">
        <f t="shared" si="43"/>
        <v>1182.35795</v>
      </c>
      <c r="IC53" s="89">
        <f t="shared" si="43"/>
        <v>104.470063</v>
      </c>
      <c r="ID53" s="89">
        <f t="shared" si="43"/>
        <v>1381.356667</v>
      </c>
      <c r="IE53" s="89">
        <f t="shared" si="43"/>
        <v>1134.062309</v>
      </c>
      <c r="IF53" s="89">
        <f t="shared" si="43"/>
        <v>111.990973</v>
      </c>
      <c r="IG53" s="89">
        <f t="shared" si="43"/>
        <v>45.28064451</v>
      </c>
      <c r="IH53" s="89">
        <f t="shared" si="43"/>
        <v>1065.262268</v>
      </c>
      <c r="II53" s="89">
        <f t="shared" si="43"/>
        <v>1143.115071</v>
      </c>
      <c r="IJ53" s="89">
        <f t="shared" si="43"/>
        <v>1322.452816</v>
      </c>
      <c r="IK53" s="89">
        <f t="shared" si="43"/>
        <v>856.7019348</v>
      </c>
      <c r="IL53" s="89">
        <f t="shared" si="43"/>
        <v>932.5855062</v>
      </c>
      <c r="IM53" s="89">
        <f t="shared" si="43"/>
        <v>1036.17094</v>
      </c>
      <c r="IN53" s="89">
        <f t="shared" si="43"/>
        <v>107.2105367</v>
      </c>
      <c r="IO53" s="89">
        <f t="shared" si="43"/>
        <v>264.1352468</v>
      </c>
      <c r="IP53" s="89">
        <f t="shared" si="43"/>
        <v>894.1248307</v>
      </c>
      <c r="IQ53" s="89">
        <f t="shared" si="43"/>
        <v>436.3797394</v>
      </c>
      <c r="IR53" s="89">
        <f t="shared" si="43"/>
        <v>1022.347562</v>
      </c>
      <c r="IS53" s="89">
        <f t="shared" si="43"/>
        <v>1221.065191</v>
      </c>
      <c r="IT53" s="89">
        <f t="shared" si="43"/>
        <v>524.6103725</v>
      </c>
      <c r="IU53" s="89">
        <f t="shared" si="43"/>
        <v>877.2626966</v>
      </c>
      <c r="IV53" s="89">
        <f t="shared" si="43"/>
        <v>740.2413898</v>
      </c>
      <c r="IW53" s="89">
        <f t="shared" si="43"/>
        <v>287.4435421</v>
      </c>
      <c r="IX53" s="89">
        <f t="shared" si="43"/>
        <v>623.3641821</v>
      </c>
      <c r="IY53" s="89">
        <f t="shared" si="43"/>
        <v>575.344866</v>
      </c>
      <c r="IZ53" s="89">
        <f t="shared" si="43"/>
        <v>913.1699428</v>
      </c>
      <c r="JA53" s="89">
        <f t="shared" si="43"/>
        <v>278.2296101</v>
      </c>
      <c r="JB53" s="89">
        <f t="shared" si="43"/>
        <v>651.89274</v>
      </c>
      <c r="JC53" s="89">
        <f t="shared" si="43"/>
        <v>190.8745127</v>
      </c>
      <c r="JD53" s="89">
        <f t="shared" si="43"/>
        <v>923.2587821</v>
      </c>
      <c r="JE53" s="89">
        <f t="shared" si="43"/>
        <v>764.6887661</v>
      </c>
      <c r="JF53" s="89">
        <f t="shared" si="43"/>
        <v>534.3111192</v>
      </c>
      <c r="JG53" s="89">
        <f t="shared" si="43"/>
        <v>1167.780277</v>
      </c>
      <c r="JH53" s="89">
        <f t="shared" si="43"/>
        <v>147.3300593</v>
      </c>
      <c r="JI53" s="89">
        <f t="shared" si="43"/>
        <v>1103.7014</v>
      </c>
      <c r="JJ53" s="89">
        <f t="shared" si="43"/>
        <v>1197.375532</v>
      </c>
      <c r="JK53" s="89">
        <f t="shared" si="43"/>
        <v>495.4183055</v>
      </c>
      <c r="JL53" s="89">
        <f t="shared" si="43"/>
        <v>1278.242986</v>
      </c>
      <c r="JM53" s="89">
        <f t="shared" si="43"/>
        <v>124.5444565</v>
      </c>
      <c r="JN53" s="89">
        <f t="shared" si="43"/>
        <v>329.8356382</v>
      </c>
      <c r="JO53" s="89">
        <f t="shared" si="43"/>
        <v>104.4352102</v>
      </c>
      <c r="JP53" s="89">
        <f t="shared" si="43"/>
        <v>1251.727011</v>
      </c>
      <c r="JQ53" s="89">
        <f t="shared" si="43"/>
        <v>1133.649713</v>
      </c>
      <c r="JR53" s="89">
        <f t="shared" si="43"/>
        <v>1220.219069</v>
      </c>
      <c r="JS53" s="89">
        <f t="shared" si="43"/>
        <v>749.5685603</v>
      </c>
      <c r="JT53" s="89">
        <f t="shared" si="43"/>
        <v>374.6938828</v>
      </c>
      <c r="JU53" s="89">
        <f t="shared" si="43"/>
        <v>370.2665211</v>
      </c>
      <c r="JV53" s="89">
        <f t="shared" si="43"/>
        <v>1186.561117</v>
      </c>
      <c r="JW53" s="89">
        <f t="shared" si="43"/>
        <v>1023.950509</v>
      </c>
      <c r="JX53" s="89">
        <f t="shared" si="43"/>
        <v>635.3564167</v>
      </c>
      <c r="JY53" s="89">
        <f t="shared" si="43"/>
        <v>863.0627333</v>
      </c>
      <c r="JZ53" s="89">
        <f t="shared" si="43"/>
        <v>570.0299321</v>
      </c>
      <c r="KA53" s="89">
        <f t="shared" si="43"/>
        <v>522.4939091</v>
      </c>
      <c r="KB53" s="89">
        <f t="shared" si="43"/>
        <v>766.9884877</v>
      </c>
      <c r="KC53" s="89">
        <f t="shared" si="43"/>
        <v>1041.057158</v>
      </c>
      <c r="KD53" s="89">
        <f t="shared" si="43"/>
        <v>743.9946775</v>
      </c>
      <c r="KE53" s="89">
        <f t="shared" si="43"/>
        <v>280.8395678</v>
      </c>
      <c r="KF53" s="89">
        <f t="shared" si="43"/>
        <v>211.1877337</v>
      </c>
      <c r="KG53" s="89">
        <f t="shared" si="43"/>
        <v>206.2486578</v>
      </c>
      <c r="KH53" s="89">
        <f t="shared" si="43"/>
        <v>377.7314319</v>
      </c>
      <c r="KI53" s="89">
        <f t="shared" si="43"/>
        <v>860.732656</v>
      </c>
      <c r="KJ53" s="89">
        <f t="shared" si="43"/>
        <v>101.243717</v>
      </c>
      <c r="KK53" s="89">
        <f t="shared" si="43"/>
        <v>405.5494428</v>
      </c>
      <c r="KL53" s="89">
        <f t="shared" si="43"/>
        <v>1161.313945</v>
      </c>
      <c r="KM53" s="89">
        <f t="shared" si="43"/>
        <v>489.3972887</v>
      </c>
      <c r="KN53" s="89">
        <f t="shared" si="43"/>
        <v>839.1260131</v>
      </c>
      <c r="KO53" s="89">
        <f t="shared" si="43"/>
        <v>632.1029556</v>
      </c>
      <c r="KP53" s="89">
        <f t="shared" si="43"/>
        <v>1504.379951</v>
      </c>
      <c r="KQ53" s="89">
        <f t="shared" si="43"/>
        <v>339.8563096</v>
      </c>
      <c r="KR53" s="89">
        <f t="shared" si="43"/>
        <v>48.60078554</v>
      </c>
      <c r="KS53" s="89">
        <f t="shared" si="43"/>
        <v>298.5224453</v>
      </c>
      <c r="KT53" s="89">
        <f t="shared" si="43"/>
        <v>501.8838772</v>
      </c>
      <c r="KU53" s="89">
        <f t="shared" si="43"/>
        <v>56.45628563</v>
      </c>
      <c r="KV53" s="89">
        <f t="shared" si="43"/>
        <v>1122.24695</v>
      </c>
      <c r="KW53" s="89">
        <f t="shared" si="43"/>
        <v>1008.470962</v>
      </c>
      <c r="KX53" s="89">
        <f t="shared" si="43"/>
        <v>1112.312386</v>
      </c>
      <c r="KY53" s="89">
        <f t="shared" si="43"/>
        <v>1143.895407</v>
      </c>
      <c r="KZ53" s="89">
        <f t="shared" si="43"/>
        <v>756.8666638</v>
      </c>
      <c r="LA53" s="89">
        <f t="shared" si="43"/>
        <v>253.6692103</v>
      </c>
      <c r="LB53" s="89">
        <f t="shared" si="43"/>
        <v>953.2505122</v>
      </c>
      <c r="LC53" s="89">
        <f t="shared" si="43"/>
        <v>1503.448417</v>
      </c>
      <c r="LD53" s="89">
        <f t="shared" si="43"/>
        <v>1356.861872</v>
      </c>
      <c r="LE53" s="89">
        <f t="shared" si="43"/>
        <v>458.1901752</v>
      </c>
      <c r="LF53" s="89">
        <f t="shared" si="43"/>
        <v>783.190221</v>
      </c>
      <c r="LG53" s="89">
        <f t="shared" si="43"/>
        <v>86.04621666</v>
      </c>
      <c r="LH53" s="89">
        <f t="shared" si="43"/>
        <v>1267.311711</v>
      </c>
      <c r="LI53" s="89">
        <f t="shared" si="43"/>
        <v>638.06298</v>
      </c>
      <c r="LJ53" s="89">
        <f t="shared" si="43"/>
        <v>231.5648075</v>
      </c>
      <c r="LK53" s="89">
        <f t="shared" si="43"/>
        <v>1332.469718</v>
      </c>
      <c r="LL53" s="89">
        <f t="shared" si="43"/>
        <v>1198.974313</v>
      </c>
      <c r="LM53" s="89">
        <f t="shared" si="43"/>
        <v>105.3815261</v>
      </c>
      <c r="LN53" s="89">
        <f t="shared" si="43"/>
        <v>257.3734594</v>
      </c>
      <c r="LO53" s="89">
        <f t="shared" si="43"/>
        <v>1213.253819</v>
      </c>
      <c r="LP53" s="89">
        <f t="shared" si="43"/>
        <v>446.1953283</v>
      </c>
      <c r="LQ53" s="89">
        <f t="shared" si="43"/>
        <v>825.6669029</v>
      </c>
      <c r="LR53" s="89">
        <f t="shared" si="43"/>
        <v>899.0503491</v>
      </c>
      <c r="LS53" s="89">
        <f t="shared" si="43"/>
        <v>85.55761634</v>
      </c>
      <c r="LT53" s="89">
        <f t="shared" si="43"/>
        <v>388.0934225</v>
      </c>
      <c r="LU53" s="89">
        <f t="shared" si="43"/>
        <v>1126.792825</v>
      </c>
      <c r="LV53" s="89">
        <f t="shared" si="43"/>
        <v>663.656679</v>
      </c>
      <c r="LW53" s="89">
        <f t="shared" si="43"/>
        <v>86.08057344</v>
      </c>
      <c r="LX53" s="89">
        <f t="shared" si="43"/>
        <v>1141.102042</v>
      </c>
      <c r="LY53" s="89">
        <f t="shared" si="43"/>
        <v>161.4245219</v>
      </c>
      <c r="LZ53" s="89">
        <f t="shared" si="43"/>
        <v>315.9258722</v>
      </c>
      <c r="MA53" s="89">
        <f t="shared" si="43"/>
        <v>1229.0935</v>
      </c>
      <c r="MB53" s="89">
        <f t="shared" si="43"/>
        <v>1127.198559</v>
      </c>
      <c r="MC53" s="89">
        <f t="shared" si="43"/>
        <v>436.7672204</v>
      </c>
      <c r="MD53" s="89">
        <f t="shared" si="43"/>
        <v>115.740458</v>
      </c>
      <c r="ME53" s="89">
        <f t="shared" si="43"/>
        <v>1234.92038</v>
      </c>
      <c r="MF53" s="89">
        <f t="shared" si="43"/>
        <v>486.8527047</v>
      </c>
      <c r="MG53" s="89">
        <f t="shared" si="43"/>
        <v>1234.309018</v>
      </c>
      <c r="MH53" s="89">
        <f t="shared" si="43"/>
        <v>836.7561891</v>
      </c>
      <c r="MI53" s="89">
        <f t="shared" si="43"/>
        <v>1143.864605</v>
      </c>
      <c r="MJ53" s="89">
        <f t="shared" si="43"/>
        <v>553.1754697</v>
      </c>
      <c r="MK53" s="89">
        <f t="shared" si="43"/>
        <v>362.7077326</v>
      </c>
      <c r="ML53" s="89">
        <f t="shared" si="43"/>
        <v>1186.125821</v>
      </c>
      <c r="MM53" s="89">
        <f t="shared" si="43"/>
        <v>335.364996</v>
      </c>
      <c r="MN53" s="89">
        <f t="shared" si="43"/>
        <v>462.8505943</v>
      </c>
      <c r="MO53" s="89">
        <f t="shared" si="43"/>
        <v>962.7732088</v>
      </c>
      <c r="MP53" s="89">
        <f t="shared" si="43"/>
        <v>1221.63803</v>
      </c>
      <c r="MQ53" s="89">
        <f t="shared" si="43"/>
        <v>1016.116718</v>
      </c>
      <c r="MR53" s="89">
        <f t="shared" si="43"/>
        <v>815.1399898</v>
      </c>
      <c r="MS53" s="89">
        <f t="shared" si="43"/>
        <v>323.3644616</v>
      </c>
      <c r="MT53" s="89">
        <f t="shared" si="43"/>
        <v>889.6685683</v>
      </c>
      <c r="MU53" s="89">
        <f t="shared" si="43"/>
        <v>599.7147163</v>
      </c>
      <c r="MV53" s="89">
        <f t="shared" si="43"/>
        <v>555.4097514</v>
      </c>
      <c r="MW53" s="89">
        <f t="shared" si="43"/>
        <v>248.2677562</v>
      </c>
      <c r="MX53" s="89">
        <f t="shared" si="43"/>
        <v>843.7613011</v>
      </c>
      <c r="MY53" s="89">
        <f t="shared" si="43"/>
        <v>93.66186413</v>
      </c>
      <c r="MZ53" s="89">
        <f t="shared" si="43"/>
        <v>1160.226003</v>
      </c>
      <c r="NA53" s="89">
        <f t="shared" si="43"/>
        <v>1291.865663</v>
      </c>
      <c r="NB53" s="89">
        <f t="shared" si="43"/>
        <v>826.7106016</v>
      </c>
      <c r="NC53" s="89">
        <f t="shared" si="43"/>
        <v>613.1463643</v>
      </c>
      <c r="ND53" s="89">
        <f t="shared" si="43"/>
        <v>784.7072596</v>
      </c>
      <c r="NE53" s="89">
        <f t="shared" si="43"/>
        <v>1296.198436</v>
      </c>
      <c r="NF53" s="89">
        <f t="shared" si="43"/>
        <v>15.38112222</v>
      </c>
      <c r="NG53" s="89">
        <f t="shared" si="43"/>
        <v>1097.944375</v>
      </c>
      <c r="NH53" s="89">
        <f t="shared" si="43"/>
        <v>672.5993611</v>
      </c>
      <c r="NI53" s="89">
        <f t="shared" si="43"/>
        <v>1081.159783</v>
      </c>
      <c r="NJ53" s="89">
        <f t="shared" si="43"/>
        <v>618.954346</v>
      </c>
      <c r="NK53" s="89">
        <f t="shared" si="43"/>
        <v>862.5981232</v>
      </c>
      <c r="NL53" s="89">
        <f t="shared" si="43"/>
        <v>436.1958695</v>
      </c>
      <c r="NM53" s="89">
        <f t="shared" si="43"/>
        <v>1299.321695</v>
      </c>
      <c r="NN53" s="89">
        <f t="shared" si="43"/>
        <v>848.7148109</v>
      </c>
      <c r="NO53" s="89">
        <f t="shared" si="43"/>
        <v>757.0411592</v>
      </c>
      <c r="NP53" s="89">
        <f t="shared" si="43"/>
        <v>102.7386997</v>
      </c>
      <c r="NQ53" s="89">
        <f t="shared" si="43"/>
        <v>1323.938358</v>
      </c>
      <c r="NR53" s="89">
        <f t="shared" si="43"/>
        <v>806.4202795</v>
      </c>
      <c r="NS53" s="89">
        <f t="shared" si="43"/>
        <v>569.5095047</v>
      </c>
      <c r="NT53" s="89">
        <f t="shared" si="43"/>
        <v>283.1836986</v>
      </c>
      <c r="NU53" s="89">
        <f t="shared" si="43"/>
        <v>91.45145691</v>
      </c>
      <c r="NV53" s="89">
        <f t="shared" si="43"/>
        <v>605.3438874</v>
      </c>
      <c r="NW53" s="89">
        <f t="shared" si="43"/>
        <v>1298.189095</v>
      </c>
      <c r="NX53" s="89">
        <f t="shared" si="43"/>
        <v>223.9986781</v>
      </c>
      <c r="NY53" s="89">
        <f t="shared" si="43"/>
        <v>1204.764289</v>
      </c>
      <c r="NZ53" s="89">
        <f t="shared" si="43"/>
        <v>849.1169571</v>
      </c>
      <c r="OA53" s="89">
        <f t="shared" si="43"/>
        <v>529.5699997</v>
      </c>
      <c r="OB53" s="89">
        <f t="shared" si="43"/>
        <v>818.6351883</v>
      </c>
      <c r="OC53" s="89">
        <f t="shared" si="43"/>
        <v>408.2870562</v>
      </c>
      <c r="OD53" s="89">
        <f t="shared" si="43"/>
        <v>825.003956</v>
      </c>
      <c r="OE53" s="89">
        <f t="shared" si="43"/>
        <v>269.3918501</v>
      </c>
      <c r="OF53" s="89">
        <f t="shared" si="43"/>
        <v>760.9815575</v>
      </c>
      <c r="OG53" s="89">
        <f t="shared" si="43"/>
        <v>1221.455036</v>
      </c>
      <c r="OH53" s="89">
        <f t="shared" si="43"/>
        <v>486.1060814</v>
      </c>
      <c r="OI53" s="89">
        <f t="shared" si="43"/>
        <v>233.2823818</v>
      </c>
      <c r="OJ53" s="89">
        <f t="shared" si="43"/>
        <v>683.2195897</v>
      </c>
      <c r="OK53" s="89">
        <f t="shared" si="43"/>
        <v>867.6101122</v>
      </c>
      <c r="OL53" s="89">
        <f t="shared" si="43"/>
        <v>730.0633022</v>
      </c>
      <c r="OM53" s="89">
        <f t="shared" si="43"/>
        <v>660.0926511</v>
      </c>
      <c r="ON53" s="89">
        <f t="shared" si="43"/>
        <v>905.955466</v>
      </c>
      <c r="OO53" s="89">
        <f t="shared" si="43"/>
        <v>358.3340719</v>
      </c>
      <c r="OP53" s="89">
        <f t="shared" si="43"/>
        <v>22.72229574</v>
      </c>
      <c r="OQ53" s="89">
        <f t="shared" si="43"/>
        <v>661.645303</v>
      </c>
      <c r="OR53" s="89">
        <f t="shared" si="43"/>
        <v>1391.99824</v>
      </c>
      <c r="OS53" s="89">
        <f t="shared" si="43"/>
        <v>423.2729432</v>
      </c>
      <c r="OT53" s="89">
        <f t="shared" si="43"/>
        <v>138.6431847</v>
      </c>
      <c r="OU53" s="89">
        <f t="shared" si="43"/>
        <v>1007.224298</v>
      </c>
      <c r="OV53" s="89">
        <f t="shared" si="43"/>
        <v>412.8047078</v>
      </c>
      <c r="OW53" s="89">
        <f t="shared" si="43"/>
        <v>1161.063461</v>
      </c>
      <c r="OX53" s="89">
        <f t="shared" si="43"/>
        <v>539.348074</v>
      </c>
      <c r="OY53" s="89">
        <f t="shared" si="43"/>
        <v>358.8233336</v>
      </c>
      <c r="OZ53" s="89">
        <f t="shared" si="43"/>
        <v>952.6570394</v>
      </c>
      <c r="PA53" s="89">
        <f t="shared" si="43"/>
        <v>639.3874685</v>
      </c>
      <c r="PB53" s="89">
        <f t="shared" si="43"/>
        <v>1150.922789</v>
      </c>
      <c r="PC53" s="89">
        <f t="shared" si="43"/>
        <v>751.6736321</v>
      </c>
      <c r="PD53" s="89">
        <f t="shared" si="43"/>
        <v>48.928448</v>
      </c>
      <c r="PE53" s="89">
        <f t="shared" si="43"/>
        <v>890.4063296</v>
      </c>
      <c r="PF53" s="89">
        <f t="shared" si="43"/>
        <v>246.6624119</v>
      </c>
      <c r="PG53" s="89">
        <f t="shared" si="43"/>
        <v>1201.877163</v>
      </c>
      <c r="PH53" s="89">
        <f t="shared" si="43"/>
        <v>821.7304396</v>
      </c>
      <c r="PI53" s="89">
        <f t="shared" si="43"/>
        <v>215.9460977</v>
      </c>
      <c r="PJ53" s="89">
        <f t="shared" si="43"/>
        <v>747.6962152</v>
      </c>
      <c r="PK53" s="89">
        <f t="shared" si="43"/>
        <v>1389.628449</v>
      </c>
      <c r="PL53" s="89">
        <f t="shared" si="43"/>
        <v>1022.009037</v>
      </c>
      <c r="PM53" s="89">
        <f t="shared" si="43"/>
        <v>171.0360368</v>
      </c>
      <c r="PN53" s="89">
        <f t="shared" si="43"/>
        <v>573.7905773</v>
      </c>
      <c r="PO53" s="89">
        <f t="shared" si="43"/>
        <v>1323.000094</v>
      </c>
      <c r="PP53" s="89">
        <f t="shared" si="43"/>
        <v>444.5317196</v>
      </c>
      <c r="PQ53" s="89">
        <f t="shared" si="43"/>
        <v>181.5921317</v>
      </c>
      <c r="PR53" s="89">
        <f t="shared" si="43"/>
        <v>1175.997268</v>
      </c>
      <c r="PS53" s="89">
        <f t="shared" si="43"/>
        <v>53.34251674</v>
      </c>
      <c r="PT53" s="89">
        <f t="shared" si="43"/>
        <v>436.7247952</v>
      </c>
      <c r="PU53" s="89">
        <f t="shared" si="43"/>
        <v>1354.989858</v>
      </c>
      <c r="PV53" s="89">
        <f t="shared" si="43"/>
        <v>81.3333035</v>
      </c>
      <c r="PW53" s="89">
        <f t="shared" si="43"/>
        <v>945.5999293</v>
      </c>
      <c r="PX53" s="89">
        <f t="shared" si="43"/>
        <v>686.0694496</v>
      </c>
      <c r="PY53" s="89">
        <f t="shared" si="43"/>
        <v>1222.223253</v>
      </c>
      <c r="PZ53" s="89">
        <f t="shared" si="43"/>
        <v>301.1332792</v>
      </c>
      <c r="QA53" s="89">
        <f t="shared" si="43"/>
        <v>1031.790732</v>
      </c>
      <c r="QB53" s="89">
        <f t="shared" si="43"/>
        <v>285.5993371</v>
      </c>
      <c r="QC53" s="89">
        <f t="shared" si="43"/>
        <v>1091.867723</v>
      </c>
      <c r="QD53" s="89">
        <f t="shared" si="43"/>
        <v>752.7193809</v>
      </c>
      <c r="QE53" s="89">
        <f t="shared" si="43"/>
        <v>193.2442044</v>
      </c>
      <c r="QF53" s="89">
        <f t="shared" si="43"/>
        <v>702.7883698</v>
      </c>
      <c r="QG53" s="89">
        <f t="shared" si="43"/>
        <v>1268.398165</v>
      </c>
      <c r="QH53" s="89">
        <f t="shared" si="43"/>
        <v>1208.87047</v>
      </c>
      <c r="QI53" s="89">
        <f t="shared" si="43"/>
        <v>1140.700524</v>
      </c>
      <c r="QJ53" s="89">
        <f t="shared" si="43"/>
        <v>1222.03811</v>
      </c>
      <c r="QK53" s="89">
        <f t="shared" si="43"/>
        <v>21.32315817</v>
      </c>
      <c r="QL53" s="89">
        <f t="shared" si="43"/>
        <v>800.9221371</v>
      </c>
      <c r="QM53" s="89">
        <f t="shared" si="43"/>
        <v>840.4503527</v>
      </c>
      <c r="QN53" s="89">
        <f t="shared" si="43"/>
        <v>413.9570321</v>
      </c>
      <c r="QO53" s="89">
        <f t="shared" si="43"/>
        <v>596.59359</v>
      </c>
      <c r="QP53" s="89">
        <f t="shared" si="43"/>
        <v>497.36444</v>
      </c>
      <c r="QQ53" s="89">
        <f t="shared" si="43"/>
        <v>1294.755534</v>
      </c>
      <c r="QR53" s="89">
        <f t="shared" si="43"/>
        <v>968.5984846</v>
      </c>
      <c r="QS53" s="89">
        <f t="shared" si="43"/>
        <v>898.3557239</v>
      </c>
      <c r="QT53" s="89">
        <f t="shared" si="43"/>
        <v>215.4900024</v>
      </c>
      <c r="QU53" s="89">
        <f t="shared" si="43"/>
        <v>633.7343238</v>
      </c>
      <c r="QV53" s="89">
        <f t="shared" si="43"/>
        <v>520.0292981</v>
      </c>
      <c r="QW53" s="89">
        <f t="shared" si="43"/>
        <v>193.8374292</v>
      </c>
      <c r="QX53" s="89">
        <f t="shared" si="43"/>
        <v>815.0793777</v>
      </c>
      <c r="QY53" s="89">
        <f t="shared" si="43"/>
        <v>985.6289966</v>
      </c>
      <c r="QZ53" s="89">
        <f t="shared" si="43"/>
        <v>440.0130925</v>
      </c>
      <c r="RA53" s="89">
        <f t="shared" si="43"/>
        <v>961.7763497</v>
      </c>
      <c r="RB53" s="89">
        <f t="shared" si="43"/>
        <v>607.5700015</v>
      </c>
      <c r="RC53" s="89">
        <f t="shared" si="43"/>
        <v>1092.025817</v>
      </c>
      <c r="RD53" s="89">
        <f t="shared" si="43"/>
        <v>500.9973633</v>
      </c>
      <c r="RE53" s="89">
        <f t="shared" si="43"/>
        <v>1304.117144</v>
      </c>
      <c r="RF53" s="89">
        <f t="shared" si="43"/>
        <v>1077.930941</v>
      </c>
      <c r="RG53" s="89">
        <f t="shared" si="43"/>
        <v>137.3060481</v>
      </c>
      <c r="RH53" s="89">
        <f t="shared" si="43"/>
        <v>843.2589779</v>
      </c>
      <c r="RI53" s="89">
        <f t="shared" si="43"/>
        <v>745.1617167</v>
      </c>
      <c r="RJ53" s="89">
        <f t="shared" si="43"/>
        <v>1127.690052</v>
      </c>
      <c r="RK53" s="89">
        <f t="shared" si="43"/>
        <v>1.797365351</v>
      </c>
      <c r="RL53" s="89">
        <f t="shared" si="43"/>
        <v>387.3392929</v>
      </c>
      <c r="RM53" s="89">
        <f t="shared" si="43"/>
        <v>780.1443556</v>
      </c>
      <c r="RN53" s="89">
        <f t="shared" si="43"/>
        <v>13.95328235</v>
      </c>
      <c r="RO53" s="89">
        <f t="shared" si="43"/>
        <v>1011.456662</v>
      </c>
      <c r="RP53" s="89">
        <f t="shared" si="43"/>
        <v>847.9399813</v>
      </c>
      <c r="RQ53" s="89">
        <f t="shared" si="43"/>
        <v>1299.568409</v>
      </c>
      <c r="RR53" s="89">
        <f t="shared" si="43"/>
        <v>271.8958606</v>
      </c>
      <c r="RS53" s="89">
        <f t="shared" si="43"/>
        <v>1224.830664</v>
      </c>
      <c r="RT53" s="89">
        <f t="shared" si="43"/>
        <v>769.050473</v>
      </c>
      <c r="RU53" s="89">
        <f t="shared" si="43"/>
        <v>245.6133232</v>
      </c>
      <c r="RV53" s="89">
        <f t="shared" si="43"/>
        <v>1052.31517</v>
      </c>
      <c r="RW53" s="89">
        <f t="shared" si="43"/>
        <v>947.6386849</v>
      </c>
      <c r="RX53" s="89">
        <f t="shared" si="43"/>
        <v>725.1226886</v>
      </c>
      <c r="RY53" s="89">
        <f t="shared" si="43"/>
        <v>7.623633182</v>
      </c>
      <c r="RZ53" s="89">
        <f t="shared" si="43"/>
        <v>1180.565297</v>
      </c>
      <c r="SA53" s="89">
        <f t="shared" si="43"/>
        <v>300.6077429</v>
      </c>
      <c r="SB53" s="89">
        <f t="shared" si="43"/>
        <v>693.260151</v>
      </c>
      <c r="SC53" s="89">
        <f t="shared" si="43"/>
        <v>368.6795455</v>
      </c>
      <c r="SD53" s="89">
        <f t="shared" si="43"/>
        <v>1110.954913</v>
      </c>
      <c r="SE53" s="89">
        <f t="shared" si="43"/>
        <v>241.5540486</v>
      </c>
      <c r="SF53" s="89">
        <f t="shared" si="43"/>
        <v>55.55699121</v>
      </c>
      <c r="SG53" s="89">
        <f t="shared" si="43"/>
        <v>409.7380431</v>
      </c>
      <c r="SH53" s="89">
        <f t="shared" si="43"/>
        <v>318.8549114</v>
      </c>
      <c r="SI53" s="89">
        <f t="shared" si="43"/>
        <v>163.4811503</v>
      </c>
      <c r="SJ53" s="89">
        <f t="shared" si="43"/>
        <v>496.2693549</v>
      </c>
      <c r="SK53" s="89">
        <f t="shared" si="43"/>
        <v>1355.240325</v>
      </c>
      <c r="SL53" s="89">
        <f t="shared" si="43"/>
        <v>609.4985112</v>
      </c>
    </row>
    <row r="54">
      <c r="A54" s="53" t="s">
        <v>130</v>
      </c>
      <c r="B54" s="75">
        <f t="array" ref="B54">INDEX('New CEA'!$B54:$F54,MATCH($B$2,'New CEA'!B$2:F$2,0))</f>
        <v>0.5</v>
      </c>
      <c r="C54" s="299"/>
      <c r="D54" s="300"/>
      <c r="E54" s="301"/>
      <c r="F54" s="87"/>
      <c r="G54" s="87">
        <f t="shared" ref="G54:SL54" si="44">$B54</f>
        <v>0.5</v>
      </c>
      <c r="H54" s="87">
        <f t="shared" si="44"/>
        <v>0.5</v>
      </c>
      <c r="I54" s="87">
        <f t="shared" si="44"/>
        <v>0.5</v>
      </c>
      <c r="J54" s="87">
        <f t="shared" si="44"/>
        <v>0.5</v>
      </c>
      <c r="K54" s="87">
        <f t="shared" si="44"/>
        <v>0.5</v>
      </c>
      <c r="L54" s="87">
        <f t="shared" si="44"/>
        <v>0.5</v>
      </c>
      <c r="M54" s="87">
        <f t="shared" si="44"/>
        <v>0.5</v>
      </c>
      <c r="N54" s="87">
        <f t="shared" si="44"/>
        <v>0.5</v>
      </c>
      <c r="O54" s="87">
        <f t="shared" si="44"/>
        <v>0.5</v>
      </c>
      <c r="P54" s="87">
        <f t="shared" si="44"/>
        <v>0.5</v>
      </c>
      <c r="Q54" s="87">
        <f t="shared" si="44"/>
        <v>0.5</v>
      </c>
      <c r="R54" s="87">
        <f t="shared" si="44"/>
        <v>0.5</v>
      </c>
      <c r="S54" s="87">
        <f t="shared" si="44"/>
        <v>0.5</v>
      </c>
      <c r="T54" s="87">
        <f t="shared" si="44"/>
        <v>0.5</v>
      </c>
      <c r="U54" s="87">
        <f t="shared" si="44"/>
        <v>0.5</v>
      </c>
      <c r="V54" s="87">
        <f t="shared" si="44"/>
        <v>0.5</v>
      </c>
      <c r="W54" s="87">
        <f t="shared" si="44"/>
        <v>0.5</v>
      </c>
      <c r="X54" s="87">
        <f t="shared" si="44"/>
        <v>0.5</v>
      </c>
      <c r="Y54" s="87">
        <f t="shared" si="44"/>
        <v>0.5</v>
      </c>
      <c r="Z54" s="87">
        <f t="shared" si="44"/>
        <v>0.5</v>
      </c>
      <c r="AA54" s="87">
        <f t="shared" si="44"/>
        <v>0.5</v>
      </c>
      <c r="AB54" s="87">
        <f t="shared" si="44"/>
        <v>0.5</v>
      </c>
      <c r="AC54" s="87">
        <f t="shared" si="44"/>
        <v>0.5</v>
      </c>
      <c r="AD54" s="87">
        <f t="shared" si="44"/>
        <v>0.5</v>
      </c>
      <c r="AE54" s="87">
        <f t="shared" si="44"/>
        <v>0.5</v>
      </c>
      <c r="AF54" s="87">
        <f t="shared" si="44"/>
        <v>0.5</v>
      </c>
      <c r="AG54" s="87">
        <f t="shared" si="44"/>
        <v>0.5</v>
      </c>
      <c r="AH54" s="87">
        <f t="shared" si="44"/>
        <v>0.5</v>
      </c>
      <c r="AI54" s="87">
        <f t="shared" si="44"/>
        <v>0.5</v>
      </c>
      <c r="AJ54" s="87">
        <f t="shared" si="44"/>
        <v>0.5</v>
      </c>
      <c r="AK54" s="87">
        <f t="shared" si="44"/>
        <v>0.5</v>
      </c>
      <c r="AL54" s="87">
        <f t="shared" si="44"/>
        <v>0.5</v>
      </c>
      <c r="AM54" s="87">
        <f t="shared" si="44"/>
        <v>0.5</v>
      </c>
      <c r="AN54" s="87">
        <f t="shared" si="44"/>
        <v>0.5</v>
      </c>
      <c r="AO54" s="87">
        <f t="shared" si="44"/>
        <v>0.5</v>
      </c>
      <c r="AP54" s="87">
        <f t="shared" si="44"/>
        <v>0.5</v>
      </c>
      <c r="AQ54" s="87">
        <f t="shared" si="44"/>
        <v>0.5</v>
      </c>
      <c r="AR54" s="87">
        <f t="shared" si="44"/>
        <v>0.5</v>
      </c>
      <c r="AS54" s="87">
        <f t="shared" si="44"/>
        <v>0.5</v>
      </c>
      <c r="AT54" s="87">
        <f t="shared" si="44"/>
        <v>0.5</v>
      </c>
      <c r="AU54" s="87">
        <f t="shared" si="44"/>
        <v>0.5</v>
      </c>
      <c r="AV54" s="87">
        <f t="shared" si="44"/>
        <v>0.5</v>
      </c>
      <c r="AW54" s="87">
        <f t="shared" si="44"/>
        <v>0.5</v>
      </c>
      <c r="AX54" s="87">
        <f t="shared" si="44"/>
        <v>0.5</v>
      </c>
      <c r="AY54" s="87">
        <f t="shared" si="44"/>
        <v>0.5</v>
      </c>
      <c r="AZ54" s="87">
        <f t="shared" si="44"/>
        <v>0.5</v>
      </c>
      <c r="BA54" s="87">
        <f t="shared" si="44"/>
        <v>0.5</v>
      </c>
      <c r="BB54" s="87">
        <f t="shared" si="44"/>
        <v>0.5</v>
      </c>
      <c r="BC54" s="87">
        <f t="shared" si="44"/>
        <v>0.5</v>
      </c>
      <c r="BD54" s="87">
        <f t="shared" si="44"/>
        <v>0.5</v>
      </c>
      <c r="BE54" s="87">
        <f t="shared" si="44"/>
        <v>0.5</v>
      </c>
      <c r="BF54" s="87">
        <f t="shared" si="44"/>
        <v>0.5</v>
      </c>
      <c r="BG54" s="87">
        <f t="shared" si="44"/>
        <v>0.5</v>
      </c>
      <c r="BH54" s="87">
        <f t="shared" si="44"/>
        <v>0.5</v>
      </c>
      <c r="BI54" s="87">
        <f t="shared" si="44"/>
        <v>0.5</v>
      </c>
      <c r="BJ54" s="87">
        <f t="shared" si="44"/>
        <v>0.5</v>
      </c>
      <c r="BK54" s="87">
        <f t="shared" si="44"/>
        <v>0.5</v>
      </c>
      <c r="BL54" s="87">
        <f t="shared" si="44"/>
        <v>0.5</v>
      </c>
      <c r="BM54" s="87">
        <f t="shared" si="44"/>
        <v>0.5</v>
      </c>
      <c r="BN54" s="87">
        <f t="shared" si="44"/>
        <v>0.5</v>
      </c>
      <c r="BO54" s="87">
        <f t="shared" si="44"/>
        <v>0.5</v>
      </c>
      <c r="BP54" s="87">
        <f t="shared" si="44"/>
        <v>0.5</v>
      </c>
      <c r="BQ54" s="87">
        <f t="shared" si="44"/>
        <v>0.5</v>
      </c>
      <c r="BR54" s="87">
        <f t="shared" si="44"/>
        <v>0.5</v>
      </c>
      <c r="BS54" s="87">
        <f t="shared" si="44"/>
        <v>0.5</v>
      </c>
      <c r="BT54" s="87">
        <f t="shared" si="44"/>
        <v>0.5</v>
      </c>
      <c r="BU54" s="87">
        <f t="shared" si="44"/>
        <v>0.5</v>
      </c>
      <c r="BV54" s="87">
        <f t="shared" si="44"/>
        <v>0.5</v>
      </c>
      <c r="BW54" s="87">
        <f t="shared" si="44"/>
        <v>0.5</v>
      </c>
      <c r="BX54" s="87">
        <f t="shared" si="44"/>
        <v>0.5</v>
      </c>
      <c r="BY54" s="87">
        <f t="shared" si="44"/>
        <v>0.5</v>
      </c>
      <c r="BZ54" s="87">
        <f t="shared" si="44"/>
        <v>0.5</v>
      </c>
      <c r="CA54" s="87">
        <f t="shared" si="44"/>
        <v>0.5</v>
      </c>
      <c r="CB54" s="87">
        <f t="shared" si="44"/>
        <v>0.5</v>
      </c>
      <c r="CC54" s="87">
        <f t="shared" si="44"/>
        <v>0.5</v>
      </c>
      <c r="CD54" s="87">
        <f t="shared" si="44"/>
        <v>0.5</v>
      </c>
      <c r="CE54" s="87">
        <f t="shared" si="44"/>
        <v>0.5</v>
      </c>
      <c r="CF54" s="87">
        <f t="shared" si="44"/>
        <v>0.5</v>
      </c>
      <c r="CG54" s="87">
        <f t="shared" si="44"/>
        <v>0.5</v>
      </c>
      <c r="CH54" s="87">
        <f t="shared" si="44"/>
        <v>0.5</v>
      </c>
      <c r="CI54" s="87">
        <f t="shared" si="44"/>
        <v>0.5</v>
      </c>
      <c r="CJ54" s="87">
        <f t="shared" si="44"/>
        <v>0.5</v>
      </c>
      <c r="CK54" s="87">
        <f t="shared" si="44"/>
        <v>0.5</v>
      </c>
      <c r="CL54" s="87">
        <f t="shared" si="44"/>
        <v>0.5</v>
      </c>
      <c r="CM54" s="87">
        <f t="shared" si="44"/>
        <v>0.5</v>
      </c>
      <c r="CN54" s="87">
        <f t="shared" si="44"/>
        <v>0.5</v>
      </c>
      <c r="CO54" s="87">
        <f t="shared" si="44"/>
        <v>0.5</v>
      </c>
      <c r="CP54" s="87">
        <f t="shared" si="44"/>
        <v>0.5</v>
      </c>
      <c r="CQ54" s="87">
        <f t="shared" si="44"/>
        <v>0.5</v>
      </c>
      <c r="CR54" s="87">
        <f t="shared" si="44"/>
        <v>0.5</v>
      </c>
      <c r="CS54" s="87">
        <f t="shared" si="44"/>
        <v>0.5</v>
      </c>
      <c r="CT54" s="87">
        <f t="shared" si="44"/>
        <v>0.5</v>
      </c>
      <c r="CU54" s="87">
        <f t="shared" si="44"/>
        <v>0.5</v>
      </c>
      <c r="CV54" s="87">
        <f t="shared" si="44"/>
        <v>0.5</v>
      </c>
      <c r="CW54" s="87">
        <f t="shared" si="44"/>
        <v>0.5</v>
      </c>
      <c r="CX54" s="87">
        <f t="shared" si="44"/>
        <v>0.5</v>
      </c>
      <c r="CY54" s="87">
        <f t="shared" si="44"/>
        <v>0.5</v>
      </c>
      <c r="CZ54" s="87">
        <f t="shared" si="44"/>
        <v>0.5</v>
      </c>
      <c r="DA54" s="87">
        <f t="shared" si="44"/>
        <v>0.5</v>
      </c>
      <c r="DB54" s="87">
        <f t="shared" si="44"/>
        <v>0.5</v>
      </c>
      <c r="DC54" s="87">
        <f t="shared" si="44"/>
        <v>0.5</v>
      </c>
      <c r="DD54" s="87">
        <f t="shared" si="44"/>
        <v>0.5</v>
      </c>
      <c r="DE54" s="87">
        <f t="shared" si="44"/>
        <v>0.5</v>
      </c>
      <c r="DF54" s="87">
        <f t="shared" si="44"/>
        <v>0.5</v>
      </c>
      <c r="DG54" s="87">
        <f t="shared" si="44"/>
        <v>0.5</v>
      </c>
      <c r="DH54" s="87">
        <f t="shared" si="44"/>
        <v>0.5</v>
      </c>
      <c r="DI54" s="87">
        <f t="shared" si="44"/>
        <v>0.5</v>
      </c>
      <c r="DJ54" s="87">
        <f t="shared" si="44"/>
        <v>0.5</v>
      </c>
      <c r="DK54" s="87">
        <f t="shared" si="44"/>
        <v>0.5</v>
      </c>
      <c r="DL54" s="87">
        <f t="shared" si="44"/>
        <v>0.5</v>
      </c>
      <c r="DM54" s="87">
        <f t="shared" si="44"/>
        <v>0.5</v>
      </c>
      <c r="DN54" s="87">
        <f t="shared" si="44"/>
        <v>0.5</v>
      </c>
      <c r="DO54" s="87">
        <f t="shared" si="44"/>
        <v>0.5</v>
      </c>
      <c r="DP54" s="87">
        <f t="shared" si="44"/>
        <v>0.5</v>
      </c>
      <c r="DQ54" s="87">
        <f t="shared" si="44"/>
        <v>0.5</v>
      </c>
      <c r="DR54" s="87">
        <f t="shared" si="44"/>
        <v>0.5</v>
      </c>
      <c r="DS54" s="87">
        <f t="shared" si="44"/>
        <v>0.5</v>
      </c>
      <c r="DT54" s="87">
        <f t="shared" si="44"/>
        <v>0.5</v>
      </c>
      <c r="DU54" s="87">
        <f t="shared" si="44"/>
        <v>0.5</v>
      </c>
      <c r="DV54" s="87">
        <f t="shared" si="44"/>
        <v>0.5</v>
      </c>
      <c r="DW54" s="87">
        <f t="shared" si="44"/>
        <v>0.5</v>
      </c>
      <c r="DX54" s="87">
        <f t="shared" si="44"/>
        <v>0.5</v>
      </c>
      <c r="DY54" s="87">
        <f t="shared" si="44"/>
        <v>0.5</v>
      </c>
      <c r="DZ54" s="87">
        <f t="shared" si="44"/>
        <v>0.5</v>
      </c>
      <c r="EA54" s="87">
        <f t="shared" si="44"/>
        <v>0.5</v>
      </c>
      <c r="EB54" s="87">
        <f t="shared" si="44"/>
        <v>0.5</v>
      </c>
      <c r="EC54" s="87">
        <f t="shared" si="44"/>
        <v>0.5</v>
      </c>
      <c r="ED54" s="87">
        <f t="shared" si="44"/>
        <v>0.5</v>
      </c>
      <c r="EE54" s="87">
        <f t="shared" si="44"/>
        <v>0.5</v>
      </c>
      <c r="EF54" s="87">
        <f t="shared" si="44"/>
        <v>0.5</v>
      </c>
      <c r="EG54" s="87">
        <f t="shared" si="44"/>
        <v>0.5</v>
      </c>
      <c r="EH54" s="87">
        <f t="shared" si="44"/>
        <v>0.5</v>
      </c>
      <c r="EI54" s="87">
        <f t="shared" si="44"/>
        <v>0.5</v>
      </c>
      <c r="EJ54" s="87">
        <f t="shared" si="44"/>
        <v>0.5</v>
      </c>
      <c r="EK54" s="87">
        <f t="shared" si="44"/>
        <v>0.5</v>
      </c>
      <c r="EL54" s="87">
        <f t="shared" si="44"/>
        <v>0.5</v>
      </c>
      <c r="EM54" s="87">
        <f t="shared" si="44"/>
        <v>0.5</v>
      </c>
      <c r="EN54" s="87">
        <f t="shared" si="44"/>
        <v>0.5</v>
      </c>
      <c r="EO54" s="87">
        <f t="shared" si="44"/>
        <v>0.5</v>
      </c>
      <c r="EP54" s="87">
        <f t="shared" si="44"/>
        <v>0.5</v>
      </c>
      <c r="EQ54" s="87">
        <f t="shared" si="44"/>
        <v>0.5</v>
      </c>
      <c r="ER54" s="87">
        <f t="shared" si="44"/>
        <v>0.5</v>
      </c>
      <c r="ES54" s="87">
        <f t="shared" si="44"/>
        <v>0.5</v>
      </c>
      <c r="ET54" s="87">
        <f t="shared" si="44"/>
        <v>0.5</v>
      </c>
      <c r="EU54" s="87">
        <f t="shared" si="44"/>
        <v>0.5</v>
      </c>
      <c r="EV54" s="87">
        <f t="shared" si="44"/>
        <v>0.5</v>
      </c>
      <c r="EW54" s="87">
        <f t="shared" si="44"/>
        <v>0.5</v>
      </c>
      <c r="EX54" s="87">
        <f t="shared" si="44"/>
        <v>0.5</v>
      </c>
      <c r="EY54" s="87">
        <f t="shared" si="44"/>
        <v>0.5</v>
      </c>
      <c r="EZ54" s="87">
        <f t="shared" si="44"/>
        <v>0.5</v>
      </c>
      <c r="FA54" s="87">
        <f t="shared" si="44"/>
        <v>0.5</v>
      </c>
      <c r="FB54" s="87">
        <f t="shared" si="44"/>
        <v>0.5</v>
      </c>
      <c r="FC54" s="87">
        <f t="shared" si="44"/>
        <v>0.5</v>
      </c>
      <c r="FD54" s="87">
        <f t="shared" si="44"/>
        <v>0.5</v>
      </c>
      <c r="FE54" s="87">
        <f t="shared" si="44"/>
        <v>0.5</v>
      </c>
      <c r="FF54" s="87">
        <f t="shared" si="44"/>
        <v>0.5</v>
      </c>
      <c r="FG54" s="87">
        <f t="shared" si="44"/>
        <v>0.5</v>
      </c>
      <c r="FH54" s="87">
        <f t="shared" si="44"/>
        <v>0.5</v>
      </c>
      <c r="FI54" s="87">
        <f t="shared" si="44"/>
        <v>0.5</v>
      </c>
      <c r="FJ54" s="87">
        <f t="shared" si="44"/>
        <v>0.5</v>
      </c>
      <c r="FK54" s="87">
        <f t="shared" si="44"/>
        <v>0.5</v>
      </c>
      <c r="FL54" s="87">
        <f t="shared" si="44"/>
        <v>0.5</v>
      </c>
      <c r="FM54" s="87">
        <f t="shared" si="44"/>
        <v>0.5</v>
      </c>
      <c r="FN54" s="87">
        <f t="shared" si="44"/>
        <v>0.5</v>
      </c>
      <c r="FO54" s="87">
        <f t="shared" si="44"/>
        <v>0.5</v>
      </c>
      <c r="FP54" s="87">
        <f t="shared" si="44"/>
        <v>0.5</v>
      </c>
      <c r="FQ54" s="87">
        <f t="shared" si="44"/>
        <v>0.5</v>
      </c>
      <c r="FR54" s="87">
        <f t="shared" si="44"/>
        <v>0.5</v>
      </c>
      <c r="FS54" s="87">
        <f t="shared" si="44"/>
        <v>0.5</v>
      </c>
      <c r="FT54" s="87">
        <f t="shared" si="44"/>
        <v>0.5</v>
      </c>
      <c r="FU54" s="87">
        <f t="shared" si="44"/>
        <v>0.5</v>
      </c>
      <c r="FV54" s="87">
        <f t="shared" si="44"/>
        <v>0.5</v>
      </c>
      <c r="FW54" s="87">
        <f t="shared" si="44"/>
        <v>0.5</v>
      </c>
      <c r="FX54" s="87">
        <f t="shared" si="44"/>
        <v>0.5</v>
      </c>
      <c r="FY54" s="87">
        <f t="shared" si="44"/>
        <v>0.5</v>
      </c>
      <c r="FZ54" s="87">
        <f t="shared" si="44"/>
        <v>0.5</v>
      </c>
      <c r="GA54" s="87">
        <f t="shared" si="44"/>
        <v>0.5</v>
      </c>
      <c r="GB54" s="87">
        <f t="shared" si="44"/>
        <v>0.5</v>
      </c>
      <c r="GC54" s="87">
        <f t="shared" si="44"/>
        <v>0.5</v>
      </c>
      <c r="GD54" s="87">
        <f t="shared" si="44"/>
        <v>0.5</v>
      </c>
      <c r="GE54" s="87">
        <f t="shared" si="44"/>
        <v>0.5</v>
      </c>
      <c r="GF54" s="87">
        <f t="shared" si="44"/>
        <v>0.5</v>
      </c>
      <c r="GG54" s="87">
        <f t="shared" si="44"/>
        <v>0.5</v>
      </c>
      <c r="GH54" s="87">
        <f t="shared" si="44"/>
        <v>0.5</v>
      </c>
      <c r="GI54" s="87">
        <f t="shared" si="44"/>
        <v>0.5</v>
      </c>
      <c r="GJ54" s="87">
        <f t="shared" si="44"/>
        <v>0.5</v>
      </c>
      <c r="GK54" s="87">
        <f t="shared" si="44"/>
        <v>0.5</v>
      </c>
      <c r="GL54" s="87">
        <f t="shared" si="44"/>
        <v>0.5</v>
      </c>
      <c r="GM54" s="87">
        <f t="shared" si="44"/>
        <v>0.5</v>
      </c>
      <c r="GN54" s="87">
        <f t="shared" si="44"/>
        <v>0.5</v>
      </c>
      <c r="GO54" s="87">
        <f t="shared" si="44"/>
        <v>0.5</v>
      </c>
      <c r="GP54" s="87">
        <f t="shared" si="44"/>
        <v>0.5</v>
      </c>
      <c r="GQ54" s="87">
        <f t="shared" si="44"/>
        <v>0.5</v>
      </c>
      <c r="GR54" s="87">
        <f t="shared" si="44"/>
        <v>0.5</v>
      </c>
      <c r="GS54" s="87">
        <f t="shared" si="44"/>
        <v>0.5</v>
      </c>
      <c r="GT54" s="87">
        <f t="shared" si="44"/>
        <v>0.5</v>
      </c>
      <c r="GU54" s="87">
        <f t="shared" si="44"/>
        <v>0.5</v>
      </c>
      <c r="GV54" s="87">
        <f t="shared" si="44"/>
        <v>0.5</v>
      </c>
      <c r="GW54" s="87">
        <f t="shared" si="44"/>
        <v>0.5</v>
      </c>
      <c r="GX54" s="87">
        <f t="shared" si="44"/>
        <v>0.5</v>
      </c>
      <c r="GY54" s="87">
        <f t="shared" si="44"/>
        <v>0.5</v>
      </c>
      <c r="GZ54" s="87">
        <f t="shared" si="44"/>
        <v>0.5</v>
      </c>
      <c r="HA54" s="87">
        <f t="shared" si="44"/>
        <v>0.5</v>
      </c>
      <c r="HB54" s="87">
        <f t="shared" si="44"/>
        <v>0.5</v>
      </c>
      <c r="HC54" s="87">
        <f t="shared" si="44"/>
        <v>0.5</v>
      </c>
      <c r="HD54" s="87">
        <f t="shared" si="44"/>
        <v>0.5</v>
      </c>
      <c r="HE54" s="87">
        <f t="shared" si="44"/>
        <v>0.5</v>
      </c>
      <c r="HF54" s="87">
        <f t="shared" si="44"/>
        <v>0.5</v>
      </c>
      <c r="HG54" s="87">
        <f t="shared" si="44"/>
        <v>0.5</v>
      </c>
      <c r="HH54" s="87">
        <f t="shared" si="44"/>
        <v>0.5</v>
      </c>
      <c r="HI54" s="87">
        <f t="shared" si="44"/>
        <v>0.5</v>
      </c>
      <c r="HJ54" s="87">
        <f t="shared" si="44"/>
        <v>0.5</v>
      </c>
      <c r="HK54" s="87">
        <f t="shared" si="44"/>
        <v>0.5</v>
      </c>
      <c r="HL54" s="87">
        <f t="shared" si="44"/>
        <v>0.5</v>
      </c>
      <c r="HM54" s="87">
        <f t="shared" si="44"/>
        <v>0.5</v>
      </c>
      <c r="HN54" s="87">
        <f t="shared" si="44"/>
        <v>0.5</v>
      </c>
      <c r="HO54" s="87">
        <f t="shared" si="44"/>
        <v>0.5</v>
      </c>
      <c r="HP54" s="87">
        <f t="shared" si="44"/>
        <v>0.5</v>
      </c>
      <c r="HQ54" s="87">
        <f t="shared" si="44"/>
        <v>0.5</v>
      </c>
      <c r="HR54" s="87">
        <f t="shared" si="44"/>
        <v>0.5</v>
      </c>
      <c r="HS54" s="87">
        <f t="shared" si="44"/>
        <v>0.5</v>
      </c>
      <c r="HT54" s="87">
        <f t="shared" si="44"/>
        <v>0.5</v>
      </c>
      <c r="HU54" s="87">
        <f t="shared" si="44"/>
        <v>0.5</v>
      </c>
      <c r="HV54" s="87">
        <f t="shared" si="44"/>
        <v>0.5</v>
      </c>
      <c r="HW54" s="87">
        <f t="shared" si="44"/>
        <v>0.5</v>
      </c>
      <c r="HX54" s="87">
        <f t="shared" si="44"/>
        <v>0.5</v>
      </c>
      <c r="HY54" s="87">
        <f t="shared" si="44"/>
        <v>0.5</v>
      </c>
      <c r="HZ54" s="87">
        <f t="shared" si="44"/>
        <v>0.5</v>
      </c>
      <c r="IA54" s="87">
        <f t="shared" si="44"/>
        <v>0.5</v>
      </c>
      <c r="IB54" s="87">
        <f t="shared" si="44"/>
        <v>0.5</v>
      </c>
      <c r="IC54" s="87">
        <f t="shared" si="44"/>
        <v>0.5</v>
      </c>
      <c r="ID54" s="87">
        <f t="shared" si="44"/>
        <v>0.5</v>
      </c>
      <c r="IE54" s="87">
        <f t="shared" si="44"/>
        <v>0.5</v>
      </c>
      <c r="IF54" s="87">
        <f t="shared" si="44"/>
        <v>0.5</v>
      </c>
      <c r="IG54" s="87">
        <f t="shared" si="44"/>
        <v>0.5</v>
      </c>
      <c r="IH54" s="87">
        <f t="shared" si="44"/>
        <v>0.5</v>
      </c>
      <c r="II54" s="87">
        <f t="shared" si="44"/>
        <v>0.5</v>
      </c>
      <c r="IJ54" s="87">
        <f t="shared" si="44"/>
        <v>0.5</v>
      </c>
      <c r="IK54" s="87">
        <f t="shared" si="44"/>
        <v>0.5</v>
      </c>
      <c r="IL54" s="87">
        <f t="shared" si="44"/>
        <v>0.5</v>
      </c>
      <c r="IM54" s="87">
        <f t="shared" si="44"/>
        <v>0.5</v>
      </c>
      <c r="IN54" s="87">
        <f t="shared" si="44"/>
        <v>0.5</v>
      </c>
      <c r="IO54" s="87">
        <f t="shared" si="44"/>
        <v>0.5</v>
      </c>
      <c r="IP54" s="87">
        <f t="shared" si="44"/>
        <v>0.5</v>
      </c>
      <c r="IQ54" s="87">
        <f t="shared" si="44"/>
        <v>0.5</v>
      </c>
      <c r="IR54" s="87">
        <f t="shared" si="44"/>
        <v>0.5</v>
      </c>
      <c r="IS54" s="87">
        <f t="shared" si="44"/>
        <v>0.5</v>
      </c>
      <c r="IT54" s="87">
        <f t="shared" si="44"/>
        <v>0.5</v>
      </c>
      <c r="IU54" s="87">
        <f t="shared" si="44"/>
        <v>0.5</v>
      </c>
      <c r="IV54" s="87">
        <f t="shared" si="44"/>
        <v>0.5</v>
      </c>
      <c r="IW54" s="87">
        <f t="shared" si="44"/>
        <v>0.5</v>
      </c>
      <c r="IX54" s="87">
        <f t="shared" si="44"/>
        <v>0.5</v>
      </c>
      <c r="IY54" s="87">
        <f t="shared" si="44"/>
        <v>0.5</v>
      </c>
      <c r="IZ54" s="87">
        <f t="shared" si="44"/>
        <v>0.5</v>
      </c>
      <c r="JA54" s="87">
        <f t="shared" si="44"/>
        <v>0.5</v>
      </c>
      <c r="JB54" s="87">
        <f t="shared" si="44"/>
        <v>0.5</v>
      </c>
      <c r="JC54" s="87">
        <f t="shared" si="44"/>
        <v>0.5</v>
      </c>
      <c r="JD54" s="87">
        <f t="shared" si="44"/>
        <v>0.5</v>
      </c>
      <c r="JE54" s="87">
        <f t="shared" si="44"/>
        <v>0.5</v>
      </c>
      <c r="JF54" s="87">
        <f t="shared" si="44"/>
        <v>0.5</v>
      </c>
      <c r="JG54" s="87">
        <f t="shared" si="44"/>
        <v>0.5</v>
      </c>
      <c r="JH54" s="87">
        <f t="shared" si="44"/>
        <v>0.5</v>
      </c>
      <c r="JI54" s="87">
        <f t="shared" si="44"/>
        <v>0.5</v>
      </c>
      <c r="JJ54" s="87">
        <f t="shared" si="44"/>
        <v>0.5</v>
      </c>
      <c r="JK54" s="87">
        <f t="shared" si="44"/>
        <v>0.5</v>
      </c>
      <c r="JL54" s="87">
        <f t="shared" si="44"/>
        <v>0.5</v>
      </c>
      <c r="JM54" s="87">
        <f t="shared" si="44"/>
        <v>0.5</v>
      </c>
      <c r="JN54" s="87">
        <f t="shared" si="44"/>
        <v>0.5</v>
      </c>
      <c r="JO54" s="87">
        <f t="shared" si="44"/>
        <v>0.5</v>
      </c>
      <c r="JP54" s="87">
        <f t="shared" si="44"/>
        <v>0.5</v>
      </c>
      <c r="JQ54" s="87">
        <f t="shared" si="44"/>
        <v>0.5</v>
      </c>
      <c r="JR54" s="87">
        <f t="shared" si="44"/>
        <v>0.5</v>
      </c>
      <c r="JS54" s="87">
        <f t="shared" si="44"/>
        <v>0.5</v>
      </c>
      <c r="JT54" s="87">
        <f t="shared" si="44"/>
        <v>0.5</v>
      </c>
      <c r="JU54" s="87">
        <f t="shared" si="44"/>
        <v>0.5</v>
      </c>
      <c r="JV54" s="87">
        <f t="shared" si="44"/>
        <v>0.5</v>
      </c>
      <c r="JW54" s="87">
        <f t="shared" si="44"/>
        <v>0.5</v>
      </c>
      <c r="JX54" s="87">
        <f t="shared" si="44"/>
        <v>0.5</v>
      </c>
      <c r="JY54" s="87">
        <f t="shared" si="44"/>
        <v>0.5</v>
      </c>
      <c r="JZ54" s="87">
        <f t="shared" si="44"/>
        <v>0.5</v>
      </c>
      <c r="KA54" s="87">
        <f t="shared" si="44"/>
        <v>0.5</v>
      </c>
      <c r="KB54" s="87">
        <f t="shared" si="44"/>
        <v>0.5</v>
      </c>
      <c r="KC54" s="87">
        <f t="shared" si="44"/>
        <v>0.5</v>
      </c>
      <c r="KD54" s="87">
        <f t="shared" si="44"/>
        <v>0.5</v>
      </c>
      <c r="KE54" s="87">
        <f t="shared" si="44"/>
        <v>0.5</v>
      </c>
      <c r="KF54" s="87">
        <f t="shared" si="44"/>
        <v>0.5</v>
      </c>
      <c r="KG54" s="87">
        <f t="shared" si="44"/>
        <v>0.5</v>
      </c>
      <c r="KH54" s="87">
        <f t="shared" si="44"/>
        <v>0.5</v>
      </c>
      <c r="KI54" s="87">
        <f t="shared" si="44"/>
        <v>0.5</v>
      </c>
      <c r="KJ54" s="87">
        <f t="shared" si="44"/>
        <v>0.5</v>
      </c>
      <c r="KK54" s="87">
        <f t="shared" si="44"/>
        <v>0.5</v>
      </c>
      <c r="KL54" s="87">
        <f t="shared" si="44"/>
        <v>0.5</v>
      </c>
      <c r="KM54" s="87">
        <f t="shared" si="44"/>
        <v>0.5</v>
      </c>
      <c r="KN54" s="87">
        <f t="shared" si="44"/>
        <v>0.5</v>
      </c>
      <c r="KO54" s="87">
        <f t="shared" si="44"/>
        <v>0.5</v>
      </c>
      <c r="KP54" s="87">
        <f t="shared" si="44"/>
        <v>0.5</v>
      </c>
      <c r="KQ54" s="87">
        <f t="shared" si="44"/>
        <v>0.5</v>
      </c>
      <c r="KR54" s="87">
        <f t="shared" si="44"/>
        <v>0.5</v>
      </c>
      <c r="KS54" s="87">
        <f t="shared" si="44"/>
        <v>0.5</v>
      </c>
      <c r="KT54" s="87">
        <f t="shared" si="44"/>
        <v>0.5</v>
      </c>
      <c r="KU54" s="87">
        <f t="shared" si="44"/>
        <v>0.5</v>
      </c>
      <c r="KV54" s="87">
        <f t="shared" si="44"/>
        <v>0.5</v>
      </c>
      <c r="KW54" s="87">
        <f t="shared" si="44"/>
        <v>0.5</v>
      </c>
      <c r="KX54" s="87">
        <f t="shared" si="44"/>
        <v>0.5</v>
      </c>
      <c r="KY54" s="87">
        <f t="shared" si="44"/>
        <v>0.5</v>
      </c>
      <c r="KZ54" s="87">
        <f t="shared" si="44"/>
        <v>0.5</v>
      </c>
      <c r="LA54" s="87">
        <f t="shared" si="44"/>
        <v>0.5</v>
      </c>
      <c r="LB54" s="87">
        <f t="shared" si="44"/>
        <v>0.5</v>
      </c>
      <c r="LC54" s="87">
        <f t="shared" si="44"/>
        <v>0.5</v>
      </c>
      <c r="LD54" s="87">
        <f t="shared" si="44"/>
        <v>0.5</v>
      </c>
      <c r="LE54" s="87">
        <f t="shared" si="44"/>
        <v>0.5</v>
      </c>
      <c r="LF54" s="87">
        <f t="shared" si="44"/>
        <v>0.5</v>
      </c>
      <c r="LG54" s="87">
        <f t="shared" si="44"/>
        <v>0.5</v>
      </c>
      <c r="LH54" s="87">
        <f t="shared" si="44"/>
        <v>0.5</v>
      </c>
      <c r="LI54" s="87">
        <f t="shared" si="44"/>
        <v>0.5</v>
      </c>
      <c r="LJ54" s="87">
        <f t="shared" si="44"/>
        <v>0.5</v>
      </c>
      <c r="LK54" s="87">
        <f t="shared" si="44"/>
        <v>0.5</v>
      </c>
      <c r="LL54" s="87">
        <f t="shared" si="44"/>
        <v>0.5</v>
      </c>
      <c r="LM54" s="87">
        <f t="shared" si="44"/>
        <v>0.5</v>
      </c>
      <c r="LN54" s="87">
        <f t="shared" si="44"/>
        <v>0.5</v>
      </c>
      <c r="LO54" s="87">
        <f t="shared" si="44"/>
        <v>0.5</v>
      </c>
      <c r="LP54" s="87">
        <f t="shared" si="44"/>
        <v>0.5</v>
      </c>
      <c r="LQ54" s="87">
        <f t="shared" si="44"/>
        <v>0.5</v>
      </c>
      <c r="LR54" s="87">
        <f t="shared" si="44"/>
        <v>0.5</v>
      </c>
      <c r="LS54" s="87">
        <f t="shared" si="44"/>
        <v>0.5</v>
      </c>
      <c r="LT54" s="87">
        <f t="shared" si="44"/>
        <v>0.5</v>
      </c>
      <c r="LU54" s="87">
        <f t="shared" si="44"/>
        <v>0.5</v>
      </c>
      <c r="LV54" s="87">
        <f t="shared" si="44"/>
        <v>0.5</v>
      </c>
      <c r="LW54" s="87">
        <f t="shared" si="44"/>
        <v>0.5</v>
      </c>
      <c r="LX54" s="87">
        <f t="shared" si="44"/>
        <v>0.5</v>
      </c>
      <c r="LY54" s="87">
        <f t="shared" si="44"/>
        <v>0.5</v>
      </c>
      <c r="LZ54" s="87">
        <f t="shared" si="44"/>
        <v>0.5</v>
      </c>
      <c r="MA54" s="87">
        <f t="shared" si="44"/>
        <v>0.5</v>
      </c>
      <c r="MB54" s="87">
        <f t="shared" si="44"/>
        <v>0.5</v>
      </c>
      <c r="MC54" s="87">
        <f t="shared" si="44"/>
        <v>0.5</v>
      </c>
      <c r="MD54" s="87">
        <f t="shared" si="44"/>
        <v>0.5</v>
      </c>
      <c r="ME54" s="87">
        <f t="shared" si="44"/>
        <v>0.5</v>
      </c>
      <c r="MF54" s="87">
        <f t="shared" si="44"/>
        <v>0.5</v>
      </c>
      <c r="MG54" s="87">
        <f t="shared" si="44"/>
        <v>0.5</v>
      </c>
      <c r="MH54" s="87">
        <f t="shared" si="44"/>
        <v>0.5</v>
      </c>
      <c r="MI54" s="87">
        <f t="shared" si="44"/>
        <v>0.5</v>
      </c>
      <c r="MJ54" s="87">
        <f t="shared" si="44"/>
        <v>0.5</v>
      </c>
      <c r="MK54" s="87">
        <f t="shared" si="44"/>
        <v>0.5</v>
      </c>
      <c r="ML54" s="87">
        <f t="shared" si="44"/>
        <v>0.5</v>
      </c>
      <c r="MM54" s="87">
        <f t="shared" si="44"/>
        <v>0.5</v>
      </c>
      <c r="MN54" s="87">
        <f t="shared" si="44"/>
        <v>0.5</v>
      </c>
      <c r="MO54" s="87">
        <f t="shared" si="44"/>
        <v>0.5</v>
      </c>
      <c r="MP54" s="87">
        <f t="shared" si="44"/>
        <v>0.5</v>
      </c>
      <c r="MQ54" s="87">
        <f t="shared" si="44"/>
        <v>0.5</v>
      </c>
      <c r="MR54" s="87">
        <f t="shared" si="44"/>
        <v>0.5</v>
      </c>
      <c r="MS54" s="87">
        <f t="shared" si="44"/>
        <v>0.5</v>
      </c>
      <c r="MT54" s="87">
        <f t="shared" si="44"/>
        <v>0.5</v>
      </c>
      <c r="MU54" s="87">
        <f t="shared" si="44"/>
        <v>0.5</v>
      </c>
      <c r="MV54" s="87">
        <f t="shared" si="44"/>
        <v>0.5</v>
      </c>
      <c r="MW54" s="87">
        <f t="shared" si="44"/>
        <v>0.5</v>
      </c>
      <c r="MX54" s="87">
        <f t="shared" si="44"/>
        <v>0.5</v>
      </c>
      <c r="MY54" s="87">
        <f t="shared" si="44"/>
        <v>0.5</v>
      </c>
      <c r="MZ54" s="87">
        <f t="shared" si="44"/>
        <v>0.5</v>
      </c>
      <c r="NA54" s="87">
        <f t="shared" si="44"/>
        <v>0.5</v>
      </c>
      <c r="NB54" s="87">
        <f t="shared" si="44"/>
        <v>0.5</v>
      </c>
      <c r="NC54" s="87">
        <f t="shared" si="44"/>
        <v>0.5</v>
      </c>
      <c r="ND54" s="87">
        <f t="shared" si="44"/>
        <v>0.5</v>
      </c>
      <c r="NE54" s="87">
        <f t="shared" si="44"/>
        <v>0.5</v>
      </c>
      <c r="NF54" s="87">
        <f t="shared" si="44"/>
        <v>0.5</v>
      </c>
      <c r="NG54" s="87">
        <f t="shared" si="44"/>
        <v>0.5</v>
      </c>
      <c r="NH54" s="87">
        <f t="shared" si="44"/>
        <v>0.5</v>
      </c>
      <c r="NI54" s="87">
        <f t="shared" si="44"/>
        <v>0.5</v>
      </c>
      <c r="NJ54" s="87">
        <f t="shared" si="44"/>
        <v>0.5</v>
      </c>
      <c r="NK54" s="87">
        <f t="shared" si="44"/>
        <v>0.5</v>
      </c>
      <c r="NL54" s="87">
        <f t="shared" si="44"/>
        <v>0.5</v>
      </c>
      <c r="NM54" s="87">
        <f t="shared" si="44"/>
        <v>0.5</v>
      </c>
      <c r="NN54" s="87">
        <f t="shared" si="44"/>
        <v>0.5</v>
      </c>
      <c r="NO54" s="87">
        <f t="shared" si="44"/>
        <v>0.5</v>
      </c>
      <c r="NP54" s="87">
        <f t="shared" si="44"/>
        <v>0.5</v>
      </c>
      <c r="NQ54" s="87">
        <f t="shared" si="44"/>
        <v>0.5</v>
      </c>
      <c r="NR54" s="87">
        <f t="shared" si="44"/>
        <v>0.5</v>
      </c>
      <c r="NS54" s="87">
        <f t="shared" si="44"/>
        <v>0.5</v>
      </c>
      <c r="NT54" s="87">
        <f t="shared" si="44"/>
        <v>0.5</v>
      </c>
      <c r="NU54" s="87">
        <f t="shared" si="44"/>
        <v>0.5</v>
      </c>
      <c r="NV54" s="87">
        <f t="shared" si="44"/>
        <v>0.5</v>
      </c>
      <c r="NW54" s="87">
        <f t="shared" si="44"/>
        <v>0.5</v>
      </c>
      <c r="NX54" s="87">
        <f t="shared" si="44"/>
        <v>0.5</v>
      </c>
      <c r="NY54" s="87">
        <f t="shared" si="44"/>
        <v>0.5</v>
      </c>
      <c r="NZ54" s="87">
        <f t="shared" si="44"/>
        <v>0.5</v>
      </c>
      <c r="OA54" s="87">
        <f t="shared" si="44"/>
        <v>0.5</v>
      </c>
      <c r="OB54" s="87">
        <f t="shared" si="44"/>
        <v>0.5</v>
      </c>
      <c r="OC54" s="87">
        <f t="shared" si="44"/>
        <v>0.5</v>
      </c>
      <c r="OD54" s="87">
        <f t="shared" si="44"/>
        <v>0.5</v>
      </c>
      <c r="OE54" s="87">
        <f t="shared" si="44"/>
        <v>0.5</v>
      </c>
      <c r="OF54" s="87">
        <f t="shared" si="44"/>
        <v>0.5</v>
      </c>
      <c r="OG54" s="87">
        <f t="shared" si="44"/>
        <v>0.5</v>
      </c>
      <c r="OH54" s="87">
        <f t="shared" si="44"/>
        <v>0.5</v>
      </c>
      <c r="OI54" s="87">
        <f t="shared" si="44"/>
        <v>0.5</v>
      </c>
      <c r="OJ54" s="87">
        <f t="shared" si="44"/>
        <v>0.5</v>
      </c>
      <c r="OK54" s="87">
        <f t="shared" si="44"/>
        <v>0.5</v>
      </c>
      <c r="OL54" s="87">
        <f t="shared" si="44"/>
        <v>0.5</v>
      </c>
      <c r="OM54" s="87">
        <f t="shared" si="44"/>
        <v>0.5</v>
      </c>
      <c r="ON54" s="87">
        <f t="shared" si="44"/>
        <v>0.5</v>
      </c>
      <c r="OO54" s="87">
        <f t="shared" si="44"/>
        <v>0.5</v>
      </c>
      <c r="OP54" s="87">
        <f t="shared" si="44"/>
        <v>0.5</v>
      </c>
      <c r="OQ54" s="87">
        <f t="shared" si="44"/>
        <v>0.5</v>
      </c>
      <c r="OR54" s="87">
        <f t="shared" si="44"/>
        <v>0.5</v>
      </c>
      <c r="OS54" s="87">
        <f t="shared" si="44"/>
        <v>0.5</v>
      </c>
      <c r="OT54" s="87">
        <f t="shared" si="44"/>
        <v>0.5</v>
      </c>
      <c r="OU54" s="87">
        <f t="shared" si="44"/>
        <v>0.5</v>
      </c>
      <c r="OV54" s="87">
        <f t="shared" si="44"/>
        <v>0.5</v>
      </c>
      <c r="OW54" s="87">
        <f t="shared" si="44"/>
        <v>0.5</v>
      </c>
      <c r="OX54" s="87">
        <f t="shared" si="44"/>
        <v>0.5</v>
      </c>
      <c r="OY54" s="87">
        <f t="shared" si="44"/>
        <v>0.5</v>
      </c>
      <c r="OZ54" s="87">
        <f t="shared" si="44"/>
        <v>0.5</v>
      </c>
      <c r="PA54" s="87">
        <f t="shared" si="44"/>
        <v>0.5</v>
      </c>
      <c r="PB54" s="87">
        <f t="shared" si="44"/>
        <v>0.5</v>
      </c>
      <c r="PC54" s="87">
        <f t="shared" si="44"/>
        <v>0.5</v>
      </c>
      <c r="PD54" s="87">
        <f t="shared" si="44"/>
        <v>0.5</v>
      </c>
      <c r="PE54" s="87">
        <f t="shared" si="44"/>
        <v>0.5</v>
      </c>
      <c r="PF54" s="87">
        <f t="shared" si="44"/>
        <v>0.5</v>
      </c>
      <c r="PG54" s="87">
        <f t="shared" si="44"/>
        <v>0.5</v>
      </c>
      <c r="PH54" s="87">
        <f t="shared" si="44"/>
        <v>0.5</v>
      </c>
      <c r="PI54" s="87">
        <f t="shared" si="44"/>
        <v>0.5</v>
      </c>
      <c r="PJ54" s="87">
        <f t="shared" si="44"/>
        <v>0.5</v>
      </c>
      <c r="PK54" s="87">
        <f t="shared" si="44"/>
        <v>0.5</v>
      </c>
      <c r="PL54" s="87">
        <f t="shared" si="44"/>
        <v>0.5</v>
      </c>
      <c r="PM54" s="87">
        <f t="shared" si="44"/>
        <v>0.5</v>
      </c>
      <c r="PN54" s="87">
        <f t="shared" si="44"/>
        <v>0.5</v>
      </c>
      <c r="PO54" s="87">
        <f t="shared" si="44"/>
        <v>0.5</v>
      </c>
      <c r="PP54" s="87">
        <f t="shared" si="44"/>
        <v>0.5</v>
      </c>
      <c r="PQ54" s="87">
        <f t="shared" si="44"/>
        <v>0.5</v>
      </c>
      <c r="PR54" s="87">
        <f t="shared" si="44"/>
        <v>0.5</v>
      </c>
      <c r="PS54" s="87">
        <f t="shared" si="44"/>
        <v>0.5</v>
      </c>
      <c r="PT54" s="87">
        <f t="shared" si="44"/>
        <v>0.5</v>
      </c>
      <c r="PU54" s="87">
        <f t="shared" si="44"/>
        <v>0.5</v>
      </c>
      <c r="PV54" s="87">
        <f t="shared" si="44"/>
        <v>0.5</v>
      </c>
      <c r="PW54" s="87">
        <f t="shared" si="44"/>
        <v>0.5</v>
      </c>
      <c r="PX54" s="87">
        <f t="shared" si="44"/>
        <v>0.5</v>
      </c>
      <c r="PY54" s="87">
        <f t="shared" si="44"/>
        <v>0.5</v>
      </c>
      <c r="PZ54" s="87">
        <f t="shared" si="44"/>
        <v>0.5</v>
      </c>
      <c r="QA54" s="87">
        <f t="shared" si="44"/>
        <v>0.5</v>
      </c>
      <c r="QB54" s="87">
        <f t="shared" si="44"/>
        <v>0.5</v>
      </c>
      <c r="QC54" s="87">
        <f t="shared" si="44"/>
        <v>0.5</v>
      </c>
      <c r="QD54" s="87">
        <f t="shared" si="44"/>
        <v>0.5</v>
      </c>
      <c r="QE54" s="87">
        <f t="shared" si="44"/>
        <v>0.5</v>
      </c>
      <c r="QF54" s="87">
        <f t="shared" si="44"/>
        <v>0.5</v>
      </c>
      <c r="QG54" s="87">
        <f t="shared" si="44"/>
        <v>0.5</v>
      </c>
      <c r="QH54" s="87">
        <f t="shared" si="44"/>
        <v>0.5</v>
      </c>
      <c r="QI54" s="87">
        <f t="shared" si="44"/>
        <v>0.5</v>
      </c>
      <c r="QJ54" s="87">
        <f t="shared" si="44"/>
        <v>0.5</v>
      </c>
      <c r="QK54" s="87">
        <f t="shared" si="44"/>
        <v>0.5</v>
      </c>
      <c r="QL54" s="87">
        <f t="shared" si="44"/>
        <v>0.5</v>
      </c>
      <c r="QM54" s="87">
        <f t="shared" si="44"/>
        <v>0.5</v>
      </c>
      <c r="QN54" s="87">
        <f t="shared" si="44"/>
        <v>0.5</v>
      </c>
      <c r="QO54" s="87">
        <f t="shared" si="44"/>
        <v>0.5</v>
      </c>
      <c r="QP54" s="87">
        <f t="shared" si="44"/>
        <v>0.5</v>
      </c>
      <c r="QQ54" s="87">
        <f t="shared" si="44"/>
        <v>0.5</v>
      </c>
      <c r="QR54" s="87">
        <f t="shared" si="44"/>
        <v>0.5</v>
      </c>
      <c r="QS54" s="87">
        <f t="shared" si="44"/>
        <v>0.5</v>
      </c>
      <c r="QT54" s="87">
        <f t="shared" si="44"/>
        <v>0.5</v>
      </c>
      <c r="QU54" s="87">
        <f t="shared" si="44"/>
        <v>0.5</v>
      </c>
      <c r="QV54" s="87">
        <f t="shared" si="44"/>
        <v>0.5</v>
      </c>
      <c r="QW54" s="87">
        <f t="shared" si="44"/>
        <v>0.5</v>
      </c>
      <c r="QX54" s="87">
        <f t="shared" si="44"/>
        <v>0.5</v>
      </c>
      <c r="QY54" s="87">
        <f t="shared" si="44"/>
        <v>0.5</v>
      </c>
      <c r="QZ54" s="87">
        <f t="shared" si="44"/>
        <v>0.5</v>
      </c>
      <c r="RA54" s="87">
        <f t="shared" si="44"/>
        <v>0.5</v>
      </c>
      <c r="RB54" s="87">
        <f t="shared" si="44"/>
        <v>0.5</v>
      </c>
      <c r="RC54" s="87">
        <f t="shared" si="44"/>
        <v>0.5</v>
      </c>
      <c r="RD54" s="87">
        <f t="shared" si="44"/>
        <v>0.5</v>
      </c>
      <c r="RE54" s="87">
        <f t="shared" si="44"/>
        <v>0.5</v>
      </c>
      <c r="RF54" s="87">
        <f t="shared" si="44"/>
        <v>0.5</v>
      </c>
      <c r="RG54" s="87">
        <f t="shared" si="44"/>
        <v>0.5</v>
      </c>
      <c r="RH54" s="87">
        <f t="shared" si="44"/>
        <v>0.5</v>
      </c>
      <c r="RI54" s="87">
        <f t="shared" si="44"/>
        <v>0.5</v>
      </c>
      <c r="RJ54" s="87">
        <f t="shared" si="44"/>
        <v>0.5</v>
      </c>
      <c r="RK54" s="87">
        <f t="shared" si="44"/>
        <v>0.5</v>
      </c>
      <c r="RL54" s="87">
        <f t="shared" si="44"/>
        <v>0.5</v>
      </c>
      <c r="RM54" s="87">
        <f t="shared" si="44"/>
        <v>0.5</v>
      </c>
      <c r="RN54" s="87">
        <f t="shared" si="44"/>
        <v>0.5</v>
      </c>
      <c r="RO54" s="87">
        <f t="shared" si="44"/>
        <v>0.5</v>
      </c>
      <c r="RP54" s="87">
        <f t="shared" si="44"/>
        <v>0.5</v>
      </c>
      <c r="RQ54" s="87">
        <f t="shared" si="44"/>
        <v>0.5</v>
      </c>
      <c r="RR54" s="87">
        <f t="shared" si="44"/>
        <v>0.5</v>
      </c>
      <c r="RS54" s="87">
        <f t="shared" si="44"/>
        <v>0.5</v>
      </c>
      <c r="RT54" s="87">
        <f t="shared" si="44"/>
        <v>0.5</v>
      </c>
      <c r="RU54" s="87">
        <f t="shared" si="44"/>
        <v>0.5</v>
      </c>
      <c r="RV54" s="87">
        <f t="shared" si="44"/>
        <v>0.5</v>
      </c>
      <c r="RW54" s="87">
        <f t="shared" si="44"/>
        <v>0.5</v>
      </c>
      <c r="RX54" s="87">
        <f t="shared" si="44"/>
        <v>0.5</v>
      </c>
      <c r="RY54" s="87">
        <f t="shared" si="44"/>
        <v>0.5</v>
      </c>
      <c r="RZ54" s="87">
        <f t="shared" si="44"/>
        <v>0.5</v>
      </c>
      <c r="SA54" s="87">
        <f t="shared" si="44"/>
        <v>0.5</v>
      </c>
      <c r="SB54" s="87">
        <f t="shared" si="44"/>
        <v>0.5</v>
      </c>
      <c r="SC54" s="87">
        <f t="shared" si="44"/>
        <v>0.5</v>
      </c>
      <c r="SD54" s="87">
        <f t="shared" si="44"/>
        <v>0.5</v>
      </c>
      <c r="SE54" s="87">
        <f t="shared" si="44"/>
        <v>0.5</v>
      </c>
      <c r="SF54" s="87">
        <f t="shared" si="44"/>
        <v>0.5</v>
      </c>
      <c r="SG54" s="87">
        <f t="shared" si="44"/>
        <v>0.5</v>
      </c>
      <c r="SH54" s="87">
        <f t="shared" si="44"/>
        <v>0.5</v>
      </c>
      <c r="SI54" s="87">
        <f t="shared" si="44"/>
        <v>0.5</v>
      </c>
      <c r="SJ54" s="87">
        <f t="shared" si="44"/>
        <v>0.5</v>
      </c>
      <c r="SK54" s="87">
        <f t="shared" si="44"/>
        <v>0.5</v>
      </c>
      <c r="SL54" s="87">
        <f t="shared" si="44"/>
        <v>0.5</v>
      </c>
    </row>
    <row r="55">
      <c r="A55" s="53" t="s">
        <v>131</v>
      </c>
      <c r="B55" s="90">
        <f>B53+(B53*B54)</f>
        <v>1041.615464</v>
      </c>
      <c r="C55" s="311"/>
      <c r="D55" s="312"/>
      <c r="E55" s="313"/>
      <c r="F55" s="90"/>
      <c r="G55" s="90">
        <f t="shared" ref="G55:SL55" si="45">G53+(G53*G54)</f>
        <v>505.342768</v>
      </c>
      <c r="H55" s="90">
        <f t="shared" si="45"/>
        <v>475.3787152</v>
      </c>
      <c r="I55" s="90">
        <f t="shared" si="45"/>
        <v>2021.034829</v>
      </c>
      <c r="J55" s="90">
        <f t="shared" si="45"/>
        <v>832.4184559</v>
      </c>
      <c r="K55" s="90">
        <f t="shared" si="45"/>
        <v>54.75135125</v>
      </c>
      <c r="L55" s="90">
        <f t="shared" si="45"/>
        <v>1440.582459</v>
      </c>
      <c r="M55" s="90">
        <f t="shared" si="45"/>
        <v>511.2881107</v>
      </c>
      <c r="N55" s="90">
        <f t="shared" si="45"/>
        <v>707.0578524</v>
      </c>
      <c r="O55" s="90">
        <f t="shared" si="45"/>
        <v>188.7339764</v>
      </c>
      <c r="P55" s="90">
        <f t="shared" si="45"/>
        <v>674.6029993</v>
      </c>
      <c r="Q55" s="90">
        <f t="shared" si="45"/>
        <v>1791.575449</v>
      </c>
      <c r="R55" s="90">
        <f t="shared" si="45"/>
        <v>1990.32359</v>
      </c>
      <c r="S55" s="90">
        <f t="shared" si="45"/>
        <v>999.1594658</v>
      </c>
      <c r="T55" s="90">
        <f t="shared" si="45"/>
        <v>1414.65293</v>
      </c>
      <c r="U55" s="90">
        <f t="shared" si="45"/>
        <v>1664.466841</v>
      </c>
      <c r="V55" s="90">
        <f t="shared" si="45"/>
        <v>1534.333506</v>
      </c>
      <c r="W55" s="90">
        <f t="shared" si="45"/>
        <v>1195.028161</v>
      </c>
      <c r="X55" s="90">
        <f t="shared" si="45"/>
        <v>1433.091136</v>
      </c>
      <c r="Y55" s="90">
        <f t="shared" si="45"/>
        <v>23.41477162</v>
      </c>
      <c r="Z55" s="90">
        <f t="shared" si="45"/>
        <v>104.9127</v>
      </c>
      <c r="AA55" s="90">
        <f t="shared" si="45"/>
        <v>1856.85153</v>
      </c>
      <c r="AB55" s="90">
        <f t="shared" si="45"/>
        <v>1196.998823</v>
      </c>
      <c r="AC55" s="90">
        <f t="shared" si="45"/>
        <v>1780.892665</v>
      </c>
      <c r="AD55" s="90">
        <f t="shared" si="45"/>
        <v>1196.49917</v>
      </c>
      <c r="AE55" s="90">
        <f t="shared" si="45"/>
        <v>879.0639308</v>
      </c>
      <c r="AF55" s="90">
        <f t="shared" si="45"/>
        <v>1795.784939</v>
      </c>
      <c r="AG55" s="90">
        <f t="shared" si="45"/>
        <v>960.7375698</v>
      </c>
      <c r="AH55" s="90">
        <f t="shared" si="45"/>
        <v>1739.751086</v>
      </c>
      <c r="AI55" s="90">
        <f t="shared" si="45"/>
        <v>1511.785184</v>
      </c>
      <c r="AJ55" s="90">
        <f t="shared" si="45"/>
        <v>496.797454</v>
      </c>
      <c r="AK55" s="90">
        <f t="shared" si="45"/>
        <v>49.77954704</v>
      </c>
      <c r="AL55" s="90">
        <f t="shared" si="45"/>
        <v>1323.505079</v>
      </c>
      <c r="AM55" s="90">
        <f t="shared" si="45"/>
        <v>1273.972271</v>
      </c>
      <c r="AN55" s="90">
        <f t="shared" si="45"/>
        <v>1125.792427</v>
      </c>
      <c r="AO55" s="90">
        <f t="shared" si="45"/>
        <v>689.3745946</v>
      </c>
      <c r="AP55" s="90">
        <f t="shared" si="45"/>
        <v>390.3378559</v>
      </c>
      <c r="AQ55" s="90">
        <f t="shared" si="45"/>
        <v>644.5797728</v>
      </c>
      <c r="AR55" s="90">
        <f t="shared" si="45"/>
        <v>1385.917587</v>
      </c>
      <c r="AS55" s="90">
        <f t="shared" si="45"/>
        <v>1509.235186</v>
      </c>
      <c r="AT55" s="90">
        <f t="shared" si="45"/>
        <v>1841.742799</v>
      </c>
      <c r="AU55" s="90">
        <f t="shared" si="45"/>
        <v>1419.008569</v>
      </c>
      <c r="AV55" s="90">
        <f t="shared" si="45"/>
        <v>1404.381163</v>
      </c>
      <c r="AW55" s="90">
        <f t="shared" si="45"/>
        <v>1366.409022</v>
      </c>
      <c r="AX55" s="90">
        <f t="shared" si="45"/>
        <v>651.6637252</v>
      </c>
      <c r="AY55" s="90">
        <f t="shared" si="45"/>
        <v>863.1890415</v>
      </c>
      <c r="AZ55" s="90">
        <f t="shared" si="45"/>
        <v>1696.849376</v>
      </c>
      <c r="BA55" s="90">
        <f t="shared" si="45"/>
        <v>1292.829777</v>
      </c>
      <c r="BB55" s="90">
        <f t="shared" si="45"/>
        <v>1218.60096</v>
      </c>
      <c r="BC55" s="90">
        <f t="shared" si="45"/>
        <v>2102.739493</v>
      </c>
      <c r="BD55" s="90">
        <f t="shared" si="45"/>
        <v>917.4155178</v>
      </c>
      <c r="BE55" s="90">
        <f t="shared" si="45"/>
        <v>1315.952871</v>
      </c>
      <c r="BF55" s="90">
        <f t="shared" si="45"/>
        <v>883.1260327</v>
      </c>
      <c r="BG55" s="90">
        <f t="shared" si="45"/>
        <v>1247.056655</v>
      </c>
      <c r="BH55" s="90">
        <f t="shared" si="45"/>
        <v>540.9753419</v>
      </c>
      <c r="BI55" s="90">
        <f t="shared" si="45"/>
        <v>2280.516692</v>
      </c>
      <c r="BJ55" s="90">
        <f t="shared" si="45"/>
        <v>481.4863763</v>
      </c>
      <c r="BK55" s="90">
        <f t="shared" si="45"/>
        <v>199.215604</v>
      </c>
      <c r="BL55" s="90">
        <f t="shared" si="45"/>
        <v>1633.189013</v>
      </c>
      <c r="BM55" s="90">
        <f t="shared" si="45"/>
        <v>1125.424365</v>
      </c>
      <c r="BN55" s="90">
        <f t="shared" si="45"/>
        <v>1207.96314</v>
      </c>
      <c r="BO55" s="90">
        <f t="shared" si="45"/>
        <v>1351.052436</v>
      </c>
      <c r="BP55" s="90">
        <f t="shared" si="45"/>
        <v>950.6634618</v>
      </c>
      <c r="BQ55" s="90">
        <f t="shared" si="45"/>
        <v>763.8822416</v>
      </c>
      <c r="BR55" s="90">
        <f t="shared" si="45"/>
        <v>253.0232764</v>
      </c>
      <c r="BS55" s="90">
        <f t="shared" si="45"/>
        <v>703.0618682</v>
      </c>
      <c r="BT55" s="90">
        <f t="shared" si="45"/>
        <v>405.4271191</v>
      </c>
      <c r="BU55" s="90">
        <f t="shared" si="45"/>
        <v>182.2513586</v>
      </c>
      <c r="BV55" s="90">
        <f t="shared" si="45"/>
        <v>727.7251896</v>
      </c>
      <c r="BW55" s="90">
        <f t="shared" si="45"/>
        <v>100.2412778</v>
      </c>
      <c r="BX55" s="90">
        <f t="shared" si="45"/>
        <v>1968.594599</v>
      </c>
      <c r="BY55" s="90">
        <f t="shared" si="45"/>
        <v>97.1353045</v>
      </c>
      <c r="BZ55" s="90">
        <f t="shared" si="45"/>
        <v>117.1147787</v>
      </c>
      <c r="CA55" s="90">
        <f t="shared" si="45"/>
        <v>2209.307122</v>
      </c>
      <c r="CB55" s="90">
        <f t="shared" si="45"/>
        <v>1766.640092</v>
      </c>
      <c r="CC55" s="90">
        <f t="shared" si="45"/>
        <v>1020.418813</v>
      </c>
      <c r="CD55" s="90">
        <f t="shared" si="45"/>
        <v>1120.689305</v>
      </c>
      <c r="CE55" s="90">
        <f t="shared" si="45"/>
        <v>2154.573527</v>
      </c>
      <c r="CF55" s="90">
        <f t="shared" si="45"/>
        <v>327.6562149</v>
      </c>
      <c r="CG55" s="90">
        <f t="shared" si="45"/>
        <v>348.2180017</v>
      </c>
      <c r="CH55" s="90">
        <f t="shared" si="45"/>
        <v>197.2266393</v>
      </c>
      <c r="CI55" s="90">
        <f t="shared" si="45"/>
        <v>1869.331721</v>
      </c>
      <c r="CJ55" s="90">
        <f t="shared" si="45"/>
        <v>1518.196724</v>
      </c>
      <c r="CK55" s="90">
        <f t="shared" si="45"/>
        <v>1178.79761</v>
      </c>
      <c r="CL55" s="90">
        <f t="shared" si="45"/>
        <v>515.57974</v>
      </c>
      <c r="CM55" s="90">
        <f t="shared" si="45"/>
        <v>545.2671448</v>
      </c>
      <c r="CN55" s="90">
        <f t="shared" si="45"/>
        <v>896.1886098</v>
      </c>
      <c r="CO55" s="90">
        <f t="shared" si="45"/>
        <v>1039.685623</v>
      </c>
      <c r="CP55" s="90">
        <f t="shared" si="45"/>
        <v>1664.661226</v>
      </c>
      <c r="CQ55" s="90">
        <f t="shared" si="45"/>
        <v>1180.689109</v>
      </c>
      <c r="CR55" s="90">
        <f t="shared" si="45"/>
        <v>166.5261891</v>
      </c>
      <c r="CS55" s="90">
        <f t="shared" si="45"/>
        <v>1053.695971</v>
      </c>
      <c r="CT55" s="90">
        <f t="shared" si="45"/>
        <v>1178.637821</v>
      </c>
      <c r="CU55" s="90">
        <f t="shared" si="45"/>
        <v>416.169473</v>
      </c>
      <c r="CV55" s="90">
        <f t="shared" si="45"/>
        <v>355.2722681</v>
      </c>
      <c r="CW55" s="90">
        <f t="shared" si="45"/>
        <v>761.187012</v>
      </c>
      <c r="CX55" s="90">
        <f t="shared" si="45"/>
        <v>1564.953826</v>
      </c>
      <c r="CY55" s="90">
        <f t="shared" si="45"/>
        <v>519.2601891</v>
      </c>
      <c r="CZ55" s="90">
        <f t="shared" si="45"/>
        <v>1233.753589</v>
      </c>
      <c r="DA55" s="90">
        <f t="shared" si="45"/>
        <v>470.329261</v>
      </c>
      <c r="DB55" s="90">
        <f t="shared" si="45"/>
        <v>1738.574582</v>
      </c>
      <c r="DC55" s="90">
        <f t="shared" si="45"/>
        <v>1579.529945</v>
      </c>
      <c r="DD55" s="90">
        <f t="shared" si="45"/>
        <v>1476.985134</v>
      </c>
      <c r="DE55" s="90">
        <f t="shared" si="45"/>
        <v>134.320059</v>
      </c>
      <c r="DF55" s="90">
        <f t="shared" si="45"/>
        <v>1382.424455</v>
      </c>
      <c r="DG55" s="90">
        <f t="shared" si="45"/>
        <v>669.9382733</v>
      </c>
      <c r="DH55" s="90">
        <f t="shared" si="45"/>
        <v>626.7080323</v>
      </c>
      <c r="DI55" s="90">
        <f t="shared" si="45"/>
        <v>33.59209872</v>
      </c>
      <c r="DJ55" s="90">
        <f t="shared" si="45"/>
        <v>774.284012</v>
      </c>
      <c r="DK55" s="90">
        <f t="shared" si="45"/>
        <v>463.84952</v>
      </c>
      <c r="DL55" s="90">
        <f t="shared" si="45"/>
        <v>1517.53009</v>
      </c>
      <c r="DM55" s="90">
        <f t="shared" si="45"/>
        <v>978.8787415</v>
      </c>
      <c r="DN55" s="90">
        <f t="shared" si="45"/>
        <v>181.3634062</v>
      </c>
      <c r="DO55" s="90">
        <f t="shared" si="45"/>
        <v>913.7989793</v>
      </c>
      <c r="DP55" s="90">
        <f t="shared" si="45"/>
        <v>1014.179263</v>
      </c>
      <c r="DQ55" s="90">
        <f t="shared" si="45"/>
        <v>126.4055174</v>
      </c>
      <c r="DR55" s="90">
        <f t="shared" si="45"/>
        <v>1221.867764</v>
      </c>
      <c r="DS55" s="90">
        <f t="shared" si="45"/>
        <v>1598.005772</v>
      </c>
      <c r="DT55" s="90">
        <f t="shared" si="45"/>
        <v>1509.348722</v>
      </c>
      <c r="DU55" s="90">
        <f t="shared" si="45"/>
        <v>1776.900575</v>
      </c>
      <c r="DV55" s="90">
        <f t="shared" si="45"/>
        <v>486.9784426</v>
      </c>
      <c r="DW55" s="90">
        <f t="shared" si="45"/>
        <v>1132.215177</v>
      </c>
      <c r="DX55" s="90">
        <f t="shared" si="45"/>
        <v>1915.920105</v>
      </c>
      <c r="DY55" s="90">
        <f t="shared" si="45"/>
        <v>824.6005366</v>
      </c>
      <c r="DZ55" s="90">
        <f t="shared" si="45"/>
        <v>1716.035958</v>
      </c>
      <c r="EA55" s="90">
        <f t="shared" si="45"/>
        <v>1644.436873</v>
      </c>
      <c r="EB55" s="90">
        <f t="shared" si="45"/>
        <v>777.0055052</v>
      </c>
      <c r="EC55" s="90">
        <f t="shared" si="45"/>
        <v>1524.933199</v>
      </c>
      <c r="ED55" s="90">
        <f t="shared" si="45"/>
        <v>587.3800548</v>
      </c>
      <c r="EE55" s="90">
        <f t="shared" si="45"/>
        <v>1726.088886</v>
      </c>
      <c r="EF55" s="90">
        <f t="shared" si="45"/>
        <v>1702.038357</v>
      </c>
      <c r="EG55" s="90">
        <f t="shared" si="45"/>
        <v>371.0447566</v>
      </c>
      <c r="EH55" s="90">
        <f t="shared" si="45"/>
        <v>243.8109813</v>
      </c>
      <c r="EI55" s="90">
        <f t="shared" si="45"/>
        <v>796.4001372</v>
      </c>
      <c r="EJ55" s="90">
        <f t="shared" si="45"/>
        <v>912.1416699</v>
      </c>
      <c r="EK55" s="90">
        <f t="shared" si="45"/>
        <v>436.6133589</v>
      </c>
      <c r="EL55" s="90">
        <f t="shared" si="45"/>
        <v>1563.935324</v>
      </c>
      <c r="EM55" s="90">
        <f t="shared" si="45"/>
        <v>894.4093074</v>
      </c>
      <c r="EN55" s="90">
        <f t="shared" si="45"/>
        <v>1029.502915</v>
      </c>
      <c r="EO55" s="90">
        <f t="shared" si="45"/>
        <v>174.9708385</v>
      </c>
      <c r="EP55" s="90">
        <f t="shared" si="45"/>
        <v>591.4495968</v>
      </c>
      <c r="EQ55" s="90">
        <f t="shared" si="45"/>
        <v>756.1635238</v>
      </c>
      <c r="ER55" s="90">
        <f t="shared" si="45"/>
        <v>1750.470401</v>
      </c>
      <c r="ES55" s="90">
        <f t="shared" si="45"/>
        <v>1178.467963</v>
      </c>
      <c r="ET55" s="90">
        <f t="shared" si="45"/>
        <v>497.8350022</v>
      </c>
      <c r="EU55" s="90">
        <f t="shared" si="45"/>
        <v>1062.92518</v>
      </c>
      <c r="EV55" s="90">
        <f t="shared" si="45"/>
        <v>313.0364474</v>
      </c>
      <c r="EW55" s="90">
        <f t="shared" si="45"/>
        <v>568.1653743</v>
      </c>
      <c r="EX55" s="90">
        <f t="shared" si="45"/>
        <v>262.5482051</v>
      </c>
      <c r="EY55" s="90">
        <f t="shared" si="45"/>
        <v>269.2887219</v>
      </c>
      <c r="EZ55" s="90">
        <f t="shared" si="45"/>
        <v>1467.493041</v>
      </c>
      <c r="FA55" s="90">
        <f t="shared" si="45"/>
        <v>1826.242767</v>
      </c>
      <c r="FB55" s="90">
        <f t="shared" si="45"/>
        <v>981.175578</v>
      </c>
      <c r="FC55" s="90">
        <f t="shared" si="45"/>
        <v>440.6686159</v>
      </c>
      <c r="FD55" s="90">
        <f t="shared" si="45"/>
        <v>797.7034709</v>
      </c>
      <c r="FE55" s="90">
        <f t="shared" si="45"/>
        <v>1638.03751</v>
      </c>
      <c r="FF55" s="90">
        <f t="shared" si="45"/>
        <v>1555.144908</v>
      </c>
      <c r="FG55" s="90">
        <f t="shared" si="45"/>
        <v>1090.132796</v>
      </c>
      <c r="FH55" s="90">
        <f t="shared" si="45"/>
        <v>462.1625246</v>
      </c>
      <c r="FI55" s="90">
        <f t="shared" si="45"/>
        <v>338.1078588</v>
      </c>
      <c r="FJ55" s="90">
        <f t="shared" si="45"/>
        <v>1199.434145</v>
      </c>
      <c r="FK55" s="90">
        <f t="shared" si="45"/>
        <v>149.0653659</v>
      </c>
      <c r="FL55" s="90">
        <f t="shared" si="45"/>
        <v>1166.903353</v>
      </c>
      <c r="FM55" s="90">
        <f t="shared" si="45"/>
        <v>882.9089799</v>
      </c>
      <c r="FN55" s="90">
        <f t="shared" si="45"/>
        <v>773.0471929</v>
      </c>
      <c r="FO55" s="90">
        <f t="shared" si="45"/>
        <v>1123.097024</v>
      </c>
      <c r="FP55" s="90">
        <f t="shared" si="45"/>
        <v>287.8075041</v>
      </c>
      <c r="FQ55" s="90">
        <f t="shared" si="45"/>
        <v>1595.180762</v>
      </c>
      <c r="FR55" s="90">
        <f t="shared" si="45"/>
        <v>1014.447901</v>
      </c>
      <c r="FS55" s="90">
        <f t="shared" si="45"/>
        <v>351.0494102</v>
      </c>
      <c r="FT55" s="90">
        <f t="shared" si="45"/>
        <v>101.8189036</v>
      </c>
      <c r="FU55" s="90">
        <f t="shared" si="45"/>
        <v>338.873595</v>
      </c>
      <c r="FV55" s="90">
        <f t="shared" si="45"/>
        <v>98.93858887</v>
      </c>
      <c r="FW55" s="90">
        <f t="shared" si="45"/>
        <v>273.4266634</v>
      </c>
      <c r="FX55" s="90">
        <f t="shared" si="45"/>
        <v>1332.7204</v>
      </c>
      <c r="FY55" s="90">
        <f t="shared" si="45"/>
        <v>1356.461669</v>
      </c>
      <c r="FZ55" s="90">
        <f t="shared" si="45"/>
        <v>1904.704783</v>
      </c>
      <c r="GA55" s="90">
        <f t="shared" si="45"/>
        <v>1041.923782</v>
      </c>
      <c r="GB55" s="90">
        <f t="shared" si="45"/>
        <v>1242.440017</v>
      </c>
      <c r="GC55" s="90">
        <f t="shared" si="45"/>
        <v>1853.006308</v>
      </c>
      <c r="GD55" s="90">
        <f t="shared" si="45"/>
        <v>646.4783402</v>
      </c>
      <c r="GE55" s="90">
        <f t="shared" si="45"/>
        <v>1536.397491</v>
      </c>
      <c r="GF55" s="90">
        <f t="shared" si="45"/>
        <v>1508.754778</v>
      </c>
      <c r="GG55" s="90">
        <f t="shared" si="45"/>
        <v>178.849616</v>
      </c>
      <c r="GH55" s="90">
        <f t="shared" si="45"/>
        <v>173.2057715</v>
      </c>
      <c r="GI55" s="90">
        <f t="shared" si="45"/>
        <v>934.8954125</v>
      </c>
      <c r="GJ55" s="90">
        <f t="shared" si="45"/>
        <v>302.7959786</v>
      </c>
      <c r="GK55" s="90">
        <f t="shared" si="45"/>
        <v>621.7591932</v>
      </c>
      <c r="GL55" s="90">
        <f t="shared" si="45"/>
        <v>711.0747184</v>
      </c>
      <c r="GM55" s="90">
        <f t="shared" si="45"/>
        <v>1512.848029</v>
      </c>
      <c r="GN55" s="90">
        <f t="shared" si="45"/>
        <v>1392.647291</v>
      </c>
      <c r="GO55" s="90">
        <f t="shared" si="45"/>
        <v>1725.609619</v>
      </c>
      <c r="GP55" s="90">
        <f t="shared" si="45"/>
        <v>1511.783126</v>
      </c>
      <c r="GQ55" s="90">
        <f t="shared" si="45"/>
        <v>316.8226204</v>
      </c>
      <c r="GR55" s="90">
        <f t="shared" si="45"/>
        <v>347.2433473</v>
      </c>
      <c r="GS55" s="90">
        <f t="shared" si="45"/>
        <v>2170.580801</v>
      </c>
      <c r="GT55" s="90">
        <f t="shared" si="45"/>
        <v>1535.225476</v>
      </c>
      <c r="GU55" s="90">
        <f t="shared" si="45"/>
        <v>1992.767369</v>
      </c>
      <c r="GV55" s="90">
        <f t="shared" si="45"/>
        <v>1658.124444</v>
      </c>
      <c r="GW55" s="90">
        <f t="shared" si="45"/>
        <v>352.0863384</v>
      </c>
      <c r="GX55" s="90">
        <f t="shared" si="45"/>
        <v>1274.338771</v>
      </c>
      <c r="GY55" s="90">
        <f t="shared" si="45"/>
        <v>743.8989977</v>
      </c>
      <c r="GZ55" s="90">
        <f t="shared" si="45"/>
        <v>1488.711145</v>
      </c>
      <c r="HA55" s="90">
        <f t="shared" si="45"/>
        <v>1759.222401</v>
      </c>
      <c r="HB55" s="90">
        <f t="shared" si="45"/>
        <v>1152.139297</v>
      </c>
      <c r="HC55" s="90">
        <f t="shared" si="45"/>
        <v>1876.820018</v>
      </c>
      <c r="HD55" s="90">
        <f t="shared" si="45"/>
        <v>1758.809376</v>
      </c>
      <c r="HE55" s="90">
        <f t="shared" si="45"/>
        <v>1930.450343</v>
      </c>
      <c r="HF55" s="90">
        <f t="shared" si="45"/>
        <v>870.4520526</v>
      </c>
      <c r="HG55" s="90">
        <f t="shared" si="45"/>
        <v>1479.391563</v>
      </c>
      <c r="HH55" s="90">
        <f t="shared" si="45"/>
        <v>1805.02759</v>
      </c>
      <c r="HI55" s="90">
        <f t="shared" si="45"/>
        <v>1054.56639</v>
      </c>
      <c r="HJ55" s="90">
        <f t="shared" si="45"/>
        <v>1679.605977</v>
      </c>
      <c r="HK55" s="90">
        <f t="shared" si="45"/>
        <v>795.7371489</v>
      </c>
      <c r="HL55" s="90">
        <f t="shared" si="45"/>
        <v>1671.09583</v>
      </c>
      <c r="HM55" s="90">
        <f t="shared" si="45"/>
        <v>770.3125803</v>
      </c>
      <c r="HN55" s="90">
        <f t="shared" si="45"/>
        <v>281.3939056</v>
      </c>
      <c r="HO55" s="90">
        <f t="shared" si="45"/>
        <v>514.2827056</v>
      </c>
      <c r="HP55" s="90">
        <f t="shared" si="45"/>
        <v>2100.71122</v>
      </c>
      <c r="HQ55" s="90">
        <f t="shared" si="45"/>
        <v>286.8795983</v>
      </c>
      <c r="HR55" s="90">
        <f t="shared" si="45"/>
        <v>1216.788376</v>
      </c>
      <c r="HS55" s="90">
        <f t="shared" si="45"/>
        <v>1813.627514</v>
      </c>
      <c r="HT55" s="90">
        <f t="shared" si="45"/>
        <v>390.7117462</v>
      </c>
      <c r="HU55" s="90">
        <f t="shared" si="45"/>
        <v>1453.347531</v>
      </c>
      <c r="HV55" s="90">
        <f t="shared" si="45"/>
        <v>1333.645404</v>
      </c>
      <c r="HW55" s="90">
        <f t="shared" si="45"/>
        <v>656.5916823</v>
      </c>
      <c r="HX55" s="90">
        <f t="shared" si="45"/>
        <v>556.4497796</v>
      </c>
      <c r="HY55" s="90">
        <f t="shared" si="45"/>
        <v>71.1424602</v>
      </c>
      <c r="HZ55" s="90">
        <f t="shared" si="45"/>
        <v>1145.170269</v>
      </c>
      <c r="IA55" s="90">
        <f t="shared" si="45"/>
        <v>1514.390289</v>
      </c>
      <c r="IB55" s="90">
        <f t="shared" si="45"/>
        <v>1773.536926</v>
      </c>
      <c r="IC55" s="90">
        <f t="shared" si="45"/>
        <v>156.7050945</v>
      </c>
      <c r="ID55" s="90">
        <f t="shared" si="45"/>
        <v>2072.035</v>
      </c>
      <c r="IE55" s="90">
        <f t="shared" si="45"/>
        <v>1701.093463</v>
      </c>
      <c r="IF55" s="90">
        <f t="shared" si="45"/>
        <v>167.9864596</v>
      </c>
      <c r="IG55" s="90">
        <f t="shared" si="45"/>
        <v>67.92096677</v>
      </c>
      <c r="IH55" s="90">
        <f t="shared" si="45"/>
        <v>1597.893402</v>
      </c>
      <c r="II55" s="90">
        <f t="shared" si="45"/>
        <v>1714.672607</v>
      </c>
      <c r="IJ55" s="90">
        <f t="shared" si="45"/>
        <v>1983.679225</v>
      </c>
      <c r="IK55" s="90">
        <f t="shared" si="45"/>
        <v>1285.052902</v>
      </c>
      <c r="IL55" s="90">
        <f t="shared" si="45"/>
        <v>1398.878259</v>
      </c>
      <c r="IM55" s="90">
        <f t="shared" si="45"/>
        <v>1554.25641</v>
      </c>
      <c r="IN55" s="90">
        <f t="shared" si="45"/>
        <v>160.8158051</v>
      </c>
      <c r="IO55" s="90">
        <f t="shared" si="45"/>
        <v>396.2028701</v>
      </c>
      <c r="IP55" s="90">
        <f t="shared" si="45"/>
        <v>1341.187246</v>
      </c>
      <c r="IQ55" s="90">
        <f t="shared" si="45"/>
        <v>654.5696091</v>
      </c>
      <c r="IR55" s="90">
        <f t="shared" si="45"/>
        <v>1533.521343</v>
      </c>
      <c r="IS55" s="90">
        <f t="shared" si="45"/>
        <v>1831.597787</v>
      </c>
      <c r="IT55" s="90">
        <f t="shared" si="45"/>
        <v>786.9155588</v>
      </c>
      <c r="IU55" s="90">
        <f t="shared" si="45"/>
        <v>1315.894045</v>
      </c>
      <c r="IV55" s="90">
        <f t="shared" si="45"/>
        <v>1110.362085</v>
      </c>
      <c r="IW55" s="90">
        <f t="shared" si="45"/>
        <v>431.1653132</v>
      </c>
      <c r="IX55" s="90">
        <f t="shared" si="45"/>
        <v>935.0462731</v>
      </c>
      <c r="IY55" s="90">
        <f t="shared" si="45"/>
        <v>863.017299</v>
      </c>
      <c r="IZ55" s="90">
        <f t="shared" si="45"/>
        <v>1369.754914</v>
      </c>
      <c r="JA55" s="90">
        <f t="shared" si="45"/>
        <v>417.3444152</v>
      </c>
      <c r="JB55" s="90">
        <f t="shared" si="45"/>
        <v>977.8391101</v>
      </c>
      <c r="JC55" s="90">
        <f t="shared" si="45"/>
        <v>286.3117691</v>
      </c>
      <c r="JD55" s="90">
        <f t="shared" si="45"/>
        <v>1384.888173</v>
      </c>
      <c r="JE55" s="90">
        <f t="shared" si="45"/>
        <v>1147.033149</v>
      </c>
      <c r="JF55" s="90">
        <f t="shared" si="45"/>
        <v>801.4666788</v>
      </c>
      <c r="JG55" s="90">
        <f t="shared" si="45"/>
        <v>1751.670416</v>
      </c>
      <c r="JH55" s="90">
        <f t="shared" si="45"/>
        <v>220.995089</v>
      </c>
      <c r="JI55" s="90">
        <f t="shared" si="45"/>
        <v>1655.5521</v>
      </c>
      <c r="JJ55" s="90">
        <f t="shared" si="45"/>
        <v>1796.063298</v>
      </c>
      <c r="JK55" s="90">
        <f t="shared" si="45"/>
        <v>743.1274583</v>
      </c>
      <c r="JL55" s="90">
        <f t="shared" si="45"/>
        <v>1917.364478</v>
      </c>
      <c r="JM55" s="90">
        <f t="shared" si="45"/>
        <v>186.8166847</v>
      </c>
      <c r="JN55" s="90">
        <f t="shared" si="45"/>
        <v>494.7534572</v>
      </c>
      <c r="JO55" s="90">
        <f t="shared" si="45"/>
        <v>156.6528153</v>
      </c>
      <c r="JP55" s="90">
        <f t="shared" si="45"/>
        <v>1877.590516</v>
      </c>
      <c r="JQ55" s="90">
        <f t="shared" si="45"/>
        <v>1700.47457</v>
      </c>
      <c r="JR55" s="90">
        <f t="shared" si="45"/>
        <v>1830.328603</v>
      </c>
      <c r="JS55" s="90">
        <f t="shared" si="45"/>
        <v>1124.35284</v>
      </c>
      <c r="JT55" s="90">
        <f t="shared" si="45"/>
        <v>562.0408242</v>
      </c>
      <c r="JU55" s="90">
        <f t="shared" si="45"/>
        <v>555.3997816</v>
      </c>
      <c r="JV55" s="90">
        <f t="shared" si="45"/>
        <v>1779.841675</v>
      </c>
      <c r="JW55" s="90">
        <f t="shared" si="45"/>
        <v>1535.925764</v>
      </c>
      <c r="JX55" s="90">
        <f t="shared" si="45"/>
        <v>953.034625</v>
      </c>
      <c r="JY55" s="90">
        <f t="shared" si="45"/>
        <v>1294.5941</v>
      </c>
      <c r="JZ55" s="90">
        <f t="shared" si="45"/>
        <v>855.0448982</v>
      </c>
      <c r="KA55" s="90">
        <f t="shared" si="45"/>
        <v>783.7408636</v>
      </c>
      <c r="KB55" s="90">
        <f t="shared" si="45"/>
        <v>1150.482732</v>
      </c>
      <c r="KC55" s="90">
        <f t="shared" si="45"/>
        <v>1561.585737</v>
      </c>
      <c r="KD55" s="90">
        <f t="shared" si="45"/>
        <v>1115.992016</v>
      </c>
      <c r="KE55" s="90">
        <f t="shared" si="45"/>
        <v>421.2593517</v>
      </c>
      <c r="KF55" s="90">
        <f t="shared" si="45"/>
        <v>316.7816006</v>
      </c>
      <c r="KG55" s="90">
        <f t="shared" si="45"/>
        <v>309.3729866</v>
      </c>
      <c r="KH55" s="90">
        <f t="shared" si="45"/>
        <v>566.5971478</v>
      </c>
      <c r="KI55" s="90">
        <f t="shared" si="45"/>
        <v>1291.098984</v>
      </c>
      <c r="KJ55" s="90">
        <f t="shared" si="45"/>
        <v>151.8655754</v>
      </c>
      <c r="KK55" s="90">
        <f t="shared" si="45"/>
        <v>608.3241641</v>
      </c>
      <c r="KL55" s="90">
        <f t="shared" si="45"/>
        <v>1741.970918</v>
      </c>
      <c r="KM55" s="90">
        <f t="shared" si="45"/>
        <v>734.095933</v>
      </c>
      <c r="KN55" s="90">
        <f t="shared" si="45"/>
        <v>1258.68902</v>
      </c>
      <c r="KO55" s="90">
        <f t="shared" si="45"/>
        <v>948.1544333</v>
      </c>
      <c r="KP55" s="90">
        <f t="shared" si="45"/>
        <v>2256.569927</v>
      </c>
      <c r="KQ55" s="90">
        <f t="shared" si="45"/>
        <v>509.7844644</v>
      </c>
      <c r="KR55" s="90">
        <f t="shared" si="45"/>
        <v>72.90117831</v>
      </c>
      <c r="KS55" s="90">
        <f t="shared" si="45"/>
        <v>447.7836679</v>
      </c>
      <c r="KT55" s="90">
        <f t="shared" si="45"/>
        <v>752.8258158</v>
      </c>
      <c r="KU55" s="90">
        <f t="shared" si="45"/>
        <v>84.68442845</v>
      </c>
      <c r="KV55" s="90">
        <f t="shared" si="45"/>
        <v>1683.370425</v>
      </c>
      <c r="KW55" s="90">
        <f t="shared" si="45"/>
        <v>1512.706444</v>
      </c>
      <c r="KX55" s="90">
        <f t="shared" si="45"/>
        <v>1668.468579</v>
      </c>
      <c r="KY55" s="90">
        <f t="shared" si="45"/>
        <v>1715.84311</v>
      </c>
      <c r="KZ55" s="90">
        <f t="shared" si="45"/>
        <v>1135.299996</v>
      </c>
      <c r="LA55" s="90">
        <f t="shared" si="45"/>
        <v>380.5038155</v>
      </c>
      <c r="LB55" s="90">
        <f t="shared" si="45"/>
        <v>1429.875768</v>
      </c>
      <c r="LC55" s="90">
        <f t="shared" si="45"/>
        <v>2255.172625</v>
      </c>
      <c r="LD55" s="90">
        <f t="shared" si="45"/>
        <v>2035.292808</v>
      </c>
      <c r="LE55" s="90">
        <f t="shared" si="45"/>
        <v>687.2852628</v>
      </c>
      <c r="LF55" s="90">
        <f t="shared" si="45"/>
        <v>1174.785332</v>
      </c>
      <c r="LG55" s="90">
        <f t="shared" si="45"/>
        <v>129.069325</v>
      </c>
      <c r="LH55" s="90">
        <f t="shared" si="45"/>
        <v>1900.967566</v>
      </c>
      <c r="LI55" s="90">
        <f t="shared" si="45"/>
        <v>957.0944701</v>
      </c>
      <c r="LJ55" s="90">
        <f t="shared" si="45"/>
        <v>347.3472112</v>
      </c>
      <c r="LK55" s="90">
        <f t="shared" si="45"/>
        <v>1998.704577</v>
      </c>
      <c r="LL55" s="90">
        <f t="shared" si="45"/>
        <v>1798.461469</v>
      </c>
      <c r="LM55" s="90">
        <f t="shared" si="45"/>
        <v>158.0722892</v>
      </c>
      <c r="LN55" s="90">
        <f t="shared" si="45"/>
        <v>386.0601891</v>
      </c>
      <c r="LO55" s="90">
        <f t="shared" si="45"/>
        <v>1819.880729</v>
      </c>
      <c r="LP55" s="90">
        <f t="shared" si="45"/>
        <v>669.2929925</v>
      </c>
      <c r="LQ55" s="90">
        <f t="shared" si="45"/>
        <v>1238.500354</v>
      </c>
      <c r="LR55" s="90">
        <f t="shared" si="45"/>
        <v>1348.575524</v>
      </c>
      <c r="LS55" s="90">
        <f t="shared" si="45"/>
        <v>128.3364245</v>
      </c>
      <c r="LT55" s="90">
        <f t="shared" si="45"/>
        <v>582.1401338</v>
      </c>
      <c r="LU55" s="90">
        <f t="shared" si="45"/>
        <v>1690.189237</v>
      </c>
      <c r="LV55" s="90">
        <f t="shared" si="45"/>
        <v>995.4850184</v>
      </c>
      <c r="LW55" s="90">
        <f t="shared" si="45"/>
        <v>129.1208602</v>
      </c>
      <c r="LX55" s="90">
        <f t="shared" si="45"/>
        <v>1711.653063</v>
      </c>
      <c r="LY55" s="90">
        <f t="shared" si="45"/>
        <v>242.1367828</v>
      </c>
      <c r="LZ55" s="90">
        <f t="shared" si="45"/>
        <v>473.8888083</v>
      </c>
      <c r="MA55" s="90">
        <f t="shared" si="45"/>
        <v>1843.64025</v>
      </c>
      <c r="MB55" s="90">
        <f t="shared" si="45"/>
        <v>1690.797838</v>
      </c>
      <c r="MC55" s="90">
        <f t="shared" si="45"/>
        <v>655.1508305</v>
      </c>
      <c r="MD55" s="90">
        <f t="shared" si="45"/>
        <v>173.6106871</v>
      </c>
      <c r="ME55" s="90">
        <f t="shared" si="45"/>
        <v>1852.38057</v>
      </c>
      <c r="MF55" s="90">
        <f t="shared" si="45"/>
        <v>730.2790571</v>
      </c>
      <c r="MG55" s="90">
        <f t="shared" si="45"/>
        <v>1851.463527</v>
      </c>
      <c r="MH55" s="90">
        <f t="shared" si="45"/>
        <v>1255.134284</v>
      </c>
      <c r="MI55" s="90">
        <f t="shared" si="45"/>
        <v>1715.796907</v>
      </c>
      <c r="MJ55" s="90">
        <f t="shared" si="45"/>
        <v>829.7632045</v>
      </c>
      <c r="MK55" s="90">
        <f t="shared" si="45"/>
        <v>544.0615989</v>
      </c>
      <c r="ML55" s="90">
        <f t="shared" si="45"/>
        <v>1779.188731</v>
      </c>
      <c r="MM55" s="90">
        <f t="shared" si="45"/>
        <v>503.047494</v>
      </c>
      <c r="MN55" s="90">
        <f t="shared" si="45"/>
        <v>694.2758914</v>
      </c>
      <c r="MO55" s="90">
        <f t="shared" si="45"/>
        <v>1444.159813</v>
      </c>
      <c r="MP55" s="90">
        <f t="shared" si="45"/>
        <v>1832.457045</v>
      </c>
      <c r="MQ55" s="90">
        <f t="shared" si="45"/>
        <v>1524.175076</v>
      </c>
      <c r="MR55" s="90">
        <f t="shared" si="45"/>
        <v>1222.709985</v>
      </c>
      <c r="MS55" s="90">
        <f t="shared" si="45"/>
        <v>485.0466923</v>
      </c>
      <c r="MT55" s="90">
        <f t="shared" si="45"/>
        <v>1334.502852</v>
      </c>
      <c r="MU55" s="90">
        <f t="shared" si="45"/>
        <v>899.5720745</v>
      </c>
      <c r="MV55" s="90">
        <f t="shared" si="45"/>
        <v>833.114627</v>
      </c>
      <c r="MW55" s="90">
        <f t="shared" si="45"/>
        <v>372.4016344</v>
      </c>
      <c r="MX55" s="90">
        <f t="shared" si="45"/>
        <v>1265.641952</v>
      </c>
      <c r="MY55" s="90">
        <f t="shared" si="45"/>
        <v>140.4927962</v>
      </c>
      <c r="MZ55" s="90">
        <f t="shared" si="45"/>
        <v>1740.339004</v>
      </c>
      <c r="NA55" s="90">
        <f t="shared" si="45"/>
        <v>1937.798494</v>
      </c>
      <c r="NB55" s="90">
        <f t="shared" si="45"/>
        <v>1240.065902</v>
      </c>
      <c r="NC55" s="90">
        <f t="shared" si="45"/>
        <v>919.7195464</v>
      </c>
      <c r="ND55" s="90">
        <f t="shared" si="45"/>
        <v>1177.060889</v>
      </c>
      <c r="NE55" s="90">
        <f t="shared" si="45"/>
        <v>1944.297654</v>
      </c>
      <c r="NF55" s="90">
        <f t="shared" si="45"/>
        <v>23.07168333</v>
      </c>
      <c r="NG55" s="90">
        <f t="shared" si="45"/>
        <v>1646.916563</v>
      </c>
      <c r="NH55" s="90">
        <f t="shared" si="45"/>
        <v>1008.899042</v>
      </c>
      <c r="NI55" s="90">
        <f t="shared" si="45"/>
        <v>1621.739675</v>
      </c>
      <c r="NJ55" s="90">
        <f t="shared" si="45"/>
        <v>928.4315189</v>
      </c>
      <c r="NK55" s="90">
        <f t="shared" si="45"/>
        <v>1293.897185</v>
      </c>
      <c r="NL55" s="90">
        <f t="shared" si="45"/>
        <v>654.2938042</v>
      </c>
      <c r="NM55" s="90">
        <f t="shared" si="45"/>
        <v>1948.982542</v>
      </c>
      <c r="NN55" s="90">
        <f t="shared" si="45"/>
        <v>1273.072216</v>
      </c>
      <c r="NO55" s="90">
        <f t="shared" si="45"/>
        <v>1135.561739</v>
      </c>
      <c r="NP55" s="90">
        <f t="shared" si="45"/>
        <v>154.1080495</v>
      </c>
      <c r="NQ55" s="90">
        <f t="shared" si="45"/>
        <v>1985.907538</v>
      </c>
      <c r="NR55" s="90">
        <f t="shared" si="45"/>
        <v>1209.630419</v>
      </c>
      <c r="NS55" s="90">
        <f t="shared" si="45"/>
        <v>854.264257</v>
      </c>
      <c r="NT55" s="90">
        <f t="shared" si="45"/>
        <v>424.7755479</v>
      </c>
      <c r="NU55" s="90">
        <f t="shared" si="45"/>
        <v>137.1771854</v>
      </c>
      <c r="NV55" s="90">
        <f t="shared" si="45"/>
        <v>908.015831</v>
      </c>
      <c r="NW55" s="90">
        <f t="shared" si="45"/>
        <v>1947.283643</v>
      </c>
      <c r="NX55" s="90">
        <f t="shared" si="45"/>
        <v>335.9980171</v>
      </c>
      <c r="NY55" s="90">
        <f t="shared" si="45"/>
        <v>1807.146434</v>
      </c>
      <c r="NZ55" s="90">
        <f t="shared" si="45"/>
        <v>1273.675436</v>
      </c>
      <c r="OA55" s="90">
        <f t="shared" si="45"/>
        <v>794.3549996</v>
      </c>
      <c r="OB55" s="90">
        <f t="shared" si="45"/>
        <v>1227.952783</v>
      </c>
      <c r="OC55" s="90">
        <f t="shared" si="45"/>
        <v>612.4305843</v>
      </c>
      <c r="OD55" s="90">
        <f t="shared" si="45"/>
        <v>1237.505934</v>
      </c>
      <c r="OE55" s="90">
        <f t="shared" si="45"/>
        <v>404.0877752</v>
      </c>
      <c r="OF55" s="90">
        <f t="shared" si="45"/>
        <v>1141.472336</v>
      </c>
      <c r="OG55" s="90">
        <f t="shared" si="45"/>
        <v>1832.182555</v>
      </c>
      <c r="OH55" s="90">
        <f t="shared" si="45"/>
        <v>729.1591221</v>
      </c>
      <c r="OI55" s="90">
        <f t="shared" si="45"/>
        <v>349.9235727</v>
      </c>
      <c r="OJ55" s="90">
        <f t="shared" si="45"/>
        <v>1024.829384</v>
      </c>
      <c r="OK55" s="90">
        <f t="shared" si="45"/>
        <v>1301.415168</v>
      </c>
      <c r="OL55" s="90">
        <f t="shared" si="45"/>
        <v>1095.094953</v>
      </c>
      <c r="OM55" s="90">
        <f t="shared" si="45"/>
        <v>990.1389767</v>
      </c>
      <c r="ON55" s="90">
        <f t="shared" si="45"/>
        <v>1358.933199</v>
      </c>
      <c r="OO55" s="90">
        <f t="shared" si="45"/>
        <v>537.5011079</v>
      </c>
      <c r="OP55" s="90">
        <f t="shared" si="45"/>
        <v>34.08344361</v>
      </c>
      <c r="OQ55" s="90">
        <f t="shared" si="45"/>
        <v>992.4679544</v>
      </c>
      <c r="OR55" s="90">
        <f t="shared" si="45"/>
        <v>2087.997361</v>
      </c>
      <c r="OS55" s="90">
        <f t="shared" si="45"/>
        <v>634.9094148</v>
      </c>
      <c r="OT55" s="90">
        <f t="shared" si="45"/>
        <v>207.9647771</v>
      </c>
      <c r="OU55" s="90">
        <f t="shared" si="45"/>
        <v>1510.836446</v>
      </c>
      <c r="OV55" s="90">
        <f t="shared" si="45"/>
        <v>619.2070617</v>
      </c>
      <c r="OW55" s="90">
        <f t="shared" si="45"/>
        <v>1741.595192</v>
      </c>
      <c r="OX55" s="90">
        <f t="shared" si="45"/>
        <v>809.022111</v>
      </c>
      <c r="OY55" s="90">
        <f t="shared" si="45"/>
        <v>538.2350004</v>
      </c>
      <c r="OZ55" s="90">
        <f t="shared" si="45"/>
        <v>1428.985559</v>
      </c>
      <c r="PA55" s="90">
        <f t="shared" si="45"/>
        <v>959.0812028</v>
      </c>
      <c r="PB55" s="90">
        <f t="shared" si="45"/>
        <v>1726.384184</v>
      </c>
      <c r="PC55" s="90">
        <f t="shared" si="45"/>
        <v>1127.510448</v>
      </c>
      <c r="PD55" s="90">
        <f t="shared" si="45"/>
        <v>73.39267201</v>
      </c>
      <c r="PE55" s="90">
        <f t="shared" si="45"/>
        <v>1335.609494</v>
      </c>
      <c r="PF55" s="90">
        <f t="shared" si="45"/>
        <v>369.9936178</v>
      </c>
      <c r="PG55" s="90">
        <f t="shared" si="45"/>
        <v>1802.815744</v>
      </c>
      <c r="PH55" s="90">
        <f t="shared" si="45"/>
        <v>1232.595659</v>
      </c>
      <c r="PI55" s="90">
        <f t="shared" si="45"/>
        <v>323.9191466</v>
      </c>
      <c r="PJ55" s="90">
        <f t="shared" si="45"/>
        <v>1121.544323</v>
      </c>
      <c r="PK55" s="90">
        <f t="shared" si="45"/>
        <v>2084.442674</v>
      </c>
      <c r="PL55" s="90">
        <f t="shared" si="45"/>
        <v>1533.013556</v>
      </c>
      <c r="PM55" s="90">
        <f t="shared" si="45"/>
        <v>256.5540553</v>
      </c>
      <c r="PN55" s="90">
        <f t="shared" si="45"/>
        <v>860.685866</v>
      </c>
      <c r="PO55" s="90">
        <f t="shared" si="45"/>
        <v>1984.500142</v>
      </c>
      <c r="PP55" s="90">
        <f t="shared" si="45"/>
        <v>666.7975794</v>
      </c>
      <c r="PQ55" s="90">
        <f t="shared" si="45"/>
        <v>272.3881975</v>
      </c>
      <c r="PR55" s="90">
        <f t="shared" si="45"/>
        <v>1763.995902</v>
      </c>
      <c r="PS55" s="90">
        <f t="shared" si="45"/>
        <v>80.01377511</v>
      </c>
      <c r="PT55" s="90">
        <f t="shared" si="45"/>
        <v>655.0871928</v>
      </c>
      <c r="PU55" s="90">
        <f t="shared" si="45"/>
        <v>2032.484787</v>
      </c>
      <c r="PV55" s="90">
        <f t="shared" si="45"/>
        <v>121.9999552</v>
      </c>
      <c r="PW55" s="90">
        <f t="shared" si="45"/>
        <v>1418.399894</v>
      </c>
      <c r="PX55" s="90">
        <f t="shared" si="45"/>
        <v>1029.104174</v>
      </c>
      <c r="PY55" s="90">
        <f t="shared" si="45"/>
        <v>1833.334879</v>
      </c>
      <c r="PZ55" s="90">
        <f t="shared" si="45"/>
        <v>451.6999189</v>
      </c>
      <c r="QA55" s="90">
        <f t="shared" si="45"/>
        <v>1547.686098</v>
      </c>
      <c r="QB55" s="90">
        <f t="shared" si="45"/>
        <v>428.3990057</v>
      </c>
      <c r="QC55" s="90">
        <f t="shared" si="45"/>
        <v>1637.801584</v>
      </c>
      <c r="QD55" s="90">
        <f t="shared" si="45"/>
        <v>1129.079071</v>
      </c>
      <c r="QE55" s="90">
        <f t="shared" si="45"/>
        <v>289.8663066</v>
      </c>
      <c r="QF55" s="90">
        <f t="shared" si="45"/>
        <v>1054.182555</v>
      </c>
      <c r="QG55" s="90">
        <f t="shared" si="45"/>
        <v>1902.597248</v>
      </c>
      <c r="QH55" s="90">
        <f t="shared" si="45"/>
        <v>1813.305705</v>
      </c>
      <c r="QI55" s="90">
        <f t="shared" si="45"/>
        <v>1711.050786</v>
      </c>
      <c r="QJ55" s="90">
        <f t="shared" si="45"/>
        <v>1833.057164</v>
      </c>
      <c r="QK55" s="90">
        <f t="shared" si="45"/>
        <v>31.98473725</v>
      </c>
      <c r="QL55" s="90">
        <f t="shared" si="45"/>
        <v>1201.383206</v>
      </c>
      <c r="QM55" s="90">
        <f t="shared" si="45"/>
        <v>1260.675529</v>
      </c>
      <c r="QN55" s="90">
        <f t="shared" si="45"/>
        <v>620.9355482</v>
      </c>
      <c r="QO55" s="90">
        <f t="shared" si="45"/>
        <v>894.890385</v>
      </c>
      <c r="QP55" s="90">
        <f t="shared" si="45"/>
        <v>746.04666</v>
      </c>
      <c r="QQ55" s="90">
        <f t="shared" si="45"/>
        <v>1942.133301</v>
      </c>
      <c r="QR55" s="90">
        <f t="shared" si="45"/>
        <v>1452.897727</v>
      </c>
      <c r="QS55" s="90">
        <f t="shared" si="45"/>
        <v>1347.533586</v>
      </c>
      <c r="QT55" s="90">
        <f t="shared" si="45"/>
        <v>323.2350036</v>
      </c>
      <c r="QU55" s="90">
        <f t="shared" si="45"/>
        <v>950.6014857</v>
      </c>
      <c r="QV55" s="90">
        <f t="shared" si="45"/>
        <v>780.0439471</v>
      </c>
      <c r="QW55" s="90">
        <f t="shared" si="45"/>
        <v>290.7561438</v>
      </c>
      <c r="QX55" s="90">
        <f t="shared" si="45"/>
        <v>1222.619067</v>
      </c>
      <c r="QY55" s="90">
        <f t="shared" si="45"/>
        <v>1478.443495</v>
      </c>
      <c r="QZ55" s="90">
        <f t="shared" si="45"/>
        <v>660.0196388</v>
      </c>
      <c r="RA55" s="90">
        <f t="shared" si="45"/>
        <v>1442.664525</v>
      </c>
      <c r="RB55" s="90">
        <f t="shared" si="45"/>
        <v>911.3550022</v>
      </c>
      <c r="RC55" s="90">
        <f t="shared" si="45"/>
        <v>1638.038725</v>
      </c>
      <c r="RD55" s="90">
        <f t="shared" si="45"/>
        <v>751.4960449</v>
      </c>
      <c r="RE55" s="90">
        <f t="shared" si="45"/>
        <v>1956.175715</v>
      </c>
      <c r="RF55" s="90">
        <f t="shared" si="45"/>
        <v>1616.896411</v>
      </c>
      <c r="RG55" s="90">
        <f t="shared" si="45"/>
        <v>205.9590721</v>
      </c>
      <c r="RH55" s="90">
        <f t="shared" si="45"/>
        <v>1264.888467</v>
      </c>
      <c r="RI55" s="90">
        <f t="shared" si="45"/>
        <v>1117.742575</v>
      </c>
      <c r="RJ55" s="90">
        <f t="shared" si="45"/>
        <v>1691.535079</v>
      </c>
      <c r="RK55" s="90">
        <f t="shared" si="45"/>
        <v>2.696048026</v>
      </c>
      <c r="RL55" s="90">
        <f t="shared" si="45"/>
        <v>581.0089394</v>
      </c>
      <c r="RM55" s="90">
        <f t="shared" si="45"/>
        <v>1170.216533</v>
      </c>
      <c r="RN55" s="90">
        <f t="shared" si="45"/>
        <v>20.92992353</v>
      </c>
      <c r="RO55" s="90">
        <f t="shared" si="45"/>
        <v>1517.184993</v>
      </c>
      <c r="RP55" s="90">
        <f t="shared" si="45"/>
        <v>1271.909972</v>
      </c>
      <c r="RQ55" s="90">
        <f t="shared" si="45"/>
        <v>1949.352613</v>
      </c>
      <c r="RR55" s="90">
        <f t="shared" si="45"/>
        <v>407.843791</v>
      </c>
      <c r="RS55" s="90">
        <f t="shared" si="45"/>
        <v>1837.245996</v>
      </c>
      <c r="RT55" s="90">
        <f t="shared" si="45"/>
        <v>1153.575709</v>
      </c>
      <c r="RU55" s="90">
        <f t="shared" si="45"/>
        <v>368.4199849</v>
      </c>
      <c r="RV55" s="90">
        <f t="shared" si="45"/>
        <v>1578.472754</v>
      </c>
      <c r="RW55" s="90">
        <f t="shared" si="45"/>
        <v>1421.458027</v>
      </c>
      <c r="RX55" s="90">
        <f t="shared" si="45"/>
        <v>1087.684033</v>
      </c>
      <c r="RY55" s="90">
        <f t="shared" si="45"/>
        <v>11.43544977</v>
      </c>
      <c r="RZ55" s="90">
        <f t="shared" si="45"/>
        <v>1770.847946</v>
      </c>
      <c r="SA55" s="90">
        <f t="shared" si="45"/>
        <v>450.9116144</v>
      </c>
      <c r="SB55" s="90">
        <f t="shared" si="45"/>
        <v>1039.890226</v>
      </c>
      <c r="SC55" s="90">
        <f t="shared" si="45"/>
        <v>553.0193183</v>
      </c>
      <c r="SD55" s="90">
        <f t="shared" si="45"/>
        <v>1666.432369</v>
      </c>
      <c r="SE55" s="90">
        <f t="shared" si="45"/>
        <v>362.3310729</v>
      </c>
      <c r="SF55" s="90">
        <f t="shared" si="45"/>
        <v>83.33548682</v>
      </c>
      <c r="SG55" s="90">
        <f t="shared" si="45"/>
        <v>614.6070646</v>
      </c>
      <c r="SH55" s="90">
        <f t="shared" si="45"/>
        <v>478.2823671</v>
      </c>
      <c r="SI55" s="90">
        <f t="shared" si="45"/>
        <v>245.2217254</v>
      </c>
      <c r="SJ55" s="90">
        <f t="shared" si="45"/>
        <v>744.4040324</v>
      </c>
      <c r="SK55" s="90">
        <f t="shared" si="45"/>
        <v>2032.860488</v>
      </c>
      <c r="SL55" s="90">
        <f t="shared" si="45"/>
        <v>914.2477668</v>
      </c>
    </row>
    <row r="56">
      <c r="A56" s="53" t="s">
        <v>132</v>
      </c>
      <c r="B56" s="90">
        <f>B55+B38</f>
        <v>8070.878766</v>
      </c>
      <c r="C56" s="311"/>
      <c r="D56" s="312"/>
      <c r="E56" s="313"/>
      <c r="F56" s="90"/>
      <c r="G56" s="90">
        <f t="shared" ref="G56:SL56" si="46">G55+G38</f>
        <v>8232.766535</v>
      </c>
      <c r="H56" s="90">
        <f t="shared" si="46"/>
        <v>4705.682826</v>
      </c>
      <c r="I56" s="90">
        <f t="shared" si="46"/>
        <v>5451.296509</v>
      </c>
      <c r="J56" s="90">
        <f t="shared" si="46"/>
        <v>13902.02385</v>
      </c>
      <c r="K56" s="90">
        <f t="shared" si="46"/>
        <v>6710.720728</v>
      </c>
      <c r="L56" s="90">
        <f t="shared" si="46"/>
        <v>8255.124175</v>
      </c>
      <c r="M56" s="90">
        <f t="shared" si="46"/>
        <v>4073.343657</v>
      </c>
      <c r="N56" s="90">
        <f t="shared" si="46"/>
        <v>9584.198214</v>
      </c>
      <c r="O56" s="90">
        <f t="shared" si="46"/>
        <v>16322.63332</v>
      </c>
      <c r="P56" s="90">
        <f t="shared" si="46"/>
        <v>6402.061279</v>
      </c>
      <c r="Q56" s="90">
        <f t="shared" si="46"/>
        <v>12727.15475</v>
      </c>
      <c r="R56" s="90">
        <f t="shared" si="46"/>
        <v>10745.79521</v>
      </c>
      <c r="S56" s="90">
        <f t="shared" si="46"/>
        <v>7714.400213</v>
      </c>
      <c r="T56" s="90">
        <f t="shared" si="46"/>
        <v>7112.786518</v>
      </c>
      <c r="U56" s="90">
        <f t="shared" si="46"/>
        <v>17863.61894</v>
      </c>
      <c r="V56" s="90">
        <f t="shared" si="46"/>
        <v>5382.973</v>
      </c>
      <c r="W56" s="90">
        <f t="shared" si="46"/>
        <v>6585.559565</v>
      </c>
      <c r="X56" s="90">
        <f t="shared" si="46"/>
        <v>20237.57154</v>
      </c>
      <c r="Y56" s="90">
        <f t="shared" si="46"/>
        <v>10276.9244</v>
      </c>
      <c r="Z56" s="90">
        <f t="shared" si="46"/>
        <v>9955.608368</v>
      </c>
      <c r="AA56" s="90">
        <f t="shared" si="46"/>
        <v>7783.169686</v>
      </c>
      <c r="AB56" s="90">
        <f t="shared" si="46"/>
        <v>9260.190907</v>
      </c>
      <c r="AC56" s="90">
        <f t="shared" si="46"/>
        <v>3720.791377</v>
      </c>
      <c r="AD56" s="90">
        <f t="shared" si="46"/>
        <v>3344.553217</v>
      </c>
      <c r="AE56" s="90">
        <f t="shared" si="46"/>
        <v>5696.431273</v>
      </c>
      <c r="AF56" s="90">
        <f t="shared" si="46"/>
        <v>7265.623375</v>
      </c>
      <c r="AG56" s="90">
        <f t="shared" si="46"/>
        <v>16854.25946</v>
      </c>
      <c r="AH56" s="90">
        <f t="shared" si="46"/>
        <v>5405.765622</v>
      </c>
      <c r="AI56" s="90">
        <f t="shared" si="46"/>
        <v>7795.354294</v>
      </c>
      <c r="AJ56" s="90">
        <f t="shared" si="46"/>
        <v>3577.846108</v>
      </c>
      <c r="AK56" s="90">
        <f t="shared" si="46"/>
        <v>5613.396688</v>
      </c>
      <c r="AL56" s="90">
        <f t="shared" si="46"/>
        <v>9079.569453</v>
      </c>
      <c r="AM56" s="90">
        <f t="shared" si="46"/>
        <v>9290.20668</v>
      </c>
      <c r="AN56" s="90">
        <f t="shared" si="46"/>
        <v>11623.40615</v>
      </c>
      <c r="AO56" s="90">
        <f t="shared" si="46"/>
        <v>3477.611337</v>
      </c>
      <c r="AP56" s="90">
        <f t="shared" si="46"/>
        <v>4889.068121</v>
      </c>
      <c r="AQ56" s="90">
        <f t="shared" si="46"/>
        <v>3307.876952</v>
      </c>
      <c r="AR56" s="90">
        <f t="shared" si="46"/>
        <v>14861.40087</v>
      </c>
      <c r="AS56" s="90">
        <f t="shared" si="46"/>
        <v>5687.486044</v>
      </c>
      <c r="AT56" s="90">
        <f t="shared" si="46"/>
        <v>7910.419793</v>
      </c>
      <c r="AU56" s="90">
        <f t="shared" si="46"/>
        <v>14212.30623</v>
      </c>
      <c r="AV56" s="90">
        <f t="shared" si="46"/>
        <v>4893.722502</v>
      </c>
      <c r="AW56" s="90">
        <f t="shared" si="46"/>
        <v>7684.799872</v>
      </c>
      <c r="AX56" s="90">
        <f t="shared" si="46"/>
        <v>3814.576558</v>
      </c>
      <c r="AY56" s="90">
        <f t="shared" si="46"/>
        <v>11700.79435</v>
      </c>
      <c r="AZ56" s="90">
        <f t="shared" si="46"/>
        <v>4643.423932</v>
      </c>
      <c r="BA56" s="90">
        <f t="shared" si="46"/>
        <v>15322.30756</v>
      </c>
      <c r="BB56" s="90">
        <f t="shared" si="46"/>
        <v>6103.989436</v>
      </c>
      <c r="BC56" s="90">
        <f t="shared" si="46"/>
        <v>12054.53641</v>
      </c>
      <c r="BD56" s="90">
        <f t="shared" si="46"/>
        <v>6197.427828</v>
      </c>
      <c r="BE56" s="90">
        <f t="shared" si="46"/>
        <v>7553.505472</v>
      </c>
      <c r="BF56" s="90">
        <f t="shared" si="46"/>
        <v>4276.001738</v>
      </c>
      <c r="BG56" s="90">
        <f t="shared" si="46"/>
        <v>9079.337678</v>
      </c>
      <c r="BH56" s="90">
        <f t="shared" si="46"/>
        <v>1930.678511</v>
      </c>
      <c r="BI56" s="90">
        <f t="shared" si="46"/>
        <v>10519.49456</v>
      </c>
      <c r="BJ56" s="90">
        <f t="shared" si="46"/>
        <v>3064.452203</v>
      </c>
      <c r="BK56" s="90">
        <f t="shared" si="46"/>
        <v>3418.507652</v>
      </c>
      <c r="BL56" s="90">
        <f t="shared" si="46"/>
        <v>4524.046487</v>
      </c>
      <c r="BM56" s="90">
        <f t="shared" si="46"/>
        <v>5648.955578</v>
      </c>
      <c r="BN56" s="90">
        <f t="shared" si="46"/>
        <v>11678.6584</v>
      </c>
      <c r="BO56" s="90">
        <f t="shared" si="46"/>
        <v>6136.48507</v>
      </c>
      <c r="BP56" s="90">
        <f t="shared" si="46"/>
        <v>5117.984652</v>
      </c>
      <c r="BQ56" s="90">
        <f t="shared" si="46"/>
        <v>3379.063874</v>
      </c>
      <c r="BR56" s="90">
        <f t="shared" si="46"/>
        <v>7347.411963</v>
      </c>
      <c r="BS56" s="90">
        <f t="shared" si="46"/>
        <v>2472.761488</v>
      </c>
      <c r="BT56" s="90">
        <f t="shared" si="46"/>
        <v>4400.749129</v>
      </c>
      <c r="BU56" s="90">
        <f t="shared" si="46"/>
        <v>14888.46842</v>
      </c>
      <c r="BV56" s="90">
        <f t="shared" si="46"/>
        <v>10861.91323</v>
      </c>
      <c r="BW56" s="90">
        <f t="shared" si="46"/>
        <v>8558.475701</v>
      </c>
      <c r="BX56" s="90">
        <f t="shared" si="46"/>
        <v>9224.997841</v>
      </c>
      <c r="BY56" s="90">
        <f t="shared" si="46"/>
        <v>3197.828028</v>
      </c>
      <c r="BZ56" s="90">
        <f t="shared" si="46"/>
        <v>7306.398388</v>
      </c>
      <c r="CA56" s="90">
        <f t="shared" si="46"/>
        <v>5402.181769</v>
      </c>
      <c r="CB56" s="90">
        <f t="shared" si="46"/>
        <v>6593.990162</v>
      </c>
      <c r="CC56" s="90">
        <f t="shared" si="46"/>
        <v>6652.68797</v>
      </c>
      <c r="CD56" s="90">
        <f t="shared" si="46"/>
        <v>9158.005523</v>
      </c>
      <c r="CE56" s="90">
        <f t="shared" si="46"/>
        <v>7471.388066</v>
      </c>
      <c r="CF56" s="90">
        <f t="shared" si="46"/>
        <v>5318.103154</v>
      </c>
      <c r="CG56" s="90">
        <f t="shared" si="46"/>
        <v>8130.81805</v>
      </c>
      <c r="CH56" s="90">
        <f t="shared" si="46"/>
        <v>5323.688583</v>
      </c>
      <c r="CI56" s="90">
        <f t="shared" si="46"/>
        <v>8319.056589</v>
      </c>
      <c r="CJ56" s="90">
        <f t="shared" si="46"/>
        <v>19280.0532</v>
      </c>
      <c r="CK56" s="90">
        <f t="shared" si="46"/>
        <v>6631.31464</v>
      </c>
      <c r="CL56" s="90">
        <f t="shared" si="46"/>
        <v>7064.940848</v>
      </c>
      <c r="CM56" s="90">
        <f t="shared" si="46"/>
        <v>7876.365493</v>
      </c>
      <c r="CN56" s="90">
        <f t="shared" si="46"/>
        <v>7941.91167</v>
      </c>
      <c r="CO56" s="90">
        <f t="shared" si="46"/>
        <v>7544.02527</v>
      </c>
      <c r="CP56" s="90">
        <f t="shared" si="46"/>
        <v>5300.90699</v>
      </c>
      <c r="CQ56" s="90">
        <f t="shared" si="46"/>
        <v>10458.11685</v>
      </c>
      <c r="CR56" s="90">
        <f t="shared" si="46"/>
        <v>6985.248138</v>
      </c>
      <c r="CS56" s="90">
        <f t="shared" si="46"/>
        <v>9357.981335</v>
      </c>
      <c r="CT56" s="90">
        <f t="shared" si="46"/>
        <v>7191.263594</v>
      </c>
      <c r="CU56" s="90">
        <f t="shared" si="46"/>
        <v>6343.7292</v>
      </c>
      <c r="CV56" s="90">
        <f t="shared" si="46"/>
        <v>3975.457196</v>
      </c>
      <c r="CW56" s="90">
        <f t="shared" si="46"/>
        <v>4876.766692</v>
      </c>
      <c r="CX56" s="90">
        <f t="shared" si="46"/>
        <v>5378.634081</v>
      </c>
      <c r="CY56" s="90">
        <f t="shared" si="46"/>
        <v>5688.242954</v>
      </c>
      <c r="CZ56" s="90">
        <f t="shared" si="46"/>
        <v>11397.77624</v>
      </c>
      <c r="DA56" s="90">
        <f t="shared" si="46"/>
        <v>16133.48342</v>
      </c>
      <c r="DB56" s="90">
        <f t="shared" si="46"/>
        <v>14059.97371</v>
      </c>
      <c r="DC56" s="90">
        <f t="shared" si="46"/>
        <v>5100.424769</v>
      </c>
      <c r="DD56" s="90">
        <f t="shared" si="46"/>
        <v>7682.121066</v>
      </c>
      <c r="DE56" s="90">
        <f t="shared" si="46"/>
        <v>3360.675086</v>
      </c>
      <c r="DF56" s="90">
        <f t="shared" si="46"/>
        <v>11890.21004</v>
      </c>
      <c r="DG56" s="90">
        <f t="shared" si="46"/>
        <v>9108.001527</v>
      </c>
      <c r="DH56" s="90">
        <f t="shared" si="46"/>
        <v>7221.38943</v>
      </c>
      <c r="DI56" s="90">
        <f t="shared" si="46"/>
        <v>2473.68698</v>
      </c>
      <c r="DJ56" s="90">
        <f t="shared" si="46"/>
        <v>18780.90934</v>
      </c>
      <c r="DK56" s="90">
        <f t="shared" si="46"/>
        <v>7066.445244</v>
      </c>
      <c r="DL56" s="90">
        <f t="shared" si="46"/>
        <v>3485.73532</v>
      </c>
      <c r="DM56" s="90">
        <f t="shared" si="46"/>
        <v>5598.093224</v>
      </c>
      <c r="DN56" s="90">
        <f t="shared" si="46"/>
        <v>2315.52762</v>
      </c>
      <c r="DO56" s="90">
        <f t="shared" si="46"/>
        <v>6458.090514</v>
      </c>
      <c r="DP56" s="90">
        <f t="shared" si="46"/>
        <v>4219.737488</v>
      </c>
      <c r="DQ56" s="90">
        <f t="shared" si="46"/>
        <v>8194.534273</v>
      </c>
      <c r="DR56" s="90">
        <f t="shared" si="46"/>
        <v>12163.65697</v>
      </c>
      <c r="DS56" s="90">
        <f t="shared" si="46"/>
        <v>8475.404615</v>
      </c>
      <c r="DT56" s="90">
        <f t="shared" si="46"/>
        <v>14399.56332</v>
      </c>
      <c r="DU56" s="90">
        <f t="shared" si="46"/>
        <v>5482.604621</v>
      </c>
      <c r="DV56" s="90">
        <f t="shared" si="46"/>
        <v>8239.175725</v>
      </c>
      <c r="DW56" s="90">
        <f t="shared" si="46"/>
        <v>12377.60843</v>
      </c>
      <c r="DX56" s="90">
        <f t="shared" si="46"/>
        <v>7189.204244</v>
      </c>
      <c r="DY56" s="90">
        <f t="shared" si="46"/>
        <v>5395.473052</v>
      </c>
      <c r="DZ56" s="90">
        <f t="shared" si="46"/>
        <v>5055.939894</v>
      </c>
      <c r="EA56" s="90">
        <f t="shared" si="46"/>
        <v>8603.879987</v>
      </c>
      <c r="EB56" s="90">
        <f t="shared" si="46"/>
        <v>4927.501165</v>
      </c>
      <c r="EC56" s="90">
        <f t="shared" si="46"/>
        <v>8747.030256</v>
      </c>
      <c r="ED56" s="90">
        <f t="shared" si="46"/>
        <v>7153.122382</v>
      </c>
      <c r="EE56" s="90">
        <f t="shared" si="46"/>
        <v>6112.429124</v>
      </c>
      <c r="EF56" s="90">
        <f t="shared" si="46"/>
        <v>28988.33854</v>
      </c>
      <c r="EG56" s="90">
        <f t="shared" si="46"/>
        <v>8714.226729</v>
      </c>
      <c r="EH56" s="90">
        <f t="shared" si="46"/>
        <v>10217.23226</v>
      </c>
      <c r="EI56" s="90">
        <f t="shared" si="46"/>
        <v>10780.71707</v>
      </c>
      <c r="EJ56" s="90">
        <f t="shared" si="46"/>
        <v>4053.129931</v>
      </c>
      <c r="EK56" s="90">
        <f t="shared" si="46"/>
        <v>10503.32817</v>
      </c>
      <c r="EL56" s="90">
        <f t="shared" si="46"/>
        <v>7577.238307</v>
      </c>
      <c r="EM56" s="90">
        <f t="shared" si="46"/>
        <v>2230.175296</v>
      </c>
      <c r="EN56" s="90">
        <f t="shared" si="46"/>
        <v>5613.101509</v>
      </c>
      <c r="EO56" s="90">
        <f t="shared" si="46"/>
        <v>6755.67456</v>
      </c>
      <c r="EP56" s="90">
        <f t="shared" si="46"/>
        <v>3050.40126</v>
      </c>
      <c r="EQ56" s="90">
        <f t="shared" si="46"/>
        <v>9005.351237</v>
      </c>
      <c r="ER56" s="90">
        <f t="shared" si="46"/>
        <v>7478.325471</v>
      </c>
      <c r="ES56" s="90">
        <f t="shared" si="46"/>
        <v>7798.341613</v>
      </c>
      <c r="ET56" s="90">
        <f t="shared" si="46"/>
        <v>5323.878081</v>
      </c>
      <c r="EU56" s="90">
        <f t="shared" si="46"/>
        <v>17167.98129</v>
      </c>
      <c r="EV56" s="90">
        <f t="shared" si="46"/>
        <v>5525.058309</v>
      </c>
      <c r="EW56" s="90">
        <f t="shared" si="46"/>
        <v>5232.658376</v>
      </c>
      <c r="EX56" s="90">
        <f t="shared" si="46"/>
        <v>3380.695034</v>
      </c>
      <c r="EY56" s="90">
        <f t="shared" si="46"/>
        <v>16387.082</v>
      </c>
      <c r="EZ56" s="90">
        <f t="shared" si="46"/>
        <v>9681.363368</v>
      </c>
      <c r="FA56" s="90">
        <f t="shared" si="46"/>
        <v>15216.65527</v>
      </c>
      <c r="FB56" s="90">
        <f t="shared" si="46"/>
        <v>25067.88447</v>
      </c>
      <c r="FC56" s="90">
        <f t="shared" si="46"/>
        <v>6927.339626</v>
      </c>
      <c r="FD56" s="90">
        <f t="shared" si="46"/>
        <v>2573.180811</v>
      </c>
      <c r="FE56" s="90">
        <f t="shared" si="46"/>
        <v>4360.663513</v>
      </c>
      <c r="FF56" s="90">
        <f t="shared" si="46"/>
        <v>3287.940729</v>
      </c>
      <c r="FG56" s="90">
        <f t="shared" si="46"/>
        <v>4337.956556</v>
      </c>
      <c r="FH56" s="90">
        <f t="shared" si="46"/>
        <v>11541.22739</v>
      </c>
      <c r="FI56" s="90">
        <f t="shared" si="46"/>
        <v>4332.157706</v>
      </c>
      <c r="FJ56" s="90">
        <f t="shared" si="46"/>
        <v>3515.789081</v>
      </c>
      <c r="FK56" s="90">
        <f t="shared" si="46"/>
        <v>5491.325613</v>
      </c>
      <c r="FL56" s="90">
        <f t="shared" si="46"/>
        <v>8757.165415</v>
      </c>
      <c r="FM56" s="90">
        <f t="shared" si="46"/>
        <v>15933.32316</v>
      </c>
      <c r="FN56" s="90">
        <f t="shared" si="46"/>
        <v>7662.146571</v>
      </c>
      <c r="FO56" s="90">
        <f t="shared" si="46"/>
        <v>13013.81978</v>
      </c>
      <c r="FP56" s="90">
        <f t="shared" si="46"/>
        <v>7589.159748</v>
      </c>
      <c r="FQ56" s="90">
        <f t="shared" si="46"/>
        <v>10825.83073</v>
      </c>
      <c r="FR56" s="90">
        <f t="shared" si="46"/>
        <v>8457.018754</v>
      </c>
      <c r="FS56" s="90">
        <f t="shared" si="46"/>
        <v>6432.010956</v>
      </c>
      <c r="FT56" s="90">
        <f t="shared" si="46"/>
        <v>8082.766145</v>
      </c>
      <c r="FU56" s="90">
        <f t="shared" si="46"/>
        <v>5886.124659</v>
      </c>
      <c r="FV56" s="90">
        <f t="shared" si="46"/>
        <v>8591.39484</v>
      </c>
      <c r="FW56" s="90">
        <f t="shared" si="46"/>
        <v>6978.552809</v>
      </c>
      <c r="FX56" s="90">
        <f t="shared" si="46"/>
        <v>4923.769079</v>
      </c>
      <c r="FY56" s="90">
        <f t="shared" si="46"/>
        <v>5168.190975</v>
      </c>
      <c r="FZ56" s="90">
        <f t="shared" si="46"/>
        <v>6343.386807</v>
      </c>
      <c r="GA56" s="90">
        <f t="shared" si="46"/>
        <v>5274.75975</v>
      </c>
      <c r="GB56" s="90">
        <f t="shared" si="46"/>
        <v>3817.094567</v>
      </c>
      <c r="GC56" s="90">
        <f t="shared" si="46"/>
        <v>8830.428393</v>
      </c>
      <c r="GD56" s="90">
        <f t="shared" si="46"/>
        <v>3298.258786</v>
      </c>
      <c r="GE56" s="90">
        <f t="shared" si="46"/>
        <v>3573.751741</v>
      </c>
      <c r="GF56" s="90">
        <f t="shared" si="46"/>
        <v>17637.82426</v>
      </c>
      <c r="GG56" s="90">
        <f t="shared" si="46"/>
        <v>3128.58623</v>
      </c>
      <c r="GH56" s="90">
        <f t="shared" si="46"/>
        <v>8158.733958</v>
      </c>
      <c r="GI56" s="90">
        <f t="shared" si="46"/>
        <v>4918.287005</v>
      </c>
      <c r="GJ56" s="90">
        <f t="shared" si="46"/>
        <v>11435.93595</v>
      </c>
      <c r="GK56" s="90">
        <f t="shared" si="46"/>
        <v>11622.12312</v>
      </c>
      <c r="GL56" s="90">
        <f t="shared" si="46"/>
        <v>5346.414948</v>
      </c>
      <c r="GM56" s="90">
        <f t="shared" si="46"/>
        <v>13278.74435</v>
      </c>
      <c r="GN56" s="90">
        <f t="shared" si="46"/>
        <v>23538.50541</v>
      </c>
      <c r="GO56" s="90">
        <f t="shared" si="46"/>
        <v>3328.096247</v>
      </c>
      <c r="GP56" s="90">
        <f t="shared" si="46"/>
        <v>7330.09975</v>
      </c>
      <c r="GQ56" s="90">
        <f t="shared" si="46"/>
        <v>9457.087147</v>
      </c>
      <c r="GR56" s="90">
        <f t="shared" si="46"/>
        <v>5654.243482</v>
      </c>
      <c r="GS56" s="90">
        <f t="shared" si="46"/>
        <v>10925.9999</v>
      </c>
      <c r="GT56" s="90">
        <f t="shared" si="46"/>
        <v>3639.016275</v>
      </c>
      <c r="GU56" s="90">
        <f t="shared" si="46"/>
        <v>11277.11364</v>
      </c>
      <c r="GV56" s="90">
        <f t="shared" si="46"/>
        <v>12088.28717</v>
      </c>
      <c r="GW56" s="90">
        <f t="shared" si="46"/>
        <v>2837.009195</v>
      </c>
      <c r="GX56" s="90">
        <f t="shared" si="46"/>
        <v>6545.185567</v>
      </c>
      <c r="GY56" s="90">
        <f t="shared" si="46"/>
        <v>6139.916204</v>
      </c>
      <c r="GZ56" s="90">
        <f t="shared" si="46"/>
        <v>11102.92582</v>
      </c>
      <c r="HA56" s="90">
        <f t="shared" si="46"/>
        <v>5631.864048</v>
      </c>
      <c r="HB56" s="90">
        <f t="shared" si="46"/>
        <v>4871.132691</v>
      </c>
      <c r="HC56" s="90">
        <f t="shared" si="46"/>
        <v>11145.30877</v>
      </c>
      <c r="HD56" s="90">
        <f t="shared" si="46"/>
        <v>6127.199368</v>
      </c>
      <c r="HE56" s="90">
        <f t="shared" si="46"/>
        <v>12047.08449</v>
      </c>
      <c r="HF56" s="90">
        <f t="shared" si="46"/>
        <v>2693.522324</v>
      </c>
      <c r="HG56" s="90">
        <f t="shared" si="46"/>
        <v>4177.560465</v>
      </c>
      <c r="HH56" s="90">
        <f t="shared" si="46"/>
        <v>10918.05895</v>
      </c>
      <c r="HI56" s="90">
        <f t="shared" si="46"/>
        <v>5630.801678</v>
      </c>
      <c r="HJ56" s="90">
        <f t="shared" si="46"/>
        <v>6361.942625</v>
      </c>
      <c r="HK56" s="90">
        <f t="shared" si="46"/>
        <v>3640.787746</v>
      </c>
      <c r="HL56" s="90">
        <f t="shared" si="46"/>
        <v>6371.930898</v>
      </c>
      <c r="HM56" s="90">
        <f t="shared" si="46"/>
        <v>14626.04103</v>
      </c>
      <c r="HN56" s="90">
        <f t="shared" si="46"/>
        <v>4038.886441</v>
      </c>
      <c r="HO56" s="90">
        <f t="shared" si="46"/>
        <v>2848.593691</v>
      </c>
      <c r="HP56" s="90">
        <f t="shared" si="46"/>
        <v>11125.07197</v>
      </c>
      <c r="HQ56" s="90">
        <f t="shared" si="46"/>
        <v>3135.317384</v>
      </c>
      <c r="HR56" s="90">
        <f t="shared" si="46"/>
        <v>14258.13613</v>
      </c>
      <c r="HS56" s="90">
        <f t="shared" si="46"/>
        <v>10949.74162</v>
      </c>
      <c r="HT56" s="90">
        <f t="shared" si="46"/>
        <v>5523.659584</v>
      </c>
      <c r="HU56" s="90">
        <f t="shared" si="46"/>
        <v>11700.95731</v>
      </c>
      <c r="HV56" s="90">
        <f t="shared" si="46"/>
        <v>14574.59172</v>
      </c>
      <c r="HW56" s="90">
        <f t="shared" si="46"/>
        <v>6217.25147</v>
      </c>
      <c r="HX56" s="90">
        <f t="shared" si="46"/>
        <v>3583.971219</v>
      </c>
      <c r="HY56" s="90">
        <f t="shared" si="46"/>
        <v>9874.69102</v>
      </c>
      <c r="HZ56" s="90">
        <f t="shared" si="46"/>
        <v>7765.78565</v>
      </c>
      <c r="IA56" s="90">
        <f t="shared" si="46"/>
        <v>5750.36372</v>
      </c>
      <c r="IB56" s="90">
        <f t="shared" si="46"/>
        <v>10665.57143</v>
      </c>
      <c r="IC56" s="90">
        <f t="shared" si="46"/>
        <v>3120.402446</v>
      </c>
      <c r="ID56" s="90">
        <f t="shared" si="46"/>
        <v>5592.690968</v>
      </c>
      <c r="IE56" s="90">
        <f t="shared" si="46"/>
        <v>6958.756818</v>
      </c>
      <c r="IF56" s="90">
        <f t="shared" si="46"/>
        <v>11911.2001</v>
      </c>
      <c r="IG56" s="90">
        <f t="shared" si="46"/>
        <v>32027.68345</v>
      </c>
      <c r="IH56" s="90">
        <f t="shared" si="46"/>
        <v>7593.471465</v>
      </c>
      <c r="II56" s="90">
        <f t="shared" si="46"/>
        <v>8613.917685</v>
      </c>
      <c r="IJ56" s="90">
        <f t="shared" si="46"/>
        <v>4436.546606</v>
      </c>
      <c r="IK56" s="90">
        <f t="shared" si="46"/>
        <v>7249.60233</v>
      </c>
      <c r="IL56" s="90">
        <f t="shared" si="46"/>
        <v>11705.50857</v>
      </c>
      <c r="IM56" s="90">
        <f t="shared" si="46"/>
        <v>6680.635795</v>
      </c>
      <c r="IN56" s="90">
        <f t="shared" si="46"/>
        <v>2969.865199</v>
      </c>
      <c r="IO56" s="90">
        <f t="shared" si="46"/>
        <v>5001.074478</v>
      </c>
      <c r="IP56" s="90">
        <f t="shared" si="46"/>
        <v>8708.973831</v>
      </c>
      <c r="IQ56" s="90">
        <f t="shared" si="46"/>
        <v>3741.186116</v>
      </c>
      <c r="IR56" s="90">
        <f t="shared" si="46"/>
        <v>10908.67445</v>
      </c>
      <c r="IS56" s="90">
        <f t="shared" si="46"/>
        <v>9348.331556</v>
      </c>
      <c r="IT56" s="90">
        <f t="shared" si="46"/>
        <v>8059.951776</v>
      </c>
      <c r="IU56" s="90">
        <f t="shared" si="46"/>
        <v>4439.884903</v>
      </c>
      <c r="IV56" s="90">
        <f t="shared" si="46"/>
        <v>11507.75064</v>
      </c>
      <c r="IW56" s="90">
        <f t="shared" si="46"/>
        <v>3329.759186</v>
      </c>
      <c r="IX56" s="90">
        <f t="shared" si="46"/>
        <v>3996.859639</v>
      </c>
      <c r="IY56" s="90">
        <f t="shared" si="46"/>
        <v>10109.19682</v>
      </c>
      <c r="IZ56" s="90">
        <f t="shared" si="46"/>
        <v>7959.866645</v>
      </c>
      <c r="JA56" s="90">
        <f t="shared" si="46"/>
        <v>4940.470296</v>
      </c>
      <c r="JB56" s="90">
        <f t="shared" si="46"/>
        <v>6841.387701</v>
      </c>
      <c r="JC56" s="90">
        <f t="shared" si="46"/>
        <v>7161.678426</v>
      </c>
      <c r="JD56" s="90">
        <f t="shared" si="46"/>
        <v>8352.850194</v>
      </c>
      <c r="JE56" s="90">
        <f t="shared" si="46"/>
        <v>3369.27945</v>
      </c>
      <c r="JF56" s="90">
        <f t="shared" si="46"/>
        <v>3947.836115</v>
      </c>
      <c r="JG56" s="90">
        <f t="shared" si="46"/>
        <v>9825.489427</v>
      </c>
      <c r="JH56" s="90">
        <f t="shared" si="46"/>
        <v>7941.353762</v>
      </c>
      <c r="JI56" s="90">
        <f t="shared" si="46"/>
        <v>6866.314336</v>
      </c>
      <c r="JJ56" s="90">
        <f t="shared" si="46"/>
        <v>9716.133554</v>
      </c>
      <c r="JK56" s="90">
        <f t="shared" si="46"/>
        <v>13771.27498</v>
      </c>
      <c r="JL56" s="90">
        <f t="shared" si="46"/>
        <v>5096.540471</v>
      </c>
      <c r="JM56" s="90">
        <f t="shared" si="46"/>
        <v>3816.218643</v>
      </c>
      <c r="JN56" s="90">
        <f t="shared" si="46"/>
        <v>12950.48645</v>
      </c>
      <c r="JO56" s="90">
        <f t="shared" si="46"/>
        <v>13996.94795</v>
      </c>
      <c r="JP56" s="90">
        <f t="shared" si="46"/>
        <v>10617.48803</v>
      </c>
      <c r="JQ56" s="90">
        <f t="shared" si="46"/>
        <v>4543.621423</v>
      </c>
      <c r="JR56" s="90">
        <f t="shared" si="46"/>
        <v>6937.686438</v>
      </c>
      <c r="JS56" s="90">
        <f t="shared" si="46"/>
        <v>10441.83265</v>
      </c>
      <c r="JT56" s="90">
        <f t="shared" si="46"/>
        <v>7434.693876</v>
      </c>
      <c r="JU56" s="90">
        <f t="shared" si="46"/>
        <v>3959.980672</v>
      </c>
      <c r="JV56" s="90">
        <f t="shared" si="46"/>
        <v>7001.227232</v>
      </c>
      <c r="JW56" s="90">
        <f t="shared" si="46"/>
        <v>5388.184761</v>
      </c>
      <c r="JX56" s="90">
        <f t="shared" si="46"/>
        <v>3576.993041</v>
      </c>
      <c r="JY56" s="90">
        <f t="shared" si="46"/>
        <v>12199.33062</v>
      </c>
      <c r="JZ56" s="90">
        <f t="shared" si="46"/>
        <v>21168.02518</v>
      </c>
      <c r="KA56" s="90">
        <f t="shared" si="46"/>
        <v>13290.92536</v>
      </c>
      <c r="KB56" s="90">
        <f t="shared" si="46"/>
        <v>4157.39551</v>
      </c>
      <c r="KC56" s="90">
        <f t="shared" si="46"/>
        <v>6039.454277</v>
      </c>
      <c r="KD56" s="90">
        <f t="shared" si="46"/>
        <v>11623.97064</v>
      </c>
      <c r="KE56" s="90">
        <f t="shared" si="46"/>
        <v>18457.6787</v>
      </c>
      <c r="KF56" s="90">
        <f t="shared" si="46"/>
        <v>5781.064465</v>
      </c>
      <c r="KG56" s="90">
        <f t="shared" si="46"/>
        <v>2923.017317</v>
      </c>
      <c r="KH56" s="90">
        <f t="shared" si="46"/>
        <v>5688.868644</v>
      </c>
      <c r="KI56" s="90">
        <f t="shared" si="46"/>
        <v>4424.73254</v>
      </c>
      <c r="KJ56" s="90">
        <f t="shared" si="46"/>
        <v>7523.401828</v>
      </c>
      <c r="KK56" s="90">
        <f t="shared" si="46"/>
        <v>5813.425694</v>
      </c>
      <c r="KL56" s="90">
        <f t="shared" si="46"/>
        <v>4137.755103</v>
      </c>
      <c r="KM56" s="90">
        <f t="shared" si="46"/>
        <v>5355.94403</v>
      </c>
      <c r="KN56" s="90">
        <f t="shared" si="46"/>
        <v>17536.62097</v>
      </c>
      <c r="KO56" s="90">
        <f t="shared" si="46"/>
        <v>7760.734163</v>
      </c>
      <c r="KP56" s="90">
        <f t="shared" si="46"/>
        <v>6909.741929</v>
      </c>
      <c r="KQ56" s="90">
        <f t="shared" si="46"/>
        <v>9848.612883</v>
      </c>
      <c r="KR56" s="90">
        <f t="shared" si="46"/>
        <v>3224.26952</v>
      </c>
      <c r="KS56" s="90">
        <f t="shared" si="46"/>
        <v>4329.252448</v>
      </c>
      <c r="KT56" s="90">
        <f t="shared" si="46"/>
        <v>7099.767364</v>
      </c>
      <c r="KU56" s="90">
        <f t="shared" si="46"/>
        <v>6802.641247</v>
      </c>
      <c r="KV56" s="90">
        <f t="shared" si="46"/>
        <v>8695.075631</v>
      </c>
      <c r="KW56" s="90">
        <f t="shared" si="46"/>
        <v>6319.493264</v>
      </c>
      <c r="KX56" s="90">
        <f t="shared" si="46"/>
        <v>22056.27498</v>
      </c>
      <c r="KY56" s="90">
        <f t="shared" si="46"/>
        <v>9689.788069</v>
      </c>
      <c r="KZ56" s="90">
        <f t="shared" si="46"/>
        <v>6403.308137</v>
      </c>
      <c r="LA56" s="90">
        <f t="shared" si="46"/>
        <v>4467.082077</v>
      </c>
      <c r="LB56" s="90">
        <f t="shared" si="46"/>
        <v>16480.80862</v>
      </c>
      <c r="LC56" s="90">
        <f t="shared" si="46"/>
        <v>9191.212536</v>
      </c>
      <c r="LD56" s="90">
        <f t="shared" si="46"/>
        <v>10671.92238</v>
      </c>
      <c r="LE56" s="90">
        <f t="shared" si="46"/>
        <v>6899.778137</v>
      </c>
      <c r="LF56" s="90">
        <f t="shared" si="46"/>
        <v>5505.809617</v>
      </c>
      <c r="LG56" s="90">
        <f t="shared" si="46"/>
        <v>6603.107713</v>
      </c>
      <c r="LH56" s="90">
        <f t="shared" si="46"/>
        <v>6939.402847</v>
      </c>
      <c r="LI56" s="90">
        <f t="shared" si="46"/>
        <v>16736.06089</v>
      </c>
      <c r="LJ56" s="90">
        <f t="shared" si="46"/>
        <v>9134.731027</v>
      </c>
      <c r="LK56" s="90">
        <f t="shared" si="46"/>
        <v>13973.127</v>
      </c>
      <c r="LL56" s="90">
        <f t="shared" si="46"/>
        <v>6034.30171</v>
      </c>
      <c r="LM56" s="90">
        <f t="shared" si="46"/>
        <v>8919.461319</v>
      </c>
      <c r="LN56" s="90">
        <f t="shared" si="46"/>
        <v>9946.783486</v>
      </c>
      <c r="LO56" s="90">
        <f t="shared" si="46"/>
        <v>4506.904585</v>
      </c>
      <c r="LP56" s="90">
        <f t="shared" si="46"/>
        <v>3213.923706</v>
      </c>
      <c r="LQ56" s="90">
        <f t="shared" si="46"/>
        <v>6650.367917</v>
      </c>
      <c r="LR56" s="90">
        <f t="shared" si="46"/>
        <v>9928.914884</v>
      </c>
      <c r="LS56" s="90">
        <f t="shared" si="46"/>
        <v>13769.83419</v>
      </c>
      <c r="LT56" s="90">
        <f t="shared" si="46"/>
        <v>4948.467059</v>
      </c>
      <c r="LU56" s="90">
        <f t="shared" si="46"/>
        <v>4625.398419</v>
      </c>
      <c r="LV56" s="90">
        <f t="shared" si="46"/>
        <v>5314.317628</v>
      </c>
      <c r="LW56" s="90">
        <f t="shared" si="46"/>
        <v>3055.132469</v>
      </c>
      <c r="LX56" s="90">
        <f t="shared" si="46"/>
        <v>4865.297609</v>
      </c>
      <c r="LY56" s="90">
        <f t="shared" si="46"/>
        <v>12323.34984</v>
      </c>
      <c r="LZ56" s="90">
        <f t="shared" si="46"/>
        <v>4126.648703</v>
      </c>
      <c r="MA56" s="90">
        <f t="shared" si="46"/>
        <v>5936.316234</v>
      </c>
      <c r="MB56" s="90">
        <f t="shared" si="46"/>
        <v>30931.50023</v>
      </c>
      <c r="MC56" s="90">
        <f t="shared" si="46"/>
        <v>14839.58994</v>
      </c>
      <c r="MD56" s="90">
        <f t="shared" si="46"/>
        <v>6277.767604</v>
      </c>
      <c r="ME56" s="90">
        <f t="shared" si="46"/>
        <v>8173.031207</v>
      </c>
      <c r="MF56" s="90">
        <f t="shared" si="46"/>
        <v>3260.330928</v>
      </c>
      <c r="MG56" s="90">
        <f t="shared" si="46"/>
        <v>6905.19408</v>
      </c>
      <c r="MH56" s="90">
        <f t="shared" si="46"/>
        <v>7103.903479</v>
      </c>
      <c r="MI56" s="90">
        <f t="shared" si="46"/>
        <v>11154.76862</v>
      </c>
      <c r="MJ56" s="90">
        <f t="shared" si="46"/>
        <v>5528.701393</v>
      </c>
      <c r="MK56" s="90">
        <f t="shared" si="46"/>
        <v>2488.650356</v>
      </c>
      <c r="ML56" s="90">
        <f t="shared" si="46"/>
        <v>6278.846948</v>
      </c>
      <c r="MM56" s="90">
        <f t="shared" si="46"/>
        <v>4884.606136</v>
      </c>
      <c r="MN56" s="90">
        <f t="shared" si="46"/>
        <v>13439.46627</v>
      </c>
      <c r="MO56" s="90">
        <f t="shared" si="46"/>
        <v>11697.92075</v>
      </c>
      <c r="MP56" s="90">
        <f t="shared" si="46"/>
        <v>13530.89844</v>
      </c>
      <c r="MQ56" s="90">
        <f t="shared" si="46"/>
        <v>4464.169745</v>
      </c>
      <c r="MR56" s="90">
        <f t="shared" si="46"/>
        <v>4879.194617</v>
      </c>
      <c r="MS56" s="90">
        <f t="shared" si="46"/>
        <v>6345.303473</v>
      </c>
      <c r="MT56" s="90">
        <f t="shared" si="46"/>
        <v>9702.55715</v>
      </c>
      <c r="MU56" s="90">
        <f t="shared" si="46"/>
        <v>7835.824103</v>
      </c>
      <c r="MV56" s="90">
        <f t="shared" si="46"/>
        <v>10674.45418</v>
      </c>
      <c r="MW56" s="90">
        <f t="shared" si="46"/>
        <v>4597.964911</v>
      </c>
      <c r="MX56" s="90">
        <f t="shared" si="46"/>
        <v>9780.267259</v>
      </c>
      <c r="MY56" s="90">
        <f t="shared" si="46"/>
        <v>5100.545237</v>
      </c>
      <c r="MZ56" s="90">
        <f t="shared" si="46"/>
        <v>5150.435336</v>
      </c>
      <c r="NA56" s="90">
        <f t="shared" si="46"/>
        <v>23718.40842</v>
      </c>
      <c r="NB56" s="90">
        <f t="shared" si="46"/>
        <v>10832.58443</v>
      </c>
      <c r="NC56" s="90">
        <f t="shared" si="46"/>
        <v>8880.148336</v>
      </c>
      <c r="ND56" s="90">
        <f t="shared" si="46"/>
        <v>8928.973953</v>
      </c>
      <c r="NE56" s="90">
        <f t="shared" si="46"/>
        <v>7161.172601</v>
      </c>
      <c r="NF56" s="90">
        <f t="shared" si="46"/>
        <v>2740.483727</v>
      </c>
      <c r="NG56" s="90">
        <f t="shared" si="46"/>
        <v>16159.07392</v>
      </c>
      <c r="NH56" s="90">
        <f t="shared" si="46"/>
        <v>4382.794853</v>
      </c>
      <c r="NI56" s="90">
        <f t="shared" si="46"/>
        <v>10534.31425</v>
      </c>
      <c r="NJ56" s="90">
        <f t="shared" si="46"/>
        <v>4924.93282</v>
      </c>
      <c r="NK56" s="90">
        <f t="shared" si="46"/>
        <v>11484.69174</v>
      </c>
      <c r="NL56" s="90">
        <f t="shared" si="46"/>
        <v>10061.83259</v>
      </c>
      <c r="NM56" s="90">
        <f t="shared" si="46"/>
        <v>15244.21277</v>
      </c>
      <c r="NN56" s="90">
        <f t="shared" si="46"/>
        <v>3055.354166</v>
      </c>
      <c r="NO56" s="90">
        <f t="shared" si="46"/>
        <v>10829.18789</v>
      </c>
      <c r="NP56" s="90">
        <f t="shared" si="46"/>
        <v>22295.58374</v>
      </c>
      <c r="NQ56" s="90">
        <f t="shared" si="46"/>
        <v>5683.213412</v>
      </c>
      <c r="NR56" s="90">
        <f t="shared" si="46"/>
        <v>5584.639395</v>
      </c>
      <c r="NS56" s="90">
        <f t="shared" si="46"/>
        <v>8617.806717</v>
      </c>
      <c r="NT56" s="90">
        <f t="shared" si="46"/>
        <v>20720.30608</v>
      </c>
      <c r="NU56" s="90">
        <f t="shared" si="46"/>
        <v>7359.77196</v>
      </c>
      <c r="NV56" s="90">
        <f t="shared" si="46"/>
        <v>6935.88006</v>
      </c>
      <c r="NW56" s="90">
        <f t="shared" si="46"/>
        <v>17097.69101</v>
      </c>
      <c r="NX56" s="90">
        <f t="shared" si="46"/>
        <v>5736.829819</v>
      </c>
      <c r="NY56" s="90">
        <f t="shared" si="46"/>
        <v>6411.646324</v>
      </c>
      <c r="NZ56" s="90">
        <f t="shared" si="46"/>
        <v>4420.352365</v>
      </c>
      <c r="OA56" s="90">
        <f t="shared" si="46"/>
        <v>7544.863828</v>
      </c>
      <c r="OB56" s="90">
        <f t="shared" si="46"/>
        <v>9262.060381</v>
      </c>
      <c r="OC56" s="90">
        <f t="shared" si="46"/>
        <v>4620.230626</v>
      </c>
      <c r="OD56" s="90">
        <f t="shared" si="46"/>
        <v>9952.102155</v>
      </c>
      <c r="OE56" s="90">
        <f t="shared" si="46"/>
        <v>4186.747487</v>
      </c>
      <c r="OF56" s="90">
        <f t="shared" si="46"/>
        <v>8002.072836</v>
      </c>
      <c r="OG56" s="90">
        <f t="shared" si="46"/>
        <v>5143.939683</v>
      </c>
      <c r="OH56" s="90">
        <f t="shared" si="46"/>
        <v>6029.027292</v>
      </c>
      <c r="OI56" s="90">
        <f t="shared" si="46"/>
        <v>12201.57216</v>
      </c>
      <c r="OJ56" s="90">
        <f t="shared" si="46"/>
        <v>4259.662007</v>
      </c>
      <c r="OK56" s="90">
        <f t="shared" si="46"/>
        <v>5160.522743</v>
      </c>
      <c r="OL56" s="90">
        <f t="shared" si="46"/>
        <v>3860.793302</v>
      </c>
      <c r="OM56" s="90">
        <f t="shared" si="46"/>
        <v>4209.187531</v>
      </c>
      <c r="ON56" s="90">
        <f t="shared" si="46"/>
        <v>13845.0763</v>
      </c>
      <c r="OO56" s="90">
        <f t="shared" si="46"/>
        <v>2288.24407</v>
      </c>
      <c r="OP56" s="90">
        <f t="shared" si="46"/>
        <v>5237.242846</v>
      </c>
      <c r="OQ56" s="90">
        <f t="shared" si="46"/>
        <v>7924.746251</v>
      </c>
      <c r="OR56" s="90">
        <f t="shared" si="46"/>
        <v>10508.62043</v>
      </c>
      <c r="OS56" s="90">
        <f t="shared" si="46"/>
        <v>4264.117794</v>
      </c>
      <c r="OT56" s="90">
        <f t="shared" si="46"/>
        <v>10197.83558</v>
      </c>
      <c r="OU56" s="90">
        <f t="shared" si="46"/>
        <v>6252.385142</v>
      </c>
      <c r="OV56" s="90">
        <f t="shared" si="46"/>
        <v>9735.204026</v>
      </c>
      <c r="OW56" s="90">
        <f t="shared" si="46"/>
        <v>4623.337969</v>
      </c>
      <c r="OX56" s="90">
        <f t="shared" si="46"/>
        <v>5245.264225</v>
      </c>
      <c r="OY56" s="90">
        <f t="shared" si="46"/>
        <v>5960.778426</v>
      </c>
      <c r="OZ56" s="90">
        <f t="shared" si="46"/>
        <v>8067.428646</v>
      </c>
      <c r="PA56" s="90">
        <f t="shared" si="46"/>
        <v>5810.563319</v>
      </c>
      <c r="PB56" s="90">
        <f t="shared" si="46"/>
        <v>8875.764478</v>
      </c>
      <c r="PC56" s="90">
        <f t="shared" si="46"/>
        <v>9662.427883</v>
      </c>
      <c r="PD56" s="90">
        <f t="shared" si="46"/>
        <v>2642.432596</v>
      </c>
      <c r="PE56" s="90">
        <f t="shared" si="46"/>
        <v>5888.494075</v>
      </c>
      <c r="PF56" s="90">
        <f t="shared" si="46"/>
        <v>11816.26473</v>
      </c>
      <c r="PG56" s="90">
        <f t="shared" si="46"/>
        <v>5561.972655</v>
      </c>
      <c r="PH56" s="90">
        <f t="shared" si="46"/>
        <v>5580.159185</v>
      </c>
      <c r="PI56" s="90">
        <f t="shared" si="46"/>
        <v>5746.353235</v>
      </c>
      <c r="PJ56" s="90">
        <f t="shared" si="46"/>
        <v>3099.876655</v>
      </c>
      <c r="PK56" s="90">
        <f t="shared" si="46"/>
        <v>7770.810747</v>
      </c>
      <c r="PL56" s="90">
        <f t="shared" si="46"/>
        <v>7087.034407</v>
      </c>
      <c r="PM56" s="90">
        <f t="shared" si="46"/>
        <v>3893.273249</v>
      </c>
      <c r="PN56" s="90">
        <f t="shared" si="46"/>
        <v>2786.685539</v>
      </c>
      <c r="PO56" s="90">
        <f t="shared" si="46"/>
        <v>3724.75874</v>
      </c>
      <c r="PP56" s="90">
        <f t="shared" si="46"/>
        <v>3371.919528</v>
      </c>
      <c r="PQ56" s="90">
        <f t="shared" si="46"/>
        <v>14563.14018</v>
      </c>
      <c r="PR56" s="90">
        <f t="shared" si="46"/>
        <v>12308.89764</v>
      </c>
      <c r="PS56" s="90">
        <f t="shared" si="46"/>
        <v>3228.962899</v>
      </c>
      <c r="PT56" s="90">
        <f t="shared" si="46"/>
        <v>5838.805085</v>
      </c>
      <c r="PU56" s="90">
        <f t="shared" si="46"/>
        <v>3645.7953</v>
      </c>
      <c r="PV56" s="90">
        <f t="shared" si="46"/>
        <v>5784.46913</v>
      </c>
      <c r="PW56" s="90">
        <f t="shared" si="46"/>
        <v>12419.35226</v>
      </c>
      <c r="PX56" s="90">
        <f t="shared" si="46"/>
        <v>9597.047056</v>
      </c>
      <c r="PY56" s="90">
        <f t="shared" si="46"/>
        <v>14723.14074</v>
      </c>
      <c r="PZ56" s="90">
        <f t="shared" si="46"/>
        <v>5946.997167</v>
      </c>
      <c r="QA56" s="90">
        <f t="shared" si="46"/>
        <v>8415.564472</v>
      </c>
      <c r="QB56" s="90">
        <f t="shared" si="46"/>
        <v>5761.23576</v>
      </c>
      <c r="QC56" s="90">
        <f t="shared" si="46"/>
        <v>20281.29276</v>
      </c>
      <c r="QD56" s="90">
        <f t="shared" si="46"/>
        <v>4898.845647</v>
      </c>
      <c r="QE56" s="90">
        <f t="shared" si="46"/>
        <v>12521.13062</v>
      </c>
      <c r="QF56" s="90">
        <f t="shared" si="46"/>
        <v>3351.197988</v>
      </c>
      <c r="QG56" s="90">
        <f t="shared" si="46"/>
        <v>21754.64299</v>
      </c>
      <c r="QH56" s="90">
        <f t="shared" si="46"/>
        <v>8499.240124</v>
      </c>
      <c r="QI56" s="90">
        <f t="shared" si="46"/>
        <v>5763.73396</v>
      </c>
      <c r="QJ56" s="90">
        <f t="shared" si="46"/>
        <v>7455.311496</v>
      </c>
      <c r="QK56" s="90">
        <f t="shared" si="46"/>
        <v>5573.92279</v>
      </c>
      <c r="QL56" s="90">
        <f t="shared" si="46"/>
        <v>3905.489158</v>
      </c>
      <c r="QM56" s="90">
        <f t="shared" si="46"/>
        <v>14256.36212</v>
      </c>
      <c r="QN56" s="90">
        <f t="shared" si="46"/>
        <v>3702.348054</v>
      </c>
      <c r="QO56" s="90">
        <f t="shared" si="46"/>
        <v>3754.442606</v>
      </c>
      <c r="QP56" s="90">
        <f t="shared" si="46"/>
        <v>5017.589984</v>
      </c>
      <c r="QQ56" s="90">
        <f t="shared" si="46"/>
        <v>16965.01568</v>
      </c>
      <c r="QR56" s="90">
        <f t="shared" si="46"/>
        <v>16515.32798</v>
      </c>
      <c r="QS56" s="90">
        <f t="shared" si="46"/>
        <v>9267.648324</v>
      </c>
      <c r="QT56" s="90">
        <f t="shared" si="46"/>
        <v>5394.388127</v>
      </c>
      <c r="QU56" s="90">
        <f t="shared" si="46"/>
        <v>4095.322686</v>
      </c>
      <c r="QV56" s="90">
        <f t="shared" si="46"/>
        <v>9410.053896</v>
      </c>
      <c r="QW56" s="90">
        <f t="shared" si="46"/>
        <v>9182.324493</v>
      </c>
      <c r="QX56" s="90">
        <f t="shared" si="46"/>
        <v>7113.31376</v>
      </c>
      <c r="QY56" s="90">
        <f t="shared" si="46"/>
        <v>3742.878743</v>
      </c>
      <c r="QZ56" s="90">
        <f t="shared" si="46"/>
        <v>7189.796294</v>
      </c>
      <c r="RA56" s="90">
        <f t="shared" si="46"/>
        <v>10611.1212</v>
      </c>
      <c r="RB56" s="90">
        <f t="shared" si="46"/>
        <v>9738.656957</v>
      </c>
      <c r="RC56" s="90">
        <f t="shared" si="46"/>
        <v>4296.71286</v>
      </c>
      <c r="RD56" s="90">
        <f t="shared" si="46"/>
        <v>3625.412919</v>
      </c>
      <c r="RE56" s="90">
        <f t="shared" si="46"/>
        <v>10019.64847</v>
      </c>
      <c r="RF56" s="90">
        <f t="shared" si="46"/>
        <v>7398.07283</v>
      </c>
      <c r="RG56" s="90">
        <f t="shared" si="46"/>
        <v>4175.888962</v>
      </c>
      <c r="RH56" s="90">
        <f t="shared" si="46"/>
        <v>2973.957542</v>
      </c>
      <c r="RI56" s="90">
        <f t="shared" si="46"/>
        <v>13916.04128</v>
      </c>
      <c r="RJ56" s="90">
        <f t="shared" si="46"/>
        <v>9357.422643</v>
      </c>
      <c r="RK56" s="90">
        <f t="shared" si="46"/>
        <v>17703.09393</v>
      </c>
      <c r="RL56" s="90">
        <f t="shared" si="46"/>
        <v>8454.349708</v>
      </c>
      <c r="RM56" s="90">
        <f t="shared" si="46"/>
        <v>13434.64445</v>
      </c>
      <c r="RN56" s="90">
        <f t="shared" si="46"/>
        <v>11516.97636</v>
      </c>
      <c r="RO56" s="90">
        <f t="shared" si="46"/>
        <v>11805.18527</v>
      </c>
      <c r="RP56" s="90">
        <f t="shared" si="46"/>
        <v>14500.1713</v>
      </c>
      <c r="RQ56" s="90">
        <f t="shared" si="46"/>
        <v>6649.865649</v>
      </c>
      <c r="RR56" s="90">
        <f t="shared" si="46"/>
        <v>9526.712023</v>
      </c>
      <c r="RS56" s="90">
        <f t="shared" si="46"/>
        <v>10945.02918</v>
      </c>
      <c r="RT56" s="90">
        <f t="shared" si="46"/>
        <v>5486.001047</v>
      </c>
      <c r="RU56" s="90">
        <f t="shared" si="46"/>
        <v>3371.839866</v>
      </c>
      <c r="RV56" s="90">
        <f t="shared" si="46"/>
        <v>5251.912811</v>
      </c>
      <c r="RW56" s="90">
        <f t="shared" si="46"/>
        <v>7469.794113</v>
      </c>
      <c r="RX56" s="90">
        <f t="shared" si="46"/>
        <v>5842.380254</v>
      </c>
      <c r="RY56" s="90">
        <f t="shared" si="46"/>
        <v>1898.603508</v>
      </c>
      <c r="RZ56" s="90">
        <f t="shared" si="46"/>
        <v>8160.387864</v>
      </c>
      <c r="SA56" s="90">
        <f t="shared" si="46"/>
        <v>3601.6817</v>
      </c>
      <c r="SB56" s="90">
        <f t="shared" si="46"/>
        <v>6899.641498</v>
      </c>
      <c r="SC56" s="90">
        <f t="shared" si="46"/>
        <v>6230.245439</v>
      </c>
      <c r="SD56" s="90">
        <f t="shared" si="46"/>
        <v>12342.10431</v>
      </c>
      <c r="SE56" s="90">
        <f t="shared" si="46"/>
        <v>6559.627604</v>
      </c>
      <c r="SF56" s="90">
        <f t="shared" si="46"/>
        <v>5969.398494</v>
      </c>
      <c r="SG56" s="90">
        <f t="shared" si="46"/>
        <v>7356.685155</v>
      </c>
      <c r="SH56" s="90">
        <f t="shared" si="46"/>
        <v>7689.942126</v>
      </c>
      <c r="SI56" s="90">
        <f t="shared" si="46"/>
        <v>9049.873177</v>
      </c>
      <c r="SJ56" s="90">
        <f t="shared" si="46"/>
        <v>3722.385673</v>
      </c>
      <c r="SK56" s="90">
        <f t="shared" si="46"/>
        <v>13290.70158</v>
      </c>
      <c r="SL56" s="90">
        <f t="shared" si="46"/>
        <v>5401.260811</v>
      </c>
    </row>
    <row r="57">
      <c r="A57" s="53" t="s">
        <v>133</v>
      </c>
      <c r="B57" s="80">
        <f>(B56/B4)/B28</f>
        <v>2.405627054</v>
      </c>
      <c r="C57" s="283"/>
      <c r="D57" s="284"/>
      <c r="E57" s="285"/>
      <c r="F57" s="80"/>
      <c r="G57" s="80">
        <f t="shared" ref="G57:SL57" si="47">(G56/G4)/G28</f>
        <v>2.453879742</v>
      </c>
      <c r="H57" s="80">
        <f t="shared" si="47"/>
        <v>1.402588026</v>
      </c>
      <c r="I57" s="80">
        <f t="shared" si="47"/>
        <v>1.624827573</v>
      </c>
      <c r="J57" s="80">
        <f t="shared" si="47"/>
        <v>4.143673278</v>
      </c>
      <c r="K57" s="80">
        <f t="shared" si="47"/>
        <v>2.000214822</v>
      </c>
      <c r="L57" s="80">
        <f t="shared" si="47"/>
        <v>2.460543718</v>
      </c>
      <c r="M57" s="80">
        <f t="shared" si="47"/>
        <v>1.214111373</v>
      </c>
      <c r="N57" s="80">
        <f t="shared" si="47"/>
        <v>2.856690973</v>
      </c>
      <c r="O57" s="80">
        <f t="shared" si="47"/>
        <v>4.865166414</v>
      </c>
      <c r="P57" s="80">
        <f t="shared" si="47"/>
        <v>1.908214986</v>
      </c>
      <c r="Q57" s="80">
        <f t="shared" si="47"/>
        <v>3.793488748</v>
      </c>
      <c r="R57" s="80">
        <f t="shared" si="47"/>
        <v>3.202919585</v>
      </c>
      <c r="S57" s="80">
        <f t="shared" si="47"/>
        <v>2.299374132</v>
      </c>
      <c r="T57" s="80">
        <f t="shared" si="47"/>
        <v>2.120055594</v>
      </c>
      <c r="U57" s="80">
        <f t="shared" si="47"/>
        <v>5.324476585</v>
      </c>
      <c r="V57" s="80">
        <f t="shared" si="47"/>
        <v>1.604462891</v>
      </c>
      <c r="W57" s="80">
        <f t="shared" si="47"/>
        <v>1.962908961</v>
      </c>
      <c r="X57" s="80">
        <f t="shared" si="47"/>
        <v>6.032063053</v>
      </c>
      <c r="Y57" s="80">
        <f t="shared" si="47"/>
        <v>3.063166738</v>
      </c>
      <c r="Z57" s="80">
        <f t="shared" si="47"/>
        <v>2.967394446</v>
      </c>
      <c r="AA57" s="80">
        <f t="shared" si="47"/>
        <v>2.31987174</v>
      </c>
      <c r="AB57" s="80">
        <f t="shared" si="47"/>
        <v>2.760116515</v>
      </c>
      <c r="AC57" s="80">
        <f t="shared" si="47"/>
        <v>1.109028726</v>
      </c>
      <c r="AD57" s="80">
        <f t="shared" si="47"/>
        <v>0.9968862049</v>
      </c>
      <c r="AE57" s="80">
        <f t="shared" si="47"/>
        <v>1.697893077</v>
      </c>
      <c r="AF57" s="80">
        <f t="shared" si="47"/>
        <v>2.165610544</v>
      </c>
      <c r="AG57" s="80">
        <f t="shared" si="47"/>
        <v>5.023624279</v>
      </c>
      <c r="AH57" s="80">
        <f t="shared" si="47"/>
        <v>1.611256519</v>
      </c>
      <c r="AI57" s="80">
        <f t="shared" si="47"/>
        <v>2.323503515</v>
      </c>
      <c r="AJ57" s="80">
        <f t="shared" si="47"/>
        <v>1.066422089</v>
      </c>
      <c r="AK57" s="80">
        <f t="shared" si="47"/>
        <v>1.673143573</v>
      </c>
      <c r="AL57" s="80">
        <f t="shared" si="47"/>
        <v>2.706280016</v>
      </c>
      <c r="AM57" s="80">
        <f t="shared" si="47"/>
        <v>2.769063094</v>
      </c>
      <c r="AN57" s="80">
        <f t="shared" si="47"/>
        <v>3.464502577</v>
      </c>
      <c r="AO57" s="80">
        <f t="shared" si="47"/>
        <v>1.036545853</v>
      </c>
      <c r="AP57" s="80">
        <f t="shared" si="47"/>
        <v>1.457248322</v>
      </c>
      <c r="AQ57" s="80">
        <f t="shared" si="47"/>
        <v>0.985954382</v>
      </c>
      <c r="AR57" s="80">
        <f t="shared" si="47"/>
        <v>4.429627681</v>
      </c>
      <c r="AS57" s="80">
        <f t="shared" si="47"/>
        <v>1.695226839</v>
      </c>
      <c r="AT57" s="80">
        <f t="shared" si="47"/>
        <v>2.357800236</v>
      </c>
      <c r="AU57" s="80">
        <f t="shared" si="47"/>
        <v>4.236156851</v>
      </c>
      <c r="AV57" s="80">
        <f t="shared" si="47"/>
        <v>1.458635619</v>
      </c>
      <c r="AW57" s="80">
        <f t="shared" si="47"/>
        <v>2.290551378</v>
      </c>
      <c r="AX57" s="80">
        <f t="shared" si="47"/>
        <v>1.136982581</v>
      </c>
      <c r="AY57" s="80">
        <f t="shared" si="47"/>
        <v>3.487569106</v>
      </c>
      <c r="AZ57" s="80">
        <f t="shared" si="47"/>
        <v>1.384030978</v>
      </c>
      <c r="BA57" s="80">
        <f t="shared" si="47"/>
        <v>4.567006724</v>
      </c>
      <c r="BB57" s="80">
        <f t="shared" si="47"/>
        <v>1.81937092</v>
      </c>
      <c r="BC57" s="80">
        <f t="shared" si="47"/>
        <v>3.59300638</v>
      </c>
      <c r="BD57" s="80">
        <f t="shared" si="47"/>
        <v>1.847221409</v>
      </c>
      <c r="BE57" s="80">
        <f t="shared" si="47"/>
        <v>2.251417428</v>
      </c>
      <c r="BF57" s="80">
        <f t="shared" si="47"/>
        <v>1.274516166</v>
      </c>
      <c r="BG57" s="80">
        <f t="shared" si="47"/>
        <v>2.706210932</v>
      </c>
      <c r="BH57" s="80">
        <f t="shared" si="47"/>
        <v>0.5754630436</v>
      </c>
      <c r="BI57" s="80">
        <f t="shared" si="47"/>
        <v>3.135467826</v>
      </c>
      <c r="BJ57" s="80">
        <f t="shared" si="47"/>
        <v>0.9133985702</v>
      </c>
      <c r="BK57" s="80">
        <f t="shared" si="47"/>
        <v>1.018929255</v>
      </c>
      <c r="BL57" s="80">
        <f t="shared" si="47"/>
        <v>1.348449027</v>
      </c>
      <c r="BM57" s="80">
        <f t="shared" si="47"/>
        <v>1.683742348</v>
      </c>
      <c r="BN57" s="80">
        <f t="shared" si="47"/>
        <v>3.480971207</v>
      </c>
      <c r="BO57" s="80">
        <f t="shared" si="47"/>
        <v>1.829056653</v>
      </c>
      <c r="BP57" s="80">
        <f t="shared" si="47"/>
        <v>1.525479777</v>
      </c>
      <c r="BQ57" s="80">
        <f t="shared" si="47"/>
        <v>1.007172541</v>
      </c>
      <c r="BR57" s="80">
        <f t="shared" si="47"/>
        <v>2.189988662</v>
      </c>
      <c r="BS57" s="80">
        <f t="shared" si="47"/>
        <v>0.7370377013</v>
      </c>
      <c r="BT57" s="80">
        <f t="shared" si="47"/>
        <v>1.311698697</v>
      </c>
      <c r="BU57" s="80">
        <f t="shared" si="47"/>
        <v>4.437695506</v>
      </c>
      <c r="BV57" s="80">
        <f t="shared" si="47"/>
        <v>3.237530024</v>
      </c>
      <c r="BW57" s="80">
        <f t="shared" si="47"/>
        <v>2.550961461</v>
      </c>
      <c r="BX57" s="80">
        <f t="shared" si="47"/>
        <v>2.749626778</v>
      </c>
      <c r="BY57" s="80">
        <f t="shared" si="47"/>
        <v>0.9531529146</v>
      </c>
      <c r="BZ57" s="80">
        <f t="shared" si="47"/>
        <v>2.17776405</v>
      </c>
      <c r="CA57" s="80">
        <f t="shared" si="47"/>
        <v>1.610188307</v>
      </c>
      <c r="CB57" s="80">
        <f t="shared" si="47"/>
        <v>1.965421807</v>
      </c>
      <c r="CC57" s="80">
        <f t="shared" si="47"/>
        <v>1.982917428</v>
      </c>
      <c r="CD57" s="80">
        <f t="shared" si="47"/>
        <v>2.729658874</v>
      </c>
      <c r="CE57" s="80">
        <f t="shared" si="47"/>
        <v>2.226941301</v>
      </c>
      <c r="CF57" s="80">
        <f t="shared" si="47"/>
        <v>1.585127617</v>
      </c>
      <c r="CG57" s="80">
        <f t="shared" si="47"/>
        <v>2.423492712</v>
      </c>
      <c r="CH57" s="80">
        <f t="shared" si="47"/>
        <v>1.586792424</v>
      </c>
      <c r="CI57" s="80">
        <f t="shared" si="47"/>
        <v>2.47959958</v>
      </c>
      <c r="CJ57" s="80">
        <f t="shared" si="47"/>
        <v>5.746662651</v>
      </c>
      <c r="CK57" s="80">
        <f t="shared" si="47"/>
        <v>1.976546838</v>
      </c>
      <c r="CL57" s="80">
        <f t="shared" si="47"/>
        <v>2.10579459</v>
      </c>
      <c r="CM57" s="80">
        <f t="shared" si="47"/>
        <v>2.347649923</v>
      </c>
      <c r="CN57" s="80">
        <f t="shared" si="47"/>
        <v>2.367186787</v>
      </c>
      <c r="CO57" s="80">
        <f t="shared" si="47"/>
        <v>2.248591735</v>
      </c>
      <c r="CP57" s="80">
        <f t="shared" si="47"/>
        <v>1.580002084</v>
      </c>
      <c r="CQ57" s="80">
        <f t="shared" si="47"/>
        <v>3.117173429</v>
      </c>
      <c r="CR57" s="80">
        <f t="shared" si="47"/>
        <v>2.082041174</v>
      </c>
      <c r="CS57" s="80">
        <f t="shared" si="47"/>
        <v>2.789264183</v>
      </c>
      <c r="CT57" s="80">
        <f t="shared" si="47"/>
        <v>2.143446675</v>
      </c>
      <c r="CU57" s="80">
        <f t="shared" si="47"/>
        <v>1.890828376</v>
      </c>
      <c r="CV57" s="80">
        <f t="shared" si="47"/>
        <v>1.184935081</v>
      </c>
      <c r="CW57" s="80">
        <f t="shared" si="47"/>
        <v>1.453581726</v>
      </c>
      <c r="CX57" s="80">
        <f t="shared" si="47"/>
        <v>1.603169622</v>
      </c>
      <c r="CY57" s="80">
        <f t="shared" si="47"/>
        <v>1.695452445</v>
      </c>
      <c r="CZ57" s="80">
        <f t="shared" si="47"/>
        <v>3.397250741</v>
      </c>
      <c r="DA57" s="80">
        <f t="shared" si="47"/>
        <v>4.808787905</v>
      </c>
      <c r="DB57" s="80">
        <f t="shared" si="47"/>
        <v>4.190752225</v>
      </c>
      <c r="DC57" s="80">
        <f t="shared" si="47"/>
        <v>1.520245833</v>
      </c>
      <c r="DD57" s="80">
        <f t="shared" si="47"/>
        <v>2.289752926</v>
      </c>
      <c r="DE57" s="80">
        <f t="shared" si="47"/>
        <v>1.001691531</v>
      </c>
      <c r="DF57" s="80">
        <f t="shared" si="47"/>
        <v>3.544026838</v>
      </c>
      <c r="DG57" s="80">
        <f t="shared" si="47"/>
        <v>2.714754553</v>
      </c>
      <c r="DH57" s="80">
        <f t="shared" si="47"/>
        <v>2.15242606</v>
      </c>
      <c r="DI57" s="80">
        <f t="shared" si="47"/>
        <v>0.737313556</v>
      </c>
      <c r="DJ57" s="80">
        <f t="shared" si="47"/>
        <v>5.597886541</v>
      </c>
      <c r="DK57" s="80">
        <f t="shared" si="47"/>
        <v>2.106242994</v>
      </c>
      <c r="DL57" s="80">
        <f t="shared" si="47"/>
        <v>1.038967309</v>
      </c>
      <c r="DM57" s="80">
        <f t="shared" si="47"/>
        <v>1.668582183</v>
      </c>
      <c r="DN57" s="80">
        <f t="shared" si="47"/>
        <v>0.6901721668</v>
      </c>
      <c r="DO57" s="80">
        <f t="shared" si="47"/>
        <v>1.924915205</v>
      </c>
      <c r="DP57" s="80">
        <f t="shared" si="47"/>
        <v>1.257745898</v>
      </c>
      <c r="DQ57" s="80">
        <f t="shared" si="47"/>
        <v>2.442484135</v>
      </c>
      <c r="DR57" s="80">
        <f t="shared" si="47"/>
        <v>3.625531139</v>
      </c>
      <c r="DS57" s="80">
        <f t="shared" si="47"/>
        <v>2.526201078</v>
      </c>
      <c r="DT57" s="80">
        <f t="shared" si="47"/>
        <v>4.291971184</v>
      </c>
      <c r="DU57" s="80">
        <f t="shared" si="47"/>
        <v>1.634159351</v>
      </c>
      <c r="DV57" s="80">
        <f t="shared" si="47"/>
        <v>2.455790082</v>
      </c>
      <c r="DW57" s="80">
        <f t="shared" si="47"/>
        <v>3.689302065</v>
      </c>
      <c r="DX57" s="80">
        <f t="shared" si="47"/>
        <v>2.14283286</v>
      </c>
      <c r="DY57" s="80">
        <f t="shared" si="47"/>
        <v>1.608188689</v>
      </c>
      <c r="DZ57" s="80">
        <f t="shared" si="47"/>
        <v>1.506986555</v>
      </c>
      <c r="EA57" s="80">
        <f t="shared" si="47"/>
        <v>2.56449478</v>
      </c>
      <c r="EB57" s="80">
        <f t="shared" si="47"/>
        <v>1.468703775</v>
      </c>
      <c r="EC57" s="80">
        <f t="shared" si="47"/>
        <v>2.607162521</v>
      </c>
      <c r="ED57" s="80">
        <f t="shared" si="47"/>
        <v>2.132078206</v>
      </c>
      <c r="EE57" s="80">
        <f t="shared" si="47"/>
        <v>1.821886475</v>
      </c>
      <c r="EF57" s="80">
        <f t="shared" si="47"/>
        <v>8.640339355</v>
      </c>
      <c r="EG57" s="80">
        <f t="shared" si="47"/>
        <v>2.597385016</v>
      </c>
      <c r="EH57" s="80">
        <f t="shared" si="47"/>
        <v>3.045374742</v>
      </c>
      <c r="EI57" s="80">
        <f t="shared" si="47"/>
        <v>3.213328485</v>
      </c>
      <c r="EJ57" s="80">
        <f t="shared" si="47"/>
        <v>1.208086418</v>
      </c>
      <c r="EK57" s="80">
        <f t="shared" si="47"/>
        <v>3.13064923</v>
      </c>
      <c r="EL57" s="80">
        <f t="shared" si="47"/>
        <v>2.258491299</v>
      </c>
      <c r="EM57" s="80">
        <f t="shared" si="47"/>
        <v>0.6647318318</v>
      </c>
      <c r="EN57" s="80">
        <f t="shared" si="47"/>
        <v>1.673055591</v>
      </c>
      <c r="EO57" s="80">
        <f t="shared" si="47"/>
        <v>2.013613878</v>
      </c>
      <c r="EP57" s="80">
        <f t="shared" si="47"/>
        <v>0.9092105095</v>
      </c>
      <c r="EQ57" s="80">
        <f t="shared" si="47"/>
        <v>2.684158342</v>
      </c>
      <c r="ER57" s="80">
        <f t="shared" si="47"/>
        <v>2.229009082</v>
      </c>
      <c r="ES57" s="80">
        <f t="shared" si="47"/>
        <v>2.324393923</v>
      </c>
      <c r="ET57" s="80">
        <f t="shared" si="47"/>
        <v>1.586848906</v>
      </c>
      <c r="EU57" s="80">
        <f t="shared" si="47"/>
        <v>5.117133024</v>
      </c>
      <c r="EV57" s="80">
        <f t="shared" si="47"/>
        <v>1.646813207</v>
      </c>
      <c r="EW57" s="80">
        <f t="shared" si="47"/>
        <v>1.559659725</v>
      </c>
      <c r="EX57" s="80">
        <f t="shared" si="47"/>
        <v>1.007658728</v>
      </c>
      <c r="EY57" s="80">
        <f t="shared" si="47"/>
        <v>4.884376155</v>
      </c>
      <c r="EZ57" s="80">
        <f t="shared" si="47"/>
        <v>2.885652271</v>
      </c>
      <c r="FA57" s="80">
        <f t="shared" si="47"/>
        <v>4.535515728</v>
      </c>
      <c r="FB57" s="80">
        <f t="shared" si="47"/>
        <v>7.471798648</v>
      </c>
      <c r="FC57" s="80">
        <f t="shared" si="47"/>
        <v>2.064780812</v>
      </c>
      <c r="FD57" s="80">
        <f t="shared" si="47"/>
        <v>0.7669689451</v>
      </c>
      <c r="FE57" s="80">
        <f t="shared" si="47"/>
        <v>1.299750675</v>
      </c>
      <c r="FF57" s="80">
        <f t="shared" si="47"/>
        <v>0.9800121397</v>
      </c>
      <c r="FG57" s="80">
        <f t="shared" si="47"/>
        <v>1.29298258</v>
      </c>
      <c r="FH57" s="80">
        <f t="shared" si="47"/>
        <v>3.440008164</v>
      </c>
      <c r="FI57" s="80">
        <f t="shared" si="47"/>
        <v>1.29125416</v>
      </c>
      <c r="FJ57" s="80">
        <f t="shared" si="47"/>
        <v>1.04792521</v>
      </c>
      <c r="FK57" s="80">
        <f t="shared" si="47"/>
        <v>1.636758752</v>
      </c>
      <c r="FL57" s="80">
        <f t="shared" si="47"/>
        <v>2.610183432</v>
      </c>
      <c r="FM57" s="80">
        <f t="shared" si="47"/>
        <v>4.749127617</v>
      </c>
      <c r="FN57" s="80">
        <f t="shared" si="47"/>
        <v>2.283799276</v>
      </c>
      <c r="FO57" s="80">
        <f t="shared" si="47"/>
        <v>3.878932872</v>
      </c>
      <c r="FP57" s="80">
        <f t="shared" si="47"/>
        <v>2.262044634</v>
      </c>
      <c r="FQ57" s="80">
        <f t="shared" si="47"/>
        <v>3.22677518</v>
      </c>
      <c r="FR57" s="80">
        <f t="shared" si="47"/>
        <v>2.52072094</v>
      </c>
      <c r="FS57" s="80">
        <f t="shared" si="47"/>
        <v>1.917141865</v>
      </c>
      <c r="FT57" s="80">
        <f t="shared" si="47"/>
        <v>2.409170237</v>
      </c>
      <c r="FU57" s="80">
        <f t="shared" si="47"/>
        <v>1.754433579</v>
      </c>
      <c r="FV57" s="80">
        <f t="shared" si="47"/>
        <v>2.560773425</v>
      </c>
      <c r="FW57" s="80">
        <f t="shared" si="47"/>
        <v>2.080045547</v>
      </c>
      <c r="FX57" s="80">
        <f t="shared" si="47"/>
        <v>1.46759138</v>
      </c>
      <c r="FY57" s="80">
        <f t="shared" si="47"/>
        <v>1.540444404</v>
      </c>
      <c r="FZ57" s="80">
        <f t="shared" si="47"/>
        <v>1.890726321</v>
      </c>
      <c r="GA57" s="80">
        <f t="shared" si="47"/>
        <v>1.572208569</v>
      </c>
      <c r="GB57" s="80">
        <f t="shared" si="47"/>
        <v>1.137733105</v>
      </c>
      <c r="GC57" s="80">
        <f t="shared" si="47"/>
        <v>2.632020385</v>
      </c>
      <c r="GD57" s="80">
        <f t="shared" si="47"/>
        <v>0.9830875668</v>
      </c>
      <c r="GE57" s="80">
        <f t="shared" si="47"/>
        <v>1.065201711</v>
      </c>
      <c r="GF57" s="80">
        <f t="shared" si="47"/>
        <v>5.257175638</v>
      </c>
      <c r="GG57" s="80">
        <f t="shared" si="47"/>
        <v>0.9325145246</v>
      </c>
      <c r="GH57" s="80">
        <f t="shared" si="47"/>
        <v>2.4318134</v>
      </c>
      <c r="GI57" s="80">
        <f t="shared" si="47"/>
        <v>1.465957378</v>
      </c>
      <c r="GJ57" s="80">
        <f t="shared" si="47"/>
        <v>3.408624723</v>
      </c>
      <c r="GK57" s="80">
        <f t="shared" si="47"/>
        <v>3.464120155</v>
      </c>
      <c r="GL57" s="80">
        <f t="shared" si="47"/>
        <v>1.593566304</v>
      </c>
      <c r="GM57" s="80">
        <f t="shared" si="47"/>
        <v>3.957896975</v>
      </c>
      <c r="GN57" s="80">
        <f t="shared" si="47"/>
        <v>7.015947962</v>
      </c>
      <c r="GO57" s="80">
        <f t="shared" si="47"/>
        <v>0.9919809975</v>
      </c>
      <c r="GP57" s="80">
        <f t="shared" si="47"/>
        <v>2.18482854</v>
      </c>
      <c r="GQ57" s="80">
        <f t="shared" si="47"/>
        <v>2.818803919</v>
      </c>
      <c r="GR57" s="80">
        <f t="shared" si="47"/>
        <v>1.685318475</v>
      </c>
      <c r="GS57" s="80">
        <f t="shared" si="47"/>
        <v>3.256631862</v>
      </c>
      <c r="GT57" s="80">
        <f t="shared" si="47"/>
        <v>1.084654628</v>
      </c>
      <c r="GU57" s="80">
        <f t="shared" si="47"/>
        <v>3.361285736</v>
      </c>
      <c r="GV57" s="80">
        <f t="shared" si="47"/>
        <v>3.603066222</v>
      </c>
      <c r="GW57" s="80">
        <f t="shared" si="47"/>
        <v>0.8456063175</v>
      </c>
      <c r="GX57" s="80">
        <f t="shared" si="47"/>
        <v>1.950874983</v>
      </c>
      <c r="GY57" s="80">
        <f t="shared" si="47"/>
        <v>1.830079345</v>
      </c>
      <c r="GZ57" s="80">
        <f t="shared" si="47"/>
        <v>3.30936686</v>
      </c>
      <c r="HA57" s="80">
        <f t="shared" si="47"/>
        <v>1.678648002</v>
      </c>
      <c r="HB57" s="80">
        <f t="shared" si="47"/>
        <v>1.451902442</v>
      </c>
      <c r="HC57" s="80">
        <f t="shared" si="47"/>
        <v>3.321999634</v>
      </c>
      <c r="HD57" s="80">
        <f t="shared" si="47"/>
        <v>1.826288932</v>
      </c>
      <c r="HE57" s="80">
        <f t="shared" si="47"/>
        <v>3.590785243</v>
      </c>
      <c r="HF57" s="80">
        <f t="shared" si="47"/>
        <v>0.8028382486</v>
      </c>
      <c r="HG57" s="80">
        <f t="shared" si="47"/>
        <v>1.245174505</v>
      </c>
      <c r="HH57" s="80">
        <f t="shared" si="47"/>
        <v>3.254264961</v>
      </c>
      <c r="HI57" s="80">
        <f t="shared" si="47"/>
        <v>1.67833135</v>
      </c>
      <c r="HJ57" s="80">
        <f t="shared" si="47"/>
        <v>1.896257116</v>
      </c>
      <c r="HK57" s="80">
        <f t="shared" si="47"/>
        <v>1.085182637</v>
      </c>
      <c r="HL57" s="80">
        <f t="shared" si="47"/>
        <v>1.899234247</v>
      </c>
      <c r="HM57" s="80">
        <f t="shared" si="47"/>
        <v>4.359475717</v>
      </c>
      <c r="HN57" s="80">
        <f t="shared" si="47"/>
        <v>1.203840966</v>
      </c>
      <c r="HO57" s="80">
        <f t="shared" si="47"/>
        <v>0.8490592225</v>
      </c>
      <c r="HP57" s="80">
        <f t="shared" si="47"/>
        <v>3.3159678</v>
      </c>
      <c r="HQ57" s="80">
        <f t="shared" si="47"/>
        <v>0.9345208299</v>
      </c>
      <c r="HR57" s="80">
        <f t="shared" si="47"/>
        <v>4.249817027</v>
      </c>
      <c r="HS57" s="80">
        <f t="shared" si="47"/>
        <v>3.263708382</v>
      </c>
      <c r="HT57" s="80">
        <f t="shared" si="47"/>
        <v>1.646396299</v>
      </c>
      <c r="HU57" s="80">
        <f t="shared" si="47"/>
        <v>3.487617679</v>
      </c>
      <c r="HV57" s="80">
        <f t="shared" si="47"/>
        <v>4.344140603</v>
      </c>
      <c r="HW57" s="80">
        <f t="shared" si="47"/>
        <v>1.853130095</v>
      </c>
      <c r="HX57" s="80">
        <f t="shared" si="47"/>
        <v>1.068247755</v>
      </c>
      <c r="HY57" s="80">
        <f t="shared" si="47"/>
        <v>2.943276012</v>
      </c>
      <c r="HZ57" s="80">
        <f t="shared" si="47"/>
        <v>2.314690209</v>
      </c>
      <c r="IA57" s="80">
        <f t="shared" si="47"/>
        <v>1.713968322</v>
      </c>
      <c r="IB57" s="80">
        <f t="shared" si="47"/>
        <v>3.179007877</v>
      </c>
      <c r="IC57" s="80">
        <f t="shared" si="47"/>
        <v>0.9300752448</v>
      </c>
      <c r="ID57" s="80">
        <f t="shared" si="47"/>
        <v>1.666971973</v>
      </c>
      <c r="IE57" s="80">
        <f t="shared" si="47"/>
        <v>2.074145102</v>
      </c>
      <c r="IF57" s="80">
        <f t="shared" si="47"/>
        <v>3.550283188</v>
      </c>
      <c r="IG57" s="80">
        <f t="shared" si="47"/>
        <v>9.546254381</v>
      </c>
      <c r="IH57" s="80">
        <f t="shared" si="47"/>
        <v>2.263329796</v>
      </c>
      <c r="II57" s="80">
        <f t="shared" si="47"/>
        <v>2.567486642</v>
      </c>
      <c r="IJ57" s="80">
        <f t="shared" si="47"/>
        <v>1.322368586</v>
      </c>
      <c r="IK57" s="80">
        <f t="shared" si="47"/>
        <v>2.16083527</v>
      </c>
      <c r="IL57" s="80">
        <f t="shared" si="47"/>
        <v>3.48897424</v>
      </c>
      <c r="IM57" s="80">
        <f t="shared" si="47"/>
        <v>1.991247629</v>
      </c>
      <c r="IN57" s="80">
        <f t="shared" si="47"/>
        <v>0.8852057225</v>
      </c>
      <c r="IO57" s="80">
        <f t="shared" si="47"/>
        <v>1.490633227</v>
      </c>
      <c r="IP57" s="80">
        <f t="shared" si="47"/>
        <v>2.595819324</v>
      </c>
      <c r="IQ57" s="80">
        <f t="shared" si="47"/>
        <v>1.115107635</v>
      </c>
      <c r="IR57" s="80">
        <f t="shared" si="47"/>
        <v>3.251467793</v>
      </c>
      <c r="IS57" s="80">
        <f t="shared" si="47"/>
        <v>2.786387945</v>
      </c>
      <c r="IT57" s="80">
        <f t="shared" si="47"/>
        <v>2.402370127</v>
      </c>
      <c r="IU57" s="80">
        <f t="shared" si="47"/>
        <v>1.323363607</v>
      </c>
      <c r="IV57" s="80">
        <f t="shared" si="47"/>
        <v>3.430029997</v>
      </c>
      <c r="IW57" s="80">
        <f t="shared" si="47"/>
        <v>0.9924766574</v>
      </c>
      <c r="IX57" s="80">
        <f t="shared" si="47"/>
        <v>1.191314348</v>
      </c>
      <c r="IY57" s="80">
        <f t="shared" si="47"/>
        <v>3.013173418</v>
      </c>
      <c r="IZ57" s="80">
        <f t="shared" si="47"/>
        <v>2.372538493</v>
      </c>
      <c r="JA57" s="80">
        <f t="shared" si="47"/>
        <v>1.472569388</v>
      </c>
      <c r="JB57" s="80">
        <f t="shared" si="47"/>
        <v>2.039161759</v>
      </c>
      <c r="JC57" s="80">
        <f t="shared" si="47"/>
        <v>2.134628443</v>
      </c>
      <c r="JD57" s="80">
        <f t="shared" si="47"/>
        <v>2.489672189</v>
      </c>
      <c r="JE57" s="80">
        <f t="shared" si="47"/>
        <v>1.00425617</v>
      </c>
      <c r="JF57" s="80">
        <f t="shared" si="47"/>
        <v>1.17670227</v>
      </c>
      <c r="JG57" s="80">
        <f t="shared" si="47"/>
        <v>2.928610857</v>
      </c>
      <c r="JH57" s="80">
        <f t="shared" si="47"/>
        <v>2.367020495</v>
      </c>
      <c r="JI57" s="80">
        <f t="shared" si="47"/>
        <v>2.046591456</v>
      </c>
      <c r="JJ57" s="80">
        <f t="shared" si="47"/>
        <v>2.896015963</v>
      </c>
      <c r="JK57" s="80">
        <f t="shared" si="47"/>
        <v>4.104701932</v>
      </c>
      <c r="JL57" s="80">
        <f t="shared" si="47"/>
        <v>1.519088069</v>
      </c>
      <c r="JM57" s="80">
        <f t="shared" si="47"/>
        <v>1.137472025</v>
      </c>
      <c r="JN57" s="80">
        <f t="shared" si="47"/>
        <v>3.860055574</v>
      </c>
      <c r="JO57" s="80">
        <f t="shared" si="47"/>
        <v>4.171966603</v>
      </c>
      <c r="JP57" s="80">
        <f t="shared" si="47"/>
        <v>3.164676015</v>
      </c>
      <c r="JQ57" s="80">
        <f t="shared" si="47"/>
        <v>1.354283584</v>
      </c>
      <c r="JR57" s="80">
        <f t="shared" si="47"/>
        <v>2.06786481</v>
      </c>
      <c r="JS57" s="80">
        <f t="shared" si="47"/>
        <v>3.112319717</v>
      </c>
      <c r="JT57" s="80">
        <f t="shared" si="47"/>
        <v>2.216004136</v>
      </c>
      <c r="JU57" s="80">
        <f t="shared" si="47"/>
        <v>1.180322108</v>
      </c>
      <c r="JV57" s="80">
        <f t="shared" si="47"/>
        <v>2.086803944</v>
      </c>
      <c r="JW57" s="80">
        <f t="shared" si="47"/>
        <v>1.606016322</v>
      </c>
      <c r="JX57" s="80">
        <f t="shared" si="47"/>
        <v>1.066167821</v>
      </c>
      <c r="JY57" s="80">
        <f t="shared" si="47"/>
        <v>3.636164118</v>
      </c>
      <c r="JZ57" s="80">
        <f t="shared" si="47"/>
        <v>6.309396478</v>
      </c>
      <c r="KA57" s="80">
        <f t="shared" si="47"/>
        <v>3.961527679</v>
      </c>
      <c r="KB57" s="80">
        <f t="shared" si="47"/>
        <v>1.239164086</v>
      </c>
      <c r="KC57" s="80">
        <f t="shared" si="47"/>
        <v>1.800135403</v>
      </c>
      <c r="KD57" s="80">
        <f t="shared" si="47"/>
        <v>3.464670832</v>
      </c>
      <c r="KE57" s="80">
        <f t="shared" si="47"/>
        <v>5.501543575</v>
      </c>
      <c r="KF57" s="80">
        <f t="shared" si="47"/>
        <v>1.723119066</v>
      </c>
      <c r="KG57" s="80">
        <f t="shared" si="47"/>
        <v>0.8712421212</v>
      </c>
      <c r="KH57" s="80">
        <f t="shared" si="47"/>
        <v>1.69563894</v>
      </c>
      <c r="KI57" s="80">
        <f t="shared" si="47"/>
        <v>1.318847255</v>
      </c>
      <c r="KJ57" s="80">
        <f t="shared" si="47"/>
        <v>2.242444658</v>
      </c>
      <c r="KK57" s="80">
        <f t="shared" si="47"/>
        <v>1.732764737</v>
      </c>
      <c r="KL57" s="80">
        <f t="shared" si="47"/>
        <v>1.233310016</v>
      </c>
      <c r="KM57" s="80">
        <f t="shared" si="47"/>
        <v>1.596406566</v>
      </c>
      <c r="KN57" s="80">
        <f t="shared" si="47"/>
        <v>5.227010721</v>
      </c>
      <c r="KO57" s="80">
        <f t="shared" si="47"/>
        <v>2.313184549</v>
      </c>
      <c r="KP57" s="80">
        <f t="shared" si="47"/>
        <v>2.059535597</v>
      </c>
      <c r="KQ57" s="80">
        <f t="shared" si="47"/>
        <v>2.935503095</v>
      </c>
      <c r="KR57" s="80">
        <f t="shared" si="47"/>
        <v>0.961034134</v>
      </c>
      <c r="KS57" s="80">
        <f t="shared" si="47"/>
        <v>1.290388211</v>
      </c>
      <c r="KT57" s="80">
        <f t="shared" si="47"/>
        <v>2.116175071</v>
      </c>
      <c r="KU57" s="80">
        <f t="shared" si="47"/>
        <v>2.02761289</v>
      </c>
      <c r="KV57" s="80">
        <f t="shared" si="47"/>
        <v>2.59167679</v>
      </c>
      <c r="KW57" s="80">
        <f t="shared" si="47"/>
        <v>1.88360455</v>
      </c>
      <c r="KX57" s="80">
        <f t="shared" si="47"/>
        <v>6.574150515</v>
      </c>
      <c r="KY57" s="80">
        <f t="shared" si="47"/>
        <v>2.888163359</v>
      </c>
      <c r="KZ57" s="80">
        <f t="shared" si="47"/>
        <v>1.908586628</v>
      </c>
      <c r="LA57" s="80">
        <f t="shared" si="47"/>
        <v>1.331470068</v>
      </c>
      <c r="LB57" s="80">
        <f t="shared" si="47"/>
        <v>4.912312554</v>
      </c>
      <c r="LC57" s="80">
        <f t="shared" si="47"/>
        <v>2.739556642</v>
      </c>
      <c r="LD57" s="80">
        <f t="shared" si="47"/>
        <v>3.180900859</v>
      </c>
      <c r="LE57" s="80">
        <f t="shared" si="47"/>
        <v>2.056565764</v>
      </c>
      <c r="LF57" s="80">
        <f t="shared" si="47"/>
        <v>1.641075892</v>
      </c>
      <c r="LG57" s="80">
        <f t="shared" si="47"/>
        <v>1.968139408</v>
      </c>
      <c r="LH57" s="80">
        <f t="shared" si="47"/>
        <v>2.068376407</v>
      </c>
      <c r="LI57" s="80">
        <f t="shared" si="47"/>
        <v>4.988393708</v>
      </c>
      <c r="LJ57" s="80">
        <f t="shared" si="47"/>
        <v>2.722721618</v>
      </c>
      <c r="LK57" s="80">
        <f t="shared" si="47"/>
        <v>4.164866467</v>
      </c>
      <c r="LL57" s="80">
        <f t="shared" si="47"/>
        <v>1.798599615</v>
      </c>
      <c r="LM57" s="80">
        <f t="shared" si="47"/>
        <v>2.65855777</v>
      </c>
      <c r="LN57" s="80">
        <f t="shared" si="47"/>
        <v>2.964764079</v>
      </c>
      <c r="LO57" s="80">
        <f t="shared" si="47"/>
        <v>1.343339668</v>
      </c>
      <c r="LP57" s="80">
        <f t="shared" si="47"/>
        <v>0.9579504339</v>
      </c>
      <c r="LQ57" s="80">
        <f t="shared" si="47"/>
        <v>1.982225907</v>
      </c>
      <c r="LR57" s="80">
        <f t="shared" si="47"/>
        <v>2.959438117</v>
      </c>
      <c r="LS57" s="80">
        <f t="shared" si="47"/>
        <v>4.104272486</v>
      </c>
      <c r="LT57" s="80">
        <f t="shared" si="47"/>
        <v>1.474952924</v>
      </c>
      <c r="LU57" s="80">
        <f t="shared" si="47"/>
        <v>1.378658247</v>
      </c>
      <c r="LV57" s="80">
        <f t="shared" si="47"/>
        <v>1.583999293</v>
      </c>
      <c r="LW57" s="80">
        <f t="shared" si="47"/>
        <v>0.910620706</v>
      </c>
      <c r="LX57" s="80">
        <f t="shared" si="47"/>
        <v>1.450163222</v>
      </c>
      <c r="LY57" s="80">
        <f t="shared" si="47"/>
        <v>3.673129609</v>
      </c>
      <c r="LZ57" s="80">
        <f t="shared" si="47"/>
        <v>1.229999613</v>
      </c>
      <c r="MA57" s="80">
        <f t="shared" si="47"/>
        <v>1.76939381</v>
      </c>
      <c r="MB57" s="80">
        <f t="shared" si="47"/>
        <v>9.21952317</v>
      </c>
      <c r="MC57" s="80">
        <f t="shared" si="47"/>
        <v>4.423126659</v>
      </c>
      <c r="MD57" s="80">
        <f t="shared" si="47"/>
        <v>1.871167691</v>
      </c>
      <c r="ME57" s="80">
        <f t="shared" si="47"/>
        <v>2.436074875</v>
      </c>
      <c r="MF57" s="80">
        <f t="shared" si="47"/>
        <v>0.9717826909</v>
      </c>
      <c r="MG57" s="80">
        <f t="shared" si="47"/>
        <v>2.058180054</v>
      </c>
      <c r="MH57" s="80">
        <f t="shared" si="47"/>
        <v>2.117407892</v>
      </c>
      <c r="MI57" s="80">
        <f t="shared" si="47"/>
        <v>3.32481926</v>
      </c>
      <c r="MJ57" s="80">
        <f t="shared" si="47"/>
        <v>1.647899074</v>
      </c>
      <c r="MK57" s="80">
        <f t="shared" si="47"/>
        <v>0.7417735784</v>
      </c>
      <c r="ML57" s="80">
        <f t="shared" si="47"/>
        <v>1.871489403</v>
      </c>
      <c r="MM57" s="80">
        <f t="shared" si="47"/>
        <v>1.455918371</v>
      </c>
      <c r="MN57" s="80">
        <f t="shared" si="47"/>
        <v>4.005802167</v>
      </c>
      <c r="MO57" s="80">
        <f t="shared" si="47"/>
        <v>3.486712592</v>
      </c>
      <c r="MP57" s="80">
        <f t="shared" si="47"/>
        <v>4.033054677</v>
      </c>
      <c r="MQ57" s="80">
        <f t="shared" si="47"/>
        <v>1.33060201</v>
      </c>
      <c r="MR57" s="80">
        <f t="shared" si="47"/>
        <v>1.4543054</v>
      </c>
      <c r="MS57" s="80">
        <f t="shared" si="47"/>
        <v>1.891297608</v>
      </c>
      <c r="MT57" s="80">
        <f t="shared" si="47"/>
        <v>2.891969344</v>
      </c>
      <c r="MU57" s="80">
        <f t="shared" si="47"/>
        <v>2.335566052</v>
      </c>
      <c r="MV57" s="80">
        <f t="shared" si="47"/>
        <v>3.181655494</v>
      </c>
      <c r="MW57" s="80">
        <f t="shared" si="47"/>
        <v>1.370481344</v>
      </c>
      <c r="MX57" s="80">
        <f t="shared" si="47"/>
        <v>2.915131821</v>
      </c>
      <c r="MY57" s="80">
        <f t="shared" si="47"/>
        <v>1.52028174</v>
      </c>
      <c r="MZ57" s="80">
        <f t="shared" si="47"/>
        <v>1.535152112</v>
      </c>
      <c r="NA57" s="80">
        <f t="shared" si="47"/>
        <v>7.069570319</v>
      </c>
      <c r="NB57" s="80">
        <f t="shared" si="47"/>
        <v>3.228788205</v>
      </c>
      <c r="NC57" s="80">
        <f t="shared" si="47"/>
        <v>2.646840041</v>
      </c>
      <c r="ND57" s="80">
        <f t="shared" si="47"/>
        <v>2.66139313</v>
      </c>
      <c r="NE57" s="80">
        <f t="shared" si="47"/>
        <v>2.134477675</v>
      </c>
      <c r="NF57" s="80">
        <f t="shared" si="47"/>
        <v>0.8168356862</v>
      </c>
      <c r="NG57" s="80">
        <f t="shared" si="47"/>
        <v>4.816415475</v>
      </c>
      <c r="NH57" s="80">
        <f t="shared" si="47"/>
        <v>1.306347199</v>
      </c>
      <c r="NI57" s="80">
        <f t="shared" si="47"/>
        <v>3.139885021</v>
      </c>
      <c r="NJ57" s="80">
        <f t="shared" si="47"/>
        <v>1.467938247</v>
      </c>
      <c r="NK57" s="80">
        <f t="shared" si="47"/>
        <v>3.423157</v>
      </c>
      <c r="NL57" s="80">
        <f t="shared" si="47"/>
        <v>2.999055914</v>
      </c>
      <c r="NM57" s="80">
        <f t="shared" si="47"/>
        <v>4.54372959</v>
      </c>
      <c r="NN57" s="80">
        <f t="shared" si="47"/>
        <v>0.9106867856</v>
      </c>
      <c r="NO57" s="80">
        <f t="shared" si="47"/>
        <v>3.227775823</v>
      </c>
      <c r="NP57" s="80">
        <f t="shared" si="47"/>
        <v>6.645479507</v>
      </c>
      <c r="NQ57" s="80">
        <f t="shared" si="47"/>
        <v>1.693953327</v>
      </c>
      <c r="NR57" s="80">
        <f t="shared" si="47"/>
        <v>1.6645721</v>
      </c>
      <c r="NS57" s="80">
        <f t="shared" si="47"/>
        <v>2.568645817</v>
      </c>
      <c r="NT57" s="80">
        <f t="shared" si="47"/>
        <v>6.175948162</v>
      </c>
      <c r="NU57" s="80">
        <f t="shared" si="47"/>
        <v>2.193672715</v>
      </c>
      <c r="NV57" s="80">
        <f t="shared" si="47"/>
        <v>2.067326396</v>
      </c>
      <c r="NW57" s="80">
        <f t="shared" si="47"/>
        <v>5.096182121</v>
      </c>
      <c r="NX57" s="80">
        <f t="shared" si="47"/>
        <v>1.709934372</v>
      </c>
      <c r="NY57" s="80">
        <f t="shared" si="47"/>
        <v>1.91107193</v>
      </c>
      <c r="NZ57" s="80">
        <f t="shared" si="47"/>
        <v>1.317541688</v>
      </c>
      <c r="OA57" s="80">
        <f t="shared" si="47"/>
        <v>2.248841677</v>
      </c>
      <c r="OB57" s="80">
        <f t="shared" si="47"/>
        <v>2.760673735</v>
      </c>
      <c r="OC57" s="80">
        <f t="shared" si="47"/>
        <v>1.377117921</v>
      </c>
      <c r="OD57" s="80">
        <f t="shared" si="47"/>
        <v>2.966349375</v>
      </c>
      <c r="OE57" s="80">
        <f t="shared" si="47"/>
        <v>1.247912813</v>
      </c>
      <c r="OF57" s="80">
        <f t="shared" si="47"/>
        <v>2.38511858</v>
      </c>
      <c r="OG57" s="80">
        <f t="shared" si="47"/>
        <v>1.533216001</v>
      </c>
      <c r="OH57" s="80">
        <f t="shared" si="47"/>
        <v>1.797027509</v>
      </c>
      <c r="OI57" s="80">
        <f t="shared" si="47"/>
        <v>3.636832238</v>
      </c>
      <c r="OJ57" s="80">
        <f t="shared" si="47"/>
        <v>1.269645904</v>
      </c>
      <c r="OK57" s="80">
        <f t="shared" si="47"/>
        <v>1.538158791</v>
      </c>
      <c r="OL57" s="80">
        <f t="shared" si="47"/>
        <v>1.150758063</v>
      </c>
      <c r="OM57" s="80">
        <f t="shared" si="47"/>
        <v>1.25460135</v>
      </c>
      <c r="ON57" s="80">
        <f t="shared" si="47"/>
        <v>4.126699345</v>
      </c>
      <c r="OO57" s="80">
        <f t="shared" si="47"/>
        <v>0.6820399612</v>
      </c>
      <c r="OP57" s="80">
        <f t="shared" si="47"/>
        <v>1.561026184</v>
      </c>
      <c r="OQ57" s="80">
        <f t="shared" si="47"/>
        <v>2.362070417</v>
      </c>
      <c r="OR57" s="80">
        <f t="shared" si="47"/>
        <v>3.132226656</v>
      </c>
      <c r="OS57" s="80">
        <f t="shared" si="47"/>
        <v>1.270974007</v>
      </c>
      <c r="OT57" s="80">
        <f t="shared" si="47"/>
        <v>3.039593316</v>
      </c>
      <c r="OU57" s="80">
        <f t="shared" si="47"/>
        <v>1.863602129</v>
      </c>
      <c r="OV57" s="80">
        <f t="shared" si="47"/>
        <v>2.901700157</v>
      </c>
      <c r="OW57" s="80">
        <f t="shared" si="47"/>
        <v>1.378044104</v>
      </c>
      <c r="OX57" s="80">
        <f t="shared" si="47"/>
        <v>1.563417057</v>
      </c>
      <c r="OY57" s="80">
        <f t="shared" si="47"/>
        <v>1.776685075</v>
      </c>
      <c r="OZ57" s="80">
        <f t="shared" si="47"/>
        <v>2.404598702</v>
      </c>
      <c r="PA57" s="80">
        <f t="shared" si="47"/>
        <v>1.731911571</v>
      </c>
      <c r="PB57" s="80">
        <f t="shared" si="47"/>
        <v>2.645533376</v>
      </c>
      <c r="PC57" s="80">
        <f t="shared" si="47"/>
        <v>2.880008311</v>
      </c>
      <c r="PD57" s="80">
        <f t="shared" si="47"/>
        <v>0.7876103119</v>
      </c>
      <c r="PE57" s="80">
        <f t="shared" si="47"/>
        <v>1.755139814</v>
      </c>
      <c r="PF57" s="80">
        <f t="shared" si="47"/>
        <v>3.521986508</v>
      </c>
      <c r="PG57" s="80">
        <f t="shared" si="47"/>
        <v>1.657815993</v>
      </c>
      <c r="PH57" s="80">
        <f t="shared" si="47"/>
        <v>1.663236717</v>
      </c>
      <c r="PI57" s="80">
        <f t="shared" si="47"/>
        <v>1.712772946</v>
      </c>
      <c r="PJ57" s="80">
        <f t="shared" si="47"/>
        <v>0.9239572743</v>
      </c>
      <c r="PK57" s="80">
        <f t="shared" si="47"/>
        <v>2.316188002</v>
      </c>
      <c r="PL57" s="80">
        <f t="shared" si="47"/>
        <v>2.112379853</v>
      </c>
      <c r="PM57" s="80">
        <f t="shared" si="47"/>
        <v>1.160439121</v>
      </c>
      <c r="PN57" s="80">
        <f t="shared" si="47"/>
        <v>0.8306067182</v>
      </c>
      <c r="PO57" s="80">
        <f t="shared" si="47"/>
        <v>1.110211249</v>
      </c>
      <c r="PP57" s="80">
        <f t="shared" si="47"/>
        <v>1.005043078</v>
      </c>
      <c r="PQ57" s="80">
        <f t="shared" si="47"/>
        <v>4.340727326</v>
      </c>
      <c r="PR57" s="80">
        <f t="shared" si="47"/>
        <v>3.66882195</v>
      </c>
      <c r="PS57" s="80">
        <f t="shared" si="47"/>
        <v>0.9624330549</v>
      </c>
      <c r="PT57" s="80">
        <f t="shared" si="47"/>
        <v>1.740329385</v>
      </c>
      <c r="PU57" s="80">
        <f t="shared" si="47"/>
        <v>1.086675201</v>
      </c>
      <c r="PV57" s="80">
        <f t="shared" si="47"/>
        <v>1.724133869</v>
      </c>
      <c r="PW57" s="80">
        <f t="shared" si="47"/>
        <v>3.701744341</v>
      </c>
      <c r="PX57" s="80">
        <f t="shared" si="47"/>
        <v>2.860520732</v>
      </c>
      <c r="PY57" s="80">
        <f t="shared" si="47"/>
        <v>4.388417508</v>
      </c>
      <c r="PZ57" s="80">
        <f t="shared" si="47"/>
        <v>1.772577397</v>
      </c>
      <c r="QA57" s="80">
        <f t="shared" si="47"/>
        <v>2.508364969</v>
      </c>
      <c r="QB57" s="80">
        <f t="shared" si="47"/>
        <v>1.71720887</v>
      </c>
      <c r="QC57" s="80">
        <f t="shared" si="47"/>
        <v>6.045094713</v>
      </c>
      <c r="QD57" s="80">
        <f t="shared" si="47"/>
        <v>1.460162637</v>
      </c>
      <c r="QE57" s="80">
        <f t="shared" si="47"/>
        <v>3.732080662</v>
      </c>
      <c r="QF57" s="80">
        <f t="shared" si="47"/>
        <v>0.9988667624</v>
      </c>
      <c r="QG57" s="80">
        <f t="shared" si="47"/>
        <v>6.484245303</v>
      </c>
      <c r="QH57" s="80">
        <f t="shared" si="47"/>
        <v>2.533305551</v>
      </c>
      <c r="QI57" s="80">
        <f t="shared" si="47"/>
        <v>1.71795349</v>
      </c>
      <c r="QJ57" s="80">
        <f t="shared" si="47"/>
        <v>2.222149477</v>
      </c>
      <c r="QK57" s="80">
        <f t="shared" si="47"/>
        <v>1.661377881</v>
      </c>
      <c r="QL57" s="80">
        <f t="shared" si="47"/>
        <v>1.164080226</v>
      </c>
      <c r="QM57" s="80">
        <f t="shared" si="47"/>
        <v>4.249288263</v>
      </c>
      <c r="QN57" s="80">
        <f t="shared" si="47"/>
        <v>1.103531462</v>
      </c>
      <c r="QO57" s="80">
        <f t="shared" si="47"/>
        <v>1.119058899</v>
      </c>
      <c r="QP57" s="80">
        <f t="shared" si="47"/>
        <v>1.495555882</v>
      </c>
      <c r="QQ57" s="80">
        <f t="shared" si="47"/>
        <v>5.056636567</v>
      </c>
      <c r="QR57" s="80">
        <f t="shared" si="47"/>
        <v>4.922601485</v>
      </c>
      <c r="QS57" s="80">
        <f t="shared" si="47"/>
        <v>2.762339292</v>
      </c>
      <c r="QT57" s="80">
        <f t="shared" si="47"/>
        <v>1.607865313</v>
      </c>
      <c r="QU57" s="80">
        <f t="shared" si="47"/>
        <v>1.2206625</v>
      </c>
      <c r="QV57" s="80">
        <f t="shared" si="47"/>
        <v>2.804785066</v>
      </c>
      <c r="QW57" s="80">
        <f t="shared" si="47"/>
        <v>2.73690745</v>
      </c>
      <c r="QX57" s="80">
        <f t="shared" si="47"/>
        <v>2.120212745</v>
      </c>
      <c r="QY57" s="80">
        <f t="shared" si="47"/>
        <v>1.115612144</v>
      </c>
      <c r="QZ57" s="80">
        <f t="shared" si="47"/>
        <v>2.143009328</v>
      </c>
      <c r="RA57" s="80">
        <f t="shared" si="47"/>
        <v>3.1627783</v>
      </c>
      <c r="RB57" s="80">
        <f t="shared" si="47"/>
        <v>2.902729346</v>
      </c>
      <c r="RC57" s="80">
        <f t="shared" si="47"/>
        <v>1.280689377</v>
      </c>
      <c r="RD57" s="80">
        <f t="shared" si="47"/>
        <v>1.080599976</v>
      </c>
      <c r="RE57" s="80">
        <f t="shared" si="47"/>
        <v>2.986482404</v>
      </c>
      <c r="RF57" s="80">
        <f t="shared" si="47"/>
        <v>2.205088772</v>
      </c>
      <c r="RG57" s="80">
        <f t="shared" si="47"/>
        <v>1.244676293</v>
      </c>
      <c r="RH57" s="80">
        <f t="shared" si="47"/>
        <v>0.886425497</v>
      </c>
      <c r="RI57" s="80">
        <f t="shared" si="47"/>
        <v>4.147851351</v>
      </c>
      <c r="RJ57" s="80">
        <f t="shared" si="47"/>
        <v>2.789097658</v>
      </c>
      <c r="RK57" s="80">
        <f t="shared" si="47"/>
        <v>5.276630083</v>
      </c>
      <c r="RL57" s="80">
        <f t="shared" si="47"/>
        <v>2.519925397</v>
      </c>
      <c r="RM57" s="80">
        <f t="shared" si="47"/>
        <v>4.004364962</v>
      </c>
      <c r="RN57" s="80">
        <f t="shared" si="47"/>
        <v>3.432779839</v>
      </c>
      <c r="RO57" s="80">
        <f t="shared" si="47"/>
        <v>3.518684134</v>
      </c>
      <c r="RP57" s="80">
        <f t="shared" si="47"/>
        <v>4.321958659</v>
      </c>
      <c r="RQ57" s="80">
        <f t="shared" si="47"/>
        <v>1.9820762</v>
      </c>
      <c r="RR57" s="80">
        <f t="shared" si="47"/>
        <v>2.83955649</v>
      </c>
      <c r="RS57" s="80">
        <f t="shared" si="47"/>
        <v>3.262303778</v>
      </c>
      <c r="RT57" s="80">
        <f t="shared" si="47"/>
        <v>1.635171698</v>
      </c>
      <c r="RU57" s="80">
        <f t="shared" si="47"/>
        <v>1.005019334</v>
      </c>
      <c r="RV57" s="80">
        <f t="shared" si="47"/>
        <v>1.565398752</v>
      </c>
      <c r="RW57" s="80">
        <f t="shared" si="47"/>
        <v>2.226466204</v>
      </c>
      <c r="RX57" s="80">
        <f t="shared" si="47"/>
        <v>1.741395009</v>
      </c>
      <c r="RY57" s="80">
        <f t="shared" si="47"/>
        <v>0.5659026848</v>
      </c>
      <c r="RZ57" s="80">
        <f t="shared" si="47"/>
        <v>2.432306368</v>
      </c>
      <c r="SA57" s="80">
        <f t="shared" si="47"/>
        <v>1.073526587</v>
      </c>
      <c r="SB57" s="80">
        <f t="shared" si="47"/>
        <v>2.056525037</v>
      </c>
      <c r="SC57" s="80">
        <f t="shared" si="47"/>
        <v>1.857003111</v>
      </c>
      <c r="SD57" s="80">
        <f t="shared" si="47"/>
        <v>3.678719617</v>
      </c>
      <c r="SE57" s="80">
        <f t="shared" si="47"/>
        <v>1.955179614</v>
      </c>
      <c r="SF57" s="80">
        <f t="shared" si="47"/>
        <v>1.779254395</v>
      </c>
      <c r="SG57" s="80">
        <f t="shared" si="47"/>
        <v>2.192752654</v>
      </c>
      <c r="SH57" s="80">
        <f t="shared" si="47"/>
        <v>2.292084091</v>
      </c>
      <c r="SI57" s="80">
        <f t="shared" si="47"/>
        <v>2.697428667</v>
      </c>
      <c r="SJ57" s="80">
        <f t="shared" si="47"/>
        <v>1.109503926</v>
      </c>
      <c r="SK57" s="80">
        <f t="shared" si="47"/>
        <v>3.961460977</v>
      </c>
      <c r="SL57" s="80">
        <f t="shared" si="47"/>
        <v>1.609913803</v>
      </c>
    </row>
    <row r="58">
      <c r="A58" s="50" t="s">
        <v>134</v>
      </c>
      <c r="B58" s="66"/>
      <c r="C58" s="244"/>
      <c r="D58" s="245"/>
      <c r="E58" s="246"/>
      <c r="F58" s="66"/>
      <c r="G58" s="66"/>
      <c r="H58" s="66"/>
      <c r="I58" s="66"/>
      <c r="J58" s="66"/>
      <c r="K58" s="66"/>
      <c r="L58" s="66"/>
      <c r="M58" s="66"/>
      <c r="N58" s="66"/>
      <c r="O58" s="66"/>
      <c r="P58" s="66"/>
      <c r="Q58" s="66"/>
      <c r="R58" s="66"/>
      <c r="S58" s="66"/>
      <c r="T58" s="66"/>
      <c r="U58" s="66"/>
      <c r="V58" s="66"/>
      <c r="W58" s="66"/>
      <c r="X58" s="66"/>
      <c r="Y58" s="66"/>
      <c r="Z58" s="66"/>
      <c r="AA58" s="66"/>
      <c r="AB58" s="66"/>
      <c r="AC58" s="66"/>
      <c r="AD58" s="66"/>
      <c r="AE58" s="66"/>
      <c r="AF58" s="66"/>
      <c r="AG58" s="66"/>
      <c r="AH58" s="66"/>
      <c r="AI58" s="66"/>
      <c r="AJ58" s="66"/>
      <c r="AK58" s="66"/>
      <c r="AL58" s="66"/>
      <c r="AM58" s="66"/>
      <c r="AN58" s="66"/>
      <c r="AO58" s="66"/>
      <c r="AP58" s="66"/>
      <c r="AQ58" s="66"/>
      <c r="AR58" s="66"/>
      <c r="AS58" s="66"/>
      <c r="AT58" s="66"/>
      <c r="AU58" s="66"/>
      <c r="AV58" s="66"/>
      <c r="AW58" s="66"/>
      <c r="AX58" s="66"/>
      <c r="AY58" s="66"/>
      <c r="AZ58" s="66"/>
      <c r="BA58" s="66"/>
      <c r="BB58" s="66"/>
      <c r="BC58" s="66"/>
      <c r="BD58" s="66"/>
      <c r="BE58" s="66"/>
      <c r="BF58" s="66"/>
      <c r="BG58" s="66"/>
      <c r="BH58" s="66"/>
      <c r="BI58" s="66"/>
      <c r="BJ58" s="66"/>
      <c r="BK58" s="66"/>
      <c r="BL58" s="66"/>
      <c r="BM58" s="66"/>
      <c r="BN58" s="66"/>
      <c r="BO58" s="66"/>
      <c r="BP58" s="66"/>
      <c r="BQ58" s="66"/>
      <c r="BR58" s="66"/>
      <c r="BS58" s="66"/>
      <c r="BT58" s="66"/>
      <c r="BU58" s="66"/>
      <c r="BV58" s="66"/>
      <c r="BW58" s="66"/>
      <c r="BX58" s="66"/>
      <c r="BY58" s="66"/>
      <c r="BZ58" s="66"/>
      <c r="CA58" s="66"/>
      <c r="CB58" s="66"/>
      <c r="CC58" s="66"/>
      <c r="CD58" s="66"/>
      <c r="CE58" s="66"/>
      <c r="CF58" s="66"/>
      <c r="CG58" s="66"/>
      <c r="CH58" s="66"/>
      <c r="CI58" s="66"/>
      <c r="CJ58" s="66"/>
      <c r="CK58" s="66"/>
      <c r="CL58" s="66"/>
      <c r="CM58" s="66"/>
      <c r="CN58" s="66"/>
      <c r="CO58" s="66"/>
      <c r="CP58" s="66"/>
      <c r="CQ58" s="66"/>
      <c r="CR58" s="66"/>
      <c r="CS58" s="66"/>
      <c r="CT58" s="66"/>
      <c r="CU58" s="66"/>
      <c r="CV58" s="66"/>
      <c r="CW58" s="66"/>
      <c r="CX58" s="66"/>
      <c r="CY58" s="66"/>
      <c r="CZ58" s="66"/>
      <c r="DA58" s="66"/>
      <c r="DB58" s="66"/>
      <c r="DC58" s="66"/>
      <c r="DD58" s="66"/>
      <c r="DE58" s="66"/>
      <c r="DF58" s="66"/>
      <c r="DG58" s="66"/>
      <c r="DH58" s="66"/>
      <c r="DI58" s="66"/>
      <c r="DJ58" s="66"/>
      <c r="DK58" s="66"/>
      <c r="DL58" s="66"/>
      <c r="DM58" s="66"/>
      <c r="DN58" s="66"/>
      <c r="DO58" s="66"/>
      <c r="DP58" s="66"/>
      <c r="DQ58" s="66"/>
      <c r="DR58" s="66"/>
      <c r="DS58" s="66"/>
      <c r="DT58" s="66"/>
      <c r="DU58" s="66"/>
      <c r="DV58" s="66"/>
      <c r="DW58" s="66"/>
      <c r="DX58" s="66"/>
      <c r="DY58" s="66"/>
      <c r="DZ58" s="66"/>
      <c r="EA58" s="66"/>
      <c r="EB58" s="66"/>
      <c r="EC58" s="66"/>
      <c r="ED58" s="66"/>
      <c r="EE58" s="66"/>
      <c r="EF58" s="66"/>
      <c r="EG58" s="66"/>
      <c r="EH58" s="66"/>
      <c r="EI58" s="66"/>
      <c r="EJ58" s="66"/>
      <c r="EK58" s="66"/>
      <c r="EL58" s="66"/>
      <c r="EM58" s="66"/>
      <c r="EN58" s="66"/>
      <c r="EO58" s="66"/>
      <c r="EP58" s="66"/>
      <c r="EQ58" s="66"/>
      <c r="ER58" s="66"/>
      <c r="ES58" s="66"/>
      <c r="ET58" s="66"/>
      <c r="EU58" s="66"/>
      <c r="EV58" s="66"/>
      <c r="EW58" s="66"/>
      <c r="EX58" s="66"/>
      <c r="EY58" s="66"/>
      <c r="EZ58" s="66"/>
      <c r="FA58" s="66"/>
      <c r="FB58" s="66"/>
      <c r="FC58" s="66"/>
      <c r="FD58" s="66"/>
      <c r="FE58" s="66"/>
      <c r="FF58" s="66"/>
      <c r="FG58" s="66"/>
      <c r="FH58" s="66"/>
      <c r="FI58" s="66"/>
      <c r="FJ58" s="66"/>
      <c r="FK58" s="66"/>
      <c r="FL58" s="66"/>
      <c r="FM58" s="66"/>
      <c r="FN58" s="66"/>
      <c r="FO58" s="66"/>
      <c r="FP58" s="66"/>
      <c r="FQ58" s="66"/>
      <c r="FR58" s="66"/>
      <c r="FS58" s="66"/>
      <c r="FT58" s="66"/>
      <c r="FU58" s="66"/>
      <c r="FV58" s="66"/>
      <c r="FW58" s="66"/>
      <c r="FX58" s="66"/>
      <c r="FY58" s="66"/>
      <c r="FZ58" s="66"/>
      <c r="GA58" s="66"/>
      <c r="GB58" s="66"/>
      <c r="GC58" s="66"/>
      <c r="GD58" s="66"/>
      <c r="GE58" s="66"/>
      <c r="GF58" s="66"/>
      <c r="GG58" s="66"/>
      <c r="GH58" s="66"/>
      <c r="GI58" s="66"/>
      <c r="GJ58" s="66"/>
      <c r="GK58" s="66"/>
      <c r="GL58" s="66"/>
      <c r="GM58" s="66"/>
      <c r="GN58" s="66"/>
      <c r="GO58" s="66"/>
      <c r="GP58" s="66"/>
      <c r="GQ58" s="66"/>
      <c r="GR58" s="66"/>
      <c r="GS58" s="66"/>
      <c r="GT58" s="66"/>
      <c r="GU58" s="66"/>
      <c r="GV58" s="66"/>
      <c r="GW58" s="66"/>
      <c r="GX58" s="66"/>
      <c r="GY58" s="66"/>
      <c r="GZ58" s="66"/>
      <c r="HA58" s="66"/>
      <c r="HB58" s="66"/>
      <c r="HC58" s="66"/>
      <c r="HD58" s="66"/>
      <c r="HE58" s="66"/>
      <c r="HF58" s="66"/>
      <c r="HG58" s="66"/>
      <c r="HH58" s="66"/>
      <c r="HI58" s="66"/>
      <c r="HJ58" s="66"/>
      <c r="HK58" s="66"/>
      <c r="HL58" s="66"/>
      <c r="HM58" s="66"/>
      <c r="HN58" s="66"/>
      <c r="HO58" s="66"/>
      <c r="HP58" s="66"/>
      <c r="HQ58" s="66"/>
      <c r="HR58" s="66"/>
      <c r="HS58" s="66"/>
      <c r="HT58" s="66"/>
      <c r="HU58" s="66"/>
      <c r="HV58" s="66"/>
      <c r="HW58" s="66"/>
      <c r="HX58" s="66"/>
      <c r="HY58" s="66"/>
      <c r="HZ58" s="66"/>
      <c r="IA58" s="66"/>
      <c r="IB58" s="66"/>
      <c r="IC58" s="66"/>
      <c r="ID58" s="66"/>
      <c r="IE58" s="66"/>
      <c r="IF58" s="66"/>
      <c r="IG58" s="66"/>
      <c r="IH58" s="66"/>
      <c r="II58" s="66"/>
      <c r="IJ58" s="66"/>
      <c r="IK58" s="66"/>
      <c r="IL58" s="66"/>
      <c r="IM58" s="66"/>
      <c r="IN58" s="66"/>
      <c r="IO58" s="66"/>
      <c r="IP58" s="66"/>
      <c r="IQ58" s="66"/>
      <c r="IR58" s="66"/>
      <c r="IS58" s="66"/>
      <c r="IT58" s="66"/>
      <c r="IU58" s="66"/>
      <c r="IV58" s="66"/>
      <c r="IW58" s="66"/>
      <c r="IX58" s="66"/>
      <c r="IY58" s="66"/>
      <c r="IZ58" s="66"/>
      <c r="JA58" s="66"/>
      <c r="JB58" s="66"/>
      <c r="JC58" s="66"/>
      <c r="JD58" s="66"/>
      <c r="JE58" s="66"/>
      <c r="JF58" s="66"/>
      <c r="JG58" s="66"/>
      <c r="JH58" s="66"/>
      <c r="JI58" s="66"/>
      <c r="JJ58" s="66"/>
      <c r="JK58" s="66"/>
      <c r="JL58" s="66"/>
      <c r="JM58" s="66"/>
      <c r="JN58" s="66"/>
      <c r="JO58" s="66"/>
      <c r="JP58" s="66"/>
      <c r="JQ58" s="66"/>
      <c r="JR58" s="66"/>
      <c r="JS58" s="66"/>
      <c r="JT58" s="66"/>
      <c r="JU58" s="66"/>
      <c r="JV58" s="66"/>
      <c r="JW58" s="66"/>
      <c r="JX58" s="66"/>
      <c r="JY58" s="66"/>
      <c r="JZ58" s="66"/>
      <c r="KA58" s="66"/>
      <c r="KB58" s="66"/>
      <c r="KC58" s="66"/>
      <c r="KD58" s="66"/>
      <c r="KE58" s="66"/>
      <c r="KF58" s="66"/>
      <c r="KG58" s="66"/>
      <c r="KH58" s="66"/>
      <c r="KI58" s="66"/>
      <c r="KJ58" s="66"/>
      <c r="KK58" s="66"/>
      <c r="KL58" s="66"/>
      <c r="KM58" s="66"/>
      <c r="KN58" s="66"/>
      <c r="KO58" s="66"/>
      <c r="KP58" s="66"/>
      <c r="KQ58" s="66"/>
      <c r="KR58" s="66"/>
      <c r="KS58" s="66"/>
      <c r="KT58" s="66"/>
      <c r="KU58" s="66"/>
      <c r="KV58" s="66"/>
      <c r="KW58" s="66"/>
      <c r="KX58" s="66"/>
      <c r="KY58" s="66"/>
      <c r="KZ58" s="66"/>
      <c r="LA58" s="66"/>
      <c r="LB58" s="66"/>
      <c r="LC58" s="66"/>
      <c r="LD58" s="66"/>
      <c r="LE58" s="66"/>
      <c r="LF58" s="66"/>
      <c r="LG58" s="66"/>
      <c r="LH58" s="66"/>
      <c r="LI58" s="66"/>
      <c r="LJ58" s="66"/>
      <c r="LK58" s="66"/>
      <c r="LL58" s="66"/>
      <c r="LM58" s="66"/>
      <c r="LN58" s="66"/>
      <c r="LO58" s="66"/>
      <c r="LP58" s="66"/>
      <c r="LQ58" s="66"/>
      <c r="LR58" s="66"/>
      <c r="LS58" s="66"/>
      <c r="LT58" s="66"/>
      <c r="LU58" s="66"/>
      <c r="LV58" s="66"/>
      <c r="LW58" s="66"/>
      <c r="LX58" s="66"/>
      <c r="LY58" s="66"/>
      <c r="LZ58" s="66"/>
      <c r="MA58" s="66"/>
      <c r="MB58" s="66"/>
      <c r="MC58" s="66"/>
      <c r="MD58" s="66"/>
      <c r="ME58" s="66"/>
      <c r="MF58" s="66"/>
      <c r="MG58" s="66"/>
      <c r="MH58" s="66"/>
      <c r="MI58" s="66"/>
      <c r="MJ58" s="66"/>
      <c r="MK58" s="66"/>
      <c r="ML58" s="66"/>
      <c r="MM58" s="66"/>
      <c r="MN58" s="66"/>
      <c r="MO58" s="66"/>
      <c r="MP58" s="66"/>
      <c r="MQ58" s="66"/>
      <c r="MR58" s="66"/>
      <c r="MS58" s="66"/>
      <c r="MT58" s="66"/>
      <c r="MU58" s="66"/>
      <c r="MV58" s="66"/>
      <c r="MW58" s="66"/>
      <c r="MX58" s="66"/>
      <c r="MY58" s="66"/>
      <c r="MZ58" s="66"/>
      <c r="NA58" s="66"/>
      <c r="NB58" s="66"/>
      <c r="NC58" s="66"/>
      <c r="ND58" s="66"/>
      <c r="NE58" s="66"/>
      <c r="NF58" s="66"/>
      <c r="NG58" s="66"/>
      <c r="NH58" s="66"/>
      <c r="NI58" s="66"/>
      <c r="NJ58" s="66"/>
      <c r="NK58" s="66"/>
      <c r="NL58" s="66"/>
      <c r="NM58" s="66"/>
      <c r="NN58" s="66"/>
      <c r="NO58" s="66"/>
      <c r="NP58" s="66"/>
      <c r="NQ58" s="66"/>
      <c r="NR58" s="66"/>
      <c r="NS58" s="66"/>
      <c r="NT58" s="66"/>
      <c r="NU58" s="66"/>
      <c r="NV58" s="66"/>
      <c r="NW58" s="66"/>
      <c r="NX58" s="66"/>
      <c r="NY58" s="66"/>
      <c r="NZ58" s="66"/>
      <c r="OA58" s="66"/>
      <c r="OB58" s="66"/>
      <c r="OC58" s="66"/>
      <c r="OD58" s="66"/>
      <c r="OE58" s="66"/>
      <c r="OF58" s="66"/>
      <c r="OG58" s="66"/>
      <c r="OH58" s="66"/>
      <c r="OI58" s="66"/>
      <c r="OJ58" s="66"/>
      <c r="OK58" s="66"/>
      <c r="OL58" s="66"/>
      <c r="OM58" s="66"/>
      <c r="ON58" s="66"/>
      <c r="OO58" s="66"/>
      <c r="OP58" s="66"/>
      <c r="OQ58" s="66"/>
      <c r="OR58" s="66"/>
      <c r="OS58" s="66"/>
      <c r="OT58" s="66"/>
      <c r="OU58" s="66"/>
      <c r="OV58" s="66"/>
      <c r="OW58" s="66"/>
      <c r="OX58" s="66"/>
      <c r="OY58" s="66"/>
      <c r="OZ58" s="66"/>
      <c r="PA58" s="66"/>
      <c r="PB58" s="66"/>
      <c r="PC58" s="66"/>
      <c r="PD58" s="66"/>
      <c r="PE58" s="66"/>
      <c r="PF58" s="66"/>
      <c r="PG58" s="66"/>
      <c r="PH58" s="66"/>
      <c r="PI58" s="66"/>
      <c r="PJ58" s="66"/>
      <c r="PK58" s="66"/>
      <c r="PL58" s="66"/>
      <c r="PM58" s="66"/>
      <c r="PN58" s="66"/>
      <c r="PO58" s="66"/>
      <c r="PP58" s="66"/>
      <c r="PQ58" s="66"/>
      <c r="PR58" s="66"/>
      <c r="PS58" s="66"/>
      <c r="PT58" s="66"/>
      <c r="PU58" s="66"/>
      <c r="PV58" s="66"/>
      <c r="PW58" s="66"/>
      <c r="PX58" s="66"/>
      <c r="PY58" s="66"/>
      <c r="PZ58" s="66"/>
      <c r="QA58" s="66"/>
      <c r="QB58" s="66"/>
      <c r="QC58" s="66"/>
      <c r="QD58" s="66"/>
      <c r="QE58" s="66"/>
      <c r="QF58" s="66"/>
      <c r="QG58" s="66"/>
      <c r="QH58" s="66"/>
      <c r="QI58" s="66"/>
      <c r="QJ58" s="66"/>
      <c r="QK58" s="66"/>
      <c r="QL58" s="66"/>
      <c r="QM58" s="66"/>
      <c r="QN58" s="66"/>
      <c r="QO58" s="66"/>
      <c r="QP58" s="66"/>
      <c r="QQ58" s="66"/>
      <c r="QR58" s="66"/>
      <c r="QS58" s="66"/>
      <c r="QT58" s="66"/>
      <c r="QU58" s="66"/>
      <c r="QV58" s="66"/>
      <c r="QW58" s="66"/>
      <c r="QX58" s="66"/>
      <c r="QY58" s="66"/>
      <c r="QZ58" s="66"/>
      <c r="RA58" s="66"/>
      <c r="RB58" s="66"/>
      <c r="RC58" s="66"/>
      <c r="RD58" s="66"/>
      <c r="RE58" s="66"/>
      <c r="RF58" s="66"/>
      <c r="RG58" s="66"/>
      <c r="RH58" s="66"/>
      <c r="RI58" s="66"/>
      <c r="RJ58" s="66"/>
      <c r="RK58" s="66"/>
      <c r="RL58" s="66"/>
      <c r="RM58" s="66"/>
      <c r="RN58" s="66"/>
      <c r="RO58" s="66"/>
      <c r="RP58" s="66"/>
      <c r="RQ58" s="66"/>
      <c r="RR58" s="66"/>
      <c r="RS58" s="66"/>
      <c r="RT58" s="66"/>
      <c r="RU58" s="66"/>
      <c r="RV58" s="66"/>
      <c r="RW58" s="66"/>
      <c r="RX58" s="66"/>
      <c r="RY58" s="66"/>
      <c r="RZ58" s="66"/>
      <c r="SA58" s="66"/>
      <c r="SB58" s="66"/>
      <c r="SC58" s="66"/>
      <c r="SD58" s="66"/>
      <c r="SE58" s="66"/>
      <c r="SF58" s="66"/>
      <c r="SG58" s="66"/>
      <c r="SH58" s="66"/>
      <c r="SI58" s="66"/>
      <c r="SJ58" s="66"/>
      <c r="SK58" s="66"/>
      <c r="SL58" s="66"/>
    </row>
    <row r="59">
      <c r="A59" s="53" t="s">
        <v>135</v>
      </c>
      <c r="B59" s="75">
        <f t="array" ref="B59">INDEX('New CEA'!$B59:$F59,MATCH($B$2,'New CEA'!B$2:F$2,0))</f>
        <v>0.1</v>
      </c>
      <c r="C59" s="273"/>
      <c r="D59" s="274"/>
      <c r="E59" s="275"/>
      <c r="F59" s="75"/>
      <c r="G59" s="75">
        <f t="shared" ref="G59:SL59" si="48">$B59</f>
        <v>0.1</v>
      </c>
      <c r="H59" s="75">
        <f t="shared" si="48"/>
        <v>0.1</v>
      </c>
      <c r="I59" s="75">
        <f t="shared" si="48"/>
        <v>0.1</v>
      </c>
      <c r="J59" s="75">
        <f t="shared" si="48"/>
        <v>0.1</v>
      </c>
      <c r="K59" s="75">
        <f t="shared" si="48"/>
        <v>0.1</v>
      </c>
      <c r="L59" s="75">
        <f t="shared" si="48"/>
        <v>0.1</v>
      </c>
      <c r="M59" s="75">
        <f t="shared" si="48"/>
        <v>0.1</v>
      </c>
      <c r="N59" s="75">
        <f t="shared" si="48"/>
        <v>0.1</v>
      </c>
      <c r="O59" s="75">
        <f t="shared" si="48"/>
        <v>0.1</v>
      </c>
      <c r="P59" s="75">
        <f t="shared" si="48"/>
        <v>0.1</v>
      </c>
      <c r="Q59" s="75">
        <f t="shared" si="48"/>
        <v>0.1</v>
      </c>
      <c r="R59" s="75">
        <f t="shared" si="48"/>
        <v>0.1</v>
      </c>
      <c r="S59" s="75">
        <f t="shared" si="48"/>
        <v>0.1</v>
      </c>
      <c r="T59" s="75">
        <f t="shared" si="48"/>
        <v>0.1</v>
      </c>
      <c r="U59" s="75">
        <f t="shared" si="48"/>
        <v>0.1</v>
      </c>
      <c r="V59" s="75">
        <f t="shared" si="48"/>
        <v>0.1</v>
      </c>
      <c r="W59" s="75">
        <f t="shared" si="48"/>
        <v>0.1</v>
      </c>
      <c r="X59" s="75">
        <f t="shared" si="48"/>
        <v>0.1</v>
      </c>
      <c r="Y59" s="75">
        <f t="shared" si="48"/>
        <v>0.1</v>
      </c>
      <c r="Z59" s="75">
        <f t="shared" si="48"/>
        <v>0.1</v>
      </c>
      <c r="AA59" s="75">
        <f t="shared" si="48"/>
        <v>0.1</v>
      </c>
      <c r="AB59" s="75">
        <f t="shared" si="48"/>
        <v>0.1</v>
      </c>
      <c r="AC59" s="75">
        <f t="shared" si="48"/>
        <v>0.1</v>
      </c>
      <c r="AD59" s="75">
        <f t="shared" si="48"/>
        <v>0.1</v>
      </c>
      <c r="AE59" s="75">
        <f t="shared" si="48"/>
        <v>0.1</v>
      </c>
      <c r="AF59" s="75">
        <f t="shared" si="48"/>
        <v>0.1</v>
      </c>
      <c r="AG59" s="75">
        <f t="shared" si="48"/>
        <v>0.1</v>
      </c>
      <c r="AH59" s="75">
        <f t="shared" si="48"/>
        <v>0.1</v>
      </c>
      <c r="AI59" s="75">
        <f t="shared" si="48"/>
        <v>0.1</v>
      </c>
      <c r="AJ59" s="75">
        <f t="shared" si="48"/>
        <v>0.1</v>
      </c>
      <c r="AK59" s="75">
        <f t="shared" si="48"/>
        <v>0.1</v>
      </c>
      <c r="AL59" s="75">
        <f t="shared" si="48"/>
        <v>0.1</v>
      </c>
      <c r="AM59" s="75">
        <f t="shared" si="48"/>
        <v>0.1</v>
      </c>
      <c r="AN59" s="75">
        <f t="shared" si="48"/>
        <v>0.1</v>
      </c>
      <c r="AO59" s="75">
        <f t="shared" si="48"/>
        <v>0.1</v>
      </c>
      <c r="AP59" s="75">
        <f t="shared" si="48"/>
        <v>0.1</v>
      </c>
      <c r="AQ59" s="75">
        <f t="shared" si="48"/>
        <v>0.1</v>
      </c>
      <c r="AR59" s="75">
        <f t="shared" si="48"/>
        <v>0.1</v>
      </c>
      <c r="AS59" s="75">
        <f t="shared" si="48"/>
        <v>0.1</v>
      </c>
      <c r="AT59" s="75">
        <f t="shared" si="48"/>
        <v>0.1</v>
      </c>
      <c r="AU59" s="75">
        <f t="shared" si="48"/>
        <v>0.1</v>
      </c>
      <c r="AV59" s="75">
        <f t="shared" si="48"/>
        <v>0.1</v>
      </c>
      <c r="AW59" s="75">
        <f t="shared" si="48"/>
        <v>0.1</v>
      </c>
      <c r="AX59" s="75">
        <f t="shared" si="48"/>
        <v>0.1</v>
      </c>
      <c r="AY59" s="75">
        <f t="shared" si="48"/>
        <v>0.1</v>
      </c>
      <c r="AZ59" s="75">
        <f t="shared" si="48"/>
        <v>0.1</v>
      </c>
      <c r="BA59" s="75">
        <f t="shared" si="48"/>
        <v>0.1</v>
      </c>
      <c r="BB59" s="75">
        <f t="shared" si="48"/>
        <v>0.1</v>
      </c>
      <c r="BC59" s="75">
        <f t="shared" si="48"/>
        <v>0.1</v>
      </c>
      <c r="BD59" s="75">
        <f t="shared" si="48"/>
        <v>0.1</v>
      </c>
      <c r="BE59" s="75">
        <f t="shared" si="48"/>
        <v>0.1</v>
      </c>
      <c r="BF59" s="75">
        <f t="shared" si="48"/>
        <v>0.1</v>
      </c>
      <c r="BG59" s="75">
        <f t="shared" si="48"/>
        <v>0.1</v>
      </c>
      <c r="BH59" s="75">
        <f t="shared" si="48"/>
        <v>0.1</v>
      </c>
      <c r="BI59" s="75">
        <f t="shared" si="48"/>
        <v>0.1</v>
      </c>
      <c r="BJ59" s="75">
        <f t="shared" si="48"/>
        <v>0.1</v>
      </c>
      <c r="BK59" s="75">
        <f t="shared" si="48"/>
        <v>0.1</v>
      </c>
      <c r="BL59" s="75">
        <f t="shared" si="48"/>
        <v>0.1</v>
      </c>
      <c r="BM59" s="75">
        <f t="shared" si="48"/>
        <v>0.1</v>
      </c>
      <c r="BN59" s="75">
        <f t="shared" si="48"/>
        <v>0.1</v>
      </c>
      <c r="BO59" s="75">
        <f t="shared" si="48"/>
        <v>0.1</v>
      </c>
      <c r="BP59" s="75">
        <f t="shared" si="48"/>
        <v>0.1</v>
      </c>
      <c r="BQ59" s="75">
        <f t="shared" si="48"/>
        <v>0.1</v>
      </c>
      <c r="BR59" s="75">
        <f t="shared" si="48"/>
        <v>0.1</v>
      </c>
      <c r="BS59" s="75">
        <f t="shared" si="48"/>
        <v>0.1</v>
      </c>
      <c r="BT59" s="75">
        <f t="shared" si="48"/>
        <v>0.1</v>
      </c>
      <c r="BU59" s="75">
        <f t="shared" si="48"/>
        <v>0.1</v>
      </c>
      <c r="BV59" s="75">
        <f t="shared" si="48"/>
        <v>0.1</v>
      </c>
      <c r="BW59" s="75">
        <f t="shared" si="48"/>
        <v>0.1</v>
      </c>
      <c r="BX59" s="75">
        <f t="shared" si="48"/>
        <v>0.1</v>
      </c>
      <c r="BY59" s="75">
        <f t="shared" si="48"/>
        <v>0.1</v>
      </c>
      <c r="BZ59" s="75">
        <f t="shared" si="48"/>
        <v>0.1</v>
      </c>
      <c r="CA59" s="75">
        <f t="shared" si="48"/>
        <v>0.1</v>
      </c>
      <c r="CB59" s="75">
        <f t="shared" si="48"/>
        <v>0.1</v>
      </c>
      <c r="CC59" s="75">
        <f t="shared" si="48"/>
        <v>0.1</v>
      </c>
      <c r="CD59" s="75">
        <f t="shared" si="48"/>
        <v>0.1</v>
      </c>
      <c r="CE59" s="75">
        <f t="shared" si="48"/>
        <v>0.1</v>
      </c>
      <c r="CF59" s="75">
        <f t="shared" si="48"/>
        <v>0.1</v>
      </c>
      <c r="CG59" s="75">
        <f t="shared" si="48"/>
        <v>0.1</v>
      </c>
      <c r="CH59" s="75">
        <f t="shared" si="48"/>
        <v>0.1</v>
      </c>
      <c r="CI59" s="75">
        <f t="shared" si="48"/>
        <v>0.1</v>
      </c>
      <c r="CJ59" s="75">
        <f t="shared" si="48"/>
        <v>0.1</v>
      </c>
      <c r="CK59" s="75">
        <f t="shared" si="48"/>
        <v>0.1</v>
      </c>
      <c r="CL59" s="75">
        <f t="shared" si="48"/>
        <v>0.1</v>
      </c>
      <c r="CM59" s="75">
        <f t="shared" si="48"/>
        <v>0.1</v>
      </c>
      <c r="CN59" s="75">
        <f t="shared" si="48"/>
        <v>0.1</v>
      </c>
      <c r="CO59" s="75">
        <f t="shared" si="48"/>
        <v>0.1</v>
      </c>
      <c r="CP59" s="75">
        <f t="shared" si="48"/>
        <v>0.1</v>
      </c>
      <c r="CQ59" s="75">
        <f t="shared" si="48"/>
        <v>0.1</v>
      </c>
      <c r="CR59" s="75">
        <f t="shared" si="48"/>
        <v>0.1</v>
      </c>
      <c r="CS59" s="75">
        <f t="shared" si="48"/>
        <v>0.1</v>
      </c>
      <c r="CT59" s="75">
        <f t="shared" si="48"/>
        <v>0.1</v>
      </c>
      <c r="CU59" s="75">
        <f t="shared" si="48"/>
        <v>0.1</v>
      </c>
      <c r="CV59" s="75">
        <f t="shared" si="48"/>
        <v>0.1</v>
      </c>
      <c r="CW59" s="75">
        <f t="shared" si="48"/>
        <v>0.1</v>
      </c>
      <c r="CX59" s="75">
        <f t="shared" si="48"/>
        <v>0.1</v>
      </c>
      <c r="CY59" s="75">
        <f t="shared" si="48"/>
        <v>0.1</v>
      </c>
      <c r="CZ59" s="75">
        <f t="shared" si="48"/>
        <v>0.1</v>
      </c>
      <c r="DA59" s="75">
        <f t="shared" si="48"/>
        <v>0.1</v>
      </c>
      <c r="DB59" s="75">
        <f t="shared" si="48"/>
        <v>0.1</v>
      </c>
      <c r="DC59" s="75">
        <f t="shared" si="48"/>
        <v>0.1</v>
      </c>
      <c r="DD59" s="75">
        <f t="shared" si="48"/>
        <v>0.1</v>
      </c>
      <c r="DE59" s="75">
        <f t="shared" si="48"/>
        <v>0.1</v>
      </c>
      <c r="DF59" s="75">
        <f t="shared" si="48"/>
        <v>0.1</v>
      </c>
      <c r="DG59" s="75">
        <f t="shared" si="48"/>
        <v>0.1</v>
      </c>
      <c r="DH59" s="75">
        <f t="shared" si="48"/>
        <v>0.1</v>
      </c>
      <c r="DI59" s="75">
        <f t="shared" si="48"/>
        <v>0.1</v>
      </c>
      <c r="DJ59" s="75">
        <f t="shared" si="48"/>
        <v>0.1</v>
      </c>
      <c r="DK59" s="75">
        <f t="shared" si="48"/>
        <v>0.1</v>
      </c>
      <c r="DL59" s="75">
        <f t="shared" si="48"/>
        <v>0.1</v>
      </c>
      <c r="DM59" s="75">
        <f t="shared" si="48"/>
        <v>0.1</v>
      </c>
      <c r="DN59" s="75">
        <f t="shared" si="48"/>
        <v>0.1</v>
      </c>
      <c r="DO59" s="75">
        <f t="shared" si="48"/>
        <v>0.1</v>
      </c>
      <c r="DP59" s="75">
        <f t="shared" si="48"/>
        <v>0.1</v>
      </c>
      <c r="DQ59" s="75">
        <f t="shared" si="48"/>
        <v>0.1</v>
      </c>
      <c r="DR59" s="75">
        <f t="shared" si="48"/>
        <v>0.1</v>
      </c>
      <c r="DS59" s="75">
        <f t="shared" si="48"/>
        <v>0.1</v>
      </c>
      <c r="DT59" s="75">
        <f t="shared" si="48"/>
        <v>0.1</v>
      </c>
      <c r="DU59" s="75">
        <f t="shared" si="48"/>
        <v>0.1</v>
      </c>
      <c r="DV59" s="75">
        <f t="shared" si="48"/>
        <v>0.1</v>
      </c>
      <c r="DW59" s="75">
        <f t="shared" si="48"/>
        <v>0.1</v>
      </c>
      <c r="DX59" s="75">
        <f t="shared" si="48"/>
        <v>0.1</v>
      </c>
      <c r="DY59" s="75">
        <f t="shared" si="48"/>
        <v>0.1</v>
      </c>
      <c r="DZ59" s="75">
        <f t="shared" si="48"/>
        <v>0.1</v>
      </c>
      <c r="EA59" s="75">
        <f t="shared" si="48"/>
        <v>0.1</v>
      </c>
      <c r="EB59" s="75">
        <f t="shared" si="48"/>
        <v>0.1</v>
      </c>
      <c r="EC59" s="75">
        <f t="shared" si="48"/>
        <v>0.1</v>
      </c>
      <c r="ED59" s="75">
        <f t="shared" si="48"/>
        <v>0.1</v>
      </c>
      <c r="EE59" s="75">
        <f t="shared" si="48"/>
        <v>0.1</v>
      </c>
      <c r="EF59" s="75">
        <f t="shared" si="48"/>
        <v>0.1</v>
      </c>
      <c r="EG59" s="75">
        <f t="shared" si="48"/>
        <v>0.1</v>
      </c>
      <c r="EH59" s="75">
        <f t="shared" si="48"/>
        <v>0.1</v>
      </c>
      <c r="EI59" s="75">
        <f t="shared" si="48"/>
        <v>0.1</v>
      </c>
      <c r="EJ59" s="75">
        <f t="shared" si="48"/>
        <v>0.1</v>
      </c>
      <c r="EK59" s="75">
        <f t="shared" si="48"/>
        <v>0.1</v>
      </c>
      <c r="EL59" s="75">
        <f t="shared" si="48"/>
        <v>0.1</v>
      </c>
      <c r="EM59" s="75">
        <f t="shared" si="48"/>
        <v>0.1</v>
      </c>
      <c r="EN59" s="75">
        <f t="shared" si="48"/>
        <v>0.1</v>
      </c>
      <c r="EO59" s="75">
        <f t="shared" si="48"/>
        <v>0.1</v>
      </c>
      <c r="EP59" s="75">
        <f t="shared" si="48"/>
        <v>0.1</v>
      </c>
      <c r="EQ59" s="75">
        <f t="shared" si="48"/>
        <v>0.1</v>
      </c>
      <c r="ER59" s="75">
        <f t="shared" si="48"/>
        <v>0.1</v>
      </c>
      <c r="ES59" s="75">
        <f t="shared" si="48"/>
        <v>0.1</v>
      </c>
      <c r="ET59" s="75">
        <f t="shared" si="48"/>
        <v>0.1</v>
      </c>
      <c r="EU59" s="75">
        <f t="shared" si="48"/>
        <v>0.1</v>
      </c>
      <c r="EV59" s="75">
        <f t="shared" si="48"/>
        <v>0.1</v>
      </c>
      <c r="EW59" s="75">
        <f t="shared" si="48"/>
        <v>0.1</v>
      </c>
      <c r="EX59" s="75">
        <f t="shared" si="48"/>
        <v>0.1</v>
      </c>
      <c r="EY59" s="75">
        <f t="shared" si="48"/>
        <v>0.1</v>
      </c>
      <c r="EZ59" s="75">
        <f t="shared" si="48"/>
        <v>0.1</v>
      </c>
      <c r="FA59" s="75">
        <f t="shared" si="48"/>
        <v>0.1</v>
      </c>
      <c r="FB59" s="75">
        <f t="shared" si="48"/>
        <v>0.1</v>
      </c>
      <c r="FC59" s="75">
        <f t="shared" si="48"/>
        <v>0.1</v>
      </c>
      <c r="FD59" s="75">
        <f t="shared" si="48"/>
        <v>0.1</v>
      </c>
      <c r="FE59" s="75">
        <f t="shared" si="48"/>
        <v>0.1</v>
      </c>
      <c r="FF59" s="75">
        <f t="shared" si="48"/>
        <v>0.1</v>
      </c>
      <c r="FG59" s="75">
        <f t="shared" si="48"/>
        <v>0.1</v>
      </c>
      <c r="FH59" s="75">
        <f t="shared" si="48"/>
        <v>0.1</v>
      </c>
      <c r="FI59" s="75">
        <f t="shared" si="48"/>
        <v>0.1</v>
      </c>
      <c r="FJ59" s="75">
        <f t="shared" si="48"/>
        <v>0.1</v>
      </c>
      <c r="FK59" s="75">
        <f t="shared" si="48"/>
        <v>0.1</v>
      </c>
      <c r="FL59" s="75">
        <f t="shared" si="48"/>
        <v>0.1</v>
      </c>
      <c r="FM59" s="75">
        <f t="shared" si="48"/>
        <v>0.1</v>
      </c>
      <c r="FN59" s="75">
        <f t="shared" si="48"/>
        <v>0.1</v>
      </c>
      <c r="FO59" s="75">
        <f t="shared" si="48"/>
        <v>0.1</v>
      </c>
      <c r="FP59" s="75">
        <f t="shared" si="48"/>
        <v>0.1</v>
      </c>
      <c r="FQ59" s="75">
        <f t="shared" si="48"/>
        <v>0.1</v>
      </c>
      <c r="FR59" s="75">
        <f t="shared" si="48"/>
        <v>0.1</v>
      </c>
      <c r="FS59" s="75">
        <f t="shared" si="48"/>
        <v>0.1</v>
      </c>
      <c r="FT59" s="75">
        <f t="shared" si="48"/>
        <v>0.1</v>
      </c>
      <c r="FU59" s="75">
        <f t="shared" si="48"/>
        <v>0.1</v>
      </c>
      <c r="FV59" s="75">
        <f t="shared" si="48"/>
        <v>0.1</v>
      </c>
      <c r="FW59" s="75">
        <f t="shared" si="48"/>
        <v>0.1</v>
      </c>
      <c r="FX59" s="75">
        <f t="shared" si="48"/>
        <v>0.1</v>
      </c>
      <c r="FY59" s="75">
        <f t="shared" si="48"/>
        <v>0.1</v>
      </c>
      <c r="FZ59" s="75">
        <f t="shared" si="48"/>
        <v>0.1</v>
      </c>
      <c r="GA59" s="75">
        <f t="shared" si="48"/>
        <v>0.1</v>
      </c>
      <c r="GB59" s="75">
        <f t="shared" si="48"/>
        <v>0.1</v>
      </c>
      <c r="GC59" s="75">
        <f t="shared" si="48"/>
        <v>0.1</v>
      </c>
      <c r="GD59" s="75">
        <f t="shared" si="48"/>
        <v>0.1</v>
      </c>
      <c r="GE59" s="75">
        <f t="shared" si="48"/>
        <v>0.1</v>
      </c>
      <c r="GF59" s="75">
        <f t="shared" si="48"/>
        <v>0.1</v>
      </c>
      <c r="GG59" s="75">
        <f t="shared" si="48"/>
        <v>0.1</v>
      </c>
      <c r="GH59" s="75">
        <f t="shared" si="48"/>
        <v>0.1</v>
      </c>
      <c r="GI59" s="75">
        <f t="shared" si="48"/>
        <v>0.1</v>
      </c>
      <c r="GJ59" s="75">
        <f t="shared" si="48"/>
        <v>0.1</v>
      </c>
      <c r="GK59" s="75">
        <f t="shared" si="48"/>
        <v>0.1</v>
      </c>
      <c r="GL59" s="75">
        <f t="shared" si="48"/>
        <v>0.1</v>
      </c>
      <c r="GM59" s="75">
        <f t="shared" si="48"/>
        <v>0.1</v>
      </c>
      <c r="GN59" s="75">
        <f t="shared" si="48"/>
        <v>0.1</v>
      </c>
      <c r="GO59" s="75">
        <f t="shared" si="48"/>
        <v>0.1</v>
      </c>
      <c r="GP59" s="75">
        <f t="shared" si="48"/>
        <v>0.1</v>
      </c>
      <c r="GQ59" s="75">
        <f t="shared" si="48"/>
        <v>0.1</v>
      </c>
      <c r="GR59" s="75">
        <f t="shared" si="48"/>
        <v>0.1</v>
      </c>
      <c r="GS59" s="75">
        <f t="shared" si="48"/>
        <v>0.1</v>
      </c>
      <c r="GT59" s="75">
        <f t="shared" si="48"/>
        <v>0.1</v>
      </c>
      <c r="GU59" s="75">
        <f t="shared" si="48"/>
        <v>0.1</v>
      </c>
      <c r="GV59" s="75">
        <f t="shared" si="48"/>
        <v>0.1</v>
      </c>
      <c r="GW59" s="75">
        <f t="shared" si="48"/>
        <v>0.1</v>
      </c>
      <c r="GX59" s="75">
        <f t="shared" si="48"/>
        <v>0.1</v>
      </c>
      <c r="GY59" s="75">
        <f t="shared" si="48"/>
        <v>0.1</v>
      </c>
      <c r="GZ59" s="75">
        <f t="shared" si="48"/>
        <v>0.1</v>
      </c>
      <c r="HA59" s="75">
        <f t="shared" si="48"/>
        <v>0.1</v>
      </c>
      <c r="HB59" s="75">
        <f t="shared" si="48"/>
        <v>0.1</v>
      </c>
      <c r="HC59" s="75">
        <f t="shared" si="48"/>
        <v>0.1</v>
      </c>
      <c r="HD59" s="75">
        <f t="shared" si="48"/>
        <v>0.1</v>
      </c>
      <c r="HE59" s="75">
        <f t="shared" si="48"/>
        <v>0.1</v>
      </c>
      <c r="HF59" s="75">
        <f t="shared" si="48"/>
        <v>0.1</v>
      </c>
      <c r="HG59" s="75">
        <f t="shared" si="48"/>
        <v>0.1</v>
      </c>
      <c r="HH59" s="75">
        <f t="shared" si="48"/>
        <v>0.1</v>
      </c>
      <c r="HI59" s="75">
        <f t="shared" si="48"/>
        <v>0.1</v>
      </c>
      <c r="HJ59" s="75">
        <f t="shared" si="48"/>
        <v>0.1</v>
      </c>
      <c r="HK59" s="75">
        <f t="shared" si="48"/>
        <v>0.1</v>
      </c>
      <c r="HL59" s="75">
        <f t="shared" si="48"/>
        <v>0.1</v>
      </c>
      <c r="HM59" s="75">
        <f t="shared" si="48"/>
        <v>0.1</v>
      </c>
      <c r="HN59" s="75">
        <f t="shared" si="48"/>
        <v>0.1</v>
      </c>
      <c r="HO59" s="75">
        <f t="shared" si="48"/>
        <v>0.1</v>
      </c>
      <c r="HP59" s="75">
        <f t="shared" si="48"/>
        <v>0.1</v>
      </c>
      <c r="HQ59" s="75">
        <f t="shared" si="48"/>
        <v>0.1</v>
      </c>
      <c r="HR59" s="75">
        <f t="shared" si="48"/>
        <v>0.1</v>
      </c>
      <c r="HS59" s="75">
        <f t="shared" si="48"/>
        <v>0.1</v>
      </c>
      <c r="HT59" s="75">
        <f t="shared" si="48"/>
        <v>0.1</v>
      </c>
      <c r="HU59" s="75">
        <f t="shared" si="48"/>
        <v>0.1</v>
      </c>
      <c r="HV59" s="75">
        <f t="shared" si="48"/>
        <v>0.1</v>
      </c>
      <c r="HW59" s="75">
        <f t="shared" si="48"/>
        <v>0.1</v>
      </c>
      <c r="HX59" s="75">
        <f t="shared" si="48"/>
        <v>0.1</v>
      </c>
      <c r="HY59" s="75">
        <f t="shared" si="48"/>
        <v>0.1</v>
      </c>
      <c r="HZ59" s="75">
        <f t="shared" si="48"/>
        <v>0.1</v>
      </c>
      <c r="IA59" s="75">
        <f t="shared" si="48"/>
        <v>0.1</v>
      </c>
      <c r="IB59" s="75">
        <f t="shared" si="48"/>
        <v>0.1</v>
      </c>
      <c r="IC59" s="75">
        <f t="shared" si="48"/>
        <v>0.1</v>
      </c>
      <c r="ID59" s="75">
        <f t="shared" si="48"/>
        <v>0.1</v>
      </c>
      <c r="IE59" s="75">
        <f t="shared" si="48"/>
        <v>0.1</v>
      </c>
      <c r="IF59" s="75">
        <f t="shared" si="48"/>
        <v>0.1</v>
      </c>
      <c r="IG59" s="75">
        <f t="shared" si="48"/>
        <v>0.1</v>
      </c>
      <c r="IH59" s="75">
        <f t="shared" si="48"/>
        <v>0.1</v>
      </c>
      <c r="II59" s="75">
        <f t="shared" si="48"/>
        <v>0.1</v>
      </c>
      <c r="IJ59" s="75">
        <f t="shared" si="48"/>
        <v>0.1</v>
      </c>
      <c r="IK59" s="75">
        <f t="shared" si="48"/>
        <v>0.1</v>
      </c>
      <c r="IL59" s="75">
        <f t="shared" si="48"/>
        <v>0.1</v>
      </c>
      <c r="IM59" s="75">
        <f t="shared" si="48"/>
        <v>0.1</v>
      </c>
      <c r="IN59" s="75">
        <f t="shared" si="48"/>
        <v>0.1</v>
      </c>
      <c r="IO59" s="75">
        <f t="shared" si="48"/>
        <v>0.1</v>
      </c>
      <c r="IP59" s="75">
        <f t="shared" si="48"/>
        <v>0.1</v>
      </c>
      <c r="IQ59" s="75">
        <f t="shared" si="48"/>
        <v>0.1</v>
      </c>
      <c r="IR59" s="75">
        <f t="shared" si="48"/>
        <v>0.1</v>
      </c>
      <c r="IS59" s="75">
        <f t="shared" si="48"/>
        <v>0.1</v>
      </c>
      <c r="IT59" s="75">
        <f t="shared" si="48"/>
        <v>0.1</v>
      </c>
      <c r="IU59" s="75">
        <f t="shared" si="48"/>
        <v>0.1</v>
      </c>
      <c r="IV59" s="75">
        <f t="shared" si="48"/>
        <v>0.1</v>
      </c>
      <c r="IW59" s="75">
        <f t="shared" si="48"/>
        <v>0.1</v>
      </c>
      <c r="IX59" s="75">
        <f t="shared" si="48"/>
        <v>0.1</v>
      </c>
      <c r="IY59" s="75">
        <f t="shared" si="48"/>
        <v>0.1</v>
      </c>
      <c r="IZ59" s="75">
        <f t="shared" si="48"/>
        <v>0.1</v>
      </c>
      <c r="JA59" s="75">
        <f t="shared" si="48"/>
        <v>0.1</v>
      </c>
      <c r="JB59" s="75">
        <f t="shared" si="48"/>
        <v>0.1</v>
      </c>
      <c r="JC59" s="75">
        <f t="shared" si="48"/>
        <v>0.1</v>
      </c>
      <c r="JD59" s="75">
        <f t="shared" si="48"/>
        <v>0.1</v>
      </c>
      <c r="JE59" s="75">
        <f t="shared" si="48"/>
        <v>0.1</v>
      </c>
      <c r="JF59" s="75">
        <f t="shared" si="48"/>
        <v>0.1</v>
      </c>
      <c r="JG59" s="75">
        <f t="shared" si="48"/>
        <v>0.1</v>
      </c>
      <c r="JH59" s="75">
        <f t="shared" si="48"/>
        <v>0.1</v>
      </c>
      <c r="JI59" s="75">
        <f t="shared" si="48"/>
        <v>0.1</v>
      </c>
      <c r="JJ59" s="75">
        <f t="shared" si="48"/>
        <v>0.1</v>
      </c>
      <c r="JK59" s="75">
        <f t="shared" si="48"/>
        <v>0.1</v>
      </c>
      <c r="JL59" s="75">
        <f t="shared" si="48"/>
        <v>0.1</v>
      </c>
      <c r="JM59" s="75">
        <f t="shared" si="48"/>
        <v>0.1</v>
      </c>
      <c r="JN59" s="75">
        <f t="shared" si="48"/>
        <v>0.1</v>
      </c>
      <c r="JO59" s="75">
        <f t="shared" si="48"/>
        <v>0.1</v>
      </c>
      <c r="JP59" s="75">
        <f t="shared" si="48"/>
        <v>0.1</v>
      </c>
      <c r="JQ59" s="75">
        <f t="shared" si="48"/>
        <v>0.1</v>
      </c>
      <c r="JR59" s="75">
        <f t="shared" si="48"/>
        <v>0.1</v>
      </c>
      <c r="JS59" s="75">
        <f t="shared" si="48"/>
        <v>0.1</v>
      </c>
      <c r="JT59" s="75">
        <f t="shared" si="48"/>
        <v>0.1</v>
      </c>
      <c r="JU59" s="75">
        <f t="shared" si="48"/>
        <v>0.1</v>
      </c>
      <c r="JV59" s="75">
        <f t="shared" si="48"/>
        <v>0.1</v>
      </c>
      <c r="JW59" s="75">
        <f t="shared" si="48"/>
        <v>0.1</v>
      </c>
      <c r="JX59" s="75">
        <f t="shared" si="48"/>
        <v>0.1</v>
      </c>
      <c r="JY59" s="75">
        <f t="shared" si="48"/>
        <v>0.1</v>
      </c>
      <c r="JZ59" s="75">
        <f t="shared" si="48"/>
        <v>0.1</v>
      </c>
      <c r="KA59" s="75">
        <f t="shared" si="48"/>
        <v>0.1</v>
      </c>
      <c r="KB59" s="75">
        <f t="shared" si="48"/>
        <v>0.1</v>
      </c>
      <c r="KC59" s="75">
        <f t="shared" si="48"/>
        <v>0.1</v>
      </c>
      <c r="KD59" s="75">
        <f t="shared" si="48"/>
        <v>0.1</v>
      </c>
      <c r="KE59" s="75">
        <f t="shared" si="48"/>
        <v>0.1</v>
      </c>
      <c r="KF59" s="75">
        <f t="shared" si="48"/>
        <v>0.1</v>
      </c>
      <c r="KG59" s="75">
        <f t="shared" si="48"/>
        <v>0.1</v>
      </c>
      <c r="KH59" s="75">
        <f t="shared" si="48"/>
        <v>0.1</v>
      </c>
      <c r="KI59" s="75">
        <f t="shared" si="48"/>
        <v>0.1</v>
      </c>
      <c r="KJ59" s="75">
        <f t="shared" si="48"/>
        <v>0.1</v>
      </c>
      <c r="KK59" s="75">
        <f t="shared" si="48"/>
        <v>0.1</v>
      </c>
      <c r="KL59" s="75">
        <f t="shared" si="48"/>
        <v>0.1</v>
      </c>
      <c r="KM59" s="75">
        <f t="shared" si="48"/>
        <v>0.1</v>
      </c>
      <c r="KN59" s="75">
        <f t="shared" si="48"/>
        <v>0.1</v>
      </c>
      <c r="KO59" s="75">
        <f t="shared" si="48"/>
        <v>0.1</v>
      </c>
      <c r="KP59" s="75">
        <f t="shared" si="48"/>
        <v>0.1</v>
      </c>
      <c r="KQ59" s="75">
        <f t="shared" si="48"/>
        <v>0.1</v>
      </c>
      <c r="KR59" s="75">
        <f t="shared" si="48"/>
        <v>0.1</v>
      </c>
      <c r="KS59" s="75">
        <f t="shared" si="48"/>
        <v>0.1</v>
      </c>
      <c r="KT59" s="75">
        <f t="shared" si="48"/>
        <v>0.1</v>
      </c>
      <c r="KU59" s="75">
        <f t="shared" si="48"/>
        <v>0.1</v>
      </c>
      <c r="KV59" s="75">
        <f t="shared" si="48"/>
        <v>0.1</v>
      </c>
      <c r="KW59" s="75">
        <f t="shared" si="48"/>
        <v>0.1</v>
      </c>
      <c r="KX59" s="75">
        <f t="shared" si="48"/>
        <v>0.1</v>
      </c>
      <c r="KY59" s="75">
        <f t="shared" si="48"/>
        <v>0.1</v>
      </c>
      <c r="KZ59" s="75">
        <f t="shared" si="48"/>
        <v>0.1</v>
      </c>
      <c r="LA59" s="75">
        <f t="shared" si="48"/>
        <v>0.1</v>
      </c>
      <c r="LB59" s="75">
        <f t="shared" si="48"/>
        <v>0.1</v>
      </c>
      <c r="LC59" s="75">
        <f t="shared" si="48"/>
        <v>0.1</v>
      </c>
      <c r="LD59" s="75">
        <f t="shared" si="48"/>
        <v>0.1</v>
      </c>
      <c r="LE59" s="75">
        <f t="shared" si="48"/>
        <v>0.1</v>
      </c>
      <c r="LF59" s="75">
        <f t="shared" si="48"/>
        <v>0.1</v>
      </c>
      <c r="LG59" s="75">
        <f t="shared" si="48"/>
        <v>0.1</v>
      </c>
      <c r="LH59" s="75">
        <f t="shared" si="48"/>
        <v>0.1</v>
      </c>
      <c r="LI59" s="75">
        <f t="shared" si="48"/>
        <v>0.1</v>
      </c>
      <c r="LJ59" s="75">
        <f t="shared" si="48"/>
        <v>0.1</v>
      </c>
      <c r="LK59" s="75">
        <f t="shared" si="48"/>
        <v>0.1</v>
      </c>
      <c r="LL59" s="75">
        <f t="shared" si="48"/>
        <v>0.1</v>
      </c>
      <c r="LM59" s="75">
        <f t="shared" si="48"/>
        <v>0.1</v>
      </c>
      <c r="LN59" s="75">
        <f t="shared" si="48"/>
        <v>0.1</v>
      </c>
      <c r="LO59" s="75">
        <f t="shared" si="48"/>
        <v>0.1</v>
      </c>
      <c r="LP59" s="75">
        <f t="shared" si="48"/>
        <v>0.1</v>
      </c>
      <c r="LQ59" s="75">
        <f t="shared" si="48"/>
        <v>0.1</v>
      </c>
      <c r="LR59" s="75">
        <f t="shared" si="48"/>
        <v>0.1</v>
      </c>
      <c r="LS59" s="75">
        <f t="shared" si="48"/>
        <v>0.1</v>
      </c>
      <c r="LT59" s="75">
        <f t="shared" si="48"/>
        <v>0.1</v>
      </c>
      <c r="LU59" s="75">
        <f t="shared" si="48"/>
        <v>0.1</v>
      </c>
      <c r="LV59" s="75">
        <f t="shared" si="48"/>
        <v>0.1</v>
      </c>
      <c r="LW59" s="75">
        <f t="shared" si="48"/>
        <v>0.1</v>
      </c>
      <c r="LX59" s="75">
        <f t="shared" si="48"/>
        <v>0.1</v>
      </c>
      <c r="LY59" s="75">
        <f t="shared" si="48"/>
        <v>0.1</v>
      </c>
      <c r="LZ59" s="75">
        <f t="shared" si="48"/>
        <v>0.1</v>
      </c>
      <c r="MA59" s="75">
        <f t="shared" si="48"/>
        <v>0.1</v>
      </c>
      <c r="MB59" s="75">
        <f t="shared" si="48"/>
        <v>0.1</v>
      </c>
      <c r="MC59" s="75">
        <f t="shared" si="48"/>
        <v>0.1</v>
      </c>
      <c r="MD59" s="75">
        <f t="shared" si="48"/>
        <v>0.1</v>
      </c>
      <c r="ME59" s="75">
        <f t="shared" si="48"/>
        <v>0.1</v>
      </c>
      <c r="MF59" s="75">
        <f t="shared" si="48"/>
        <v>0.1</v>
      </c>
      <c r="MG59" s="75">
        <f t="shared" si="48"/>
        <v>0.1</v>
      </c>
      <c r="MH59" s="75">
        <f t="shared" si="48"/>
        <v>0.1</v>
      </c>
      <c r="MI59" s="75">
        <f t="shared" si="48"/>
        <v>0.1</v>
      </c>
      <c r="MJ59" s="75">
        <f t="shared" si="48"/>
        <v>0.1</v>
      </c>
      <c r="MK59" s="75">
        <f t="shared" si="48"/>
        <v>0.1</v>
      </c>
      <c r="ML59" s="75">
        <f t="shared" si="48"/>
        <v>0.1</v>
      </c>
      <c r="MM59" s="75">
        <f t="shared" si="48"/>
        <v>0.1</v>
      </c>
      <c r="MN59" s="75">
        <f t="shared" si="48"/>
        <v>0.1</v>
      </c>
      <c r="MO59" s="75">
        <f t="shared" si="48"/>
        <v>0.1</v>
      </c>
      <c r="MP59" s="75">
        <f t="shared" si="48"/>
        <v>0.1</v>
      </c>
      <c r="MQ59" s="75">
        <f t="shared" si="48"/>
        <v>0.1</v>
      </c>
      <c r="MR59" s="75">
        <f t="shared" si="48"/>
        <v>0.1</v>
      </c>
      <c r="MS59" s="75">
        <f t="shared" si="48"/>
        <v>0.1</v>
      </c>
      <c r="MT59" s="75">
        <f t="shared" si="48"/>
        <v>0.1</v>
      </c>
      <c r="MU59" s="75">
        <f t="shared" si="48"/>
        <v>0.1</v>
      </c>
      <c r="MV59" s="75">
        <f t="shared" si="48"/>
        <v>0.1</v>
      </c>
      <c r="MW59" s="75">
        <f t="shared" si="48"/>
        <v>0.1</v>
      </c>
      <c r="MX59" s="75">
        <f t="shared" si="48"/>
        <v>0.1</v>
      </c>
      <c r="MY59" s="75">
        <f t="shared" si="48"/>
        <v>0.1</v>
      </c>
      <c r="MZ59" s="75">
        <f t="shared" si="48"/>
        <v>0.1</v>
      </c>
      <c r="NA59" s="75">
        <f t="shared" si="48"/>
        <v>0.1</v>
      </c>
      <c r="NB59" s="75">
        <f t="shared" si="48"/>
        <v>0.1</v>
      </c>
      <c r="NC59" s="75">
        <f t="shared" si="48"/>
        <v>0.1</v>
      </c>
      <c r="ND59" s="75">
        <f t="shared" si="48"/>
        <v>0.1</v>
      </c>
      <c r="NE59" s="75">
        <f t="shared" si="48"/>
        <v>0.1</v>
      </c>
      <c r="NF59" s="75">
        <f t="shared" si="48"/>
        <v>0.1</v>
      </c>
      <c r="NG59" s="75">
        <f t="shared" si="48"/>
        <v>0.1</v>
      </c>
      <c r="NH59" s="75">
        <f t="shared" si="48"/>
        <v>0.1</v>
      </c>
      <c r="NI59" s="75">
        <f t="shared" si="48"/>
        <v>0.1</v>
      </c>
      <c r="NJ59" s="75">
        <f t="shared" si="48"/>
        <v>0.1</v>
      </c>
      <c r="NK59" s="75">
        <f t="shared" si="48"/>
        <v>0.1</v>
      </c>
      <c r="NL59" s="75">
        <f t="shared" si="48"/>
        <v>0.1</v>
      </c>
      <c r="NM59" s="75">
        <f t="shared" si="48"/>
        <v>0.1</v>
      </c>
      <c r="NN59" s="75">
        <f t="shared" si="48"/>
        <v>0.1</v>
      </c>
      <c r="NO59" s="75">
        <f t="shared" si="48"/>
        <v>0.1</v>
      </c>
      <c r="NP59" s="75">
        <f t="shared" si="48"/>
        <v>0.1</v>
      </c>
      <c r="NQ59" s="75">
        <f t="shared" si="48"/>
        <v>0.1</v>
      </c>
      <c r="NR59" s="75">
        <f t="shared" si="48"/>
        <v>0.1</v>
      </c>
      <c r="NS59" s="75">
        <f t="shared" si="48"/>
        <v>0.1</v>
      </c>
      <c r="NT59" s="75">
        <f t="shared" si="48"/>
        <v>0.1</v>
      </c>
      <c r="NU59" s="75">
        <f t="shared" si="48"/>
        <v>0.1</v>
      </c>
      <c r="NV59" s="75">
        <f t="shared" si="48"/>
        <v>0.1</v>
      </c>
      <c r="NW59" s="75">
        <f t="shared" si="48"/>
        <v>0.1</v>
      </c>
      <c r="NX59" s="75">
        <f t="shared" si="48"/>
        <v>0.1</v>
      </c>
      <c r="NY59" s="75">
        <f t="shared" si="48"/>
        <v>0.1</v>
      </c>
      <c r="NZ59" s="75">
        <f t="shared" si="48"/>
        <v>0.1</v>
      </c>
      <c r="OA59" s="75">
        <f t="shared" si="48"/>
        <v>0.1</v>
      </c>
      <c r="OB59" s="75">
        <f t="shared" si="48"/>
        <v>0.1</v>
      </c>
      <c r="OC59" s="75">
        <f t="shared" si="48"/>
        <v>0.1</v>
      </c>
      <c r="OD59" s="75">
        <f t="shared" si="48"/>
        <v>0.1</v>
      </c>
      <c r="OE59" s="75">
        <f t="shared" si="48"/>
        <v>0.1</v>
      </c>
      <c r="OF59" s="75">
        <f t="shared" si="48"/>
        <v>0.1</v>
      </c>
      <c r="OG59" s="75">
        <f t="shared" si="48"/>
        <v>0.1</v>
      </c>
      <c r="OH59" s="75">
        <f t="shared" si="48"/>
        <v>0.1</v>
      </c>
      <c r="OI59" s="75">
        <f t="shared" si="48"/>
        <v>0.1</v>
      </c>
      <c r="OJ59" s="75">
        <f t="shared" si="48"/>
        <v>0.1</v>
      </c>
      <c r="OK59" s="75">
        <f t="shared" si="48"/>
        <v>0.1</v>
      </c>
      <c r="OL59" s="75">
        <f t="shared" si="48"/>
        <v>0.1</v>
      </c>
      <c r="OM59" s="75">
        <f t="shared" si="48"/>
        <v>0.1</v>
      </c>
      <c r="ON59" s="75">
        <f t="shared" si="48"/>
        <v>0.1</v>
      </c>
      <c r="OO59" s="75">
        <f t="shared" si="48"/>
        <v>0.1</v>
      </c>
      <c r="OP59" s="75">
        <f t="shared" si="48"/>
        <v>0.1</v>
      </c>
      <c r="OQ59" s="75">
        <f t="shared" si="48"/>
        <v>0.1</v>
      </c>
      <c r="OR59" s="75">
        <f t="shared" si="48"/>
        <v>0.1</v>
      </c>
      <c r="OS59" s="75">
        <f t="shared" si="48"/>
        <v>0.1</v>
      </c>
      <c r="OT59" s="75">
        <f t="shared" si="48"/>
        <v>0.1</v>
      </c>
      <c r="OU59" s="75">
        <f t="shared" si="48"/>
        <v>0.1</v>
      </c>
      <c r="OV59" s="75">
        <f t="shared" si="48"/>
        <v>0.1</v>
      </c>
      <c r="OW59" s="75">
        <f t="shared" si="48"/>
        <v>0.1</v>
      </c>
      <c r="OX59" s="75">
        <f t="shared" si="48"/>
        <v>0.1</v>
      </c>
      <c r="OY59" s="75">
        <f t="shared" si="48"/>
        <v>0.1</v>
      </c>
      <c r="OZ59" s="75">
        <f t="shared" si="48"/>
        <v>0.1</v>
      </c>
      <c r="PA59" s="75">
        <f t="shared" si="48"/>
        <v>0.1</v>
      </c>
      <c r="PB59" s="75">
        <f t="shared" si="48"/>
        <v>0.1</v>
      </c>
      <c r="PC59" s="75">
        <f t="shared" si="48"/>
        <v>0.1</v>
      </c>
      <c r="PD59" s="75">
        <f t="shared" si="48"/>
        <v>0.1</v>
      </c>
      <c r="PE59" s="75">
        <f t="shared" si="48"/>
        <v>0.1</v>
      </c>
      <c r="PF59" s="75">
        <f t="shared" si="48"/>
        <v>0.1</v>
      </c>
      <c r="PG59" s="75">
        <f t="shared" si="48"/>
        <v>0.1</v>
      </c>
      <c r="PH59" s="75">
        <f t="shared" si="48"/>
        <v>0.1</v>
      </c>
      <c r="PI59" s="75">
        <f t="shared" si="48"/>
        <v>0.1</v>
      </c>
      <c r="PJ59" s="75">
        <f t="shared" si="48"/>
        <v>0.1</v>
      </c>
      <c r="PK59" s="75">
        <f t="shared" si="48"/>
        <v>0.1</v>
      </c>
      <c r="PL59" s="75">
        <f t="shared" si="48"/>
        <v>0.1</v>
      </c>
      <c r="PM59" s="75">
        <f t="shared" si="48"/>
        <v>0.1</v>
      </c>
      <c r="PN59" s="75">
        <f t="shared" si="48"/>
        <v>0.1</v>
      </c>
      <c r="PO59" s="75">
        <f t="shared" si="48"/>
        <v>0.1</v>
      </c>
      <c r="PP59" s="75">
        <f t="shared" si="48"/>
        <v>0.1</v>
      </c>
      <c r="PQ59" s="75">
        <f t="shared" si="48"/>
        <v>0.1</v>
      </c>
      <c r="PR59" s="75">
        <f t="shared" si="48"/>
        <v>0.1</v>
      </c>
      <c r="PS59" s="75">
        <f t="shared" si="48"/>
        <v>0.1</v>
      </c>
      <c r="PT59" s="75">
        <f t="shared" si="48"/>
        <v>0.1</v>
      </c>
      <c r="PU59" s="75">
        <f t="shared" si="48"/>
        <v>0.1</v>
      </c>
      <c r="PV59" s="75">
        <f t="shared" si="48"/>
        <v>0.1</v>
      </c>
      <c r="PW59" s="75">
        <f t="shared" si="48"/>
        <v>0.1</v>
      </c>
      <c r="PX59" s="75">
        <f t="shared" si="48"/>
        <v>0.1</v>
      </c>
      <c r="PY59" s="75">
        <f t="shared" si="48"/>
        <v>0.1</v>
      </c>
      <c r="PZ59" s="75">
        <f t="shared" si="48"/>
        <v>0.1</v>
      </c>
      <c r="QA59" s="75">
        <f t="shared" si="48"/>
        <v>0.1</v>
      </c>
      <c r="QB59" s="75">
        <f t="shared" si="48"/>
        <v>0.1</v>
      </c>
      <c r="QC59" s="75">
        <f t="shared" si="48"/>
        <v>0.1</v>
      </c>
      <c r="QD59" s="75">
        <f t="shared" si="48"/>
        <v>0.1</v>
      </c>
      <c r="QE59" s="75">
        <f t="shared" si="48"/>
        <v>0.1</v>
      </c>
      <c r="QF59" s="75">
        <f t="shared" si="48"/>
        <v>0.1</v>
      </c>
      <c r="QG59" s="75">
        <f t="shared" si="48"/>
        <v>0.1</v>
      </c>
      <c r="QH59" s="75">
        <f t="shared" si="48"/>
        <v>0.1</v>
      </c>
      <c r="QI59" s="75">
        <f t="shared" si="48"/>
        <v>0.1</v>
      </c>
      <c r="QJ59" s="75">
        <f t="shared" si="48"/>
        <v>0.1</v>
      </c>
      <c r="QK59" s="75">
        <f t="shared" si="48"/>
        <v>0.1</v>
      </c>
      <c r="QL59" s="75">
        <f t="shared" si="48"/>
        <v>0.1</v>
      </c>
      <c r="QM59" s="75">
        <f t="shared" si="48"/>
        <v>0.1</v>
      </c>
      <c r="QN59" s="75">
        <f t="shared" si="48"/>
        <v>0.1</v>
      </c>
      <c r="QO59" s="75">
        <f t="shared" si="48"/>
        <v>0.1</v>
      </c>
      <c r="QP59" s="75">
        <f t="shared" si="48"/>
        <v>0.1</v>
      </c>
      <c r="QQ59" s="75">
        <f t="shared" si="48"/>
        <v>0.1</v>
      </c>
      <c r="QR59" s="75">
        <f t="shared" si="48"/>
        <v>0.1</v>
      </c>
      <c r="QS59" s="75">
        <f t="shared" si="48"/>
        <v>0.1</v>
      </c>
      <c r="QT59" s="75">
        <f t="shared" si="48"/>
        <v>0.1</v>
      </c>
      <c r="QU59" s="75">
        <f t="shared" si="48"/>
        <v>0.1</v>
      </c>
      <c r="QV59" s="75">
        <f t="shared" si="48"/>
        <v>0.1</v>
      </c>
      <c r="QW59" s="75">
        <f t="shared" si="48"/>
        <v>0.1</v>
      </c>
      <c r="QX59" s="75">
        <f t="shared" si="48"/>
        <v>0.1</v>
      </c>
      <c r="QY59" s="75">
        <f t="shared" si="48"/>
        <v>0.1</v>
      </c>
      <c r="QZ59" s="75">
        <f t="shared" si="48"/>
        <v>0.1</v>
      </c>
      <c r="RA59" s="75">
        <f t="shared" si="48"/>
        <v>0.1</v>
      </c>
      <c r="RB59" s="75">
        <f t="shared" si="48"/>
        <v>0.1</v>
      </c>
      <c r="RC59" s="75">
        <f t="shared" si="48"/>
        <v>0.1</v>
      </c>
      <c r="RD59" s="75">
        <f t="shared" si="48"/>
        <v>0.1</v>
      </c>
      <c r="RE59" s="75">
        <f t="shared" si="48"/>
        <v>0.1</v>
      </c>
      <c r="RF59" s="75">
        <f t="shared" si="48"/>
        <v>0.1</v>
      </c>
      <c r="RG59" s="75">
        <f t="shared" si="48"/>
        <v>0.1</v>
      </c>
      <c r="RH59" s="75">
        <f t="shared" si="48"/>
        <v>0.1</v>
      </c>
      <c r="RI59" s="75">
        <f t="shared" si="48"/>
        <v>0.1</v>
      </c>
      <c r="RJ59" s="75">
        <f t="shared" si="48"/>
        <v>0.1</v>
      </c>
      <c r="RK59" s="75">
        <f t="shared" si="48"/>
        <v>0.1</v>
      </c>
      <c r="RL59" s="75">
        <f t="shared" si="48"/>
        <v>0.1</v>
      </c>
      <c r="RM59" s="75">
        <f t="shared" si="48"/>
        <v>0.1</v>
      </c>
      <c r="RN59" s="75">
        <f t="shared" si="48"/>
        <v>0.1</v>
      </c>
      <c r="RO59" s="75">
        <f t="shared" si="48"/>
        <v>0.1</v>
      </c>
      <c r="RP59" s="75">
        <f t="shared" si="48"/>
        <v>0.1</v>
      </c>
      <c r="RQ59" s="75">
        <f t="shared" si="48"/>
        <v>0.1</v>
      </c>
      <c r="RR59" s="75">
        <f t="shared" si="48"/>
        <v>0.1</v>
      </c>
      <c r="RS59" s="75">
        <f t="shared" si="48"/>
        <v>0.1</v>
      </c>
      <c r="RT59" s="75">
        <f t="shared" si="48"/>
        <v>0.1</v>
      </c>
      <c r="RU59" s="75">
        <f t="shared" si="48"/>
        <v>0.1</v>
      </c>
      <c r="RV59" s="75">
        <f t="shared" si="48"/>
        <v>0.1</v>
      </c>
      <c r="RW59" s="75">
        <f t="shared" si="48"/>
        <v>0.1</v>
      </c>
      <c r="RX59" s="75">
        <f t="shared" si="48"/>
        <v>0.1</v>
      </c>
      <c r="RY59" s="75">
        <f t="shared" si="48"/>
        <v>0.1</v>
      </c>
      <c r="RZ59" s="75">
        <f t="shared" si="48"/>
        <v>0.1</v>
      </c>
      <c r="SA59" s="75">
        <f t="shared" si="48"/>
        <v>0.1</v>
      </c>
      <c r="SB59" s="75">
        <f t="shared" si="48"/>
        <v>0.1</v>
      </c>
      <c r="SC59" s="75">
        <f t="shared" si="48"/>
        <v>0.1</v>
      </c>
      <c r="SD59" s="75">
        <f t="shared" si="48"/>
        <v>0.1</v>
      </c>
      <c r="SE59" s="75">
        <f t="shared" si="48"/>
        <v>0.1</v>
      </c>
      <c r="SF59" s="75">
        <f t="shared" si="48"/>
        <v>0.1</v>
      </c>
      <c r="SG59" s="75">
        <f t="shared" si="48"/>
        <v>0.1</v>
      </c>
      <c r="SH59" s="75">
        <f t="shared" si="48"/>
        <v>0.1</v>
      </c>
      <c r="SI59" s="75">
        <f t="shared" si="48"/>
        <v>0.1</v>
      </c>
      <c r="SJ59" s="75">
        <f t="shared" si="48"/>
        <v>0.1</v>
      </c>
      <c r="SK59" s="75">
        <f t="shared" si="48"/>
        <v>0.1</v>
      </c>
      <c r="SL59" s="75">
        <f t="shared" si="48"/>
        <v>0.1</v>
      </c>
    </row>
    <row r="60">
      <c r="A60" s="53" t="s">
        <v>136</v>
      </c>
      <c r="B60" s="75">
        <f t="array" ref="B60">INDEX('New CEA'!$B60:$F60,MATCH($B$2,'New CEA'!B$2:F$2,0))</f>
        <v>0.05</v>
      </c>
      <c r="C60" s="286"/>
      <c r="D60" s="271"/>
      <c r="E60" s="272"/>
      <c r="F60" s="81"/>
      <c r="G60" s="75">
        <f t="shared" ref="G60:SL60" si="49">$B60</f>
        <v>0.05</v>
      </c>
      <c r="H60" s="75">
        <f t="shared" si="49"/>
        <v>0.05</v>
      </c>
      <c r="I60" s="75">
        <f t="shared" si="49"/>
        <v>0.05</v>
      </c>
      <c r="J60" s="75">
        <f t="shared" si="49"/>
        <v>0.05</v>
      </c>
      <c r="K60" s="75">
        <f t="shared" si="49"/>
        <v>0.05</v>
      </c>
      <c r="L60" s="75">
        <f t="shared" si="49"/>
        <v>0.05</v>
      </c>
      <c r="M60" s="75">
        <f t="shared" si="49"/>
        <v>0.05</v>
      </c>
      <c r="N60" s="75">
        <f t="shared" si="49"/>
        <v>0.05</v>
      </c>
      <c r="O60" s="75">
        <f t="shared" si="49"/>
        <v>0.05</v>
      </c>
      <c r="P60" s="75">
        <f t="shared" si="49"/>
        <v>0.05</v>
      </c>
      <c r="Q60" s="75">
        <f t="shared" si="49"/>
        <v>0.05</v>
      </c>
      <c r="R60" s="75">
        <f t="shared" si="49"/>
        <v>0.05</v>
      </c>
      <c r="S60" s="75">
        <f t="shared" si="49"/>
        <v>0.05</v>
      </c>
      <c r="T60" s="75">
        <f t="shared" si="49"/>
        <v>0.05</v>
      </c>
      <c r="U60" s="75">
        <f t="shared" si="49"/>
        <v>0.05</v>
      </c>
      <c r="V60" s="75">
        <f t="shared" si="49"/>
        <v>0.05</v>
      </c>
      <c r="W60" s="75">
        <f t="shared" si="49"/>
        <v>0.05</v>
      </c>
      <c r="X60" s="75">
        <f t="shared" si="49"/>
        <v>0.05</v>
      </c>
      <c r="Y60" s="75">
        <f t="shared" si="49"/>
        <v>0.05</v>
      </c>
      <c r="Z60" s="75">
        <f t="shared" si="49"/>
        <v>0.05</v>
      </c>
      <c r="AA60" s="75">
        <f t="shared" si="49"/>
        <v>0.05</v>
      </c>
      <c r="AB60" s="75">
        <f t="shared" si="49"/>
        <v>0.05</v>
      </c>
      <c r="AC60" s="75">
        <f t="shared" si="49"/>
        <v>0.05</v>
      </c>
      <c r="AD60" s="75">
        <f t="shared" si="49"/>
        <v>0.05</v>
      </c>
      <c r="AE60" s="75">
        <f t="shared" si="49"/>
        <v>0.05</v>
      </c>
      <c r="AF60" s="75">
        <f t="shared" si="49"/>
        <v>0.05</v>
      </c>
      <c r="AG60" s="75">
        <f t="shared" si="49"/>
        <v>0.05</v>
      </c>
      <c r="AH60" s="75">
        <f t="shared" si="49"/>
        <v>0.05</v>
      </c>
      <c r="AI60" s="75">
        <f t="shared" si="49"/>
        <v>0.05</v>
      </c>
      <c r="AJ60" s="75">
        <f t="shared" si="49"/>
        <v>0.05</v>
      </c>
      <c r="AK60" s="75">
        <f t="shared" si="49"/>
        <v>0.05</v>
      </c>
      <c r="AL60" s="75">
        <f t="shared" si="49"/>
        <v>0.05</v>
      </c>
      <c r="AM60" s="75">
        <f t="shared" si="49"/>
        <v>0.05</v>
      </c>
      <c r="AN60" s="75">
        <f t="shared" si="49"/>
        <v>0.05</v>
      </c>
      <c r="AO60" s="75">
        <f t="shared" si="49"/>
        <v>0.05</v>
      </c>
      <c r="AP60" s="75">
        <f t="shared" si="49"/>
        <v>0.05</v>
      </c>
      <c r="AQ60" s="75">
        <f t="shared" si="49"/>
        <v>0.05</v>
      </c>
      <c r="AR60" s="75">
        <f t="shared" si="49"/>
        <v>0.05</v>
      </c>
      <c r="AS60" s="75">
        <f t="shared" si="49"/>
        <v>0.05</v>
      </c>
      <c r="AT60" s="75">
        <f t="shared" si="49"/>
        <v>0.05</v>
      </c>
      <c r="AU60" s="75">
        <f t="shared" si="49"/>
        <v>0.05</v>
      </c>
      <c r="AV60" s="75">
        <f t="shared" si="49"/>
        <v>0.05</v>
      </c>
      <c r="AW60" s="75">
        <f t="shared" si="49"/>
        <v>0.05</v>
      </c>
      <c r="AX60" s="75">
        <f t="shared" si="49"/>
        <v>0.05</v>
      </c>
      <c r="AY60" s="75">
        <f t="shared" si="49"/>
        <v>0.05</v>
      </c>
      <c r="AZ60" s="75">
        <f t="shared" si="49"/>
        <v>0.05</v>
      </c>
      <c r="BA60" s="75">
        <f t="shared" si="49"/>
        <v>0.05</v>
      </c>
      <c r="BB60" s="75">
        <f t="shared" si="49"/>
        <v>0.05</v>
      </c>
      <c r="BC60" s="75">
        <f t="shared" si="49"/>
        <v>0.05</v>
      </c>
      <c r="BD60" s="75">
        <f t="shared" si="49"/>
        <v>0.05</v>
      </c>
      <c r="BE60" s="75">
        <f t="shared" si="49"/>
        <v>0.05</v>
      </c>
      <c r="BF60" s="75">
        <f t="shared" si="49"/>
        <v>0.05</v>
      </c>
      <c r="BG60" s="75">
        <f t="shared" si="49"/>
        <v>0.05</v>
      </c>
      <c r="BH60" s="75">
        <f t="shared" si="49"/>
        <v>0.05</v>
      </c>
      <c r="BI60" s="75">
        <f t="shared" si="49"/>
        <v>0.05</v>
      </c>
      <c r="BJ60" s="75">
        <f t="shared" si="49"/>
        <v>0.05</v>
      </c>
      <c r="BK60" s="75">
        <f t="shared" si="49"/>
        <v>0.05</v>
      </c>
      <c r="BL60" s="75">
        <f t="shared" si="49"/>
        <v>0.05</v>
      </c>
      <c r="BM60" s="75">
        <f t="shared" si="49"/>
        <v>0.05</v>
      </c>
      <c r="BN60" s="75">
        <f t="shared" si="49"/>
        <v>0.05</v>
      </c>
      <c r="BO60" s="75">
        <f t="shared" si="49"/>
        <v>0.05</v>
      </c>
      <c r="BP60" s="75">
        <f t="shared" si="49"/>
        <v>0.05</v>
      </c>
      <c r="BQ60" s="75">
        <f t="shared" si="49"/>
        <v>0.05</v>
      </c>
      <c r="BR60" s="75">
        <f t="shared" si="49"/>
        <v>0.05</v>
      </c>
      <c r="BS60" s="75">
        <f t="shared" si="49"/>
        <v>0.05</v>
      </c>
      <c r="BT60" s="75">
        <f t="shared" si="49"/>
        <v>0.05</v>
      </c>
      <c r="BU60" s="75">
        <f t="shared" si="49"/>
        <v>0.05</v>
      </c>
      <c r="BV60" s="75">
        <f t="shared" si="49"/>
        <v>0.05</v>
      </c>
      <c r="BW60" s="75">
        <f t="shared" si="49"/>
        <v>0.05</v>
      </c>
      <c r="BX60" s="75">
        <f t="shared" si="49"/>
        <v>0.05</v>
      </c>
      <c r="BY60" s="75">
        <f t="shared" si="49"/>
        <v>0.05</v>
      </c>
      <c r="BZ60" s="75">
        <f t="shared" si="49"/>
        <v>0.05</v>
      </c>
      <c r="CA60" s="75">
        <f t="shared" si="49"/>
        <v>0.05</v>
      </c>
      <c r="CB60" s="75">
        <f t="shared" si="49"/>
        <v>0.05</v>
      </c>
      <c r="CC60" s="75">
        <f t="shared" si="49"/>
        <v>0.05</v>
      </c>
      <c r="CD60" s="75">
        <f t="shared" si="49"/>
        <v>0.05</v>
      </c>
      <c r="CE60" s="75">
        <f t="shared" si="49"/>
        <v>0.05</v>
      </c>
      <c r="CF60" s="75">
        <f t="shared" si="49"/>
        <v>0.05</v>
      </c>
      <c r="CG60" s="75">
        <f t="shared" si="49"/>
        <v>0.05</v>
      </c>
      <c r="CH60" s="75">
        <f t="shared" si="49"/>
        <v>0.05</v>
      </c>
      <c r="CI60" s="75">
        <f t="shared" si="49"/>
        <v>0.05</v>
      </c>
      <c r="CJ60" s="75">
        <f t="shared" si="49"/>
        <v>0.05</v>
      </c>
      <c r="CK60" s="75">
        <f t="shared" si="49"/>
        <v>0.05</v>
      </c>
      <c r="CL60" s="75">
        <f t="shared" si="49"/>
        <v>0.05</v>
      </c>
      <c r="CM60" s="75">
        <f t="shared" si="49"/>
        <v>0.05</v>
      </c>
      <c r="CN60" s="75">
        <f t="shared" si="49"/>
        <v>0.05</v>
      </c>
      <c r="CO60" s="75">
        <f t="shared" si="49"/>
        <v>0.05</v>
      </c>
      <c r="CP60" s="75">
        <f t="shared" si="49"/>
        <v>0.05</v>
      </c>
      <c r="CQ60" s="75">
        <f t="shared" si="49"/>
        <v>0.05</v>
      </c>
      <c r="CR60" s="75">
        <f t="shared" si="49"/>
        <v>0.05</v>
      </c>
      <c r="CS60" s="75">
        <f t="shared" si="49"/>
        <v>0.05</v>
      </c>
      <c r="CT60" s="75">
        <f t="shared" si="49"/>
        <v>0.05</v>
      </c>
      <c r="CU60" s="75">
        <f t="shared" si="49"/>
        <v>0.05</v>
      </c>
      <c r="CV60" s="75">
        <f t="shared" si="49"/>
        <v>0.05</v>
      </c>
      <c r="CW60" s="75">
        <f t="shared" si="49"/>
        <v>0.05</v>
      </c>
      <c r="CX60" s="75">
        <f t="shared" si="49"/>
        <v>0.05</v>
      </c>
      <c r="CY60" s="75">
        <f t="shared" si="49"/>
        <v>0.05</v>
      </c>
      <c r="CZ60" s="75">
        <f t="shared" si="49"/>
        <v>0.05</v>
      </c>
      <c r="DA60" s="75">
        <f t="shared" si="49"/>
        <v>0.05</v>
      </c>
      <c r="DB60" s="75">
        <f t="shared" si="49"/>
        <v>0.05</v>
      </c>
      <c r="DC60" s="75">
        <f t="shared" si="49"/>
        <v>0.05</v>
      </c>
      <c r="DD60" s="75">
        <f t="shared" si="49"/>
        <v>0.05</v>
      </c>
      <c r="DE60" s="75">
        <f t="shared" si="49"/>
        <v>0.05</v>
      </c>
      <c r="DF60" s="75">
        <f t="shared" si="49"/>
        <v>0.05</v>
      </c>
      <c r="DG60" s="75">
        <f t="shared" si="49"/>
        <v>0.05</v>
      </c>
      <c r="DH60" s="75">
        <f t="shared" si="49"/>
        <v>0.05</v>
      </c>
      <c r="DI60" s="75">
        <f t="shared" si="49"/>
        <v>0.05</v>
      </c>
      <c r="DJ60" s="75">
        <f t="shared" si="49"/>
        <v>0.05</v>
      </c>
      <c r="DK60" s="75">
        <f t="shared" si="49"/>
        <v>0.05</v>
      </c>
      <c r="DL60" s="75">
        <f t="shared" si="49"/>
        <v>0.05</v>
      </c>
      <c r="DM60" s="75">
        <f t="shared" si="49"/>
        <v>0.05</v>
      </c>
      <c r="DN60" s="75">
        <f t="shared" si="49"/>
        <v>0.05</v>
      </c>
      <c r="DO60" s="75">
        <f t="shared" si="49"/>
        <v>0.05</v>
      </c>
      <c r="DP60" s="75">
        <f t="shared" si="49"/>
        <v>0.05</v>
      </c>
      <c r="DQ60" s="75">
        <f t="shared" si="49"/>
        <v>0.05</v>
      </c>
      <c r="DR60" s="75">
        <f t="shared" si="49"/>
        <v>0.05</v>
      </c>
      <c r="DS60" s="75">
        <f t="shared" si="49"/>
        <v>0.05</v>
      </c>
      <c r="DT60" s="75">
        <f t="shared" si="49"/>
        <v>0.05</v>
      </c>
      <c r="DU60" s="75">
        <f t="shared" si="49"/>
        <v>0.05</v>
      </c>
      <c r="DV60" s="75">
        <f t="shared" si="49"/>
        <v>0.05</v>
      </c>
      <c r="DW60" s="75">
        <f t="shared" si="49"/>
        <v>0.05</v>
      </c>
      <c r="DX60" s="75">
        <f t="shared" si="49"/>
        <v>0.05</v>
      </c>
      <c r="DY60" s="75">
        <f t="shared" si="49"/>
        <v>0.05</v>
      </c>
      <c r="DZ60" s="75">
        <f t="shared" si="49"/>
        <v>0.05</v>
      </c>
      <c r="EA60" s="75">
        <f t="shared" si="49"/>
        <v>0.05</v>
      </c>
      <c r="EB60" s="75">
        <f t="shared" si="49"/>
        <v>0.05</v>
      </c>
      <c r="EC60" s="75">
        <f t="shared" si="49"/>
        <v>0.05</v>
      </c>
      <c r="ED60" s="75">
        <f t="shared" si="49"/>
        <v>0.05</v>
      </c>
      <c r="EE60" s="75">
        <f t="shared" si="49"/>
        <v>0.05</v>
      </c>
      <c r="EF60" s="75">
        <f t="shared" si="49"/>
        <v>0.05</v>
      </c>
      <c r="EG60" s="75">
        <f t="shared" si="49"/>
        <v>0.05</v>
      </c>
      <c r="EH60" s="75">
        <f t="shared" si="49"/>
        <v>0.05</v>
      </c>
      <c r="EI60" s="75">
        <f t="shared" si="49"/>
        <v>0.05</v>
      </c>
      <c r="EJ60" s="75">
        <f t="shared" si="49"/>
        <v>0.05</v>
      </c>
      <c r="EK60" s="75">
        <f t="shared" si="49"/>
        <v>0.05</v>
      </c>
      <c r="EL60" s="75">
        <f t="shared" si="49"/>
        <v>0.05</v>
      </c>
      <c r="EM60" s="75">
        <f t="shared" si="49"/>
        <v>0.05</v>
      </c>
      <c r="EN60" s="75">
        <f t="shared" si="49"/>
        <v>0.05</v>
      </c>
      <c r="EO60" s="75">
        <f t="shared" si="49"/>
        <v>0.05</v>
      </c>
      <c r="EP60" s="75">
        <f t="shared" si="49"/>
        <v>0.05</v>
      </c>
      <c r="EQ60" s="75">
        <f t="shared" si="49"/>
        <v>0.05</v>
      </c>
      <c r="ER60" s="75">
        <f t="shared" si="49"/>
        <v>0.05</v>
      </c>
      <c r="ES60" s="75">
        <f t="shared" si="49"/>
        <v>0.05</v>
      </c>
      <c r="ET60" s="75">
        <f t="shared" si="49"/>
        <v>0.05</v>
      </c>
      <c r="EU60" s="75">
        <f t="shared" si="49"/>
        <v>0.05</v>
      </c>
      <c r="EV60" s="75">
        <f t="shared" si="49"/>
        <v>0.05</v>
      </c>
      <c r="EW60" s="75">
        <f t="shared" si="49"/>
        <v>0.05</v>
      </c>
      <c r="EX60" s="75">
        <f t="shared" si="49"/>
        <v>0.05</v>
      </c>
      <c r="EY60" s="75">
        <f t="shared" si="49"/>
        <v>0.05</v>
      </c>
      <c r="EZ60" s="75">
        <f t="shared" si="49"/>
        <v>0.05</v>
      </c>
      <c r="FA60" s="75">
        <f t="shared" si="49"/>
        <v>0.05</v>
      </c>
      <c r="FB60" s="75">
        <f t="shared" si="49"/>
        <v>0.05</v>
      </c>
      <c r="FC60" s="75">
        <f t="shared" si="49"/>
        <v>0.05</v>
      </c>
      <c r="FD60" s="75">
        <f t="shared" si="49"/>
        <v>0.05</v>
      </c>
      <c r="FE60" s="75">
        <f t="shared" si="49"/>
        <v>0.05</v>
      </c>
      <c r="FF60" s="75">
        <f t="shared" si="49"/>
        <v>0.05</v>
      </c>
      <c r="FG60" s="75">
        <f t="shared" si="49"/>
        <v>0.05</v>
      </c>
      <c r="FH60" s="75">
        <f t="shared" si="49"/>
        <v>0.05</v>
      </c>
      <c r="FI60" s="75">
        <f t="shared" si="49"/>
        <v>0.05</v>
      </c>
      <c r="FJ60" s="75">
        <f t="shared" si="49"/>
        <v>0.05</v>
      </c>
      <c r="FK60" s="75">
        <f t="shared" si="49"/>
        <v>0.05</v>
      </c>
      <c r="FL60" s="75">
        <f t="shared" si="49"/>
        <v>0.05</v>
      </c>
      <c r="FM60" s="75">
        <f t="shared" si="49"/>
        <v>0.05</v>
      </c>
      <c r="FN60" s="75">
        <f t="shared" si="49"/>
        <v>0.05</v>
      </c>
      <c r="FO60" s="75">
        <f t="shared" si="49"/>
        <v>0.05</v>
      </c>
      <c r="FP60" s="75">
        <f t="shared" si="49"/>
        <v>0.05</v>
      </c>
      <c r="FQ60" s="75">
        <f t="shared" si="49"/>
        <v>0.05</v>
      </c>
      <c r="FR60" s="75">
        <f t="shared" si="49"/>
        <v>0.05</v>
      </c>
      <c r="FS60" s="75">
        <f t="shared" si="49"/>
        <v>0.05</v>
      </c>
      <c r="FT60" s="75">
        <f t="shared" si="49"/>
        <v>0.05</v>
      </c>
      <c r="FU60" s="75">
        <f t="shared" si="49"/>
        <v>0.05</v>
      </c>
      <c r="FV60" s="75">
        <f t="shared" si="49"/>
        <v>0.05</v>
      </c>
      <c r="FW60" s="75">
        <f t="shared" si="49"/>
        <v>0.05</v>
      </c>
      <c r="FX60" s="75">
        <f t="shared" si="49"/>
        <v>0.05</v>
      </c>
      <c r="FY60" s="75">
        <f t="shared" si="49"/>
        <v>0.05</v>
      </c>
      <c r="FZ60" s="75">
        <f t="shared" si="49"/>
        <v>0.05</v>
      </c>
      <c r="GA60" s="75">
        <f t="shared" si="49"/>
        <v>0.05</v>
      </c>
      <c r="GB60" s="75">
        <f t="shared" si="49"/>
        <v>0.05</v>
      </c>
      <c r="GC60" s="75">
        <f t="shared" si="49"/>
        <v>0.05</v>
      </c>
      <c r="GD60" s="75">
        <f t="shared" si="49"/>
        <v>0.05</v>
      </c>
      <c r="GE60" s="75">
        <f t="shared" si="49"/>
        <v>0.05</v>
      </c>
      <c r="GF60" s="75">
        <f t="shared" si="49"/>
        <v>0.05</v>
      </c>
      <c r="GG60" s="75">
        <f t="shared" si="49"/>
        <v>0.05</v>
      </c>
      <c r="GH60" s="75">
        <f t="shared" si="49"/>
        <v>0.05</v>
      </c>
      <c r="GI60" s="75">
        <f t="shared" si="49"/>
        <v>0.05</v>
      </c>
      <c r="GJ60" s="75">
        <f t="shared" si="49"/>
        <v>0.05</v>
      </c>
      <c r="GK60" s="75">
        <f t="shared" si="49"/>
        <v>0.05</v>
      </c>
      <c r="GL60" s="75">
        <f t="shared" si="49"/>
        <v>0.05</v>
      </c>
      <c r="GM60" s="75">
        <f t="shared" si="49"/>
        <v>0.05</v>
      </c>
      <c r="GN60" s="75">
        <f t="shared" si="49"/>
        <v>0.05</v>
      </c>
      <c r="GO60" s="75">
        <f t="shared" si="49"/>
        <v>0.05</v>
      </c>
      <c r="GP60" s="75">
        <f t="shared" si="49"/>
        <v>0.05</v>
      </c>
      <c r="GQ60" s="75">
        <f t="shared" si="49"/>
        <v>0.05</v>
      </c>
      <c r="GR60" s="75">
        <f t="shared" si="49"/>
        <v>0.05</v>
      </c>
      <c r="GS60" s="75">
        <f t="shared" si="49"/>
        <v>0.05</v>
      </c>
      <c r="GT60" s="75">
        <f t="shared" si="49"/>
        <v>0.05</v>
      </c>
      <c r="GU60" s="75">
        <f t="shared" si="49"/>
        <v>0.05</v>
      </c>
      <c r="GV60" s="75">
        <f t="shared" si="49"/>
        <v>0.05</v>
      </c>
      <c r="GW60" s="75">
        <f t="shared" si="49"/>
        <v>0.05</v>
      </c>
      <c r="GX60" s="75">
        <f t="shared" si="49"/>
        <v>0.05</v>
      </c>
      <c r="GY60" s="75">
        <f t="shared" si="49"/>
        <v>0.05</v>
      </c>
      <c r="GZ60" s="75">
        <f t="shared" si="49"/>
        <v>0.05</v>
      </c>
      <c r="HA60" s="75">
        <f t="shared" si="49"/>
        <v>0.05</v>
      </c>
      <c r="HB60" s="75">
        <f t="shared" si="49"/>
        <v>0.05</v>
      </c>
      <c r="HC60" s="75">
        <f t="shared" si="49"/>
        <v>0.05</v>
      </c>
      <c r="HD60" s="75">
        <f t="shared" si="49"/>
        <v>0.05</v>
      </c>
      <c r="HE60" s="75">
        <f t="shared" si="49"/>
        <v>0.05</v>
      </c>
      <c r="HF60" s="75">
        <f t="shared" si="49"/>
        <v>0.05</v>
      </c>
      <c r="HG60" s="75">
        <f t="shared" si="49"/>
        <v>0.05</v>
      </c>
      <c r="HH60" s="75">
        <f t="shared" si="49"/>
        <v>0.05</v>
      </c>
      <c r="HI60" s="75">
        <f t="shared" si="49"/>
        <v>0.05</v>
      </c>
      <c r="HJ60" s="75">
        <f t="shared" si="49"/>
        <v>0.05</v>
      </c>
      <c r="HK60" s="75">
        <f t="shared" si="49"/>
        <v>0.05</v>
      </c>
      <c r="HL60" s="75">
        <f t="shared" si="49"/>
        <v>0.05</v>
      </c>
      <c r="HM60" s="75">
        <f t="shared" si="49"/>
        <v>0.05</v>
      </c>
      <c r="HN60" s="75">
        <f t="shared" si="49"/>
        <v>0.05</v>
      </c>
      <c r="HO60" s="75">
        <f t="shared" si="49"/>
        <v>0.05</v>
      </c>
      <c r="HP60" s="75">
        <f t="shared" si="49"/>
        <v>0.05</v>
      </c>
      <c r="HQ60" s="75">
        <f t="shared" si="49"/>
        <v>0.05</v>
      </c>
      <c r="HR60" s="75">
        <f t="shared" si="49"/>
        <v>0.05</v>
      </c>
      <c r="HS60" s="75">
        <f t="shared" si="49"/>
        <v>0.05</v>
      </c>
      <c r="HT60" s="75">
        <f t="shared" si="49"/>
        <v>0.05</v>
      </c>
      <c r="HU60" s="75">
        <f t="shared" si="49"/>
        <v>0.05</v>
      </c>
      <c r="HV60" s="75">
        <f t="shared" si="49"/>
        <v>0.05</v>
      </c>
      <c r="HW60" s="75">
        <f t="shared" si="49"/>
        <v>0.05</v>
      </c>
      <c r="HX60" s="75">
        <f t="shared" si="49"/>
        <v>0.05</v>
      </c>
      <c r="HY60" s="75">
        <f t="shared" si="49"/>
        <v>0.05</v>
      </c>
      <c r="HZ60" s="75">
        <f t="shared" si="49"/>
        <v>0.05</v>
      </c>
      <c r="IA60" s="75">
        <f t="shared" si="49"/>
        <v>0.05</v>
      </c>
      <c r="IB60" s="75">
        <f t="shared" si="49"/>
        <v>0.05</v>
      </c>
      <c r="IC60" s="75">
        <f t="shared" si="49"/>
        <v>0.05</v>
      </c>
      <c r="ID60" s="75">
        <f t="shared" si="49"/>
        <v>0.05</v>
      </c>
      <c r="IE60" s="75">
        <f t="shared" si="49"/>
        <v>0.05</v>
      </c>
      <c r="IF60" s="75">
        <f t="shared" si="49"/>
        <v>0.05</v>
      </c>
      <c r="IG60" s="75">
        <f t="shared" si="49"/>
        <v>0.05</v>
      </c>
      <c r="IH60" s="75">
        <f t="shared" si="49"/>
        <v>0.05</v>
      </c>
      <c r="II60" s="75">
        <f t="shared" si="49"/>
        <v>0.05</v>
      </c>
      <c r="IJ60" s="75">
        <f t="shared" si="49"/>
        <v>0.05</v>
      </c>
      <c r="IK60" s="75">
        <f t="shared" si="49"/>
        <v>0.05</v>
      </c>
      <c r="IL60" s="75">
        <f t="shared" si="49"/>
        <v>0.05</v>
      </c>
      <c r="IM60" s="75">
        <f t="shared" si="49"/>
        <v>0.05</v>
      </c>
      <c r="IN60" s="75">
        <f t="shared" si="49"/>
        <v>0.05</v>
      </c>
      <c r="IO60" s="75">
        <f t="shared" si="49"/>
        <v>0.05</v>
      </c>
      <c r="IP60" s="75">
        <f t="shared" si="49"/>
        <v>0.05</v>
      </c>
      <c r="IQ60" s="75">
        <f t="shared" si="49"/>
        <v>0.05</v>
      </c>
      <c r="IR60" s="75">
        <f t="shared" si="49"/>
        <v>0.05</v>
      </c>
      <c r="IS60" s="75">
        <f t="shared" si="49"/>
        <v>0.05</v>
      </c>
      <c r="IT60" s="75">
        <f t="shared" si="49"/>
        <v>0.05</v>
      </c>
      <c r="IU60" s="75">
        <f t="shared" si="49"/>
        <v>0.05</v>
      </c>
      <c r="IV60" s="75">
        <f t="shared" si="49"/>
        <v>0.05</v>
      </c>
      <c r="IW60" s="75">
        <f t="shared" si="49"/>
        <v>0.05</v>
      </c>
      <c r="IX60" s="75">
        <f t="shared" si="49"/>
        <v>0.05</v>
      </c>
      <c r="IY60" s="75">
        <f t="shared" si="49"/>
        <v>0.05</v>
      </c>
      <c r="IZ60" s="75">
        <f t="shared" si="49"/>
        <v>0.05</v>
      </c>
      <c r="JA60" s="75">
        <f t="shared" si="49"/>
        <v>0.05</v>
      </c>
      <c r="JB60" s="75">
        <f t="shared" si="49"/>
        <v>0.05</v>
      </c>
      <c r="JC60" s="75">
        <f t="shared" si="49"/>
        <v>0.05</v>
      </c>
      <c r="JD60" s="75">
        <f t="shared" si="49"/>
        <v>0.05</v>
      </c>
      <c r="JE60" s="75">
        <f t="shared" si="49"/>
        <v>0.05</v>
      </c>
      <c r="JF60" s="75">
        <f t="shared" si="49"/>
        <v>0.05</v>
      </c>
      <c r="JG60" s="75">
        <f t="shared" si="49"/>
        <v>0.05</v>
      </c>
      <c r="JH60" s="75">
        <f t="shared" si="49"/>
        <v>0.05</v>
      </c>
      <c r="JI60" s="75">
        <f t="shared" si="49"/>
        <v>0.05</v>
      </c>
      <c r="JJ60" s="75">
        <f t="shared" si="49"/>
        <v>0.05</v>
      </c>
      <c r="JK60" s="75">
        <f t="shared" si="49"/>
        <v>0.05</v>
      </c>
      <c r="JL60" s="75">
        <f t="shared" si="49"/>
        <v>0.05</v>
      </c>
      <c r="JM60" s="75">
        <f t="shared" si="49"/>
        <v>0.05</v>
      </c>
      <c r="JN60" s="75">
        <f t="shared" si="49"/>
        <v>0.05</v>
      </c>
      <c r="JO60" s="75">
        <f t="shared" si="49"/>
        <v>0.05</v>
      </c>
      <c r="JP60" s="75">
        <f t="shared" si="49"/>
        <v>0.05</v>
      </c>
      <c r="JQ60" s="75">
        <f t="shared" si="49"/>
        <v>0.05</v>
      </c>
      <c r="JR60" s="75">
        <f t="shared" si="49"/>
        <v>0.05</v>
      </c>
      <c r="JS60" s="75">
        <f t="shared" si="49"/>
        <v>0.05</v>
      </c>
      <c r="JT60" s="75">
        <f t="shared" si="49"/>
        <v>0.05</v>
      </c>
      <c r="JU60" s="75">
        <f t="shared" si="49"/>
        <v>0.05</v>
      </c>
      <c r="JV60" s="75">
        <f t="shared" si="49"/>
        <v>0.05</v>
      </c>
      <c r="JW60" s="75">
        <f t="shared" si="49"/>
        <v>0.05</v>
      </c>
      <c r="JX60" s="75">
        <f t="shared" si="49"/>
        <v>0.05</v>
      </c>
      <c r="JY60" s="75">
        <f t="shared" si="49"/>
        <v>0.05</v>
      </c>
      <c r="JZ60" s="75">
        <f t="shared" si="49"/>
        <v>0.05</v>
      </c>
      <c r="KA60" s="75">
        <f t="shared" si="49"/>
        <v>0.05</v>
      </c>
      <c r="KB60" s="75">
        <f t="shared" si="49"/>
        <v>0.05</v>
      </c>
      <c r="KC60" s="75">
        <f t="shared" si="49"/>
        <v>0.05</v>
      </c>
      <c r="KD60" s="75">
        <f t="shared" si="49"/>
        <v>0.05</v>
      </c>
      <c r="KE60" s="75">
        <f t="shared" si="49"/>
        <v>0.05</v>
      </c>
      <c r="KF60" s="75">
        <f t="shared" si="49"/>
        <v>0.05</v>
      </c>
      <c r="KG60" s="75">
        <f t="shared" si="49"/>
        <v>0.05</v>
      </c>
      <c r="KH60" s="75">
        <f t="shared" si="49"/>
        <v>0.05</v>
      </c>
      <c r="KI60" s="75">
        <f t="shared" si="49"/>
        <v>0.05</v>
      </c>
      <c r="KJ60" s="75">
        <f t="shared" si="49"/>
        <v>0.05</v>
      </c>
      <c r="KK60" s="75">
        <f t="shared" si="49"/>
        <v>0.05</v>
      </c>
      <c r="KL60" s="75">
        <f t="shared" si="49"/>
        <v>0.05</v>
      </c>
      <c r="KM60" s="75">
        <f t="shared" si="49"/>
        <v>0.05</v>
      </c>
      <c r="KN60" s="75">
        <f t="shared" si="49"/>
        <v>0.05</v>
      </c>
      <c r="KO60" s="75">
        <f t="shared" si="49"/>
        <v>0.05</v>
      </c>
      <c r="KP60" s="75">
        <f t="shared" si="49"/>
        <v>0.05</v>
      </c>
      <c r="KQ60" s="75">
        <f t="shared" si="49"/>
        <v>0.05</v>
      </c>
      <c r="KR60" s="75">
        <f t="shared" si="49"/>
        <v>0.05</v>
      </c>
      <c r="KS60" s="75">
        <f t="shared" si="49"/>
        <v>0.05</v>
      </c>
      <c r="KT60" s="75">
        <f t="shared" si="49"/>
        <v>0.05</v>
      </c>
      <c r="KU60" s="75">
        <f t="shared" si="49"/>
        <v>0.05</v>
      </c>
      <c r="KV60" s="75">
        <f t="shared" si="49"/>
        <v>0.05</v>
      </c>
      <c r="KW60" s="75">
        <f t="shared" si="49"/>
        <v>0.05</v>
      </c>
      <c r="KX60" s="75">
        <f t="shared" si="49"/>
        <v>0.05</v>
      </c>
      <c r="KY60" s="75">
        <f t="shared" si="49"/>
        <v>0.05</v>
      </c>
      <c r="KZ60" s="75">
        <f t="shared" si="49"/>
        <v>0.05</v>
      </c>
      <c r="LA60" s="75">
        <f t="shared" si="49"/>
        <v>0.05</v>
      </c>
      <c r="LB60" s="75">
        <f t="shared" si="49"/>
        <v>0.05</v>
      </c>
      <c r="LC60" s="75">
        <f t="shared" si="49"/>
        <v>0.05</v>
      </c>
      <c r="LD60" s="75">
        <f t="shared" si="49"/>
        <v>0.05</v>
      </c>
      <c r="LE60" s="75">
        <f t="shared" si="49"/>
        <v>0.05</v>
      </c>
      <c r="LF60" s="75">
        <f t="shared" si="49"/>
        <v>0.05</v>
      </c>
      <c r="LG60" s="75">
        <f t="shared" si="49"/>
        <v>0.05</v>
      </c>
      <c r="LH60" s="75">
        <f t="shared" si="49"/>
        <v>0.05</v>
      </c>
      <c r="LI60" s="75">
        <f t="shared" si="49"/>
        <v>0.05</v>
      </c>
      <c r="LJ60" s="75">
        <f t="shared" si="49"/>
        <v>0.05</v>
      </c>
      <c r="LK60" s="75">
        <f t="shared" si="49"/>
        <v>0.05</v>
      </c>
      <c r="LL60" s="75">
        <f t="shared" si="49"/>
        <v>0.05</v>
      </c>
      <c r="LM60" s="75">
        <f t="shared" si="49"/>
        <v>0.05</v>
      </c>
      <c r="LN60" s="75">
        <f t="shared" si="49"/>
        <v>0.05</v>
      </c>
      <c r="LO60" s="75">
        <f t="shared" si="49"/>
        <v>0.05</v>
      </c>
      <c r="LP60" s="75">
        <f t="shared" si="49"/>
        <v>0.05</v>
      </c>
      <c r="LQ60" s="75">
        <f t="shared" si="49"/>
        <v>0.05</v>
      </c>
      <c r="LR60" s="75">
        <f t="shared" si="49"/>
        <v>0.05</v>
      </c>
      <c r="LS60" s="75">
        <f t="shared" si="49"/>
        <v>0.05</v>
      </c>
      <c r="LT60" s="75">
        <f t="shared" si="49"/>
        <v>0.05</v>
      </c>
      <c r="LU60" s="75">
        <f t="shared" si="49"/>
        <v>0.05</v>
      </c>
      <c r="LV60" s="75">
        <f t="shared" si="49"/>
        <v>0.05</v>
      </c>
      <c r="LW60" s="75">
        <f t="shared" si="49"/>
        <v>0.05</v>
      </c>
      <c r="LX60" s="75">
        <f t="shared" si="49"/>
        <v>0.05</v>
      </c>
      <c r="LY60" s="75">
        <f t="shared" si="49"/>
        <v>0.05</v>
      </c>
      <c r="LZ60" s="75">
        <f t="shared" si="49"/>
        <v>0.05</v>
      </c>
      <c r="MA60" s="75">
        <f t="shared" si="49"/>
        <v>0.05</v>
      </c>
      <c r="MB60" s="75">
        <f t="shared" si="49"/>
        <v>0.05</v>
      </c>
      <c r="MC60" s="75">
        <f t="shared" si="49"/>
        <v>0.05</v>
      </c>
      <c r="MD60" s="75">
        <f t="shared" si="49"/>
        <v>0.05</v>
      </c>
      <c r="ME60" s="75">
        <f t="shared" si="49"/>
        <v>0.05</v>
      </c>
      <c r="MF60" s="75">
        <f t="shared" si="49"/>
        <v>0.05</v>
      </c>
      <c r="MG60" s="75">
        <f t="shared" si="49"/>
        <v>0.05</v>
      </c>
      <c r="MH60" s="75">
        <f t="shared" si="49"/>
        <v>0.05</v>
      </c>
      <c r="MI60" s="75">
        <f t="shared" si="49"/>
        <v>0.05</v>
      </c>
      <c r="MJ60" s="75">
        <f t="shared" si="49"/>
        <v>0.05</v>
      </c>
      <c r="MK60" s="75">
        <f t="shared" si="49"/>
        <v>0.05</v>
      </c>
      <c r="ML60" s="75">
        <f t="shared" si="49"/>
        <v>0.05</v>
      </c>
      <c r="MM60" s="75">
        <f t="shared" si="49"/>
        <v>0.05</v>
      </c>
      <c r="MN60" s="75">
        <f t="shared" si="49"/>
        <v>0.05</v>
      </c>
      <c r="MO60" s="75">
        <f t="shared" si="49"/>
        <v>0.05</v>
      </c>
      <c r="MP60" s="75">
        <f t="shared" si="49"/>
        <v>0.05</v>
      </c>
      <c r="MQ60" s="75">
        <f t="shared" si="49"/>
        <v>0.05</v>
      </c>
      <c r="MR60" s="75">
        <f t="shared" si="49"/>
        <v>0.05</v>
      </c>
      <c r="MS60" s="75">
        <f t="shared" si="49"/>
        <v>0.05</v>
      </c>
      <c r="MT60" s="75">
        <f t="shared" si="49"/>
        <v>0.05</v>
      </c>
      <c r="MU60" s="75">
        <f t="shared" si="49"/>
        <v>0.05</v>
      </c>
      <c r="MV60" s="75">
        <f t="shared" si="49"/>
        <v>0.05</v>
      </c>
      <c r="MW60" s="75">
        <f t="shared" si="49"/>
        <v>0.05</v>
      </c>
      <c r="MX60" s="75">
        <f t="shared" si="49"/>
        <v>0.05</v>
      </c>
      <c r="MY60" s="75">
        <f t="shared" si="49"/>
        <v>0.05</v>
      </c>
      <c r="MZ60" s="75">
        <f t="shared" si="49"/>
        <v>0.05</v>
      </c>
      <c r="NA60" s="75">
        <f t="shared" si="49"/>
        <v>0.05</v>
      </c>
      <c r="NB60" s="75">
        <f t="shared" si="49"/>
        <v>0.05</v>
      </c>
      <c r="NC60" s="75">
        <f t="shared" si="49"/>
        <v>0.05</v>
      </c>
      <c r="ND60" s="75">
        <f t="shared" si="49"/>
        <v>0.05</v>
      </c>
      <c r="NE60" s="75">
        <f t="shared" si="49"/>
        <v>0.05</v>
      </c>
      <c r="NF60" s="75">
        <f t="shared" si="49"/>
        <v>0.05</v>
      </c>
      <c r="NG60" s="75">
        <f t="shared" si="49"/>
        <v>0.05</v>
      </c>
      <c r="NH60" s="75">
        <f t="shared" si="49"/>
        <v>0.05</v>
      </c>
      <c r="NI60" s="75">
        <f t="shared" si="49"/>
        <v>0.05</v>
      </c>
      <c r="NJ60" s="75">
        <f t="shared" si="49"/>
        <v>0.05</v>
      </c>
      <c r="NK60" s="75">
        <f t="shared" si="49"/>
        <v>0.05</v>
      </c>
      <c r="NL60" s="75">
        <f t="shared" si="49"/>
        <v>0.05</v>
      </c>
      <c r="NM60" s="75">
        <f t="shared" si="49"/>
        <v>0.05</v>
      </c>
      <c r="NN60" s="75">
        <f t="shared" si="49"/>
        <v>0.05</v>
      </c>
      <c r="NO60" s="75">
        <f t="shared" si="49"/>
        <v>0.05</v>
      </c>
      <c r="NP60" s="75">
        <f t="shared" si="49"/>
        <v>0.05</v>
      </c>
      <c r="NQ60" s="75">
        <f t="shared" si="49"/>
        <v>0.05</v>
      </c>
      <c r="NR60" s="75">
        <f t="shared" si="49"/>
        <v>0.05</v>
      </c>
      <c r="NS60" s="75">
        <f t="shared" si="49"/>
        <v>0.05</v>
      </c>
      <c r="NT60" s="75">
        <f t="shared" si="49"/>
        <v>0.05</v>
      </c>
      <c r="NU60" s="75">
        <f t="shared" si="49"/>
        <v>0.05</v>
      </c>
      <c r="NV60" s="75">
        <f t="shared" si="49"/>
        <v>0.05</v>
      </c>
      <c r="NW60" s="75">
        <f t="shared" si="49"/>
        <v>0.05</v>
      </c>
      <c r="NX60" s="75">
        <f t="shared" si="49"/>
        <v>0.05</v>
      </c>
      <c r="NY60" s="75">
        <f t="shared" si="49"/>
        <v>0.05</v>
      </c>
      <c r="NZ60" s="75">
        <f t="shared" si="49"/>
        <v>0.05</v>
      </c>
      <c r="OA60" s="75">
        <f t="shared" si="49"/>
        <v>0.05</v>
      </c>
      <c r="OB60" s="75">
        <f t="shared" si="49"/>
        <v>0.05</v>
      </c>
      <c r="OC60" s="75">
        <f t="shared" si="49"/>
        <v>0.05</v>
      </c>
      <c r="OD60" s="75">
        <f t="shared" si="49"/>
        <v>0.05</v>
      </c>
      <c r="OE60" s="75">
        <f t="shared" si="49"/>
        <v>0.05</v>
      </c>
      <c r="OF60" s="75">
        <f t="shared" si="49"/>
        <v>0.05</v>
      </c>
      <c r="OG60" s="75">
        <f t="shared" si="49"/>
        <v>0.05</v>
      </c>
      <c r="OH60" s="75">
        <f t="shared" si="49"/>
        <v>0.05</v>
      </c>
      <c r="OI60" s="75">
        <f t="shared" si="49"/>
        <v>0.05</v>
      </c>
      <c r="OJ60" s="75">
        <f t="shared" si="49"/>
        <v>0.05</v>
      </c>
      <c r="OK60" s="75">
        <f t="shared" si="49"/>
        <v>0.05</v>
      </c>
      <c r="OL60" s="75">
        <f t="shared" si="49"/>
        <v>0.05</v>
      </c>
      <c r="OM60" s="75">
        <f t="shared" si="49"/>
        <v>0.05</v>
      </c>
      <c r="ON60" s="75">
        <f t="shared" si="49"/>
        <v>0.05</v>
      </c>
      <c r="OO60" s="75">
        <f t="shared" si="49"/>
        <v>0.05</v>
      </c>
      <c r="OP60" s="75">
        <f t="shared" si="49"/>
        <v>0.05</v>
      </c>
      <c r="OQ60" s="75">
        <f t="shared" si="49"/>
        <v>0.05</v>
      </c>
      <c r="OR60" s="75">
        <f t="shared" si="49"/>
        <v>0.05</v>
      </c>
      <c r="OS60" s="75">
        <f t="shared" si="49"/>
        <v>0.05</v>
      </c>
      <c r="OT60" s="75">
        <f t="shared" si="49"/>
        <v>0.05</v>
      </c>
      <c r="OU60" s="75">
        <f t="shared" si="49"/>
        <v>0.05</v>
      </c>
      <c r="OV60" s="75">
        <f t="shared" si="49"/>
        <v>0.05</v>
      </c>
      <c r="OW60" s="75">
        <f t="shared" si="49"/>
        <v>0.05</v>
      </c>
      <c r="OX60" s="75">
        <f t="shared" si="49"/>
        <v>0.05</v>
      </c>
      <c r="OY60" s="75">
        <f t="shared" si="49"/>
        <v>0.05</v>
      </c>
      <c r="OZ60" s="75">
        <f t="shared" si="49"/>
        <v>0.05</v>
      </c>
      <c r="PA60" s="75">
        <f t="shared" si="49"/>
        <v>0.05</v>
      </c>
      <c r="PB60" s="75">
        <f t="shared" si="49"/>
        <v>0.05</v>
      </c>
      <c r="PC60" s="75">
        <f t="shared" si="49"/>
        <v>0.05</v>
      </c>
      <c r="PD60" s="75">
        <f t="shared" si="49"/>
        <v>0.05</v>
      </c>
      <c r="PE60" s="75">
        <f t="shared" si="49"/>
        <v>0.05</v>
      </c>
      <c r="PF60" s="75">
        <f t="shared" si="49"/>
        <v>0.05</v>
      </c>
      <c r="PG60" s="75">
        <f t="shared" si="49"/>
        <v>0.05</v>
      </c>
      <c r="PH60" s="75">
        <f t="shared" si="49"/>
        <v>0.05</v>
      </c>
      <c r="PI60" s="75">
        <f t="shared" si="49"/>
        <v>0.05</v>
      </c>
      <c r="PJ60" s="75">
        <f t="shared" si="49"/>
        <v>0.05</v>
      </c>
      <c r="PK60" s="75">
        <f t="shared" si="49"/>
        <v>0.05</v>
      </c>
      <c r="PL60" s="75">
        <f t="shared" si="49"/>
        <v>0.05</v>
      </c>
      <c r="PM60" s="75">
        <f t="shared" si="49"/>
        <v>0.05</v>
      </c>
      <c r="PN60" s="75">
        <f t="shared" si="49"/>
        <v>0.05</v>
      </c>
      <c r="PO60" s="75">
        <f t="shared" si="49"/>
        <v>0.05</v>
      </c>
      <c r="PP60" s="75">
        <f t="shared" si="49"/>
        <v>0.05</v>
      </c>
      <c r="PQ60" s="75">
        <f t="shared" si="49"/>
        <v>0.05</v>
      </c>
      <c r="PR60" s="75">
        <f t="shared" si="49"/>
        <v>0.05</v>
      </c>
      <c r="PS60" s="75">
        <f t="shared" si="49"/>
        <v>0.05</v>
      </c>
      <c r="PT60" s="75">
        <f t="shared" si="49"/>
        <v>0.05</v>
      </c>
      <c r="PU60" s="75">
        <f t="shared" si="49"/>
        <v>0.05</v>
      </c>
      <c r="PV60" s="75">
        <f t="shared" si="49"/>
        <v>0.05</v>
      </c>
      <c r="PW60" s="75">
        <f t="shared" si="49"/>
        <v>0.05</v>
      </c>
      <c r="PX60" s="75">
        <f t="shared" si="49"/>
        <v>0.05</v>
      </c>
      <c r="PY60" s="75">
        <f t="shared" si="49"/>
        <v>0.05</v>
      </c>
      <c r="PZ60" s="75">
        <f t="shared" si="49"/>
        <v>0.05</v>
      </c>
      <c r="QA60" s="75">
        <f t="shared" si="49"/>
        <v>0.05</v>
      </c>
      <c r="QB60" s="75">
        <f t="shared" si="49"/>
        <v>0.05</v>
      </c>
      <c r="QC60" s="75">
        <f t="shared" si="49"/>
        <v>0.05</v>
      </c>
      <c r="QD60" s="75">
        <f t="shared" si="49"/>
        <v>0.05</v>
      </c>
      <c r="QE60" s="75">
        <f t="shared" si="49"/>
        <v>0.05</v>
      </c>
      <c r="QF60" s="75">
        <f t="shared" si="49"/>
        <v>0.05</v>
      </c>
      <c r="QG60" s="75">
        <f t="shared" si="49"/>
        <v>0.05</v>
      </c>
      <c r="QH60" s="75">
        <f t="shared" si="49"/>
        <v>0.05</v>
      </c>
      <c r="QI60" s="75">
        <f t="shared" si="49"/>
        <v>0.05</v>
      </c>
      <c r="QJ60" s="75">
        <f t="shared" si="49"/>
        <v>0.05</v>
      </c>
      <c r="QK60" s="75">
        <f t="shared" si="49"/>
        <v>0.05</v>
      </c>
      <c r="QL60" s="75">
        <f t="shared" si="49"/>
        <v>0.05</v>
      </c>
      <c r="QM60" s="75">
        <f t="shared" si="49"/>
        <v>0.05</v>
      </c>
      <c r="QN60" s="75">
        <f t="shared" si="49"/>
        <v>0.05</v>
      </c>
      <c r="QO60" s="75">
        <f t="shared" si="49"/>
        <v>0.05</v>
      </c>
      <c r="QP60" s="75">
        <f t="shared" si="49"/>
        <v>0.05</v>
      </c>
      <c r="QQ60" s="75">
        <f t="shared" si="49"/>
        <v>0.05</v>
      </c>
      <c r="QR60" s="75">
        <f t="shared" si="49"/>
        <v>0.05</v>
      </c>
      <c r="QS60" s="75">
        <f t="shared" si="49"/>
        <v>0.05</v>
      </c>
      <c r="QT60" s="75">
        <f t="shared" si="49"/>
        <v>0.05</v>
      </c>
      <c r="QU60" s="75">
        <f t="shared" si="49"/>
        <v>0.05</v>
      </c>
      <c r="QV60" s="75">
        <f t="shared" si="49"/>
        <v>0.05</v>
      </c>
      <c r="QW60" s="75">
        <f t="shared" si="49"/>
        <v>0.05</v>
      </c>
      <c r="QX60" s="75">
        <f t="shared" si="49"/>
        <v>0.05</v>
      </c>
      <c r="QY60" s="75">
        <f t="shared" si="49"/>
        <v>0.05</v>
      </c>
      <c r="QZ60" s="75">
        <f t="shared" si="49"/>
        <v>0.05</v>
      </c>
      <c r="RA60" s="75">
        <f t="shared" si="49"/>
        <v>0.05</v>
      </c>
      <c r="RB60" s="75">
        <f t="shared" si="49"/>
        <v>0.05</v>
      </c>
      <c r="RC60" s="75">
        <f t="shared" si="49"/>
        <v>0.05</v>
      </c>
      <c r="RD60" s="75">
        <f t="shared" si="49"/>
        <v>0.05</v>
      </c>
      <c r="RE60" s="75">
        <f t="shared" si="49"/>
        <v>0.05</v>
      </c>
      <c r="RF60" s="75">
        <f t="shared" si="49"/>
        <v>0.05</v>
      </c>
      <c r="RG60" s="75">
        <f t="shared" si="49"/>
        <v>0.05</v>
      </c>
      <c r="RH60" s="75">
        <f t="shared" si="49"/>
        <v>0.05</v>
      </c>
      <c r="RI60" s="75">
        <f t="shared" si="49"/>
        <v>0.05</v>
      </c>
      <c r="RJ60" s="75">
        <f t="shared" si="49"/>
        <v>0.05</v>
      </c>
      <c r="RK60" s="75">
        <f t="shared" si="49"/>
        <v>0.05</v>
      </c>
      <c r="RL60" s="75">
        <f t="shared" si="49"/>
        <v>0.05</v>
      </c>
      <c r="RM60" s="75">
        <f t="shared" si="49"/>
        <v>0.05</v>
      </c>
      <c r="RN60" s="75">
        <f t="shared" si="49"/>
        <v>0.05</v>
      </c>
      <c r="RO60" s="75">
        <f t="shared" si="49"/>
        <v>0.05</v>
      </c>
      <c r="RP60" s="75">
        <f t="shared" si="49"/>
        <v>0.05</v>
      </c>
      <c r="RQ60" s="75">
        <f t="shared" si="49"/>
        <v>0.05</v>
      </c>
      <c r="RR60" s="75">
        <f t="shared" si="49"/>
        <v>0.05</v>
      </c>
      <c r="RS60" s="75">
        <f t="shared" si="49"/>
        <v>0.05</v>
      </c>
      <c r="RT60" s="75">
        <f t="shared" si="49"/>
        <v>0.05</v>
      </c>
      <c r="RU60" s="75">
        <f t="shared" si="49"/>
        <v>0.05</v>
      </c>
      <c r="RV60" s="75">
        <f t="shared" si="49"/>
        <v>0.05</v>
      </c>
      <c r="RW60" s="75">
        <f t="shared" si="49"/>
        <v>0.05</v>
      </c>
      <c r="RX60" s="75">
        <f t="shared" si="49"/>
        <v>0.05</v>
      </c>
      <c r="RY60" s="75">
        <f t="shared" si="49"/>
        <v>0.05</v>
      </c>
      <c r="RZ60" s="75">
        <f t="shared" si="49"/>
        <v>0.05</v>
      </c>
      <c r="SA60" s="75">
        <f t="shared" si="49"/>
        <v>0.05</v>
      </c>
      <c r="SB60" s="75">
        <f t="shared" si="49"/>
        <v>0.05</v>
      </c>
      <c r="SC60" s="75">
        <f t="shared" si="49"/>
        <v>0.05</v>
      </c>
      <c r="SD60" s="75">
        <f t="shared" si="49"/>
        <v>0.05</v>
      </c>
      <c r="SE60" s="75">
        <f t="shared" si="49"/>
        <v>0.05</v>
      </c>
      <c r="SF60" s="75">
        <f t="shared" si="49"/>
        <v>0.05</v>
      </c>
      <c r="SG60" s="75">
        <f t="shared" si="49"/>
        <v>0.05</v>
      </c>
      <c r="SH60" s="75">
        <f t="shared" si="49"/>
        <v>0.05</v>
      </c>
      <c r="SI60" s="75">
        <f t="shared" si="49"/>
        <v>0.05</v>
      </c>
      <c r="SJ60" s="75">
        <f t="shared" si="49"/>
        <v>0.05</v>
      </c>
      <c r="SK60" s="75">
        <f t="shared" si="49"/>
        <v>0.05</v>
      </c>
      <c r="SL60" s="75">
        <f t="shared" si="49"/>
        <v>0.05</v>
      </c>
    </row>
    <row r="61">
      <c r="A61" s="53" t="s">
        <v>137</v>
      </c>
      <c r="B61" s="75">
        <f t="array" ref="B61">INDEX('New CEA'!$B61:$F61,MATCH($B$2,'New CEA'!B$2:F$2,0))</f>
        <v>0.02</v>
      </c>
      <c r="C61" s="273"/>
      <c r="D61" s="274"/>
      <c r="E61" s="275"/>
      <c r="F61" s="75"/>
      <c r="G61" s="75">
        <f t="shared" ref="G61:SL61" si="50">$B61</f>
        <v>0.02</v>
      </c>
      <c r="H61" s="75">
        <f t="shared" si="50"/>
        <v>0.02</v>
      </c>
      <c r="I61" s="75">
        <f t="shared" si="50"/>
        <v>0.02</v>
      </c>
      <c r="J61" s="75">
        <f t="shared" si="50"/>
        <v>0.02</v>
      </c>
      <c r="K61" s="75">
        <f t="shared" si="50"/>
        <v>0.02</v>
      </c>
      <c r="L61" s="75">
        <f t="shared" si="50"/>
        <v>0.02</v>
      </c>
      <c r="M61" s="75">
        <f t="shared" si="50"/>
        <v>0.02</v>
      </c>
      <c r="N61" s="75">
        <f t="shared" si="50"/>
        <v>0.02</v>
      </c>
      <c r="O61" s="75">
        <f t="shared" si="50"/>
        <v>0.02</v>
      </c>
      <c r="P61" s="75">
        <f t="shared" si="50"/>
        <v>0.02</v>
      </c>
      <c r="Q61" s="75">
        <f t="shared" si="50"/>
        <v>0.02</v>
      </c>
      <c r="R61" s="75">
        <f t="shared" si="50"/>
        <v>0.02</v>
      </c>
      <c r="S61" s="75">
        <f t="shared" si="50"/>
        <v>0.02</v>
      </c>
      <c r="T61" s="75">
        <f t="shared" si="50"/>
        <v>0.02</v>
      </c>
      <c r="U61" s="75">
        <f t="shared" si="50"/>
        <v>0.02</v>
      </c>
      <c r="V61" s="75">
        <f t="shared" si="50"/>
        <v>0.02</v>
      </c>
      <c r="W61" s="75">
        <f t="shared" si="50"/>
        <v>0.02</v>
      </c>
      <c r="X61" s="75">
        <f t="shared" si="50"/>
        <v>0.02</v>
      </c>
      <c r="Y61" s="75">
        <f t="shared" si="50"/>
        <v>0.02</v>
      </c>
      <c r="Z61" s="75">
        <f t="shared" si="50"/>
        <v>0.02</v>
      </c>
      <c r="AA61" s="75">
        <f t="shared" si="50"/>
        <v>0.02</v>
      </c>
      <c r="AB61" s="75">
        <f t="shared" si="50"/>
        <v>0.02</v>
      </c>
      <c r="AC61" s="75">
        <f t="shared" si="50"/>
        <v>0.02</v>
      </c>
      <c r="AD61" s="75">
        <f t="shared" si="50"/>
        <v>0.02</v>
      </c>
      <c r="AE61" s="75">
        <f t="shared" si="50"/>
        <v>0.02</v>
      </c>
      <c r="AF61" s="75">
        <f t="shared" si="50"/>
        <v>0.02</v>
      </c>
      <c r="AG61" s="75">
        <f t="shared" si="50"/>
        <v>0.02</v>
      </c>
      <c r="AH61" s="75">
        <f t="shared" si="50"/>
        <v>0.02</v>
      </c>
      <c r="AI61" s="75">
        <f t="shared" si="50"/>
        <v>0.02</v>
      </c>
      <c r="AJ61" s="75">
        <f t="shared" si="50"/>
        <v>0.02</v>
      </c>
      <c r="AK61" s="75">
        <f t="shared" si="50"/>
        <v>0.02</v>
      </c>
      <c r="AL61" s="75">
        <f t="shared" si="50"/>
        <v>0.02</v>
      </c>
      <c r="AM61" s="75">
        <f t="shared" si="50"/>
        <v>0.02</v>
      </c>
      <c r="AN61" s="75">
        <f t="shared" si="50"/>
        <v>0.02</v>
      </c>
      <c r="AO61" s="75">
        <f t="shared" si="50"/>
        <v>0.02</v>
      </c>
      <c r="AP61" s="75">
        <f t="shared" si="50"/>
        <v>0.02</v>
      </c>
      <c r="AQ61" s="75">
        <f t="shared" si="50"/>
        <v>0.02</v>
      </c>
      <c r="AR61" s="75">
        <f t="shared" si="50"/>
        <v>0.02</v>
      </c>
      <c r="AS61" s="75">
        <f t="shared" si="50"/>
        <v>0.02</v>
      </c>
      <c r="AT61" s="75">
        <f t="shared" si="50"/>
        <v>0.02</v>
      </c>
      <c r="AU61" s="75">
        <f t="shared" si="50"/>
        <v>0.02</v>
      </c>
      <c r="AV61" s="75">
        <f t="shared" si="50"/>
        <v>0.02</v>
      </c>
      <c r="AW61" s="75">
        <f t="shared" si="50"/>
        <v>0.02</v>
      </c>
      <c r="AX61" s="75">
        <f t="shared" si="50"/>
        <v>0.02</v>
      </c>
      <c r="AY61" s="75">
        <f t="shared" si="50"/>
        <v>0.02</v>
      </c>
      <c r="AZ61" s="75">
        <f t="shared" si="50"/>
        <v>0.02</v>
      </c>
      <c r="BA61" s="75">
        <f t="shared" si="50"/>
        <v>0.02</v>
      </c>
      <c r="BB61" s="75">
        <f t="shared" si="50"/>
        <v>0.02</v>
      </c>
      <c r="BC61" s="75">
        <f t="shared" si="50"/>
        <v>0.02</v>
      </c>
      <c r="BD61" s="75">
        <f t="shared" si="50"/>
        <v>0.02</v>
      </c>
      <c r="BE61" s="75">
        <f t="shared" si="50"/>
        <v>0.02</v>
      </c>
      <c r="BF61" s="75">
        <f t="shared" si="50"/>
        <v>0.02</v>
      </c>
      <c r="BG61" s="75">
        <f t="shared" si="50"/>
        <v>0.02</v>
      </c>
      <c r="BH61" s="75">
        <f t="shared" si="50"/>
        <v>0.02</v>
      </c>
      <c r="BI61" s="75">
        <f t="shared" si="50"/>
        <v>0.02</v>
      </c>
      <c r="BJ61" s="75">
        <f t="shared" si="50"/>
        <v>0.02</v>
      </c>
      <c r="BK61" s="75">
        <f t="shared" si="50"/>
        <v>0.02</v>
      </c>
      <c r="BL61" s="75">
        <f t="shared" si="50"/>
        <v>0.02</v>
      </c>
      <c r="BM61" s="75">
        <f t="shared" si="50"/>
        <v>0.02</v>
      </c>
      <c r="BN61" s="75">
        <f t="shared" si="50"/>
        <v>0.02</v>
      </c>
      <c r="BO61" s="75">
        <f t="shared" si="50"/>
        <v>0.02</v>
      </c>
      <c r="BP61" s="75">
        <f t="shared" si="50"/>
        <v>0.02</v>
      </c>
      <c r="BQ61" s="75">
        <f t="shared" si="50"/>
        <v>0.02</v>
      </c>
      <c r="BR61" s="75">
        <f t="shared" si="50"/>
        <v>0.02</v>
      </c>
      <c r="BS61" s="75">
        <f t="shared" si="50"/>
        <v>0.02</v>
      </c>
      <c r="BT61" s="75">
        <f t="shared" si="50"/>
        <v>0.02</v>
      </c>
      <c r="BU61" s="75">
        <f t="shared" si="50"/>
        <v>0.02</v>
      </c>
      <c r="BV61" s="75">
        <f t="shared" si="50"/>
        <v>0.02</v>
      </c>
      <c r="BW61" s="75">
        <f t="shared" si="50"/>
        <v>0.02</v>
      </c>
      <c r="BX61" s="75">
        <f t="shared" si="50"/>
        <v>0.02</v>
      </c>
      <c r="BY61" s="75">
        <f t="shared" si="50"/>
        <v>0.02</v>
      </c>
      <c r="BZ61" s="75">
        <f t="shared" si="50"/>
        <v>0.02</v>
      </c>
      <c r="CA61" s="75">
        <f t="shared" si="50"/>
        <v>0.02</v>
      </c>
      <c r="CB61" s="75">
        <f t="shared" si="50"/>
        <v>0.02</v>
      </c>
      <c r="CC61" s="75">
        <f t="shared" si="50"/>
        <v>0.02</v>
      </c>
      <c r="CD61" s="75">
        <f t="shared" si="50"/>
        <v>0.02</v>
      </c>
      <c r="CE61" s="75">
        <f t="shared" si="50"/>
        <v>0.02</v>
      </c>
      <c r="CF61" s="75">
        <f t="shared" si="50"/>
        <v>0.02</v>
      </c>
      <c r="CG61" s="75">
        <f t="shared" si="50"/>
        <v>0.02</v>
      </c>
      <c r="CH61" s="75">
        <f t="shared" si="50"/>
        <v>0.02</v>
      </c>
      <c r="CI61" s="75">
        <f t="shared" si="50"/>
        <v>0.02</v>
      </c>
      <c r="CJ61" s="75">
        <f t="shared" si="50"/>
        <v>0.02</v>
      </c>
      <c r="CK61" s="75">
        <f t="shared" si="50"/>
        <v>0.02</v>
      </c>
      <c r="CL61" s="75">
        <f t="shared" si="50"/>
        <v>0.02</v>
      </c>
      <c r="CM61" s="75">
        <f t="shared" si="50"/>
        <v>0.02</v>
      </c>
      <c r="CN61" s="75">
        <f t="shared" si="50"/>
        <v>0.02</v>
      </c>
      <c r="CO61" s="75">
        <f t="shared" si="50"/>
        <v>0.02</v>
      </c>
      <c r="CP61" s="75">
        <f t="shared" si="50"/>
        <v>0.02</v>
      </c>
      <c r="CQ61" s="75">
        <f t="shared" si="50"/>
        <v>0.02</v>
      </c>
      <c r="CR61" s="75">
        <f t="shared" si="50"/>
        <v>0.02</v>
      </c>
      <c r="CS61" s="75">
        <f t="shared" si="50"/>
        <v>0.02</v>
      </c>
      <c r="CT61" s="75">
        <f t="shared" si="50"/>
        <v>0.02</v>
      </c>
      <c r="CU61" s="75">
        <f t="shared" si="50"/>
        <v>0.02</v>
      </c>
      <c r="CV61" s="75">
        <f t="shared" si="50"/>
        <v>0.02</v>
      </c>
      <c r="CW61" s="75">
        <f t="shared" si="50"/>
        <v>0.02</v>
      </c>
      <c r="CX61" s="75">
        <f t="shared" si="50"/>
        <v>0.02</v>
      </c>
      <c r="CY61" s="75">
        <f t="shared" si="50"/>
        <v>0.02</v>
      </c>
      <c r="CZ61" s="75">
        <f t="shared" si="50"/>
        <v>0.02</v>
      </c>
      <c r="DA61" s="75">
        <f t="shared" si="50"/>
        <v>0.02</v>
      </c>
      <c r="DB61" s="75">
        <f t="shared" si="50"/>
        <v>0.02</v>
      </c>
      <c r="DC61" s="75">
        <f t="shared" si="50"/>
        <v>0.02</v>
      </c>
      <c r="DD61" s="75">
        <f t="shared" si="50"/>
        <v>0.02</v>
      </c>
      <c r="DE61" s="75">
        <f t="shared" si="50"/>
        <v>0.02</v>
      </c>
      <c r="DF61" s="75">
        <f t="shared" si="50"/>
        <v>0.02</v>
      </c>
      <c r="DG61" s="75">
        <f t="shared" si="50"/>
        <v>0.02</v>
      </c>
      <c r="DH61" s="75">
        <f t="shared" si="50"/>
        <v>0.02</v>
      </c>
      <c r="DI61" s="75">
        <f t="shared" si="50"/>
        <v>0.02</v>
      </c>
      <c r="DJ61" s="75">
        <f t="shared" si="50"/>
        <v>0.02</v>
      </c>
      <c r="DK61" s="75">
        <f t="shared" si="50"/>
        <v>0.02</v>
      </c>
      <c r="DL61" s="75">
        <f t="shared" si="50"/>
        <v>0.02</v>
      </c>
      <c r="DM61" s="75">
        <f t="shared" si="50"/>
        <v>0.02</v>
      </c>
      <c r="DN61" s="75">
        <f t="shared" si="50"/>
        <v>0.02</v>
      </c>
      <c r="DO61" s="75">
        <f t="shared" si="50"/>
        <v>0.02</v>
      </c>
      <c r="DP61" s="75">
        <f t="shared" si="50"/>
        <v>0.02</v>
      </c>
      <c r="DQ61" s="75">
        <f t="shared" si="50"/>
        <v>0.02</v>
      </c>
      <c r="DR61" s="75">
        <f t="shared" si="50"/>
        <v>0.02</v>
      </c>
      <c r="DS61" s="75">
        <f t="shared" si="50"/>
        <v>0.02</v>
      </c>
      <c r="DT61" s="75">
        <f t="shared" si="50"/>
        <v>0.02</v>
      </c>
      <c r="DU61" s="75">
        <f t="shared" si="50"/>
        <v>0.02</v>
      </c>
      <c r="DV61" s="75">
        <f t="shared" si="50"/>
        <v>0.02</v>
      </c>
      <c r="DW61" s="75">
        <f t="shared" si="50"/>
        <v>0.02</v>
      </c>
      <c r="DX61" s="75">
        <f t="shared" si="50"/>
        <v>0.02</v>
      </c>
      <c r="DY61" s="75">
        <f t="shared" si="50"/>
        <v>0.02</v>
      </c>
      <c r="DZ61" s="75">
        <f t="shared" si="50"/>
        <v>0.02</v>
      </c>
      <c r="EA61" s="75">
        <f t="shared" si="50"/>
        <v>0.02</v>
      </c>
      <c r="EB61" s="75">
        <f t="shared" si="50"/>
        <v>0.02</v>
      </c>
      <c r="EC61" s="75">
        <f t="shared" si="50"/>
        <v>0.02</v>
      </c>
      <c r="ED61" s="75">
        <f t="shared" si="50"/>
        <v>0.02</v>
      </c>
      <c r="EE61" s="75">
        <f t="shared" si="50"/>
        <v>0.02</v>
      </c>
      <c r="EF61" s="75">
        <f t="shared" si="50"/>
        <v>0.02</v>
      </c>
      <c r="EG61" s="75">
        <f t="shared" si="50"/>
        <v>0.02</v>
      </c>
      <c r="EH61" s="75">
        <f t="shared" si="50"/>
        <v>0.02</v>
      </c>
      <c r="EI61" s="75">
        <f t="shared" si="50"/>
        <v>0.02</v>
      </c>
      <c r="EJ61" s="75">
        <f t="shared" si="50"/>
        <v>0.02</v>
      </c>
      <c r="EK61" s="75">
        <f t="shared" si="50"/>
        <v>0.02</v>
      </c>
      <c r="EL61" s="75">
        <f t="shared" si="50"/>
        <v>0.02</v>
      </c>
      <c r="EM61" s="75">
        <f t="shared" si="50"/>
        <v>0.02</v>
      </c>
      <c r="EN61" s="75">
        <f t="shared" si="50"/>
        <v>0.02</v>
      </c>
      <c r="EO61" s="75">
        <f t="shared" si="50"/>
        <v>0.02</v>
      </c>
      <c r="EP61" s="75">
        <f t="shared" si="50"/>
        <v>0.02</v>
      </c>
      <c r="EQ61" s="75">
        <f t="shared" si="50"/>
        <v>0.02</v>
      </c>
      <c r="ER61" s="75">
        <f t="shared" si="50"/>
        <v>0.02</v>
      </c>
      <c r="ES61" s="75">
        <f t="shared" si="50"/>
        <v>0.02</v>
      </c>
      <c r="ET61" s="75">
        <f t="shared" si="50"/>
        <v>0.02</v>
      </c>
      <c r="EU61" s="75">
        <f t="shared" si="50"/>
        <v>0.02</v>
      </c>
      <c r="EV61" s="75">
        <f t="shared" si="50"/>
        <v>0.02</v>
      </c>
      <c r="EW61" s="75">
        <f t="shared" si="50"/>
        <v>0.02</v>
      </c>
      <c r="EX61" s="75">
        <f t="shared" si="50"/>
        <v>0.02</v>
      </c>
      <c r="EY61" s="75">
        <f t="shared" si="50"/>
        <v>0.02</v>
      </c>
      <c r="EZ61" s="75">
        <f t="shared" si="50"/>
        <v>0.02</v>
      </c>
      <c r="FA61" s="75">
        <f t="shared" si="50"/>
        <v>0.02</v>
      </c>
      <c r="FB61" s="75">
        <f t="shared" si="50"/>
        <v>0.02</v>
      </c>
      <c r="FC61" s="75">
        <f t="shared" si="50"/>
        <v>0.02</v>
      </c>
      <c r="FD61" s="75">
        <f t="shared" si="50"/>
        <v>0.02</v>
      </c>
      <c r="FE61" s="75">
        <f t="shared" si="50"/>
        <v>0.02</v>
      </c>
      <c r="FF61" s="75">
        <f t="shared" si="50"/>
        <v>0.02</v>
      </c>
      <c r="FG61" s="75">
        <f t="shared" si="50"/>
        <v>0.02</v>
      </c>
      <c r="FH61" s="75">
        <f t="shared" si="50"/>
        <v>0.02</v>
      </c>
      <c r="FI61" s="75">
        <f t="shared" si="50"/>
        <v>0.02</v>
      </c>
      <c r="FJ61" s="75">
        <f t="shared" si="50"/>
        <v>0.02</v>
      </c>
      <c r="FK61" s="75">
        <f t="shared" si="50"/>
        <v>0.02</v>
      </c>
      <c r="FL61" s="75">
        <f t="shared" si="50"/>
        <v>0.02</v>
      </c>
      <c r="FM61" s="75">
        <f t="shared" si="50"/>
        <v>0.02</v>
      </c>
      <c r="FN61" s="75">
        <f t="shared" si="50"/>
        <v>0.02</v>
      </c>
      <c r="FO61" s="75">
        <f t="shared" si="50"/>
        <v>0.02</v>
      </c>
      <c r="FP61" s="75">
        <f t="shared" si="50"/>
        <v>0.02</v>
      </c>
      <c r="FQ61" s="75">
        <f t="shared" si="50"/>
        <v>0.02</v>
      </c>
      <c r="FR61" s="75">
        <f t="shared" si="50"/>
        <v>0.02</v>
      </c>
      <c r="FS61" s="75">
        <f t="shared" si="50"/>
        <v>0.02</v>
      </c>
      <c r="FT61" s="75">
        <f t="shared" si="50"/>
        <v>0.02</v>
      </c>
      <c r="FU61" s="75">
        <f t="shared" si="50"/>
        <v>0.02</v>
      </c>
      <c r="FV61" s="75">
        <f t="shared" si="50"/>
        <v>0.02</v>
      </c>
      <c r="FW61" s="75">
        <f t="shared" si="50"/>
        <v>0.02</v>
      </c>
      <c r="FX61" s="75">
        <f t="shared" si="50"/>
        <v>0.02</v>
      </c>
      <c r="FY61" s="75">
        <f t="shared" si="50"/>
        <v>0.02</v>
      </c>
      <c r="FZ61" s="75">
        <f t="shared" si="50"/>
        <v>0.02</v>
      </c>
      <c r="GA61" s="75">
        <f t="shared" si="50"/>
        <v>0.02</v>
      </c>
      <c r="GB61" s="75">
        <f t="shared" si="50"/>
        <v>0.02</v>
      </c>
      <c r="GC61" s="75">
        <f t="shared" si="50"/>
        <v>0.02</v>
      </c>
      <c r="GD61" s="75">
        <f t="shared" si="50"/>
        <v>0.02</v>
      </c>
      <c r="GE61" s="75">
        <f t="shared" si="50"/>
        <v>0.02</v>
      </c>
      <c r="GF61" s="75">
        <f t="shared" si="50"/>
        <v>0.02</v>
      </c>
      <c r="GG61" s="75">
        <f t="shared" si="50"/>
        <v>0.02</v>
      </c>
      <c r="GH61" s="75">
        <f t="shared" si="50"/>
        <v>0.02</v>
      </c>
      <c r="GI61" s="75">
        <f t="shared" si="50"/>
        <v>0.02</v>
      </c>
      <c r="GJ61" s="75">
        <f t="shared" si="50"/>
        <v>0.02</v>
      </c>
      <c r="GK61" s="75">
        <f t="shared" si="50"/>
        <v>0.02</v>
      </c>
      <c r="GL61" s="75">
        <f t="shared" si="50"/>
        <v>0.02</v>
      </c>
      <c r="GM61" s="75">
        <f t="shared" si="50"/>
        <v>0.02</v>
      </c>
      <c r="GN61" s="75">
        <f t="shared" si="50"/>
        <v>0.02</v>
      </c>
      <c r="GO61" s="75">
        <f t="shared" si="50"/>
        <v>0.02</v>
      </c>
      <c r="GP61" s="75">
        <f t="shared" si="50"/>
        <v>0.02</v>
      </c>
      <c r="GQ61" s="75">
        <f t="shared" si="50"/>
        <v>0.02</v>
      </c>
      <c r="GR61" s="75">
        <f t="shared" si="50"/>
        <v>0.02</v>
      </c>
      <c r="GS61" s="75">
        <f t="shared" si="50"/>
        <v>0.02</v>
      </c>
      <c r="GT61" s="75">
        <f t="shared" si="50"/>
        <v>0.02</v>
      </c>
      <c r="GU61" s="75">
        <f t="shared" si="50"/>
        <v>0.02</v>
      </c>
      <c r="GV61" s="75">
        <f t="shared" si="50"/>
        <v>0.02</v>
      </c>
      <c r="GW61" s="75">
        <f t="shared" si="50"/>
        <v>0.02</v>
      </c>
      <c r="GX61" s="75">
        <f t="shared" si="50"/>
        <v>0.02</v>
      </c>
      <c r="GY61" s="75">
        <f t="shared" si="50"/>
        <v>0.02</v>
      </c>
      <c r="GZ61" s="75">
        <f t="shared" si="50"/>
        <v>0.02</v>
      </c>
      <c r="HA61" s="75">
        <f t="shared" si="50"/>
        <v>0.02</v>
      </c>
      <c r="HB61" s="75">
        <f t="shared" si="50"/>
        <v>0.02</v>
      </c>
      <c r="HC61" s="75">
        <f t="shared" si="50"/>
        <v>0.02</v>
      </c>
      <c r="HD61" s="75">
        <f t="shared" si="50"/>
        <v>0.02</v>
      </c>
      <c r="HE61" s="75">
        <f t="shared" si="50"/>
        <v>0.02</v>
      </c>
      <c r="HF61" s="75">
        <f t="shared" si="50"/>
        <v>0.02</v>
      </c>
      <c r="HG61" s="75">
        <f t="shared" si="50"/>
        <v>0.02</v>
      </c>
      <c r="HH61" s="75">
        <f t="shared" si="50"/>
        <v>0.02</v>
      </c>
      <c r="HI61" s="75">
        <f t="shared" si="50"/>
        <v>0.02</v>
      </c>
      <c r="HJ61" s="75">
        <f t="shared" si="50"/>
        <v>0.02</v>
      </c>
      <c r="HK61" s="75">
        <f t="shared" si="50"/>
        <v>0.02</v>
      </c>
      <c r="HL61" s="75">
        <f t="shared" si="50"/>
        <v>0.02</v>
      </c>
      <c r="HM61" s="75">
        <f t="shared" si="50"/>
        <v>0.02</v>
      </c>
      <c r="HN61" s="75">
        <f t="shared" si="50"/>
        <v>0.02</v>
      </c>
      <c r="HO61" s="75">
        <f t="shared" si="50"/>
        <v>0.02</v>
      </c>
      <c r="HP61" s="75">
        <f t="shared" si="50"/>
        <v>0.02</v>
      </c>
      <c r="HQ61" s="75">
        <f t="shared" si="50"/>
        <v>0.02</v>
      </c>
      <c r="HR61" s="75">
        <f t="shared" si="50"/>
        <v>0.02</v>
      </c>
      <c r="HS61" s="75">
        <f t="shared" si="50"/>
        <v>0.02</v>
      </c>
      <c r="HT61" s="75">
        <f t="shared" si="50"/>
        <v>0.02</v>
      </c>
      <c r="HU61" s="75">
        <f t="shared" si="50"/>
        <v>0.02</v>
      </c>
      <c r="HV61" s="75">
        <f t="shared" si="50"/>
        <v>0.02</v>
      </c>
      <c r="HW61" s="75">
        <f t="shared" si="50"/>
        <v>0.02</v>
      </c>
      <c r="HX61" s="75">
        <f t="shared" si="50"/>
        <v>0.02</v>
      </c>
      <c r="HY61" s="75">
        <f t="shared" si="50"/>
        <v>0.02</v>
      </c>
      <c r="HZ61" s="75">
        <f t="shared" si="50"/>
        <v>0.02</v>
      </c>
      <c r="IA61" s="75">
        <f t="shared" si="50"/>
        <v>0.02</v>
      </c>
      <c r="IB61" s="75">
        <f t="shared" si="50"/>
        <v>0.02</v>
      </c>
      <c r="IC61" s="75">
        <f t="shared" si="50"/>
        <v>0.02</v>
      </c>
      <c r="ID61" s="75">
        <f t="shared" si="50"/>
        <v>0.02</v>
      </c>
      <c r="IE61" s="75">
        <f t="shared" si="50"/>
        <v>0.02</v>
      </c>
      <c r="IF61" s="75">
        <f t="shared" si="50"/>
        <v>0.02</v>
      </c>
      <c r="IG61" s="75">
        <f t="shared" si="50"/>
        <v>0.02</v>
      </c>
      <c r="IH61" s="75">
        <f t="shared" si="50"/>
        <v>0.02</v>
      </c>
      <c r="II61" s="75">
        <f t="shared" si="50"/>
        <v>0.02</v>
      </c>
      <c r="IJ61" s="75">
        <f t="shared" si="50"/>
        <v>0.02</v>
      </c>
      <c r="IK61" s="75">
        <f t="shared" si="50"/>
        <v>0.02</v>
      </c>
      <c r="IL61" s="75">
        <f t="shared" si="50"/>
        <v>0.02</v>
      </c>
      <c r="IM61" s="75">
        <f t="shared" si="50"/>
        <v>0.02</v>
      </c>
      <c r="IN61" s="75">
        <f t="shared" si="50"/>
        <v>0.02</v>
      </c>
      <c r="IO61" s="75">
        <f t="shared" si="50"/>
        <v>0.02</v>
      </c>
      <c r="IP61" s="75">
        <f t="shared" si="50"/>
        <v>0.02</v>
      </c>
      <c r="IQ61" s="75">
        <f t="shared" si="50"/>
        <v>0.02</v>
      </c>
      <c r="IR61" s="75">
        <f t="shared" si="50"/>
        <v>0.02</v>
      </c>
      <c r="IS61" s="75">
        <f t="shared" si="50"/>
        <v>0.02</v>
      </c>
      <c r="IT61" s="75">
        <f t="shared" si="50"/>
        <v>0.02</v>
      </c>
      <c r="IU61" s="75">
        <f t="shared" si="50"/>
        <v>0.02</v>
      </c>
      <c r="IV61" s="75">
        <f t="shared" si="50"/>
        <v>0.02</v>
      </c>
      <c r="IW61" s="75">
        <f t="shared" si="50"/>
        <v>0.02</v>
      </c>
      <c r="IX61" s="75">
        <f t="shared" si="50"/>
        <v>0.02</v>
      </c>
      <c r="IY61" s="75">
        <f t="shared" si="50"/>
        <v>0.02</v>
      </c>
      <c r="IZ61" s="75">
        <f t="shared" si="50"/>
        <v>0.02</v>
      </c>
      <c r="JA61" s="75">
        <f t="shared" si="50"/>
        <v>0.02</v>
      </c>
      <c r="JB61" s="75">
        <f t="shared" si="50"/>
        <v>0.02</v>
      </c>
      <c r="JC61" s="75">
        <f t="shared" si="50"/>
        <v>0.02</v>
      </c>
      <c r="JD61" s="75">
        <f t="shared" si="50"/>
        <v>0.02</v>
      </c>
      <c r="JE61" s="75">
        <f t="shared" si="50"/>
        <v>0.02</v>
      </c>
      <c r="JF61" s="75">
        <f t="shared" si="50"/>
        <v>0.02</v>
      </c>
      <c r="JG61" s="75">
        <f t="shared" si="50"/>
        <v>0.02</v>
      </c>
      <c r="JH61" s="75">
        <f t="shared" si="50"/>
        <v>0.02</v>
      </c>
      <c r="JI61" s="75">
        <f t="shared" si="50"/>
        <v>0.02</v>
      </c>
      <c r="JJ61" s="75">
        <f t="shared" si="50"/>
        <v>0.02</v>
      </c>
      <c r="JK61" s="75">
        <f t="shared" si="50"/>
        <v>0.02</v>
      </c>
      <c r="JL61" s="75">
        <f t="shared" si="50"/>
        <v>0.02</v>
      </c>
      <c r="JM61" s="75">
        <f t="shared" si="50"/>
        <v>0.02</v>
      </c>
      <c r="JN61" s="75">
        <f t="shared" si="50"/>
        <v>0.02</v>
      </c>
      <c r="JO61" s="75">
        <f t="shared" si="50"/>
        <v>0.02</v>
      </c>
      <c r="JP61" s="75">
        <f t="shared" si="50"/>
        <v>0.02</v>
      </c>
      <c r="JQ61" s="75">
        <f t="shared" si="50"/>
        <v>0.02</v>
      </c>
      <c r="JR61" s="75">
        <f t="shared" si="50"/>
        <v>0.02</v>
      </c>
      <c r="JS61" s="75">
        <f t="shared" si="50"/>
        <v>0.02</v>
      </c>
      <c r="JT61" s="75">
        <f t="shared" si="50"/>
        <v>0.02</v>
      </c>
      <c r="JU61" s="75">
        <f t="shared" si="50"/>
        <v>0.02</v>
      </c>
      <c r="JV61" s="75">
        <f t="shared" si="50"/>
        <v>0.02</v>
      </c>
      <c r="JW61" s="75">
        <f t="shared" si="50"/>
        <v>0.02</v>
      </c>
      <c r="JX61" s="75">
        <f t="shared" si="50"/>
        <v>0.02</v>
      </c>
      <c r="JY61" s="75">
        <f t="shared" si="50"/>
        <v>0.02</v>
      </c>
      <c r="JZ61" s="75">
        <f t="shared" si="50"/>
        <v>0.02</v>
      </c>
      <c r="KA61" s="75">
        <f t="shared" si="50"/>
        <v>0.02</v>
      </c>
      <c r="KB61" s="75">
        <f t="shared" si="50"/>
        <v>0.02</v>
      </c>
      <c r="KC61" s="75">
        <f t="shared" si="50"/>
        <v>0.02</v>
      </c>
      <c r="KD61" s="75">
        <f t="shared" si="50"/>
        <v>0.02</v>
      </c>
      <c r="KE61" s="75">
        <f t="shared" si="50"/>
        <v>0.02</v>
      </c>
      <c r="KF61" s="75">
        <f t="shared" si="50"/>
        <v>0.02</v>
      </c>
      <c r="KG61" s="75">
        <f t="shared" si="50"/>
        <v>0.02</v>
      </c>
      <c r="KH61" s="75">
        <f t="shared" si="50"/>
        <v>0.02</v>
      </c>
      <c r="KI61" s="75">
        <f t="shared" si="50"/>
        <v>0.02</v>
      </c>
      <c r="KJ61" s="75">
        <f t="shared" si="50"/>
        <v>0.02</v>
      </c>
      <c r="KK61" s="75">
        <f t="shared" si="50"/>
        <v>0.02</v>
      </c>
      <c r="KL61" s="75">
        <f t="shared" si="50"/>
        <v>0.02</v>
      </c>
      <c r="KM61" s="75">
        <f t="shared" si="50"/>
        <v>0.02</v>
      </c>
      <c r="KN61" s="75">
        <f t="shared" si="50"/>
        <v>0.02</v>
      </c>
      <c r="KO61" s="75">
        <f t="shared" si="50"/>
        <v>0.02</v>
      </c>
      <c r="KP61" s="75">
        <f t="shared" si="50"/>
        <v>0.02</v>
      </c>
      <c r="KQ61" s="75">
        <f t="shared" si="50"/>
        <v>0.02</v>
      </c>
      <c r="KR61" s="75">
        <f t="shared" si="50"/>
        <v>0.02</v>
      </c>
      <c r="KS61" s="75">
        <f t="shared" si="50"/>
        <v>0.02</v>
      </c>
      <c r="KT61" s="75">
        <f t="shared" si="50"/>
        <v>0.02</v>
      </c>
      <c r="KU61" s="75">
        <f t="shared" si="50"/>
        <v>0.02</v>
      </c>
      <c r="KV61" s="75">
        <f t="shared" si="50"/>
        <v>0.02</v>
      </c>
      <c r="KW61" s="75">
        <f t="shared" si="50"/>
        <v>0.02</v>
      </c>
      <c r="KX61" s="75">
        <f t="shared" si="50"/>
        <v>0.02</v>
      </c>
      <c r="KY61" s="75">
        <f t="shared" si="50"/>
        <v>0.02</v>
      </c>
      <c r="KZ61" s="75">
        <f t="shared" si="50"/>
        <v>0.02</v>
      </c>
      <c r="LA61" s="75">
        <f t="shared" si="50"/>
        <v>0.02</v>
      </c>
      <c r="LB61" s="75">
        <f t="shared" si="50"/>
        <v>0.02</v>
      </c>
      <c r="LC61" s="75">
        <f t="shared" si="50"/>
        <v>0.02</v>
      </c>
      <c r="LD61" s="75">
        <f t="shared" si="50"/>
        <v>0.02</v>
      </c>
      <c r="LE61" s="75">
        <f t="shared" si="50"/>
        <v>0.02</v>
      </c>
      <c r="LF61" s="75">
        <f t="shared" si="50"/>
        <v>0.02</v>
      </c>
      <c r="LG61" s="75">
        <f t="shared" si="50"/>
        <v>0.02</v>
      </c>
      <c r="LH61" s="75">
        <f t="shared" si="50"/>
        <v>0.02</v>
      </c>
      <c r="LI61" s="75">
        <f t="shared" si="50"/>
        <v>0.02</v>
      </c>
      <c r="LJ61" s="75">
        <f t="shared" si="50"/>
        <v>0.02</v>
      </c>
      <c r="LK61" s="75">
        <f t="shared" si="50"/>
        <v>0.02</v>
      </c>
      <c r="LL61" s="75">
        <f t="shared" si="50"/>
        <v>0.02</v>
      </c>
      <c r="LM61" s="75">
        <f t="shared" si="50"/>
        <v>0.02</v>
      </c>
      <c r="LN61" s="75">
        <f t="shared" si="50"/>
        <v>0.02</v>
      </c>
      <c r="LO61" s="75">
        <f t="shared" si="50"/>
        <v>0.02</v>
      </c>
      <c r="LP61" s="75">
        <f t="shared" si="50"/>
        <v>0.02</v>
      </c>
      <c r="LQ61" s="75">
        <f t="shared" si="50"/>
        <v>0.02</v>
      </c>
      <c r="LR61" s="75">
        <f t="shared" si="50"/>
        <v>0.02</v>
      </c>
      <c r="LS61" s="75">
        <f t="shared" si="50"/>
        <v>0.02</v>
      </c>
      <c r="LT61" s="75">
        <f t="shared" si="50"/>
        <v>0.02</v>
      </c>
      <c r="LU61" s="75">
        <f t="shared" si="50"/>
        <v>0.02</v>
      </c>
      <c r="LV61" s="75">
        <f t="shared" si="50"/>
        <v>0.02</v>
      </c>
      <c r="LW61" s="75">
        <f t="shared" si="50"/>
        <v>0.02</v>
      </c>
      <c r="LX61" s="75">
        <f t="shared" si="50"/>
        <v>0.02</v>
      </c>
      <c r="LY61" s="75">
        <f t="shared" si="50"/>
        <v>0.02</v>
      </c>
      <c r="LZ61" s="75">
        <f t="shared" si="50"/>
        <v>0.02</v>
      </c>
      <c r="MA61" s="75">
        <f t="shared" si="50"/>
        <v>0.02</v>
      </c>
      <c r="MB61" s="75">
        <f t="shared" si="50"/>
        <v>0.02</v>
      </c>
      <c r="MC61" s="75">
        <f t="shared" si="50"/>
        <v>0.02</v>
      </c>
      <c r="MD61" s="75">
        <f t="shared" si="50"/>
        <v>0.02</v>
      </c>
      <c r="ME61" s="75">
        <f t="shared" si="50"/>
        <v>0.02</v>
      </c>
      <c r="MF61" s="75">
        <f t="shared" si="50"/>
        <v>0.02</v>
      </c>
      <c r="MG61" s="75">
        <f t="shared" si="50"/>
        <v>0.02</v>
      </c>
      <c r="MH61" s="75">
        <f t="shared" si="50"/>
        <v>0.02</v>
      </c>
      <c r="MI61" s="75">
        <f t="shared" si="50"/>
        <v>0.02</v>
      </c>
      <c r="MJ61" s="75">
        <f t="shared" si="50"/>
        <v>0.02</v>
      </c>
      <c r="MK61" s="75">
        <f t="shared" si="50"/>
        <v>0.02</v>
      </c>
      <c r="ML61" s="75">
        <f t="shared" si="50"/>
        <v>0.02</v>
      </c>
      <c r="MM61" s="75">
        <f t="shared" si="50"/>
        <v>0.02</v>
      </c>
      <c r="MN61" s="75">
        <f t="shared" si="50"/>
        <v>0.02</v>
      </c>
      <c r="MO61" s="75">
        <f t="shared" si="50"/>
        <v>0.02</v>
      </c>
      <c r="MP61" s="75">
        <f t="shared" si="50"/>
        <v>0.02</v>
      </c>
      <c r="MQ61" s="75">
        <f t="shared" si="50"/>
        <v>0.02</v>
      </c>
      <c r="MR61" s="75">
        <f t="shared" si="50"/>
        <v>0.02</v>
      </c>
      <c r="MS61" s="75">
        <f t="shared" si="50"/>
        <v>0.02</v>
      </c>
      <c r="MT61" s="75">
        <f t="shared" si="50"/>
        <v>0.02</v>
      </c>
      <c r="MU61" s="75">
        <f t="shared" si="50"/>
        <v>0.02</v>
      </c>
      <c r="MV61" s="75">
        <f t="shared" si="50"/>
        <v>0.02</v>
      </c>
      <c r="MW61" s="75">
        <f t="shared" si="50"/>
        <v>0.02</v>
      </c>
      <c r="MX61" s="75">
        <f t="shared" si="50"/>
        <v>0.02</v>
      </c>
      <c r="MY61" s="75">
        <f t="shared" si="50"/>
        <v>0.02</v>
      </c>
      <c r="MZ61" s="75">
        <f t="shared" si="50"/>
        <v>0.02</v>
      </c>
      <c r="NA61" s="75">
        <f t="shared" si="50"/>
        <v>0.02</v>
      </c>
      <c r="NB61" s="75">
        <f t="shared" si="50"/>
        <v>0.02</v>
      </c>
      <c r="NC61" s="75">
        <f t="shared" si="50"/>
        <v>0.02</v>
      </c>
      <c r="ND61" s="75">
        <f t="shared" si="50"/>
        <v>0.02</v>
      </c>
      <c r="NE61" s="75">
        <f t="shared" si="50"/>
        <v>0.02</v>
      </c>
      <c r="NF61" s="75">
        <f t="shared" si="50"/>
        <v>0.02</v>
      </c>
      <c r="NG61" s="75">
        <f t="shared" si="50"/>
        <v>0.02</v>
      </c>
      <c r="NH61" s="75">
        <f t="shared" si="50"/>
        <v>0.02</v>
      </c>
      <c r="NI61" s="75">
        <f t="shared" si="50"/>
        <v>0.02</v>
      </c>
      <c r="NJ61" s="75">
        <f t="shared" si="50"/>
        <v>0.02</v>
      </c>
      <c r="NK61" s="75">
        <f t="shared" si="50"/>
        <v>0.02</v>
      </c>
      <c r="NL61" s="75">
        <f t="shared" si="50"/>
        <v>0.02</v>
      </c>
      <c r="NM61" s="75">
        <f t="shared" si="50"/>
        <v>0.02</v>
      </c>
      <c r="NN61" s="75">
        <f t="shared" si="50"/>
        <v>0.02</v>
      </c>
      <c r="NO61" s="75">
        <f t="shared" si="50"/>
        <v>0.02</v>
      </c>
      <c r="NP61" s="75">
        <f t="shared" si="50"/>
        <v>0.02</v>
      </c>
      <c r="NQ61" s="75">
        <f t="shared" si="50"/>
        <v>0.02</v>
      </c>
      <c r="NR61" s="75">
        <f t="shared" si="50"/>
        <v>0.02</v>
      </c>
      <c r="NS61" s="75">
        <f t="shared" si="50"/>
        <v>0.02</v>
      </c>
      <c r="NT61" s="75">
        <f t="shared" si="50"/>
        <v>0.02</v>
      </c>
      <c r="NU61" s="75">
        <f t="shared" si="50"/>
        <v>0.02</v>
      </c>
      <c r="NV61" s="75">
        <f t="shared" si="50"/>
        <v>0.02</v>
      </c>
      <c r="NW61" s="75">
        <f t="shared" si="50"/>
        <v>0.02</v>
      </c>
      <c r="NX61" s="75">
        <f t="shared" si="50"/>
        <v>0.02</v>
      </c>
      <c r="NY61" s="75">
        <f t="shared" si="50"/>
        <v>0.02</v>
      </c>
      <c r="NZ61" s="75">
        <f t="shared" si="50"/>
        <v>0.02</v>
      </c>
      <c r="OA61" s="75">
        <f t="shared" si="50"/>
        <v>0.02</v>
      </c>
      <c r="OB61" s="75">
        <f t="shared" si="50"/>
        <v>0.02</v>
      </c>
      <c r="OC61" s="75">
        <f t="shared" si="50"/>
        <v>0.02</v>
      </c>
      <c r="OD61" s="75">
        <f t="shared" si="50"/>
        <v>0.02</v>
      </c>
      <c r="OE61" s="75">
        <f t="shared" si="50"/>
        <v>0.02</v>
      </c>
      <c r="OF61" s="75">
        <f t="shared" si="50"/>
        <v>0.02</v>
      </c>
      <c r="OG61" s="75">
        <f t="shared" si="50"/>
        <v>0.02</v>
      </c>
      <c r="OH61" s="75">
        <f t="shared" si="50"/>
        <v>0.02</v>
      </c>
      <c r="OI61" s="75">
        <f t="shared" si="50"/>
        <v>0.02</v>
      </c>
      <c r="OJ61" s="75">
        <f t="shared" si="50"/>
        <v>0.02</v>
      </c>
      <c r="OK61" s="75">
        <f t="shared" si="50"/>
        <v>0.02</v>
      </c>
      <c r="OL61" s="75">
        <f t="shared" si="50"/>
        <v>0.02</v>
      </c>
      <c r="OM61" s="75">
        <f t="shared" si="50"/>
        <v>0.02</v>
      </c>
      <c r="ON61" s="75">
        <f t="shared" si="50"/>
        <v>0.02</v>
      </c>
      <c r="OO61" s="75">
        <f t="shared" si="50"/>
        <v>0.02</v>
      </c>
      <c r="OP61" s="75">
        <f t="shared" si="50"/>
        <v>0.02</v>
      </c>
      <c r="OQ61" s="75">
        <f t="shared" si="50"/>
        <v>0.02</v>
      </c>
      <c r="OR61" s="75">
        <f t="shared" si="50"/>
        <v>0.02</v>
      </c>
      <c r="OS61" s="75">
        <f t="shared" si="50"/>
        <v>0.02</v>
      </c>
      <c r="OT61" s="75">
        <f t="shared" si="50"/>
        <v>0.02</v>
      </c>
      <c r="OU61" s="75">
        <f t="shared" si="50"/>
        <v>0.02</v>
      </c>
      <c r="OV61" s="75">
        <f t="shared" si="50"/>
        <v>0.02</v>
      </c>
      <c r="OW61" s="75">
        <f t="shared" si="50"/>
        <v>0.02</v>
      </c>
      <c r="OX61" s="75">
        <f t="shared" si="50"/>
        <v>0.02</v>
      </c>
      <c r="OY61" s="75">
        <f t="shared" si="50"/>
        <v>0.02</v>
      </c>
      <c r="OZ61" s="75">
        <f t="shared" si="50"/>
        <v>0.02</v>
      </c>
      <c r="PA61" s="75">
        <f t="shared" si="50"/>
        <v>0.02</v>
      </c>
      <c r="PB61" s="75">
        <f t="shared" si="50"/>
        <v>0.02</v>
      </c>
      <c r="PC61" s="75">
        <f t="shared" si="50"/>
        <v>0.02</v>
      </c>
      <c r="PD61" s="75">
        <f t="shared" si="50"/>
        <v>0.02</v>
      </c>
      <c r="PE61" s="75">
        <f t="shared" si="50"/>
        <v>0.02</v>
      </c>
      <c r="PF61" s="75">
        <f t="shared" si="50"/>
        <v>0.02</v>
      </c>
      <c r="PG61" s="75">
        <f t="shared" si="50"/>
        <v>0.02</v>
      </c>
      <c r="PH61" s="75">
        <f t="shared" si="50"/>
        <v>0.02</v>
      </c>
      <c r="PI61" s="75">
        <f t="shared" si="50"/>
        <v>0.02</v>
      </c>
      <c r="PJ61" s="75">
        <f t="shared" si="50"/>
        <v>0.02</v>
      </c>
      <c r="PK61" s="75">
        <f t="shared" si="50"/>
        <v>0.02</v>
      </c>
      <c r="PL61" s="75">
        <f t="shared" si="50"/>
        <v>0.02</v>
      </c>
      <c r="PM61" s="75">
        <f t="shared" si="50"/>
        <v>0.02</v>
      </c>
      <c r="PN61" s="75">
        <f t="shared" si="50"/>
        <v>0.02</v>
      </c>
      <c r="PO61" s="75">
        <f t="shared" si="50"/>
        <v>0.02</v>
      </c>
      <c r="PP61" s="75">
        <f t="shared" si="50"/>
        <v>0.02</v>
      </c>
      <c r="PQ61" s="75">
        <f t="shared" si="50"/>
        <v>0.02</v>
      </c>
      <c r="PR61" s="75">
        <f t="shared" si="50"/>
        <v>0.02</v>
      </c>
      <c r="PS61" s="75">
        <f t="shared" si="50"/>
        <v>0.02</v>
      </c>
      <c r="PT61" s="75">
        <f t="shared" si="50"/>
        <v>0.02</v>
      </c>
      <c r="PU61" s="75">
        <f t="shared" si="50"/>
        <v>0.02</v>
      </c>
      <c r="PV61" s="75">
        <f t="shared" si="50"/>
        <v>0.02</v>
      </c>
      <c r="PW61" s="75">
        <f t="shared" si="50"/>
        <v>0.02</v>
      </c>
      <c r="PX61" s="75">
        <f t="shared" si="50"/>
        <v>0.02</v>
      </c>
      <c r="PY61" s="75">
        <f t="shared" si="50"/>
        <v>0.02</v>
      </c>
      <c r="PZ61" s="75">
        <f t="shared" si="50"/>
        <v>0.02</v>
      </c>
      <c r="QA61" s="75">
        <f t="shared" si="50"/>
        <v>0.02</v>
      </c>
      <c r="QB61" s="75">
        <f t="shared" si="50"/>
        <v>0.02</v>
      </c>
      <c r="QC61" s="75">
        <f t="shared" si="50"/>
        <v>0.02</v>
      </c>
      <c r="QD61" s="75">
        <f t="shared" si="50"/>
        <v>0.02</v>
      </c>
      <c r="QE61" s="75">
        <f t="shared" si="50"/>
        <v>0.02</v>
      </c>
      <c r="QF61" s="75">
        <f t="shared" si="50"/>
        <v>0.02</v>
      </c>
      <c r="QG61" s="75">
        <f t="shared" si="50"/>
        <v>0.02</v>
      </c>
      <c r="QH61" s="75">
        <f t="shared" si="50"/>
        <v>0.02</v>
      </c>
      <c r="QI61" s="75">
        <f t="shared" si="50"/>
        <v>0.02</v>
      </c>
      <c r="QJ61" s="75">
        <f t="shared" si="50"/>
        <v>0.02</v>
      </c>
      <c r="QK61" s="75">
        <f t="shared" si="50"/>
        <v>0.02</v>
      </c>
      <c r="QL61" s="75">
        <f t="shared" si="50"/>
        <v>0.02</v>
      </c>
      <c r="QM61" s="75">
        <f t="shared" si="50"/>
        <v>0.02</v>
      </c>
      <c r="QN61" s="75">
        <f t="shared" si="50"/>
        <v>0.02</v>
      </c>
      <c r="QO61" s="75">
        <f t="shared" si="50"/>
        <v>0.02</v>
      </c>
      <c r="QP61" s="75">
        <f t="shared" si="50"/>
        <v>0.02</v>
      </c>
      <c r="QQ61" s="75">
        <f t="shared" si="50"/>
        <v>0.02</v>
      </c>
      <c r="QR61" s="75">
        <f t="shared" si="50"/>
        <v>0.02</v>
      </c>
      <c r="QS61" s="75">
        <f t="shared" si="50"/>
        <v>0.02</v>
      </c>
      <c r="QT61" s="75">
        <f t="shared" si="50"/>
        <v>0.02</v>
      </c>
      <c r="QU61" s="75">
        <f t="shared" si="50"/>
        <v>0.02</v>
      </c>
      <c r="QV61" s="75">
        <f t="shared" si="50"/>
        <v>0.02</v>
      </c>
      <c r="QW61" s="75">
        <f t="shared" si="50"/>
        <v>0.02</v>
      </c>
      <c r="QX61" s="75">
        <f t="shared" si="50"/>
        <v>0.02</v>
      </c>
      <c r="QY61" s="75">
        <f t="shared" si="50"/>
        <v>0.02</v>
      </c>
      <c r="QZ61" s="75">
        <f t="shared" si="50"/>
        <v>0.02</v>
      </c>
      <c r="RA61" s="75">
        <f t="shared" si="50"/>
        <v>0.02</v>
      </c>
      <c r="RB61" s="75">
        <f t="shared" si="50"/>
        <v>0.02</v>
      </c>
      <c r="RC61" s="75">
        <f t="shared" si="50"/>
        <v>0.02</v>
      </c>
      <c r="RD61" s="75">
        <f t="shared" si="50"/>
        <v>0.02</v>
      </c>
      <c r="RE61" s="75">
        <f t="shared" si="50"/>
        <v>0.02</v>
      </c>
      <c r="RF61" s="75">
        <f t="shared" si="50"/>
        <v>0.02</v>
      </c>
      <c r="RG61" s="75">
        <f t="shared" si="50"/>
        <v>0.02</v>
      </c>
      <c r="RH61" s="75">
        <f t="shared" si="50"/>
        <v>0.02</v>
      </c>
      <c r="RI61" s="75">
        <f t="shared" si="50"/>
        <v>0.02</v>
      </c>
      <c r="RJ61" s="75">
        <f t="shared" si="50"/>
        <v>0.02</v>
      </c>
      <c r="RK61" s="75">
        <f t="shared" si="50"/>
        <v>0.02</v>
      </c>
      <c r="RL61" s="75">
        <f t="shared" si="50"/>
        <v>0.02</v>
      </c>
      <c r="RM61" s="75">
        <f t="shared" si="50"/>
        <v>0.02</v>
      </c>
      <c r="RN61" s="75">
        <f t="shared" si="50"/>
        <v>0.02</v>
      </c>
      <c r="RO61" s="75">
        <f t="shared" si="50"/>
        <v>0.02</v>
      </c>
      <c r="RP61" s="75">
        <f t="shared" si="50"/>
        <v>0.02</v>
      </c>
      <c r="RQ61" s="75">
        <f t="shared" si="50"/>
        <v>0.02</v>
      </c>
      <c r="RR61" s="75">
        <f t="shared" si="50"/>
        <v>0.02</v>
      </c>
      <c r="RS61" s="75">
        <f t="shared" si="50"/>
        <v>0.02</v>
      </c>
      <c r="RT61" s="75">
        <f t="shared" si="50"/>
        <v>0.02</v>
      </c>
      <c r="RU61" s="75">
        <f t="shared" si="50"/>
        <v>0.02</v>
      </c>
      <c r="RV61" s="75">
        <f t="shared" si="50"/>
        <v>0.02</v>
      </c>
      <c r="RW61" s="75">
        <f t="shared" si="50"/>
        <v>0.02</v>
      </c>
      <c r="RX61" s="75">
        <f t="shared" si="50"/>
        <v>0.02</v>
      </c>
      <c r="RY61" s="75">
        <f t="shared" si="50"/>
        <v>0.02</v>
      </c>
      <c r="RZ61" s="75">
        <f t="shared" si="50"/>
        <v>0.02</v>
      </c>
      <c r="SA61" s="75">
        <f t="shared" si="50"/>
        <v>0.02</v>
      </c>
      <c r="SB61" s="75">
        <f t="shared" si="50"/>
        <v>0.02</v>
      </c>
      <c r="SC61" s="75">
        <f t="shared" si="50"/>
        <v>0.02</v>
      </c>
      <c r="SD61" s="75">
        <f t="shared" si="50"/>
        <v>0.02</v>
      </c>
      <c r="SE61" s="75">
        <f t="shared" si="50"/>
        <v>0.02</v>
      </c>
      <c r="SF61" s="75">
        <f t="shared" si="50"/>
        <v>0.02</v>
      </c>
      <c r="SG61" s="75">
        <f t="shared" si="50"/>
        <v>0.02</v>
      </c>
      <c r="SH61" s="75">
        <f t="shared" si="50"/>
        <v>0.02</v>
      </c>
      <c r="SI61" s="75">
        <f t="shared" si="50"/>
        <v>0.02</v>
      </c>
      <c r="SJ61" s="75">
        <f t="shared" si="50"/>
        <v>0.02</v>
      </c>
      <c r="SK61" s="75">
        <f t="shared" si="50"/>
        <v>0.02</v>
      </c>
      <c r="SL61" s="75">
        <f t="shared" si="50"/>
        <v>0.02</v>
      </c>
    </row>
    <row r="62">
      <c r="A62" s="53" t="s">
        <v>138</v>
      </c>
      <c r="B62" s="75">
        <f t="array" ref="B62">INDEX('New CEA'!$B62:$F62,MATCH($B$2,'New CEA'!B$2:F$2,0))</f>
        <v>-0.02</v>
      </c>
      <c r="C62" s="273"/>
      <c r="D62" s="274"/>
      <c r="E62" s="275"/>
      <c r="F62" s="75"/>
      <c r="G62" s="75">
        <f t="shared" ref="G62:SL62" si="51">$B62</f>
        <v>-0.02</v>
      </c>
      <c r="H62" s="75">
        <f t="shared" si="51"/>
        <v>-0.02</v>
      </c>
      <c r="I62" s="75">
        <f t="shared" si="51"/>
        <v>-0.02</v>
      </c>
      <c r="J62" s="75">
        <f t="shared" si="51"/>
        <v>-0.02</v>
      </c>
      <c r="K62" s="75">
        <f t="shared" si="51"/>
        <v>-0.02</v>
      </c>
      <c r="L62" s="75">
        <f t="shared" si="51"/>
        <v>-0.02</v>
      </c>
      <c r="M62" s="75">
        <f t="shared" si="51"/>
        <v>-0.02</v>
      </c>
      <c r="N62" s="75">
        <f t="shared" si="51"/>
        <v>-0.02</v>
      </c>
      <c r="O62" s="75">
        <f t="shared" si="51"/>
        <v>-0.02</v>
      </c>
      <c r="P62" s="75">
        <f t="shared" si="51"/>
        <v>-0.02</v>
      </c>
      <c r="Q62" s="75">
        <f t="shared" si="51"/>
        <v>-0.02</v>
      </c>
      <c r="R62" s="75">
        <f t="shared" si="51"/>
        <v>-0.02</v>
      </c>
      <c r="S62" s="75">
        <f t="shared" si="51"/>
        <v>-0.02</v>
      </c>
      <c r="T62" s="75">
        <f t="shared" si="51"/>
        <v>-0.02</v>
      </c>
      <c r="U62" s="75">
        <f t="shared" si="51"/>
        <v>-0.02</v>
      </c>
      <c r="V62" s="75">
        <f t="shared" si="51"/>
        <v>-0.02</v>
      </c>
      <c r="W62" s="75">
        <f t="shared" si="51"/>
        <v>-0.02</v>
      </c>
      <c r="X62" s="75">
        <f t="shared" si="51"/>
        <v>-0.02</v>
      </c>
      <c r="Y62" s="75">
        <f t="shared" si="51"/>
        <v>-0.02</v>
      </c>
      <c r="Z62" s="75">
        <f t="shared" si="51"/>
        <v>-0.02</v>
      </c>
      <c r="AA62" s="75">
        <f t="shared" si="51"/>
        <v>-0.02</v>
      </c>
      <c r="AB62" s="75">
        <f t="shared" si="51"/>
        <v>-0.02</v>
      </c>
      <c r="AC62" s="75">
        <f t="shared" si="51"/>
        <v>-0.02</v>
      </c>
      <c r="AD62" s="75">
        <f t="shared" si="51"/>
        <v>-0.02</v>
      </c>
      <c r="AE62" s="75">
        <f t="shared" si="51"/>
        <v>-0.02</v>
      </c>
      <c r="AF62" s="75">
        <f t="shared" si="51"/>
        <v>-0.02</v>
      </c>
      <c r="AG62" s="75">
        <f t="shared" si="51"/>
        <v>-0.02</v>
      </c>
      <c r="AH62" s="75">
        <f t="shared" si="51"/>
        <v>-0.02</v>
      </c>
      <c r="AI62" s="75">
        <f t="shared" si="51"/>
        <v>-0.02</v>
      </c>
      <c r="AJ62" s="75">
        <f t="shared" si="51"/>
        <v>-0.02</v>
      </c>
      <c r="AK62" s="75">
        <f t="shared" si="51"/>
        <v>-0.02</v>
      </c>
      <c r="AL62" s="75">
        <f t="shared" si="51"/>
        <v>-0.02</v>
      </c>
      <c r="AM62" s="75">
        <f t="shared" si="51"/>
        <v>-0.02</v>
      </c>
      <c r="AN62" s="75">
        <f t="shared" si="51"/>
        <v>-0.02</v>
      </c>
      <c r="AO62" s="75">
        <f t="shared" si="51"/>
        <v>-0.02</v>
      </c>
      <c r="AP62" s="75">
        <f t="shared" si="51"/>
        <v>-0.02</v>
      </c>
      <c r="AQ62" s="75">
        <f t="shared" si="51"/>
        <v>-0.02</v>
      </c>
      <c r="AR62" s="75">
        <f t="shared" si="51"/>
        <v>-0.02</v>
      </c>
      <c r="AS62" s="75">
        <f t="shared" si="51"/>
        <v>-0.02</v>
      </c>
      <c r="AT62" s="75">
        <f t="shared" si="51"/>
        <v>-0.02</v>
      </c>
      <c r="AU62" s="75">
        <f t="shared" si="51"/>
        <v>-0.02</v>
      </c>
      <c r="AV62" s="75">
        <f t="shared" si="51"/>
        <v>-0.02</v>
      </c>
      <c r="AW62" s="75">
        <f t="shared" si="51"/>
        <v>-0.02</v>
      </c>
      <c r="AX62" s="75">
        <f t="shared" si="51"/>
        <v>-0.02</v>
      </c>
      <c r="AY62" s="75">
        <f t="shared" si="51"/>
        <v>-0.02</v>
      </c>
      <c r="AZ62" s="75">
        <f t="shared" si="51"/>
        <v>-0.02</v>
      </c>
      <c r="BA62" s="75">
        <f t="shared" si="51"/>
        <v>-0.02</v>
      </c>
      <c r="BB62" s="75">
        <f t="shared" si="51"/>
        <v>-0.02</v>
      </c>
      <c r="BC62" s="75">
        <f t="shared" si="51"/>
        <v>-0.02</v>
      </c>
      <c r="BD62" s="75">
        <f t="shared" si="51"/>
        <v>-0.02</v>
      </c>
      <c r="BE62" s="75">
        <f t="shared" si="51"/>
        <v>-0.02</v>
      </c>
      <c r="BF62" s="75">
        <f t="shared" si="51"/>
        <v>-0.02</v>
      </c>
      <c r="BG62" s="75">
        <f t="shared" si="51"/>
        <v>-0.02</v>
      </c>
      <c r="BH62" s="75">
        <f t="shared" si="51"/>
        <v>-0.02</v>
      </c>
      <c r="BI62" s="75">
        <f t="shared" si="51"/>
        <v>-0.02</v>
      </c>
      <c r="BJ62" s="75">
        <f t="shared" si="51"/>
        <v>-0.02</v>
      </c>
      <c r="BK62" s="75">
        <f t="shared" si="51"/>
        <v>-0.02</v>
      </c>
      <c r="BL62" s="75">
        <f t="shared" si="51"/>
        <v>-0.02</v>
      </c>
      <c r="BM62" s="75">
        <f t="shared" si="51"/>
        <v>-0.02</v>
      </c>
      <c r="BN62" s="75">
        <f t="shared" si="51"/>
        <v>-0.02</v>
      </c>
      <c r="BO62" s="75">
        <f t="shared" si="51"/>
        <v>-0.02</v>
      </c>
      <c r="BP62" s="75">
        <f t="shared" si="51"/>
        <v>-0.02</v>
      </c>
      <c r="BQ62" s="75">
        <f t="shared" si="51"/>
        <v>-0.02</v>
      </c>
      <c r="BR62" s="75">
        <f t="shared" si="51"/>
        <v>-0.02</v>
      </c>
      <c r="BS62" s="75">
        <f t="shared" si="51"/>
        <v>-0.02</v>
      </c>
      <c r="BT62" s="75">
        <f t="shared" si="51"/>
        <v>-0.02</v>
      </c>
      <c r="BU62" s="75">
        <f t="shared" si="51"/>
        <v>-0.02</v>
      </c>
      <c r="BV62" s="75">
        <f t="shared" si="51"/>
        <v>-0.02</v>
      </c>
      <c r="BW62" s="75">
        <f t="shared" si="51"/>
        <v>-0.02</v>
      </c>
      <c r="BX62" s="75">
        <f t="shared" si="51"/>
        <v>-0.02</v>
      </c>
      <c r="BY62" s="75">
        <f t="shared" si="51"/>
        <v>-0.02</v>
      </c>
      <c r="BZ62" s="75">
        <f t="shared" si="51"/>
        <v>-0.02</v>
      </c>
      <c r="CA62" s="75">
        <f t="shared" si="51"/>
        <v>-0.02</v>
      </c>
      <c r="CB62" s="75">
        <f t="shared" si="51"/>
        <v>-0.02</v>
      </c>
      <c r="CC62" s="75">
        <f t="shared" si="51"/>
        <v>-0.02</v>
      </c>
      <c r="CD62" s="75">
        <f t="shared" si="51"/>
        <v>-0.02</v>
      </c>
      <c r="CE62" s="75">
        <f t="shared" si="51"/>
        <v>-0.02</v>
      </c>
      <c r="CF62" s="75">
        <f t="shared" si="51"/>
        <v>-0.02</v>
      </c>
      <c r="CG62" s="75">
        <f t="shared" si="51"/>
        <v>-0.02</v>
      </c>
      <c r="CH62" s="75">
        <f t="shared" si="51"/>
        <v>-0.02</v>
      </c>
      <c r="CI62" s="75">
        <f t="shared" si="51"/>
        <v>-0.02</v>
      </c>
      <c r="CJ62" s="75">
        <f t="shared" si="51"/>
        <v>-0.02</v>
      </c>
      <c r="CK62" s="75">
        <f t="shared" si="51"/>
        <v>-0.02</v>
      </c>
      <c r="CL62" s="75">
        <f t="shared" si="51"/>
        <v>-0.02</v>
      </c>
      <c r="CM62" s="75">
        <f t="shared" si="51"/>
        <v>-0.02</v>
      </c>
      <c r="CN62" s="75">
        <f t="shared" si="51"/>
        <v>-0.02</v>
      </c>
      <c r="CO62" s="75">
        <f t="shared" si="51"/>
        <v>-0.02</v>
      </c>
      <c r="CP62" s="75">
        <f t="shared" si="51"/>
        <v>-0.02</v>
      </c>
      <c r="CQ62" s="75">
        <f t="shared" si="51"/>
        <v>-0.02</v>
      </c>
      <c r="CR62" s="75">
        <f t="shared" si="51"/>
        <v>-0.02</v>
      </c>
      <c r="CS62" s="75">
        <f t="shared" si="51"/>
        <v>-0.02</v>
      </c>
      <c r="CT62" s="75">
        <f t="shared" si="51"/>
        <v>-0.02</v>
      </c>
      <c r="CU62" s="75">
        <f t="shared" si="51"/>
        <v>-0.02</v>
      </c>
      <c r="CV62" s="75">
        <f t="shared" si="51"/>
        <v>-0.02</v>
      </c>
      <c r="CW62" s="75">
        <f t="shared" si="51"/>
        <v>-0.02</v>
      </c>
      <c r="CX62" s="75">
        <f t="shared" si="51"/>
        <v>-0.02</v>
      </c>
      <c r="CY62" s="75">
        <f t="shared" si="51"/>
        <v>-0.02</v>
      </c>
      <c r="CZ62" s="75">
        <f t="shared" si="51"/>
        <v>-0.02</v>
      </c>
      <c r="DA62" s="75">
        <f t="shared" si="51"/>
        <v>-0.02</v>
      </c>
      <c r="DB62" s="75">
        <f t="shared" si="51"/>
        <v>-0.02</v>
      </c>
      <c r="DC62" s="75">
        <f t="shared" si="51"/>
        <v>-0.02</v>
      </c>
      <c r="DD62" s="75">
        <f t="shared" si="51"/>
        <v>-0.02</v>
      </c>
      <c r="DE62" s="75">
        <f t="shared" si="51"/>
        <v>-0.02</v>
      </c>
      <c r="DF62" s="75">
        <f t="shared" si="51"/>
        <v>-0.02</v>
      </c>
      <c r="DG62" s="75">
        <f t="shared" si="51"/>
        <v>-0.02</v>
      </c>
      <c r="DH62" s="75">
        <f t="shared" si="51"/>
        <v>-0.02</v>
      </c>
      <c r="DI62" s="75">
        <f t="shared" si="51"/>
        <v>-0.02</v>
      </c>
      <c r="DJ62" s="75">
        <f t="shared" si="51"/>
        <v>-0.02</v>
      </c>
      <c r="DK62" s="75">
        <f t="shared" si="51"/>
        <v>-0.02</v>
      </c>
      <c r="DL62" s="75">
        <f t="shared" si="51"/>
        <v>-0.02</v>
      </c>
      <c r="DM62" s="75">
        <f t="shared" si="51"/>
        <v>-0.02</v>
      </c>
      <c r="DN62" s="75">
        <f t="shared" si="51"/>
        <v>-0.02</v>
      </c>
      <c r="DO62" s="75">
        <f t="shared" si="51"/>
        <v>-0.02</v>
      </c>
      <c r="DP62" s="75">
        <f t="shared" si="51"/>
        <v>-0.02</v>
      </c>
      <c r="DQ62" s="75">
        <f t="shared" si="51"/>
        <v>-0.02</v>
      </c>
      <c r="DR62" s="75">
        <f t="shared" si="51"/>
        <v>-0.02</v>
      </c>
      <c r="DS62" s="75">
        <f t="shared" si="51"/>
        <v>-0.02</v>
      </c>
      <c r="DT62" s="75">
        <f t="shared" si="51"/>
        <v>-0.02</v>
      </c>
      <c r="DU62" s="75">
        <f t="shared" si="51"/>
        <v>-0.02</v>
      </c>
      <c r="DV62" s="75">
        <f t="shared" si="51"/>
        <v>-0.02</v>
      </c>
      <c r="DW62" s="75">
        <f t="shared" si="51"/>
        <v>-0.02</v>
      </c>
      <c r="DX62" s="75">
        <f t="shared" si="51"/>
        <v>-0.02</v>
      </c>
      <c r="DY62" s="75">
        <f t="shared" si="51"/>
        <v>-0.02</v>
      </c>
      <c r="DZ62" s="75">
        <f t="shared" si="51"/>
        <v>-0.02</v>
      </c>
      <c r="EA62" s="75">
        <f t="shared" si="51"/>
        <v>-0.02</v>
      </c>
      <c r="EB62" s="75">
        <f t="shared" si="51"/>
        <v>-0.02</v>
      </c>
      <c r="EC62" s="75">
        <f t="shared" si="51"/>
        <v>-0.02</v>
      </c>
      <c r="ED62" s="75">
        <f t="shared" si="51"/>
        <v>-0.02</v>
      </c>
      <c r="EE62" s="75">
        <f t="shared" si="51"/>
        <v>-0.02</v>
      </c>
      <c r="EF62" s="75">
        <f t="shared" si="51"/>
        <v>-0.02</v>
      </c>
      <c r="EG62" s="75">
        <f t="shared" si="51"/>
        <v>-0.02</v>
      </c>
      <c r="EH62" s="75">
        <f t="shared" si="51"/>
        <v>-0.02</v>
      </c>
      <c r="EI62" s="75">
        <f t="shared" si="51"/>
        <v>-0.02</v>
      </c>
      <c r="EJ62" s="75">
        <f t="shared" si="51"/>
        <v>-0.02</v>
      </c>
      <c r="EK62" s="75">
        <f t="shared" si="51"/>
        <v>-0.02</v>
      </c>
      <c r="EL62" s="75">
        <f t="shared" si="51"/>
        <v>-0.02</v>
      </c>
      <c r="EM62" s="75">
        <f t="shared" si="51"/>
        <v>-0.02</v>
      </c>
      <c r="EN62" s="75">
        <f t="shared" si="51"/>
        <v>-0.02</v>
      </c>
      <c r="EO62" s="75">
        <f t="shared" si="51"/>
        <v>-0.02</v>
      </c>
      <c r="EP62" s="75">
        <f t="shared" si="51"/>
        <v>-0.02</v>
      </c>
      <c r="EQ62" s="75">
        <f t="shared" si="51"/>
        <v>-0.02</v>
      </c>
      <c r="ER62" s="75">
        <f t="shared" si="51"/>
        <v>-0.02</v>
      </c>
      <c r="ES62" s="75">
        <f t="shared" si="51"/>
        <v>-0.02</v>
      </c>
      <c r="ET62" s="75">
        <f t="shared" si="51"/>
        <v>-0.02</v>
      </c>
      <c r="EU62" s="75">
        <f t="shared" si="51"/>
        <v>-0.02</v>
      </c>
      <c r="EV62" s="75">
        <f t="shared" si="51"/>
        <v>-0.02</v>
      </c>
      <c r="EW62" s="75">
        <f t="shared" si="51"/>
        <v>-0.02</v>
      </c>
      <c r="EX62" s="75">
        <f t="shared" si="51"/>
        <v>-0.02</v>
      </c>
      <c r="EY62" s="75">
        <f t="shared" si="51"/>
        <v>-0.02</v>
      </c>
      <c r="EZ62" s="75">
        <f t="shared" si="51"/>
        <v>-0.02</v>
      </c>
      <c r="FA62" s="75">
        <f t="shared" si="51"/>
        <v>-0.02</v>
      </c>
      <c r="FB62" s="75">
        <f t="shared" si="51"/>
        <v>-0.02</v>
      </c>
      <c r="FC62" s="75">
        <f t="shared" si="51"/>
        <v>-0.02</v>
      </c>
      <c r="FD62" s="75">
        <f t="shared" si="51"/>
        <v>-0.02</v>
      </c>
      <c r="FE62" s="75">
        <f t="shared" si="51"/>
        <v>-0.02</v>
      </c>
      <c r="FF62" s="75">
        <f t="shared" si="51"/>
        <v>-0.02</v>
      </c>
      <c r="FG62" s="75">
        <f t="shared" si="51"/>
        <v>-0.02</v>
      </c>
      <c r="FH62" s="75">
        <f t="shared" si="51"/>
        <v>-0.02</v>
      </c>
      <c r="FI62" s="75">
        <f t="shared" si="51"/>
        <v>-0.02</v>
      </c>
      <c r="FJ62" s="75">
        <f t="shared" si="51"/>
        <v>-0.02</v>
      </c>
      <c r="FK62" s="75">
        <f t="shared" si="51"/>
        <v>-0.02</v>
      </c>
      <c r="FL62" s="75">
        <f t="shared" si="51"/>
        <v>-0.02</v>
      </c>
      <c r="FM62" s="75">
        <f t="shared" si="51"/>
        <v>-0.02</v>
      </c>
      <c r="FN62" s="75">
        <f t="shared" si="51"/>
        <v>-0.02</v>
      </c>
      <c r="FO62" s="75">
        <f t="shared" si="51"/>
        <v>-0.02</v>
      </c>
      <c r="FP62" s="75">
        <f t="shared" si="51"/>
        <v>-0.02</v>
      </c>
      <c r="FQ62" s="75">
        <f t="shared" si="51"/>
        <v>-0.02</v>
      </c>
      <c r="FR62" s="75">
        <f t="shared" si="51"/>
        <v>-0.02</v>
      </c>
      <c r="FS62" s="75">
        <f t="shared" si="51"/>
        <v>-0.02</v>
      </c>
      <c r="FT62" s="75">
        <f t="shared" si="51"/>
        <v>-0.02</v>
      </c>
      <c r="FU62" s="75">
        <f t="shared" si="51"/>
        <v>-0.02</v>
      </c>
      <c r="FV62" s="75">
        <f t="shared" si="51"/>
        <v>-0.02</v>
      </c>
      <c r="FW62" s="75">
        <f t="shared" si="51"/>
        <v>-0.02</v>
      </c>
      <c r="FX62" s="75">
        <f t="shared" si="51"/>
        <v>-0.02</v>
      </c>
      <c r="FY62" s="75">
        <f t="shared" si="51"/>
        <v>-0.02</v>
      </c>
      <c r="FZ62" s="75">
        <f t="shared" si="51"/>
        <v>-0.02</v>
      </c>
      <c r="GA62" s="75">
        <f t="shared" si="51"/>
        <v>-0.02</v>
      </c>
      <c r="GB62" s="75">
        <f t="shared" si="51"/>
        <v>-0.02</v>
      </c>
      <c r="GC62" s="75">
        <f t="shared" si="51"/>
        <v>-0.02</v>
      </c>
      <c r="GD62" s="75">
        <f t="shared" si="51"/>
        <v>-0.02</v>
      </c>
      <c r="GE62" s="75">
        <f t="shared" si="51"/>
        <v>-0.02</v>
      </c>
      <c r="GF62" s="75">
        <f t="shared" si="51"/>
        <v>-0.02</v>
      </c>
      <c r="GG62" s="75">
        <f t="shared" si="51"/>
        <v>-0.02</v>
      </c>
      <c r="GH62" s="75">
        <f t="shared" si="51"/>
        <v>-0.02</v>
      </c>
      <c r="GI62" s="75">
        <f t="shared" si="51"/>
        <v>-0.02</v>
      </c>
      <c r="GJ62" s="75">
        <f t="shared" si="51"/>
        <v>-0.02</v>
      </c>
      <c r="GK62" s="75">
        <f t="shared" si="51"/>
        <v>-0.02</v>
      </c>
      <c r="GL62" s="75">
        <f t="shared" si="51"/>
        <v>-0.02</v>
      </c>
      <c r="GM62" s="75">
        <f t="shared" si="51"/>
        <v>-0.02</v>
      </c>
      <c r="GN62" s="75">
        <f t="shared" si="51"/>
        <v>-0.02</v>
      </c>
      <c r="GO62" s="75">
        <f t="shared" si="51"/>
        <v>-0.02</v>
      </c>
      <c r="GP62" s="75">
        <f t="shared" si="51"/>
        <v>-0.02</v>
      </c>
      <c r="GQ62" s="75">
        <f t="shared" si="51"/>
        <v>-0.02</v>
      </c>
      <c r="GR62" s="75">
        <f t="shared" si="51"/>
        <v>-0.02</v>
      </c>
      <c r="GS62" s="75">
        <f t="shared" si="51"/>
        <v>-0.02</v>
      </c>
      <c r="GT62" s="75">
        <f t="shared" si="51"/>
        <v>-0.02</v>
      </c>
      <c r="GU62" s="75">
        <f t="shared" si="51"/>
        <v>-0.02</v>
      </c>
      <c r="GV62" s="75">
        <f t="shared" si="51"/>
        <v>-0.02</v>
      </c>
      <c r="GW62" s="75">
        <f t="shared" si="51"/>
        <v>-0.02</v>
      </c>
      <c r="GX62" s="75">
        <f t="shared" si="51"/>
        <v>-0.02</v>
      </c>
      <c r="GY62" s="75">
        <f t="shared" si="51"/>
        <v>-0.02</v>
      </c>
      <c r="GZ62" s="75">
        <f t="shared" si="51"/>
        <v>-0.02</v>
      </c>
      <c r="HA62" s="75">
        <f t="shared" si="51"/>
        <v>-0.02</v>
      </c>
      <c r="HB62" s="75">
        <f t="shared" si="51"/>
        <v>-0.02</v>
      </c>
      <c r="HC62" s="75">
        <f t="shared" si="51"/>
        <v>-0.02</v>
      </c>
      <c r="HD62" s="75">
        <f t="shared" si="51"/>
        <v>-0.02</v>
      </c>
      <c r="HE62" s="75">
        <f t="shared" si="51"/>
        <v>-0.02</v>
      </c>
      <c r="HF62" s="75">
        <f t="shared" si="51"/>
        <v>-0.02</v>
      </c>
      <c r="HG62" s="75">
        <f t="shared" si="51"/>
        <v>-0.02</v>
      </c>
      <c r="HH62" s="75">
        <f t="shared" si="51"/>
        <v>-0.02</v>
      </c>
      <c r="HI62" s="75">
        <f t="shared" si="51"/>
        <v>-0.02</v>
      </c>
      <c r="HJ62" s="75">
        <f t="shared" si="51"/>
        <v>-0.02</v>
      </c>
      <c r="HK62" s="75">
        <f t="shared" si="51"/>
        <v>-0.02</v>
      </c>
      <c r="HL62" s="75">
        <f t="shared" si="51"/>
        <v>-0.02</v>
      </c>
      <c r="HM62" s="75">
        <f t="shared" si="51"/>
        <v>-0.02</v>
      </c>
      <c r="HN62" s="75">
        <f t="shared" si="51"/>
        <v>-0.02</v>
      </c>
      <c r="HO62" s="75">
        <f t="shared" si="51"/>
        <v>-0.02</v>
      </c>
      <c r="HP62" s="75">
        <f t="shared" si="51"/>
        <v>-0.02</v>
      </c>
      <c r="HQ62" s="75">
        <f t="shared" si="51"/>
        <v>-0.02</v>
      </c>
      <c r="HR62" s="75">
        <f t="shared" si="51"/>
        <v>-0.02</v>
      </c>
      <c r="HS62" s="75">
        <f t="shared" si="51"/>
        <v>-0.02</v>
      </c>
      <c r="HT62" s="75">
        <f t="shared" si="51"/>
        <v>-0.02</v>
      </c>
      <c r="HU62" s="75">
        <f t="shared" si="51"/>
        <v>-0.02</v>
      </c>
      <c r="HV62" s="75">
        <f t="shared" si="51"/>
        <v>-0.02</v>
      </c>
      <c r="HW62" s="75">
        <f t="shared" si="51"/>
        <v>-0.02</v>
      </c>
      <c r="HX62" s="75">
        <f t="shared" si="51"/>
        <v>-0.02</v>
      </c>
      <c r="HY62" s="75">
        <f t="shared" si="51"/>
        <v>-0.02</v>
      </c>
      <c r="HZ62" s="75">
        <f t="shared" si="51"/>
        <v>-0.02</v>
      </c>
      <c r="IA62" s="75">
        <f t="shared" si="51"/>
        <v>-0.02</v>
      </c>
      <c r="IB62" s="75">
        <f t="shared" si="51"/>
        <v>-0.02</v>
      </c>
      <c r="IC62" s="75">
        <f t="shared" si="51"/>
        <v>-0.02</v>
      </c>
      <c r="ID62" s="75">
        <f t="shared" si="51"/>
        <v>-0.02</v>
      </c>
      <c r="IE62" s="75">
        <f t="shared" si="51"/>
        <v>-0.02</v>
      </c>
      <c r="IF62" s="75">
        <f t="shared" si="51"/>
        <v>-0.02</v>
      </c>
      <c r="IG62" s="75">
        <f t="shared" si="51"/>
        <v>-0.02</v>
      </c>
      <c r="IH62" s="75">
        <f t="shared" si="51"/>
        <v>-0.02</v>
      </c>
      <c r="II62" s="75">
        <f t="shared" si="51"/>
        <v>-0.02</v>
      </c>
      <c r="IJ62" s="75">
        <f t="shared" si="51"/>
        <v>-0.02</v>
      </c>
      <c r="IK62" s="75">
        <f t="shared" si="51"/>
        <v>-0.02</v>
      </c>
      <c r="IL62" s="75">
        <f t="shared" si="51"/>
        <v>-0.02</v>
      </c>
      <c r="IM62" s="75">
        <f t="shared" si="51"/>
        <v>-0.02</v>
      </c>
      <c r="IN62" s="75">
        <f t="shared" si="51"/>
        <v>-0.02</v>
      </c>
      <c r="IO62" s="75">
        <f t="shared" si="51"/>
        <v>-0.02</v>
      </c>
      <c r="IP62" s="75">
        <f t="shared" si="51"/>
        <v>-0.02</v>
      </c>
      <c r="IQ62" s="75">
        <f t="shared" si="51"/>
        <v>-0.02</v>
      </c>
      <c r="IR62" s="75">
        <f t="shared" si="51"/>
        <v>-0.02</v>
      </c>
      <c r="IS62" s="75">
        <f t="shared" si="51"/>
        <v>-0.02</v>
      </c>
      <c r="IT62" s="75">
        <f t="shared" si="51"/>
        <v>-0.02</v>
      </c>
      <c r="IU62" s="75">
        <f t="shared" si="51"/>
        <v>-0.02</v>
      </c>
      <c r="IV62" s="75">
        <f t="shared" si="51"/>
        <v>-0.02</v>
      </c>
      <c r="IW62" s="75">
        <f t="shared" si="51"/>
        <v>-0.02</v>
      </c>
      <c r="IX62" s="75">
        <f t="shared" si="51"/>
        <v>-0.02</v>
      </c>
      <c r="IY62" s="75">
        <f t="shared" si="51"/>
        <v>-0.02</v>
      </c>
      <c r="IZ62" s="75">
        <f t="shared" si="51"/>
        <v>-0.02</v>
      </c>
      <c r="JA62" s="75">
        <f t="shared" si="51"/>
        <v>-0.02</v>
      </c>
      <c r="JB62" s="75">
        <f t="shared" si="51"/>
        <v>-0.02</v>
      </c>
      <c r="JC62" s="75">
        <f t="shared" si="51"/>
        <v>-0.02</v>
      </c>
      <c r="JD62" s="75">
        <f t="shared" si="51"/>
        <v>-0.02</v>
      </c>
      <c r="JE62" s="75">
        <f t="shared" si="51"/>
        <v>-0.02</v>
      </c>
      <c r="JF62" s="75">
        <f t="shared" si="51"/>
        <v>-0.02</v>
      </c>
      <c r="JG62" s="75">
        <f t="shared" si="51"/>
        <v>-0.02</v>
      </c>
      <c r="JH62" s="75">
        <f t="shared" si="51"/>
        <v>-0.02</v>
      </c>
      <c r="JI62" s="75">
        <f t="shared" si="51"/>
        <v>-0.02</v>
      </c>
      <c r="JJ62" s="75">
        <f t="shared" si="51"/>
        <v>-0.02</v>
      </c>
      <c r="JK62" s="75">
        <f t="shared" si="51"/>
        <v>-0.02</v>
      </c>
      <c r="JL62" s="75">
        <f t="shared" si="51"/>
        <v>-0.02</v>
      </c>
      <c r="JM62" s="75">
        <f t="shared" si="51"/>
        <v>-0.02</v>
      </c>
      <c r="JN62" s="75">
        <f t="shared" si="51"/>
        <v>-0.02</v>
      </c>
      <c r="JO62" s="75">
        <f t="shared" si="51"/>
        <v>-0.02</v>
      </c>
      <c r="JP62" s="75">
        <f t="shared" si="51"/>
        <v>-0.02</v>
      </c>
      <c r="JQ62" s="75">
        <f t="shared" si="51"/>
        <v>-0.02</v>
      </c>
      <c r="JR62" s="75">
        <f t="shared" si="51"/>
        <v>-0.02</v>
      </c>
      <c r="JS62" s="75">
        <f t="shared" si="51"/>
        <v>-0.02</v>
      </c>
      <c r="JT62" s="75">
        <f t="shared" si="51"/>
        <v>-0.02</v>
      </c>
      <c r="JU62" s="75">
        <f t="shared" si="51"/>
        <v>-0.02</v>
      </c>
      <c r="JV62" s="75">
        <f t="shared" si="51"/>
        <v>-0.02</v>
      </c>
      <c r="JW62" s="75">
        <f t="shared" si="51"/>
        <v>-0.02</v>
      </c>
      <c r="JX62" s="75">
        <f t="shared" si="51"/>
        <v>-0.02</v>
      </c>
      <c r="JY62" s="75">
        <f t="shared" si="51"/>
        <v>-0.02</v>
      </c>
      <c r="JZ62" s="75">
        <f t="shared" si="51"/>
        <v>-0.02</v>
      </c>
      <c r="KA62" s="75">
        <f t="shared" si="51"/>
        <v>-0.02</v>
      </c>
      <c r="KB62" s="75">
        <f t="shared" si="51"/>
        <v>-0.02</v>
      </c>
      <c r="KC62" s="75">
        <f t="shared" si="51"/>
        <v>-0.02</v>
      </c>
      <c r="KD62" s="75">
        <f t="shared" si="51"/>
        <v>-0.02</v>
      </c>
      <c r="KE62" s="75">
        <f t="shared" si="51"/>
        <v>-0.02</v>
      </c>
      <c r="KF62" s="75">
        <f t="shared" si="51"/>
        <v>-0.02</v>
      </c>
      <c r="KG62" s="75">
        <f t="shared" si="51"/>
        <v>-0.02</v>
      </c>
      <c r="KH62" s="75">
        <f t="shared" si="51"/>
        <v>-0.02</v>
      </c>
      <c r="KI62" s="75">
        <f t="shared" si="51"/>
        <v>-0.02</v>
      </c>
      <c r="KJ62" s="75">
        <f t="shared" si="51"/>
        <v>-0.02</v>
      </c>
      <c r="KK62" s="75">
        <f t="shared" si="51"/>
        <v>-0.02</v>
      </c>
      <c r="KL62" s="75">
        <f t="shared" si="51"/>
        <v>-0.02</v>
      </c>
      <c r="KM62" s="75">
        <f t="shared" si="51"/>
        <v>-0.02</v>
      </c>
      <c r="KN62" s="75">
        <f t="shared" si="51"/>
        <v>-0.02</v>
      </c>
      <c r="KO62" s="75">
        <f t="shared" si="51"/>
        <v>-0.02</v>
      </c>
      <c r="KP62" s="75">
        <f t="shared" si="51"/>
        <v>-0.02</v>
      </c>
      <c r="KQ62" s="75">
        <f t="shared" si="51"/>
        <v>-0.02</v>
      </c>
      <c r="KR62" s="75">
        <f t="shared" si="51"/>
        <v>-0.02</v>
      </c>
      <c r="KS62" s="75">
        <f t="shared" si="51"/>
        <v>-0.02</v>
      </c>
      <c r="KT62" s="75">
        <f t="shared" si="51"/>
        <v>-0.02</v>
      </c>
      <c r="KU62" s="75">
        <f t="shared" si="51"/>
        <v>-0.02</v>
      </c>
      <c r="KV62" s="75">
        <f t="shared" si="51"/>
        <v>-0.02</v>
      </c>
      <c r="KW62" s="75">
        <f t="shared" si="51"/>
        <v>-0.02</v>
      </c>
      <c r="KX62" s="75">
        <f t="shared" si="51"/>
        <v>-0.02</v>
      </c>
      <c r="KY62" s="75">
        <f t="shared" si="51"/>
        <v>-0.02</v>
      </c>
      <c r="KZ62" s="75">
        <f t="shared" si="51"/>
        <v>-0.02</v>
      </c>
      <c r="LA62" s="75">
        <f t="shared" si="51"/>
        <v>-0.02</v>
      </c>
      <c r="LB62" s="75">
        <f t="shared" si="51"/>
        <v>-0.02</v>
      </c>
      <c r="LC62" s="75">
        <f t="shared" si="51"/>
        <v>-0.02</v>
      </c>
      <c r="LD62" s="75">
        <f t="shared" si="51"/>
        <v>-0.02</v>
      </c>
      <c r="LE62" s="75">
        <f t="shared" si="51"/>
        <v>-0.02</v>
      </c>
      <c r="LF62" s="75">
        <f t="shared" si="51"/>
        <v>-0.02</v>
      </c>
      <c r="LG62" s="75">
        <f t="shared" si="51"/>
        <v>-0.02</v>
      </c>
      <c r="LH62" s="75">
        <f t="shared" si="51"/>
        <v>-0.02</v>
      </c>
      <c r="LI62" s="75">
        <f t="shared" si="51"/>
        <v>-0.02</v>
      </c>
      <c r="LJ62" s="75">
        <f t="shared" si="51"/>
        <v>-0.02</v>
      </c>
      <c r="LK62" s="75">
        <f t="shared" si="51"/>
        <v>-0.02</v>
      </c>
      <c r="LL62" s="75">
        <f t="shared" si="51"/>
        <v>-0.02</v>
      </c>
      <c r="LM62" s="75">
        <f t="shared" si="51"/>
        <v>-0.02</v>
      </c>
      <c r="LN62" s="75">
        <f t="shared" si="51"/>
        <v>-0.02</v>
      </c>
      <c r="LO62" s="75">
        <f t="shared" si="51"/>
        <v>-0.02</v>
      </c>
      <c r="LP62" s="75">
        <f t="shared" si="51"/>
        <v>-0.02</v>
      </c>
      <c r="LQ62" s="75">
        <f t="shared" si="51"/>
        <v>-0.02</v>
      </c>
      <c r="LR62" s="75">
        <f t="shared" si="51"/>
        <v>-0.02</v>
      </c>
      <c r="LS62" s="75">
        <f t="shared" si="51"/>
        <v>-0.02</v>
      </c>
      <c r="LT62" s="75">
        <f t="shared" si="51"/>
        <v>-0.02</v>
      </c>
      <c r="LU62" s="75">
        <f t="shared" si="51"/>
        <v>-0.02</v>
      </c>
      <c r="LV62" s="75">
        <f t="shared" si="51"/>
        <v>-0.02</v>
      </c>
      <c r="LW62" s="75">
        <f t="shared" si="51"/>
        <v>-0.02</v>
      </c>
      <c r="LX62" s="75">
        <f t="shared" si="51"/>
        <v>-0.02</v>
      </c>
      <c r="LY62" s="75">
        <f t="shared" si="51"/>
        <v>-0.02</v>
      </c>
      <c r="LZ62" s="75">
        <f t="shared" si="51"/>
        <v>-0.02</v>
      </c>
      <c r="MA62" s="75">
        <f t="shared" si="51"/>
        <v>-0.02</v>
      </c>
      <c r="MB62" s="75">
        <f t="shared" si="51"/>
        <v>-0.02</v>
      </c>
      <c r="MC62" s="75">
        <f t="shared" si="51"/>
        <v>-0.02</v>
      </c>
      <c r="MD62" s="75">
        <f t="shared" si="51"/>
        <v>-0.02</v>
      </c>
      <c r="ME62" s="75">
        <f t="shared" si="51"/>
        <v>-0.02</v>
      </c>
      <c r="MF62" s="75">
        <f t="shared" si="51"/>
        <v>-0.02</v>
      </c>
      <c r="MG62" s="75">
        <f t="shared" si="51"/>
        <v>-0.02</v>
      </c>
      <c r="MH62" s="75">
        <f t="shared" si="51"/>
        <v>-0.02</v>
      </c>
      <c r="MI62" s="75">
        <f t="shared" si="51"/>
        <v>-0.02</v>
      </c>
      <c r="MJ62" s="75">
        <f t="shared" si="51"/>
        <v>-0.02</v>
      </c>
      <c r="MK62" s="75">
        <f t="shared" si="51"/>
        <v>-0.02</v>
      </c>
      <c r="ML62" s="75">
        <f t="shared" si="51"/>
        <v>-0.02</v>
      </c>
      <c r="MM62" s="75">
        <f t="shared" si="51"/>
        <v>-0.02</v>
      </c>
      <c r="MN62" s="75">
        <f t="shared" si="51"/>
        <v>-0.02</v>
      </c>
      <c r="MO62" s="75">
        <f t="shared" si="51"/>
        <v>-0.02</v>
      </c>
      <c r="MP62" s="75">
        <f t="shared" si="51"/>
        <v>-0.02</v>
      </c>
      <c r="MQ62" s="75">
        <f t="shared" si="51"/>
        <v>-0.02</v>
      </c>
      <c r="MR62" s="75">
        <f t="shared" si="51"/>
        <v>-0.02</v>
      </c>
      <c r="MS62" s="75">
        <f t="shared" si="51"/>
        <v>-0.02</v>
      </c>
      <c r="MT62" s="75">
        <f t="shared" si="51"/>
        <v>-0.02</v>
      </c>
      <c r="MU62" s="75">
        <f t="shared" si="51"/>
        <v>-0.02</v>
      </c>
      <c r="MV62" s="75">
        <f t="shared" si="51"/>
        <v>-0.02</v>
      </c>
      <c r="MW62" s="75">
        <f t="shared" si="51"/>
        <v>-0.02</v>
      </c>
      <c r="MX62" s="75">
        <f t="shared" si="51"/>
        <v>-0.02</v>
      </c>
      <c r="MY62" s="75">
        <f t="shared" si="51"/>
        <v>-0.02</v>
      </c>
      <c r="MZ62" s="75">
        <f t="shared" si="51"/>
        <v>-0.02</v>
      </c>
      <c r="NA62" s="75">
        <f t="shared" si="51"/>
        <v>-0.02</v>
      </c>
      <c r="NB62" s="75">
        <f t="shared" si="51"/>
        <v>-0.02</v>
      </c>
      <c r="NC62" s="75">
        <f t="shared" si="51"/>
        <v>-0.02</v>
      </c>
      <c r="ND62" s="75">
        <f t="shared" si="51"/>
        <v>-0.02</v>
      </c>
      <c r="NE62" s="75">
        <f t="shared" si="51"/>
        <v>-0.02</v>
      </c>
      <c r="NF62" s="75">
        <f t="shared" si="51"/>
        <v>-0.02</v>
      </c>
      <c r="NG62" s="75">
        <f t="shared" si="51"/>
        <v>-0.02</v>
      </c>
      <c r="NH62" s="75">
        <f t="shared" si="51"/>
        <v>-0.02</v>
      </c>
      <c r="NI62" s="75">
        <f t="shared" si="51"/>
        <v>-0.02</v>
      </c>
      <c r="NJ62" s="75">
        <f t="shared" si="51"/>
        <v>-0.02</v>
      </c>
      <c r="NK62" s="75">
        <f t="shared" si="51"/>
        <v>-0.02</v>
      </c>
      <c r="NL62" s="75">
        <f t="shared" si="51"/>
        <v>-0.02</v>
      </c>
      <c r="NM62" s="75">
        <f t="shared" si="51"/>
        <v>-0.02</v>
      </c>
      <c r="NN62" s="75">
        <f t="shared" si="51"/>
        <v>-0.02</v>
      </c>
      <c r="NO62" s="75">
        <f t="shared" si="51"/>
        <v>-0.02</v>
      </c>
      <c r="NP62" s="75">
        <f t="shared" si="51"/>
        <v>-0.02</v>
      </c>
      <c r="NQ62" s="75">
        <f t="shared" si="51"/>
        <v>-0.02</v>
      </c>
      <c r="NR62" s="75">
        <f t="shared" si="51"/>
        <v>-0.02</v>
      </c>
      <c r="NS62" s="75">
        <f t="shared" si="51"/>
        <v>-0.02</v>
      </c>
      <c r="NT62" s="75">
        <f t="shared" si="51"/>
        <v>-0.02</v>
      </c>
      <c r="NU62" s="75">
        <f t="shared" si="51"/>
        <v>-0.02</v>
      </c>
      <c r="NV62" s="75">
        <f t="shared" si="51"/>
        <v>-0.02</v>
      </c>
      <c r="NW62" s="75">
        <f t="shared" si="51"/>
        <v>-0.02</v>
      </c>
      <c r="NX62" s="75">
        <f t="shared" si="51"/>
        <v>-0.02</v>
      </c>
      <c r="NY62" s="75">
        <f t="shared" si="51"/>
        <v>-0.02</v>
      </c>
      <c r="NZ62" s="75">
        <f t="shared" si="51"/>
        <v>-0.02</v>
      </c>
      <c r="OA62" s="75">
        <f t="shared" si="51"/>
        <v>-0.02</v>
      </c>
      <c r="OB62" s="75">
        <f t="shared" si="51"/>
        <v>-0.02</v>
      </c>
      <c r="OC62" s="75">
        <f t="shared" si="51"/>
        <v>-0.02</v>
      </c>
      <c r="OD62" s="75">
        <f t="shared" si="51"/>
        <v>-0.02</v>
      </c>
      <c r="OE62" s="75">
        <f t="shared" si="51"/>
        <v>-0.02</v>
      </c>
      <c r="OF62" s="75">
        <f t="shared" si="51"/>
        <v>-0.02</v>
      </c>
      <c r="OG62" s="75">
        <f t="shared" si="51"/>
        <v>-0.02</v>
      </c>
      <c r="OH62" s="75">
        <f t="shared" si="51"/>
        <v>-0.02</v>
      </c>
      <c r="OI62" s="75">
        <f t="shared" si="51"/>
        <v>-0.02</v>
      </c>
      <c r="OJ62" s="75">
        <f t="shared" si="51"/>
        <v>-0.02</v>
      </c>
      <c r="OK62" s="75">
        <f t="shared" si="51"/>
        <v>-0.02</v>
      </c>
      <c r="OL62" s="75">
        <f t="shared" si="51"/>
        <v>-0.02</v>
      </c>
      <c r="OM62" s="75">
        <f t="shared" si="51"/>
        <v>-0.02</v>
      </c>
      <c r="ON62" s="75">
        <f t="shared" si="51"/>
        <v>-0.02</v>
      </c>
      <c r="OO62" s="75">
        <f t="shared" si="51"/>
        <v>-0.02</v>
      </c>
      <c r="OP62" s="75">
        <f t="shared" si="51"/>
        <v>-0.02</v>
      </c>
      <c r="OQ62" s="75">
        <f t="shared" si="51"/>
        <v>-0.02</v>
      </c>
      <c r="OR62" s="75">
        <f t="shared" si="51"/>
        <v>-0.02</v>
      </c>
      <c r="OS62" s="75">
        <f t="shared" si="51"/>
        <v>-0.02</v>
      </c>
      <c r="OT62" s="75">
        <f t="shared" si="51"/>
        <v>-0.02</v>
      </c>
      <c r="OU62" s="75">
        <f t="shared" si="51"/>
        <v>-0.02</v>
      </c>
      <c r="OV62" s="75">
        <f t="shared" si="51"/>
        <v>-0.02</v>
      </c>
      <c r="OW62" s="75">
        <f t="shared" si="51"/>
        <v>-0.02</v>
      </c>
      <c r="OX62" s="75">
        <f t="shared" si="51"/>
        <v>-0.02</v>
      </c>
      <c r="OY62" s="75">
        <f t="shared" si="51"/>
        <v>-0.02</v>
      </c>
      <c r="OZ62" s="75">
        <f t="shared" si="51"/>
        <v>-0.02</v>
      </c>
      <c r="PA62" s="75">
        <f t="shared" si="51"/>
        <v>-0.02</v>
      </c>
      <c r="PB62" s="75">
        <f t="shared" si="51"/>
        <v>-0.02</v>
      </c>
      <c r="PC62" s="75">
        <f t="shared" si="51"/>
        <v>-0.02</v>
      </c>
      <c r="PD62" s="75">
        <f t="shared" si="51"/>
        <v>-0.02</v>
      </c>
      <c r="PE62" s="75">
        <f t="shared" si="51"/>
        <v>-0.02</v>
      </c>
      <c r="PF62" s="75">
        <f t="shared" si="51"/>
        <v>-0.02</v>
      </c>
      <c r="PG62" s="75">
        <f t="shared" si="51"/>
        <v>-0.02</v>
      </c>
      <c r="PH62" s="75">
        <f t="shared" si="51"/>
        <v>-0.02</v>
      </c>
      <c r="PI62" s="75">
        <f t="shared" si="51"/>
        <v>-0.02</v>
      </c>
      <c r="PJ62" s="75">
        <f t="shared" si="51"/>
        <v>-0.02</v>
      </c>
      <c r="PK62" s="75">
        <f t="shared" si="51"/>
        <v>-0.02</v>
      </c>
      <c r="PL62" s="75">
        <f t="shared" si="51"/>
        <v>-0.02</v>
      </c>
      <c r="PM62" s="75">
        <f t="shared" si="51"/>
        <v>-0.02</v>
      </c>
      <c r="PN62" s="75">
        <f t="shared" si="51"/>
        <v>-0.02</v>
      </c>
      <c r="PO62" s="75">
        <f t="shared" si="51"/>
        <v>-0.02</v>
      </c>
      <c r="PP62" s="75">
        <f t="shared" si="51"/>
        <v>-0.02</v>
      </c>
      <c r="PQ62" s="75">
        <f t="shared" si="51"/>
        <v>-0.02</v>
      </c>
      <c r="PR62" s="75">
        <f t="shared" si="51"/>
        <v>-0.02</v>
      </c>
      <c r="PS62" s="75">
        <f t="shared" si="51"/>
        <v>-0.02</v>
      </c>
      <c r="PT62" s="75">
        <f t="shared" si="51"/>
        <v>-0.02</v>
      </c>
      <c r="PU62" s="75">
        <f t="shared" si="51"/>
        <v>-0.02</v>
      </c>
      <c r="PV62" s="75">
        <f t="shared" si="51"/>
        <v>-0.02</v>
      </c>
      <c r="PW62" s="75">
        <f t="shared" si="51"/>
        <v>-0.02</v>
      </c>
      <c r="PX62" s="75">
        <f t="shared" si="51"/>
        <v>-0.02</v>
      </c>
      <c r="PY62" s="75">
        <f t="shared" si="51"/>
        <v>-0.02</v>
      </c>
      <c r="PZ62" s="75">
        <f t="shared" si="51"/>
        <v>-0.02</v>
      </c>
      <c r="QA62" s="75">
        <f t="shared" si="51"/>
        <v>-0.02</v>
      </c>
      <c r="QB62" s="75">
        <f t="shared" si="51"/>
        <v>-0.02</v>
      </c>
      <c r="QC62" s="75">
        <f t="shared" si="51"/>
        <v>-0.02</v>
      </c>
      <c r="QD62" s="75">
        <f t="shared" si="51"/>
        <v>-0.02</v>
      </c>
      <c r="QE62" s="75">
        <f t="shared" si="51"/>
        <v>-0.02</v>
      </c>
      <c r="QF62" s="75">
        <f t="shared" si="51"/>
        <v>-0.02</v>
      </c>
      <c r="QG62" s="75">
        <f t="shared" si="51"/>
        <v>-0.02</v>
      </c>
      <c r="QH62" s="75">
        <f t="shared" si="51"/>
        <v>-0.02</v>
      </c>
      <c r="QI62" s="75">
        <f t="shared" si="51"/>
        <v>-0.02</v>
      </c>
      <c r="QJ62" s="75">
        <f t="shared" si="51"/>
        <v>-0.02</v>
      </c>
      <c r="QK62" s="75">
        <f t="shared" si="51"/>
        <v>-0.02</v>
      </c>
      <c r="QL62" s="75">
        <f t="shared" si="51"/>
        <v>-0.02</v>
      </c>
      <c r="QM62" s="75">
        <f t="shared" si="51"/>
        <v>-0.02</v>
      </c>
      <c r="QN62" s="75">
        <f t="shared" si="51"/>
        <v>-0.02</v>
      </c>
      <c r="QO62" s="75">
        <f t="shared" si="51"/>
        <v>-0.02</v>
      </c>
      <c r="QP62" s="75">
        <f t="shared" si="51"/>
        <v>-0.02</v>
      </c>
      <c r="QQ62" s="75">
        <f t="shared" si="51"/>
        <v>-0.02</v>
      </c>
      <c r="QR62" s="75">
        <f t="shared" si="51"/>
        <v>-0.02</v>
      </c>
      <c r="QS62" s="75">
        <f t="shared" si="51"/>
        <v>-0.02</v>
      </c>
      <c r="QT62" s="75">
        <f t="shared" si="51"/>
        <v>-0.02</v>
      </c>
      <c r="QU62" s="75">
        <f t="shared" si="51"/>
        <v>-0.02</v>
      </c>
      <c r="QV62" s="75">
        <f t="shared" si="51"/>
        <v>-0.02</v>
      </c>
      <c r="QW62" s="75">
        <f t="shared" si="51"/>
        <v>-0.02</v>
      </c>
      <c r="QX62" s="75">
        <f t="shared" si="51"/>
        <v>-0.02</v>
      </c>
      <c r="QY62" s="75">
        <f t="shared" si="51"/>
        <v>-0.02</v>
      </c>
      <c r="QZ62" s="75">
        <f t="shared" si="51"/>
        <v>-0.02</v>
      </c>
      <c r="RA62" s="75">
        <f t="shared" si="51"/>
        <v>-0.02</v>
      </c>
      <c r="RB62" s="75">
        <f t="shared" si="51"/>
        <v>-0.02</v>
      </c>
      <c r="RC62" s="75">
        <f t="shared" si="51"/>
        <v>-0.02</v>
      </c>
      <c r="RD62" s="75">
        <f t="shared" si="51"/>
        <v>-0.02</v>
      </c>
      <c r="RE62" s="75">
        <f t="shared" si="51"/>
        <v>-0.02</v>
      </c>
      <c r="RF62" s="75">
        <f t="shared" si="51"/>
        <v>-0.02</v>
      </c>
      <c r="RG62" s="75">
        <f t="shared" si="51"/>
        <v>-0.02</v>
      </c>
      <c r="RH62" s="75">
        <f t="shared" si="51"/>
        <v>-0.02</v>
      </c>
      <c r="RI62" s="75">
        <f t="shared" si="51"/>
        <v>-0.02</v>
      </c>
      <c r="RJ62" s="75">
        <f t="shared" si="51"/>
        <v>-0.02</v>
      </c>
      <c r="RK62" s="75">
        <f t="shared" si="51"/>
        <v>-0.02</v>
      </c>
      <c r="RL62" s="75">
        <f t="shared" si="51"/>
        <v>-0.02</v>
      </c>
      <c r="RM62" s="75">
        <f t="shared" si="51"/>
        <v>-0.02</v>
      </c>
      <c r="RN62" s="75">
        <f t="shared" si="51"/>
        <v>-0.02</v>
      </c>
      <c r="RO62" s="75">
        <f t="shared" si="51"/>
        <v>-0.02</v>
      </c>
      <c r="RP62" s="75">
        <f t="shared" si="51"/>
        <v>-0.02</v>
      </c>
      <c r="RQ62" s="75">
        <f t="shared" si="51"/>
        <v>-0.02</v>
      </c>
      <c r="RR62" s="75">
        <f t="shared" si="51"/>
        <v>-0.02</v>
      </c>
      <c r="RS62" s="75">
        <f t="shared" si="51"/>
        <v>-0.02</v>
      </c>
      <c r="RT62" s="75">
        <f t="shared" si="51"/>
        <v>-0.02</v>
      </c>
      <c r="RU62" s="75">
        <f t="shared" si="51"/>
        <v>-0.02</v>
      </c>
      <c r="RV62" s="75">
        <f t="shared" si="51"/>
        <v>-0.02</v>
      </c>
      <c r="RW62" s="75">
        <f t="shared" si="51"/>
        <v>-0.02</v>
      </c>
      <c r="RX62" s="75">
        <f t="shared" si="51"/>
        <v>-0.02</v>
      </c>
      <c r="RY62" s="75">
        <f t="shared" si="51"/>
        <v>-0.02</v>
      </c>
      <c r="RZ62" s="75">
        <f t="shared" si="51"/>
        <v>-0.02</v>
      </c>
      <c r="SA62" s="75">
        <f t="shared" si="51"/>
        <v>-0.02</v>
      </c>
      <c r="SB62" s="75">
        <f t="shared" si="51"/>
        <v>-0.02</v>
      </c>
      <c r="SC62" s="75">
        <f t="shared" si="51"/>
        <v>-0.02</v>
      </c>
      <c r="SD62" s="75">
        <f t="shared" si="51"/>
        <v>-0.02</v>
      </c>
      <c r="SE62" s="75">
        <f t="shared" si="51"/>
        <v>-0.02</v>
      </c>
      <c r="SF62" s="75">
        <f t="shared" si="51"/>
        <v>-0.02</v>
      </c>
      <c r="SG62" s="75">
        <f t="shared" si="51"/>
        <v>-0.02</v>
      </c>
      <c r="SH62" s="75">
        <f t="shared" si="51"/>
        <v>-0.02</v>
      </c>
      <c r="SI62" s="75">
        <f t="shared" si="51"/>
        <v>-0.02</v>
      </c>
      <c r="SJ62" s="75">
        <f t="shared" si="51"/>
        <v>-0.02</v>
      </c>
      <c r="SK62" s="75">
        <f t="shared" si="51"/>
        <v>-0.02</v>
      </c>
      <c r="SL62" s="75">
        <f t="shared" si="51"/>
        <v>-0.02</v>
      </c>
    </row>
    <row r="63">
      <c r="A63" s="53" t="s">
        <v>139</v>
      </c>
      <c r="B63" s="75">
        <f t="array" ref="B63">INDEX('New CEA'!$B63:$F63,MATCH($B$2,'New CEA'!B$2:F$2,0))</f>
        <v>-0.05</v>
      </c>
      <c r="C63" s="273"/>
      <c r="D63" s="274"/>
      <c r="E63" s="275"/>
      <c r="F63" s="75"/>
      <c r="G63" s="75">
        <f t="shared" ref="G63:SL63" si="52">$B63</f>
        <v>-0.05</v>
      </c>
      <c r="H63" s="75">
        <f t="shared" si="52"/>
        <v>-0.05</v>
      </c>
      <c r="I63" s="75">
        <f t="shared" si="52"/>
        <v>-0.05</v>
      </c>
      <c r="J63" s="75">
        <f t="shared" si="52"/>
        <v>-0.05</v>
      </c>
      <c r="K63" s="75">
        <f t="shared" si="52"/>
        <v>-0.05</v>
      </c>
      <c r="L63" s="75">
        <f t="shared" si="52"/>
        <v>-0.05</v>
      </c>
      <c r="M63" s="75">
        <f t="shared" si="52"/>
        <v>-0.05</v>
      </c>
      <c r="N63" s="75">
        <f t="shared" si="52"/>
        <v>-0.05</v>
      </c>
      <c r="O63" s="75">
        <f t="shared" si="52"/>
        <v>-0.05</v>
      </c>
      <c r="P63" s="75">
        <f t="shared" si="52"/>
        <v>-0.05</v>
      </c>
      <c r="Q63" s="75">
        <f t="shared" si="52"/>
        <v>-0.05</v>
      </c>
      <c r="R63" s="75">
        <f t="shared" si="52"/>
        <v>-0.05</v>
      </c>
      <c r="S63" s="75">
        <f t="shared" si="52"/>
        <v>-0.05</v>
      </c>
      <c r="T63" s="75">
        <f t="shared" si="52"/>
        <v>-0.05</v>
      </c>
      <c r="U63" s="75">
        <f t="shared" si="52"/>
        <v>-0.05</v>
      </c>
      <c r="V63" s="75">
        <f t="shared" si="52"/>
        <v>-0.05</v>
      </c>
      <c r="W63" s="75">
        <f t="shared" si="52"/>
        <v>-0.05</v>
      </c>
      <c r="X63" s="75">
        <f t="shared" si="52"/>
        <v>-0.05</v>
      </c>
      <c r="Y63" s="75">
        <f t="shared" si="52"/>
        <v>-0.05</v>
      </c>
      <c r="Z63" s="75">
        <f t="shared" si="52"/>
        <v>-0.05</v>
      </c>
      <c r="AA63" s="75">
        <f t="shared" si="52"/>
        <v>-0.05</v>
      </c>
      <c r="AB63" s="75">
        <f t="shared" si="52"/>
        <v>-0.05</v>
      </c>
      <c r="AC63" s="75">
        <f t="shared" si="52"/>
        <v>-0.05</v>
      </c>
      <c r="AD63" s="75">
        <f t="shared" si="52"/>
        <v>-0.05</v>
      </c>
      <c r="AE63" s="75">
        <f t="shared" si="52"/>
        <v>-0.05</v>
      </c>
      <c r="AF63" s="75">
        <f t="shared" si="52"/>
        <v>-0.05</v>
      </c>
      <c r="AG63" s="75">
        <f t="shared" si="52"/>
        <v>-0.05</v>
      </c>
      <c r="AH63" s="75">
        <f t="shared" si="52"/>
        <v>-0.05</v>
      </c>
      <c r="AI63" s="75">
        <f t="shared" si="52"/>
        <v>-0.05</v>
      </c>
      <c r="AJ63" s="75">
        <f t="shared" si="52"/>
        <v>-0.05</v>
      </c>
      <c r="AK63" s="75">
        <f t="shared" si="52"/>
        <v>-0.05</v>
      </c>
      <c r="AL63" s="75">
        <f t="shared" si="52"/>
        <v>-0.05</v>
      </c>
      <c r="AM63" s="75">
        <f t="shared" si="52"/>
        <v>-0.05</v>
      </c>
      <c r="AN63" s="75">
        <f t="shared" si="52"/>
        <v>-0.05</v>
      </c>
      <c r="AO63" s="75">
        <f t="shared" si="52"/>
        <v>-0.05</v>
      </c>
      <c r="AP63" s="75">
        <f t="shared" si="52"/>
        <v>-0.05</v>
      </c>
      <c r="AQ63" s="75">
        <f t="shared" si="52"/>
        <v>-0.05</v>
      </c>
      <c r="AR63" s="75">
        <f t="shared" si="52"/>
        <v>-0.05</v>
      </c>
      <c r="AS63" s="75">
        <f t="shared" si="52"/>
        <v>-0.05</v>
      </c>
      <c r="AT63" s="75">
        <f t="shared" si="52"/>
        <v>-0.05</v>
      </c>
      <c r="AU63" s="75">
        <f t="shared" si="52"/>
        <v>-0.05</v>
      </c>
      <c r="AV63" s="75">
        <f t="shared" si="52"/>
        <v>-0.05</v>
      </c>
      <c r="AW63" s="75">
        <f t="shared" si="52"/>
        <v>-0.05</v>
      </c>
      <c r="AX63" s="75">
        <f t="shared" si="52"/>
        <v>-0.05</v>
      </c>
      <c r="AY63" s="75">
        <f t="shared" si="52"/>
        <v>-0.05</v>
      </c>
      <c r="AZ63" s="75">
        <f t="shared" si="52"/>
        <v>-0.05</v>
      </c>
      <c r="BA63" s="75">
        <f t="shared" si="52"/>
        <v>-0.05</v>
      </c>
      <c r="BB63" s="75">
        <f t="shared" si="52"/>
        <v>-0.05</v>
      </c>
      <c r="BC63" s="75">
        <f t="shared" si="52"/>
        <v>-0.05</v>
      </c>
      <c r="BD63" s="75">
        <f t="shared" si="52"/>
        <v>-0.05</v>
      </c>
      <c r="BE63" s="75">
        <f t="shared" si="52"/>
        <v>-0.05</v>
      </c>
      <c r="BF63" s="75">
        <f t="shared" si="52"/>
        <v>-0.05</v>
      </c>
      <c r="BG63" s="75">
        <f t="shared" si="52"/>
        <v>-0.05</v>
      </c>
      <c r="BH63" s="75">
        <f t="shared" si="52"/>
        <v>-0.05</v>
      </c>
      <c r="BI63" s="75">
        <f t="shared" si="52"/>
        <v>-0.05</v>
      </c>
      <c r="BJ63" s="75">
        <f t="shared" si="52"/>
        <v>-0.05</v>
      </c>
      <c r="BK63" s="75">
        <f t="shared" si="52"/>
        <v>-0.05</v>
      </c>
      <c r="BL63" s="75">
        <f t="shared" si="52"/>
        <v>-0.05</v>
      </c>
      <c r="BM63" s="75">
        <f t="shared" si="52"/>
        <v>-0.05</v>
      </c>
      <c r="BN63" s="75">
        <f t="shared" si="52"/>
        <v>-0.05</v>
      </c>
      <c r="BO63" s="75">
        <f t="shared" si="52"/>
        <v>-0.05</v>
      </c>
      <c r="BP63" s="75">
        <f t="shared" si="52"/>
        <v>-0.05</v>
      </c>
      <c r="BQ63" s="75">
        <f t="shared" si="52"/>
        <v>-0.05</v>
      </c>
      <c r="BR63" s="75">
        <f t="shared" si="52"/>
        <v>-0.05</v>
      </c>
      <c r="BS63" s="75">
        <f t="shared" si="52"/>
        <v>-0.05</v>
      </c>
      <c r="BT63" s="75">
        <f t="shared" si="52"/>
        <v>-0.05</v>
      </c>
      <c r="BU63" s="75">
        <f t="shared" si="52"/>
        <v>-0.05</v>
      </c>
      <c r="BV63" s="75">
        <f t="shared" si="52"/>
        <v>-0.05</v>
      </c>
      <c r="BW63" s="75">
        <f t="shared" si="52"/>
        <v>-0.05</v>
      </c>
      <c r="BX63" s="75">
        <f t="shared" si="52"/>
        <v>-0.05</v>
      </c>
      <c r="BY63" s="75">
        <f t="shared" si="52"/>
        <v>-0.05</v>
      </c>
      <c r="BZ63" s="75">
        <f t="shared" si="52"/>
        <v>-0.05</v>
      </c>
      <c r="CA63" s="75">
        <f t="shared" si="52"/>
        <v>-0.05</v>
      </c>
      <c r="CB63" s="75">
        <f t="shared" si="52"/>
        <v>-0.05</v>
      </c>
      <c r="CC63" s="75">
        <f t="shared" si="52"/>
        <v>-0.05</v>
      </c>
      <c r="CD63" s="75">
        <f t="shared" si="52"/>
        <v>-0.05</v>
      </c>
      <c r="CE63" s="75">
        <f t="shared" si="52"/>
        <v>-0.05</v>
      </c>
      <c r="CF63" s="75">
        <f t="shared" si="52"/>
        <v>-0.05</v>
      </c>
      <c r="CG63" s="75">
        <f t="shared" si="52"/>
        <v>-0.05</v>
      </c>
      <c r="CH63" s="75">
        <f t="shared" si="52"/>
        <v>-0.05</v>
      </c>
      <c r="CI63" s="75">
        <f t="shared" si="52"/>
        <v>-0.05</v>
      </c>
      <c r="CJ63" s="75">
        <f t="shared" si="52"/>
        <v>-0.05</v>
      </c>
      <c r="CK63" s="75">
        <f t="shared" si="52"/>
        <v>-0.05</v>
      </c>
      <c r="CL63" s="75">
        <f t="shared" si="52"/>
        <v>-0.05</v>
      </c>
      <c r="CM63" s="75">
        <f t="shared" si="52"/>
        <v>-0.05</v>
      </c>
      <c r="CN63" s="75">
        <f t="shared" si="52"/>
        <v>-0.05</v>
      </c>
      <c r="CO63" s="75">
        <f t="shared" si="52"/>
        <v>-0.05</v>
      </c>
      <c r="CP63" s="75">
        <f t="shared" si="52"/>
        <v>-0.05</v>
      </c>
      <c r="CQ63" s="75">
        <f t="shared" si="52"/>
        <v>-0.05</v>
      </c>
      <c r="CR63" s="75">
        <f t="shared" si="52"/>
        <v>-0.05</v>
      </c>
      <c r="CS63" s="75">
        <f t="shared" si="52"/>
        <v>-0.05</v>
      </c>
      <c r="CT63" s="75">
        <f t="shared" si="52"/>
        <v>-0.05</v>
      </c>
      <c r="CU63" s="75">
        <f t="shared" si="52"/>
        <v>-0.05</v>
      </c>
      <c r="CV63" s="75">
        <f t="shared" si="52"/>
        <v>-0.05</v>
      </c>
      <c r="CW63" s="75">
        <f t="shared" si="52"/>
        <v>-0.05</v>
      </c>
      <c r="CX63" s="75">
        <f t="shared" si="52"/>
        <v>-0.05</v>
      </c>
      <c r="CY63" s="75">
        <f t="shared" si="52"/>
        <v>-0.05</v>
      </c>
      <c r="CZ63" s="75">
        <f t="shared" si="52"/>
        <v>-0.05</v>
      </c>
      <c r="DA63" s="75">
        <f t="shared" si="52"/>
        <v>-0.05</v>
      </c>
      <c r="DB63" s="75">
        <f t="shared" si="52"/>
        <v>-0.05</v>
      </c>
      <c r="DC63" s="75">
        <f t="shared" si="52"/>
        <v>-0.05</v>
      </c>
      <c r="DD63" s="75">
        <f t="shared" si="52"/>
        <v>-0.05</v>
      </c>
      <c r="DE63" s="75">
        <f t="shared" si="52"/>
        <v>-0.05</v>
      </c>
      <c r="DF63" s="75">
        <f t="shared" si="52"/>
        <v>-0.05</v>
      </c>
      <c r="DG63" s="75">
        <f t="shared" si="52"/>
        <v>-0.05</v>
      </c>
      <c r="DH63" s="75">
        <f t="shared" si="52"/>
        <v>-0.05</v>
      </c>
      <c r="DI63" s="75">
        <f t="shared" si="52"/>
        <v>-0.05</v>
      </c>
      <c r="DJ63" s="75">
        <f t="shared" si="52"/>
        <v>-0.05</v>
      </c>
      <c r="DK63" s="75">
        <f t="shared" si="52"/>
        <v>-0.05</v>
      </c>
      <c r="DL63" s="75">
        <f t="shared" si="52"/>
        <v>-0.05</v>
      </c>
      <c r="DM63" s="75">
        <f t="shared" si="52"/>
        <v>-0.05</v>
      </c>
      <c r="DN63" s="75">
        <f t="shared" si="52"/>
        <v>-0.05</v>
      </c>
      <c r="DO63" s="75">
        <f t="shared" si="52"/>
        <v>-0.05</v>
      </c>
      <c r="DP63" s="75">
        <f t="shared" si="52"/>
        <v>-0.05</v>
      </c>
      <c r="DQ63" s="75">
        <f t="shared" si="52"/>
        <v>-0.05</v>
      </c>
      <c r="DR63" s="75">
        <f t="shared" si="52"/>
        <v>-0.05</v>
      </c>
      <c r="DS63" s="75">
        <f t="shared" si="52"/>
        <v>-0.05</v>
      </c>
      <c r="DT63" s="75">
        <f t="shared" si="52"/>
        <v>-0.05</v>
      </c>
      <c r="DU63" s="75">
        <f t="shared" si="52"/>
        <v>-0.05</v>
      </c>
      <c r="DV63" s="75">
        <f t="shared" si="52"/>
        <v>-0.05</v>
      </c>
      <c r="DW63" s="75">
        <f t="shared" si="52"/>
        <v>-0.05</v>
      </c>
      <c r="DX63" s="75">
        <f t="shared" si="52"/>
        <v>-0.05</v>
      </c>
      <c r="DY63" s="75">
        <f t="shared" si="52"/>
        <v>-0.05</v>
      </c>
      <c r="DZ63" s="75">
        <f t="shared" si="52"/>
        <v>-0.05</v>
      </c>
      <c r="EA63" s="75">
        <f t="shared" si="52"/>
        <v>-0.05</v>
      </c>
      <c r="EB63" s="75">
        <f t="shared" si="52"/>
        <v>-0.05</v>
      </c>
      <c r="EC63" s="75">
        <f t="shared" si="52"/>
        <v>-0.05</v>
      </c>
      <c r="ED63" s="75">
        <f t="shared" si="52"/>
        <v>-0.05</v>
      </c>
      <c r="EE63" s="75">
        <f t="shared" si="52"/>
        <v>-0.05</v>
      </c>
      <c r="EF63" s="75">
        <f t="shared" si="52"/>
        <v>-0.05</v>
      </c>
      <c r="EG63" s="75">
        <f t="shared" si="52"/>
        <v>-0.05</v>
      </c>
      <c r="EH63" s="75">
        <f t="shared" si="52"/>
        <v>-0.05</v>
      </c>
      <c r="EI63" s="75">
        <f t="shared" si="52"/>
        <v>-0.05</v>
      </c>
      <c r="EJ63" s="75">
        <f t="shared" si="52"/>
        <v>-0.05</v>
      </c>
      <c r="EK63" s="75">
        <f t="shared" si="52"/>
        <v>-0.05</v>
      </c>
      <c r="EL63" s="75">
        <f t="shared" si="52"/>
        <v>-0.05</v>
      </c>
      <c r="EM63" s="75">
        <f t="shared" si="52"/>
        <v>-0.05</v>
      </c>
      <c r="EN63" s="75">
        <f t="shared" si="52"/>
        <v>-0.05</v>
      </c>
      <c r="EO63" s="75">
        <f t="shared" si="52"/>
        <v>-0.05</v>
      </c>
      <c r="EP63" s="75">
        <f t="shared" si="52"/>
        <v>-0.05</v>
      </c>
      <c r="EQ63" s="75">
        <f t="shared" si="52"/>
        <v>-0.05</v>
      </c>
      <c r="ER63" s="75">
        <f t="shared" si="52"/>
        <v>-0.05</v>
      </c>
      <c r="ES63" s="75">
        <f t="shared" si="52"/>
        <v>-0.05</v>
      </c>
      <c r="ET63" s="75">
        <f t="shared" si="52"/>
        <v>-0.05</v>
      </c>
      <c r="EU63" s="75">
        <f t="shared" si="52"/>
        <v>-0.05</v>
      </c>
      <c r="EV63" s="75">
        <f t="shared" si="52"/>
        <v>-0.05</v>
      </c>
      <c r="EW63" s="75">
        <f t="shared" si="52"/>
        <v>-0.05</v>
      </c>
      <c r="EX63" s="75">
        <f t="shared" si="52"/>
        <v>-0.05</v>
      </c>
      <c r="EY63" s="75">
        <f t="shared" si="52"/>
        <v>-0.05</v>
      </c>
      <c r="EZ63" s="75">
        <f t="shared" si="52"/>
        <v>-0.05</v>
      </c>
      <c r="FA63" s="75">
        <f t="shared" si="52"/>
        <v>-0.05</v>
      </c>
      <c r="FB63" s="75">
        <f t="shared" si="52"/>
        <v>-0.05</v>
      </c>
      <c r="FC63" s="75">
        <f t="shared" si="52"/>
        <v>-0.05</v>
      </c>
      <c r="FD63" s="75">
        <f t="shared" si="52"/>
        <v>-0.05</v>
      </c>
      <c r="FE63" s="75">
        <f t="shared" si="52"/>
        <v>-0.05</v>
      </c>
      <c r="FF63" s="75">
        <f t="shared" si="52"/>
        <v>-0.05</v>
      </c>
      <c r="FG63" s="75">
        <f t="shared" si="52"/>
        <v>-0.05</v>
      </c>
      <c r="FH63" s="75">
        <f t="shared" si="52"/>
        <v>-0.05</v>
      </c>
      <c r="FI63" s="75">
        <f t="shared" si="52"/>
        <v>-0.05</v>
      </c>
      <c r="FJ63" s="75">
        <f t="shared" si="52"/>
        <v>-0.05</v>
      </c>
      <c r="FK63" s="75">
        <f t="shared" si="52"/>
        <v>-0.05</v>
      </c>
      <c r="FL63" s="75">
        <f t="shared" si="52"/>
        <v>-0.05</v>
      </c>
      <c r="FM63" s="75">
        <f t="shared" si="52"/>
        <v>-0.05</v>
      </c>
      <c r="FN63" s="75">
        <f t="shared" si="52"/>
        <v>-0.05</v>
      </c>
      <c r="FO63" s="75">
        <f t="shared" si="52"/>
        <v>-0.05</v>
      </c>
      <c r="FP63" s="75">
        <f t="shared" si="52"/>
        <v>-0.05</v>
      </c>
      <c r="FQ63" s="75">
        <f t="shared" si="52"/>
        <v>-0.05</v>
      </c>
      <c r="FR63" s="75">
        <f t="shared" si="52"/>
        <v>-0.05</v>
      </c>
      <c r="FS63" s="75">
        <f t="shared" si="52"/>
        <v>-0.05</v>
      </c>
      <c r="FT63" s="75">
        <f t="shared" si="52"/>
        <v>-0.05</v>
      </c>
      <c r="FU63" s="75">
        <f t="shared" si="52"/>
        <v>-0.05</v>
      </c>
      <c r="FV63" s="75">
        <f t="shared" si="52"/>
        <v>-0.05</v>
      </c>
      <c r="FW63" s="75">
        <f t="shared" si="52"/>
        <v>-0.05</v>
      </c>
      <c r="FX63" s="75">
        <f t="shared" si="52"/>
        <v>-0.05</v>
      </c>
      <c r="FY63" s="75">
        <f t="shared" si="52"/>
        <v>-0.05</v>
      </c>
      <c r="FZ63" s="75">
        <f t="shared" si="52"/>
        <v>-0.05</v>
      </c>
      <c r="GA63" s="75">
        <f t="shared" si="52"/>
        <v>-0.05</v>
      </c>
      <c r="GB63" s="75">
        <f t="shared" si="52"/>
        <v>-0.05</v>
      </c>
      <c r="GC63" s="75">
        <f t="shared" si="52"/>
        <v>-0.05</v>
      </c>
      <c r="GD63" s="75">
        <f t="shared" si="52"/>
        <v>-0.05</v>
      </c>
      <c r="GE63" s="75">
        <f t="shared" si="52"/>
        <v>-0.05</v>
      </c>
      <c r="GF63" s="75">
        <f t="shared" si="52"/>
        <v>-0.05</v>
      </c>
      <c r="GG63" s="75">
        <f t="shared" si="52"/>
        <v>-0.05</v>
      </c>
      <c r="GH63" s="75">
        <f t="shared" si="52"/>
        <v>-0.05</v>
      </c>
      <c r="GI63" s="75">
        <f t="shared" si="52"/>
        <v>-0.05</v>
      </c>
      <c r="GJ63" s="75">
        <f t="shared" si="52"/>
        <v>-0.05</v>
      </c>
      <c r="GK63" s="75">
        <f t="shared" si="52"/>
        <v>-0.05</v>
      </c>
      <c r="GL63" s="75">
        <f t="shared" si="52"/>
        <v>-0.05</v>
      </c>
      <c r="GM63" s="75">
        <f t="shared" si="52"/>
        <v>-0.05</v>
      </c>
      <c r="GN63" s="75">
        <f t="shared" si="52"/>
        <v>-0.05</v>
      </c>
      <c r="GO63" s="75">
        <f t="shared" si="52"/>
        <v>-0.05</v>
      </c>
      <c r="GP63" s="75">
        <f t="shared" si="52"/>
        <v>-0.05</v>
      </c>
      <c r="GQ63" s="75">
        <f t="shared" si="52"/>
        <v>-0.05</v>
      </c>
      <c r="GR63" s="75">
        <f t="shared" si="52"/>
        <v>-0.05</v>
      </c>
      <c r="GS63" s="75">
        <f t="shared" si="52"/>
        <v>-0.05</v>
      </c>
      <c r="GT63" s="75">
        <f t="shared" si="52"/>
        <v>-0.05</v>
      </c>
      <c r="GU63" s="75">
        <f t="shared" si="52"/>
        <v>-0.05</v>
      </c>
      <c r="GV63" s="75">
        <f t="shared" si="52"/>
        <v>-0.05</v>
      </c>
      <c r="GW63" s="75">
        <f t="shared" si="52"/>
        <v>-0.05</v>
      </c>
      <c r="GX63" s="75">
        <f t="shared" si="52"/>
        <v>-0.05</v>
      </c>
      <c r="GY63" s="75">
        <f t="shared" si="52"/>
        <v>-0.05</v>
      </c>
      <c r="GZ63" s="75">
        <f t="shared" si="52"/>
        <v>-0.05</v>
      </c>
      <c r="HA63" s="75">
        <f t="shared" si="52"/>
        <v>-0.05</v>
      </c>
      <c r="HB63" s="75">
        <f t="shared" si="52"/>
        <v>-0.05</v>
      </c>
      <c r="HC63" s="75">
        <f t="shared" si="52"/>
        <v>-0.05</v>
      </c>
      <c r="HD63" s="75">
        <f t="shared" si="52"/>
        <v>-0.05</v>
      </c>
      <c r="HE63" s="75">
        <f t="shared" si="52"/>
        <v>-0.05</v>
      </c>
      <c r="HF63" s="75">
        <f t="shared" si="52"/>
        <v>-0.05</v>
      </c>
      <c r="HG63" s="75">
        <f t="shared" si="52"/>
        <v>-0.05</v>
      </c>
      <c r="HH63" s="75">
        <f t="shared" si="52"/>
        <v>-0.05</v>
      </c>
      <c r="HI63" s="75">
        <f t="shared" si="52"/>
        <v>-0.05</v>
      </c>
      <c r="HJ63" s="75">
        <f t="shared" si="52"/>
        <v>-0.05</v>
      </c>
      <c r="HK63" s="75">
        <f t="shared" si="52"/>
        <v>-0.05</v>
      </c>
      <c r="HL63" s="75">
        <f t="shared" si="52"/>
        <v>-0.05</v>
      </c>
      <c r="HM63" s="75">
        <f t="shared" si="52"/>
        <v>-0.05</v>
      </c>
      <c r="HN63" s="75">
        <f t="shared" si="52"/>
        <v>-0.05</v>
      </c>
      <c r="HO63" s="75">
        <f t="shared" si="52"/>
        <v>-0.05</v>
      </c>
      <c r="HP63" s="75">
        <f t="shared" si="52"/>
        <v>-0.05</v>
      </c>
      <c r="HQ63" s="75">
        <f t="shared" si="52"/>
        <v>-0.05</v>
      </c>
      <c r="HR63" s="75">
        <f t="shared" si="52"/>
        <v>-0.05</v>
      </c>
      <c r="HS63" s="75">
        <f t="shared" si="52"/>
        <v>-0.05</v>
      </c>
      <c r="HT63" s="75">
        <f t="shared" si="52"/>
        <v>-0.05</v>
      </c>
      <c r="HU63" s="75">
        <f t="shared" si="52"/>
        <v>-0.05</v>
      </c>
      <c r="HV63" s="75">
        <f t="shared" si="52"/>
        <v>-0.05</v>
      </c>
      <c r="HW63" s="75">
        <f t="shared" si="52"/>
        <v>-0.05</v>
      </c>
      <c r="HX63" s="75">
        <f t="shared" si="52"/>
        <v>-0.05</v>
      </c>
      <c r="HY63" s="75">
        <f t="shared" si="52"/>
        <v>-0.05</v>
      </c>
      <c r="HZ63" s="75">
        <f t="shared" si="52"/>
        <v>-0.05</v>
      </c>
      <c r="IA63" s="75">
        <f t="shared" si="52"/>
        <v>-0.05</v>
      </c>
      <c r="IB63" s="75">
        <f t="shared" si="52"/>
        <v>-0.05</v>
      </c>
      <c r="IC63" s="75">
        <f t="shared" si="52"/>
        <v>-0.05</v>
      </c>
      <c r="ID63" s="75">
        <f t="shared" si="52"/>
        <v>-0.05</v>
      </c>
      <c r="IE63" s="75">
        <f t="shared" si="52"/>
        <v>-0.05</v>
      </c>
      <c r="IF63" s="75">
        <f t="shared" si="52"/>
        <v>-0.05</v>
      </c>
      <c r="IG63" s="75">
        <f t="shared" si="52"/>
        <v>-0.05</v>
      </c>
      <c r="IH63" s="75">
        <f t="shared" si="52"/>
        <v>-0.05</v>
      </c>
      <c r="II63" s="75">
        <f t="shared" si="52"/>
        <v>-0.05</v>
      </c>
      <c r="IJ63" s="75">
        <f t="shared" si="52"/>
        <v>-0.05</v>
      </c>
      <c r="IK63" s="75">
        <f t="shared" si="52"/>
        <v>-0.05</v>
      </c>
      <c r="IL63" s="75">
        <f t="shared" si="52"/>
        <v>-0.05</v>
      </c>
      <c r="IM63" s="75">
        <f t="shared" si="52"/>
        <v>-0.05</v>
      </c>
      <c r="IN63" s="75">
        <f t="shared" si="52"/>
        <v>-0.05</v>
      </c>
      <c r="IO63" s="75">
        <f t="shared" si="52"/>
        <v>-0.05</v>
      </c>
      <c r="IP63" s="75">
        <f t="shared" si="52"/>
        <v>-0.05</v>
      </c>
      <c r="IQ63" s="75">
        <f t="shared" si="52"/>
        <v>-0.05</v>
      </c>
      <c r="IR63" s="75">
        <f t="shared" si="52"/>
        <v>-0.05</v>
      </c>
      <c r="IS63" s="75">
        <f t="shared" si="52"/>
        <v>-0.05</v>
      </c>
      <c r="IT63" s="75">
        <f t="shared" si="52"/>
        <v>-0.05</v>
      </c>
      <c r="IU63" s="75">
        <f t="shared" si="52"/>
        <v>-0.05</v>
      </c>
      <c r="IV63" s="75">
        <f t="shared" si="52"/>
        <v>-0.05</v>
      </c>
      <c r="IW63" s="75">
        <f t="shared" si="52"/>
        <v>-0.05</v>
      </c>
      <c r="IX63" s="75">
        <f t="shared" si="52"/>
        <v>-0.05</v>
      </c>
      <c r="IY63" s="75">
        <f t="shared" si="52"/>
        <v>-0.05</v>
      </c>
      <c r="IZ63" s="75">
        <f t="shared" si="52"/>
        <v>-0.05</v>
      </c>
      <c r="JA63" s="75">
        <f t="shared" si="52"/>
        <v>-0.05</v>
      </c>
      <c r="JB63" s="75">
        <f t="shared" si="52"/>
        <v>-0.05</v>
      </c>
      <c r="JC63" s="75">
        <f t="shared" si="52"/>
        <v>-0.05</v>
      </c>
      <c r="JD63" s="75">
        <f t="shared" si="52"/>
        <v>-0.05</v>
      </c>
      <c r="JE63" s="75">
        <f t="shared" si="52"/>
        <v>-0.05</v>
      </c>
      <c r="JF63" s="75">
        <f t="shared" si="52"/>
        <v>-0.05</v>
      </c>
      <c r="JG63" s="75">
        <f t="shared" si="52"/>
        <v>-0.05</v>
      </c>
      <c r="JH63" s="75">
        <f t="shared" si="52"/>
        <v>-0.05</v>
      </c>
      <c r="JI63" s="75">
        <f t="shared" si="52"/>
        <v>-0.05</v>
      </c>
      <c r="JJ63" s="75">
        <f t="shared" si="52"/>
        <v>-0.05</v>
      </c>
      <c r="JK63" s="75">
        <f t="shared" si="52"/>
        <v>-0.05</v>
      </c>
      <c r="JL63" s="75">
        <f t="shared" si="52"/>
        <v>-0.05</v>
      </c>
      <c r="JM63" s="75">
        <f t="shared" si="52"/>
        <v>-0.05</v>
      </c>
      <c r="JN63" s="75">
        <f t="shared" si="52"/>
        <v>-0.05</v>
      </c>
      <c r="JO63" s="75">
        <f t="shared" si="52"/>
        <v>-0.05</v>
      </c>
      <c r="JP63" s="75">
        <f t="shared" si="52"/>
        <v>-0.05</v>
      </c>
      <c r="JQ63" s="75">
        <f t="shared" si="52"/>
        <v>-0.05</v>
      </c>
      <c r="JR63" s="75">
        <f t="shared" si="52"/>
        <v>-0.05</v>
      </c>
      <c r="JS63" s="75">
        <f t="shared" si="52"/>
        <v>-0.05</v>
      </c>
      <c r="JT63" s="75">
        <f t="shared" si="52"/>
        <v>-0.05</v>
      </c>
      <c r="JU63" s="75">
        <f t="shared" si="52"/>
        <v>-0.05</v>
      </c>
      <c r="JV63" s="75">
        <f t="shared" si="52"/>
        <v>-0.05</v>
      </c>
      <c r="JW63" s="75">
        <f t="shared" si="52"/>
        <v>-0.05</v>
      </c>
      <c r="JX63" s="75">
        <f t="shared" si="52"/>
        <v>-0.05</v>
      </c>
      <c r="JY63" s="75">
        <f t="shared" si="52"/>
        <v>-0.05</v>
      </c>
      <c r="JZ63" s="75">
        <f t="shared" si="52"/>
        <v>-0.05</v>
      </c>
      <c r="KA63" s="75">
        <f t="shared" si="52"/>
        <v>-0.05</v>
      </c>
      <c r="KB63" s="75">
        <f t="shared" si="52"/>
        <v>-0.05</v>
      </c>
      <c r="KC63" s="75">
        <f t="shared" si="52"/>
        <v>-0.05</v>
      </c>
      <c r="KD63" s="75">
        <f t="shared" si="52"/>
        <v>-0.05</v>
      </c>
      <c r="KE63" s="75">
        <f t="shared" si="52"/>
        <v>-0.05</v>
      </c>
      <c r="KF63" s="75">
        <f t="shared" si="52"/>
        <v>-0.05</v>
      </c>
      <c r="KG63" s="75">
        <f t="shared" si="52"/>
        <v>-0.05</v>
      </c>
      <c r="KH63" s="75">
        <f t="shared" si="52"/>
        <v>-0.05</v>
      </c>
      <c r="KI63" s="75">
        <f t="shared" si="52"/>
        <v>-0.05</v>
      </c>
      <c r="KJ63" s="75">
        <f t="shared" si="52"/>
        <v>-0.05</v>
      </c>
      <c r="KK63" s="75">
        <f t="shared" si="52"/>
        <v>-0.05</v>
      </c>
      <c r="KL63" s="75">
        <f t="shared" si="52"/>
        <v>-0.05</v>
      </c>
      <c r="KM63" s="75">
        <f t="shared" si="52"/>
        <v>-0.05</v>
      </c>
      <c r="KN63" s="75">
        <f t="shared" si="52"/>
        <v>-0.05</v>
      </c>
      <c r="KO63" s="75">
        <f t="shared" si="52"/>
        <v>-0.05</v>
      </c>
      <c r="KP63" s="75">
        <f t="shared" si="52"/>
        <v>-0.05</v>
      </c>
      <c r="KQ63" s="75">
        <f t="shared" si="52"/>
        <v>-0.05</v>
      </c>
      <c r="KR63" s="75">
        <f t="shared" si="52"/>
        <v>-0.05</v>
      </c>
      <c r="KS63" s="75">
        <f t="shared" si="52"/>
        <v>-0.05</v>
      </c>
      <c r="KT63" s="75">
        <f t="shared" si="52"/>
        <v>-0.05</v>
      </c>
      <c r="KU63" s="75">
        <f t="shared" si="52"/>
        <v>-0.05</v>
      </c>
      <c r="KV63" s="75">
        <f t="shared" si="52"/>
        <v>-0.05</v>
      </c>
      <c r="KW63" s="75">
        <f t="shared" si="52"/>
        <v>-0.05</v>
      </c>
      <c r="KX63" s="75">
        <f t="shared" si="52"/>
        <v>-0.05</v>
      </c>
      <c r="KY63" s="75">
        <f t="shared" si="52"/>
        <v>-0.05</v>
      </c>
      <c r="KZ63" s="75">
        <f t="shared" si="52"/>
        <v>-0.05</v>
      </c>
      <c r="LA63" s="75">
        <f t="shared" si="52"/>
        <v>-0.05</v>
      </c>
      <c r="LB63" s="75">
        <f t="shared" si="52"/>
        <v>-0.05</v>
      </c>
      <c r="LC63" s="75">
        <f t="shared" si="52"/>
        <v>-0.05</v>
      </c>
      <c r="LD63" s="75">
        <f t="shared" si="52"/>
        <v>-0.05</v>
      </c>
      <c r="LE63" s="75">
        <f t="shared" si="52"/>
        <v>-0.05</v>
      </c>
      <c r="LF63" s="75">
        <f t="shared" si="52"/>
        <v>-0.05</v>
      </c>
      <c r="LG63" s="75">
        <f t="shared" si="52"/>
        <v>-0.05</v>
      </c>
      <c r="LH63" s="75">
        <f t="shared" si="52"/>
        <v>-0.05</v>
      </c>
      <c r="LI63" s="75">
        <f t="shared" si="52"/>
        <v>-0.05</v>
      </c>
      <c r="LJ63" s="75">
        <f t="shared" si="52"/>
        <v>-0.05</v>
      </c>
      <c r="LK63" s="75">
        <f t="shared" si="52"/>
        <v>-0.05</v>
      </c>
      <c r="LL63" s="75">
        <f t="shared" si="52"/>
        <v>-0.05</v>
      </c>
      <c r="LM63" s="75">
        <f t="shared" si="52"/>
        <v>-0.05</v>
      </c>
      <c r="LN63" s="75">
        <f t="shared" si="52"/>
        <v>-0.05</v>
      </c>
      <c r="LO63" s="75">
        <f t="shared" si="52"/>
        <v>-0.05</v>
      </c>
      <c r="LP63" s="75">
        <f t="shared" si="52"/>
        <v>-0.05</v>
      </c>
      <c r="LQ63" s="75">
        <f t="shared" si="52"/>
        <v>-0.05</v>
      </c>
      <c r="LR63" s="75">
        <f t="shared" si="52"/>
        <v>-0.05</v>
      </c>
      <c r="LS63" s="75">
        <f t="shared" si="52"/>
        <v>-0.05</v>
      </c>
      <c r="LT63" s="75">
        <f t="shared" si="52"/>
        <v>-0.05</v>
      </c>
      <c r="LU63" s="75">
        <f t="shared" si="52"/>
        <v>-0.05</v>
      </c>
      <c r="LV63" s="75">
        <f t="shared" si="52"/>
        <v>-0.05</v>
      </c>
      <c r="LW63" s="75">
        <f t="shared" si="52"/>
        <v>-0.05</v>
      </c>
      <c r="LX63" s="75">
        <f t="shared" si="52"/>
        <v>-0.05</v>
      </c>
      <c r="LY63" s="75">
        <f t="shared" si="52"/>
        <v>-0.05</v>
      </c>
      <c r="LZ63" s="75">
        <f t="shared" si="52"/>
        <v>-0.05</v>
      </c>
      <c r="MA63" s="75">
        <f t="shared" si="52"/>
        <v>-0.05</v>
      </c>
      <c r="MB63" s="75">
        <f t="shared" si="52"/>
        <v>-0.05</v>
      </c>
      <c r="MC63" s="75">
        <f t="shared" si="52"/>
        <v>-0.05</v>
      </c>
      <c r="MD63" s="75">
        <f t="shared" si="52"/>
        <v>-0.05</v>
      </c>
      <c r="ME63" s="75">
        <f t="shared" si="52"/>
        <v>-0.05</v>
      </c>
      <c r="MF63" s="75">
        <f t="shared" si="52"/>
        <v>-0.05</v>
      </c>
      <c r="MG63" s="75">
        <f t="shared" si="52"/>
        <v>-0.05</v>
      </c>
      <c r="MH63" s="75">
        <f t="shared" si="52"/>
        <v>-0.05</v>
      </c>
      <c r="MI63" s="75">
        <f t="shared" si="52"/>
        <v>-0.05</v>
      </c>
      <c r="MJ63" s="75">
        <f t="shared" si="52"/>
        <v>-0.05</v>
      </c>
      <c r="MK63" s="75">
        <f t="shared" si="52"/>
        <v>-0.05</v>
      </c>
      <c r="ML63" s="75">
        <f t="shared" si="52"/>
        <v>-0.05</v>
      </c>
      <c r="MM63" s="75">
        <f t="shared" si="52"/>
        <v>-0.05</v>
      </c>
      <c r="MN63" s="75">
        <f t="shared" si="52"/>
        <v>-0.05</v>
      </c>
      <c r="MO63" s="75">
        <f t="shared" si="52"/>
        <v>-0.05</v>
      </c>
      <c r="MP63" s="75">
        <f t="shared" si="52"/>
        <v>-0.05</v>
      </c>
      <c r="MQ63" s="75">
        <f t="shared" si="52"/>
        <v>-0.05</v>
      </c>
      <c r="MR63" s="75">
        <f t="shared" si="52"/>
        <v>-0.05</v>
      </c>
      <c r="MS63" s="75">
        <f t="shared" si="52"/>
        <v>-0.05</v>
      </c>
      <c r="MT63" s="75">
        <f t="shared" si="52"/>
        <v>-0.05</v>
      </c>
      <c r="MU63" s="75">
        <f t="shared" si="52"/>
        <v>-0.05</v>
      </c>
      <c r="MV63" s="75">
        <f t="shared" si="52"/>
        <v>-0.05</v>
      </c>
      <c r="MW63" s="75">
        <f t="shared" si="52"/>
        <v>-0.05</v>
      </c>
      <c r="MX63" s="75">
        <f t="shared" si="52"/>
        <v>-0.05</v>
      </c>
      <c r="MY63" s="75">
        <f t="shared" si="52"/>
        <v>-0.05</v>
      </c>
      <c r="MZ63" s="75">
        <f t="shared" si="52"/>
        <v>-0.05</v>
      </c>
      <c r="NA63" s="75">
        <f t="shared" si="52"/>
        <v>-0.05</v>
      </c>
      <c r="NB63" s="75">
        <f t="shared" si="52"/>
        <v>-0.05</v>
      </c>
      <c r="NC63" s="75">
        <f t="shared" si="52"/>
        <v>-0.05</v>
      </c>
      <c r="ND63" s="75">
        <f t="shared" si="52"/>
        <v>-0.05</v>
      </c>
      <c r="NE63" s="75">
        <f t="shared" si="52"/>
        <v>-0.05</v>
      </c>
      <c r="NF63" s="75">
        <f t="shared" si="52"/>
        <v>-0.05</v>
      </c>
      <c r="NG63" s="75">
        <f t="shared" si="52"/>
        <v>-0.05</v>
      </c>
      <c r="NH63" s="75">
        <f t="shared" si="52"/>
        <v>-0.05</v>
      </c>
      <c r="NI63" s="75">
        <f t="shared" si="52"/>
        <v>-0.05</v>
      </c>
      <c r="NJ63" s="75">
        <f t="shared" si="52"/>
        <v>-0.05</v>
      </c>
      <c r="NK63" s="75">
        <f t="shared" si="52"/>
        <v>-0.05</v>
      </c>
      <c r="NL63" s="75">
        <f t="shared" si="52"/>
        <v>-0.05</v>
      </c>
      <c r="NM63" s="75">
        <f t="shared" si="52"/>
        <v>-0.05</v>
      </c>
      <c r="NN63" s="75">
        <f t="shared" si="52"/>
        <v>-0.05</v>
      </c>
      <c r="NO63" s="75">
        <f t="shared" si="52"/>
        <v>-0.05</v>
      </c>
      <c r="NP63" s="75">
        <f t="shared" si="52"/>
        <v>-0.05</v>
      </c>
      <c r="NQ63" s="75">
        <f t="shared" si="52"/>
        <v>-0.05</v>
      </c>
      <c r="NR63" s="75">
        <f t="shared" si="52"/>
        <v>-0.05</v>
      </c>
      <c r="NS63" s="75">
        <f t="shared" si="52"/>
        <v>-0.05</v>
      </c>
      <c r="NT63" s="75">
        <f t="shared" si="52"/>
        <v>-0.05</v>
      </c>
      <c r="NU63" s="75">
        <f t="shared" si="52"/>
        <v>-0.05</v>
      </c>
      <c r="NV63" s="75">
        <f t="shared" si="52"/>
        <v>-0.05</v>
      </c>
      <c r="NW63" s="75">
        <f t="shared" si="52"/>
        <v>-0.05</v>
      </c>
      <c r="NX63" s="75">
        <f t="shared" si="52"/>
        <v>-0.05</v>
      </c>
      <c r="NY63" s="75">
        <f t="shared" si="52"/>
        <v>-0.05</v>
      </c>
      <c r="NZ63" s="75">
        <f t="shared" si="52"/>
        <v>-0.05</v>
      </c>
      <c r="OA63" s="75">
        <f t="shared" si="52"/>
        <v>-0.05</v>
      </c>
      <c r="OB63" s="75">
        <f t="shared" si="52"/>
        <v>-0.05</v>
      </c>
      <c r="OC63" s="75">
        <f t="shared" si="52"/>
        <v>-0.05</v>
      </c>
      <c r="OD63" s="75">
        <f t="shared" si="52"/>
        <v>-0.05</v>
      </c>
      <c r="OE63" s="75">
        <f t="shared" si="52"/>
        <v>-0.05</v>
      </c>
      <c r="OF63" s="75">
        <f t="shared" si="52"/>
        <v>-0.05</v>
      </c>
      <c r="OG63" s="75">
        <f t="shared" si="52"/>
        <v>-0.05</v>
      </c>
      <c r="OH63" s="75">
        <f t="shared" si="52"/>
        <v>-0.05</v>
      </c>
      <c r="OI63" s="75">
        <f t="shared" si="52"/>
        <v>-0.05</v>
      </c>
      <c r="OJ63" s="75">
        <f t="shared" si="52"/>
        <v>-0.05</v>
      </c>
      <c r="OK63" s="75">
        <f t="shared" si="52"/>
        <v>-0.05</v>
      </c>
      <c r="OL63" s="75">
        <f t="shared" si="52"/>
        <v>-0.05</v>
      </c>
      <c r="OM63" s="75">
        <f t="shared" si="52"/>
        <v>-0.05</v>
      </c>
      <c r="ON63" s="75">
        <f t="shared" si="52"/>
        <v>-0.05</v>
      </c>
      <c r="OO63" s="75">
        <f t="shared" si="52"/>
        <v>-0.05</v>
      </c>
      <c r="OP63" s="75">
        <f t="shared" si="52"/>
        <v>-0.05</v>
      </c>
      <c r="OQ63" s="75">
        <f t="shared" si="52"/>
        <v>-0.05</v>
      </c>
      <c r="OR63" s="75">
        <f t="shared" si="52"/>
        <v>-0.05</v>
      </c>
      <c r="OS63" s="75">
        <f t="shared" si="52"/>
        <v>-0.05</v>
      </c>
      <c r="OT63" s="75">
        <f t="shared" si="52"/>
        <v>-0.05</v>
      </c>
      <c r="OU63" s="75">
        <f t="shared" si="52"/>
        <v>-0.05</v>
      </c>
      <c r="OV63" s="75">
        <f t="shared" si="52"/>
        <v>-0.05</v>
      </c>
      <c r="OW63" s="75">
        <f t="shared" si="52"/>
        <v>-0.05</v>
      </c>
      <c r="OX63" s="75">
        <f t="shared" si="52"/>
        <v>-0.05</v>
      </c>
      <c r="OY63" s="75">
        <f t="shared" si="52"/>
        <v>-0.05</v>
      </c>
      <c r="OZ63" s="75">
        <f t="shared" si="52"/>
        <v>-0.05</v>
      </c>
      <c r="PA63" s="75">
        <f t="shared" si="52"/>
        <v>-0.05</v>
      </c>
      <c r="PB63" s="75">
        <f t="shared" si="52"/>
        <v>-0.05</v>
      </c>
      <c r="PC63" s="75">
        <f t="shared" si="52"/>
        <v>-0.05</v>
      </c>
      <c r="PD63" s="75">
        <f t="shared" si="52"/>
        <v>-0.05</v>
      </c>
      <c r="PE63" s="75">
        <f t="shared" si="52"/>
        <v>-0.05</v>
      </c>
      <c r="PF63" s="75">
        <f t="shared" si="52"/>
        <v>-0.05</v>
      </c>
      <c r="PG63" s="75">
        <f t="shared" si="52"/>
        <v>-0.05</v>
      </c>
      <c r="PH63" s="75">
        <f t="shared" si="52"/>
        <v>-0.05</v>
      </c>
      <c r="PI63" s="75">
        <f t="shared" si="52"/>
        <v>-0.05</v>
      </c>
      <c r="PJ63" s="75">
        <f t="shared" si="52"/>
        <v>-0.05</v>
      </c>
      <c r="PK63" s="75">
        <f t="shared" si="52"/>
        <v>-0.05</v>
      </c>
      <c r="PL63" s="75">
        <f t="shared" si="52"/>
        <v>-0.05</v>
      </c>
      <c r="PM63" s="75">
        <f t="shared" si="52"/>
        <v>-0.05</v>
      </c>
      <c r="PN63" s="75">
        <f t="shared" si="52"/>
        <v>-0.05</v>
      </c>
      <c r="PO63" s="75">
        <f t="shared" si="52"/>
        <v>-0.05</v>
      </c>
      <c r="PP63" s="75">
        <f t="shared" si="52"/>
        <v>-0.05</v>
      </c>
      <c r="PQ63" s="75">
        <f t="shared" si="52"/>
        <v>-0.05</v>
      </c>
      <c r="PR63" s="75">
        <f t="shared" si="52"/>
        <v>-0.05</v>
      </c>
      <c r="PS63" s="75">
        <f t="shared" si="52"/>
        <v>-0.05</v>
      </c>
      <c r="PT63" s="75">
        <f t="shared" si="52"/>
        <v>-0.05</v>
      </c>
      <c r="PU63" s="75">
        <f t="shared" si="52"/>
        <v>-0.05</v>
      </c>
      <c r="PV63" s="75">
        <f t="shared" si="52"/>
        <v>-0.05</v>
      </c>
      <c r="PW63" s="75">
        <f t="shared" si="52"/>
        <v>-0.05</v>
      </c>
      <c r="PX63" s="75">
        <f t="shared" si="52"/>
        <v>-0.05</v>
      </c>
      <c r="PY63" s="75">
        <f t="shared" si="52"/>
        <v>-0.05</v>
      </c>
      <c r="PZ63" s="75">
        <f t="shared" si="52"/>
        <v>-0.05</v>
      </c>
      <c r="QA63" s="75">
        <f t="shared" si="52"/>
        <v>-0.05</v>
      </c>
      <c r="QB63" s="75">
        <f t="shared" si="52"/>
        <v>-0.05</v>
      </c>
      <c r="QC63" s="75">
        <f t="shared" si="52"/>
        <v>-0.05</v>
      </c>
      <c r="QD63" s="75">
        <f t="shared" si="52"/>
        <v>-0.05</v>
      </c>
      <c r="QE63" s="75">
        <f t="shared" si="52"/>
        <v>-0.05</v>
      </c>
      <c r="QF63" s="75">
        <f t="shared" si="52"/>
        <v>-0.05</v>
      </c>
      <c r="QG63" s="75">
        <f t="shared" si="52"/>
        <v>-0.05</v>
      </c>
      <c r="QH63" s="75">
        <f t="shared" si="52"/>
        <v>-0.05</v>
      </c>
      <c r="QI63" s="75">
        <f t="shared" si="52"/>
        <v>-0.05</v>
      </c>
      <c r="QJ63" s="75">
        <f t="shared" si="52"/>
        <v>-0.05</v>
      </c>
      <c r="QK63" s="75">
        <f t="shared" si="52"/>
        <v>-0.05</v>
      </c>
      <c r="QL63" s="75">
        <f t="shared" si="52"/>
        <v>-0.05</v>
      </c>
      <c r="QM63" s="75">
        <f t="shared" si="52"/>
        <v>-0.05</v>
      </c>
      <c r="QN63" s="75">
        <f t="shared" si="52"/>
        <v>-0.05</v>
      </c>
      <c r="QO63" s="75">
        <f t="shared" si="52"/>
        <v>-0.05</v>
      </c>
      <c r="QP63" s="75">
        <f t="shared" si="52"/>
        <v>-0.05</v>
      </c>
      <c r="QQ63" s="75">
        <f t="shared" si="52"/>
        <v>-0.05</v>
      </c>
      <c r="QR63" s="75">
        <f t="shared" si="52"/>
        <v>-0.05</v>
      </c>
      <c r="QS63" s="75">
        <f t="shared" si="52"/>
        <v>-0.05</v>
      </c>
      <c r="QT63" s="75">
        <f t="shared" si="52"/>
        <v>-0.05</v>
      </c>
      <c r="QU63" s="75">
        <f t="shared" si="52"/>
        <v>-0.05</v>
      </c>
      <c r="QV63" s="75">
        <f t="shared" si="52"/>
        <v>-0.05</v>
      </c>
      <c r="QW63" s="75">
        <f t="shared" si="52"/>
        <v>-0.05</v>
      </c>
      <c r="QX63" s="75">
        <f t="shared" si="52"/>
        <v>-0.05</v>
      </c>
      <c r="QY63" s="75">
        <f t="shared" si="52"/>
        <v>-0.05</v>
      </c>
      <c r="QZ63" s="75">
        <f t="shared" si="52"/>
        <v>-0.05</v>
      </c>
      <c r="RA63" s="75">
        <f t="shared" si="52"/>
        <v>-0.05</v>
      </c>
      <c r="RB63" s="75">
        <f t="shared" si="52"/>
        <v>-0.05</v>
      </c>
      <c r="RC63" s="75">
        <f t="shared" si="52"/>
        <v>-0.05</v>
      </c>
      <c r="RD63" s="75">
        <f t="shared" si="52"/>
        <v>-0.05</v>
      </c>
      <c r="RE63" s="75">
        <f t="shared" si="52"/>
        <v>-0.05</v>
      </c>
      <c r="RF63" s="75">
        <f t="shared" si="52"/>
        <v>-0.05</v>
      </c>
      <c r="RG63" s="75">
        <f t="shared" si="52"/>
        <v>-0.05</v>
      </c>
      <c r="RH63" s="75">
        <f t="shared" si="52"/>
        <v>-0.05</v>
      </c>
      <c r="RI63" s="75">
        <f t="shared" si="52"/>
        <v>-0.05</v>
      </c>
      <c r="RJ63" s="75">
        <f t="shared" si="52"/>
        <v>-0.05</v>
      </c>
      <c r="RK63" s="75">
        <f t="shared" si="52"/>
        <v>-0.05</v>
      </c>
      <c r="RL63" s="75">
        <f t="shared" si="52"/>
        <v>-0.05</v>
      </c>
      <c r="RM63" s="75">
        <f t="shared" si="52"/>
        <v>-0.05</v>
      </c>
      <c r="RN63" s="75">
        <f t="shared" si="52"/>
        <v>-0.05</v>
      </c>
      <c r="RO63" s="75">
        <f t="shared" si="52"/>
        <v>-0.05</v>
      </c>
      <c r="RP63" s="75">
        <f t="shared" si="52"/>
        <v>-0.05</v>
      </c>
      <c r="RQ63" s="75">
        <f t="shared" si="52"/>
        <v>-0.05</v>
      </c>
      <c r="RR63" s="75">
        <f t="shared" si="52"/>
        <v>-0.05</v>
      </c>
      <c r="RS63" s="75">
        <f t="shared" si="52"/>
        <v>-0.05</v>
      </c>
      <c r="RT63" s="75">
        <f t="shared" si="52"/>
        <v>-0.05</v>
      </c>
      <c r="RU63" s="75">
        <f t="shared" si="52"/>
        <v>-0.05</v>
      </c>
      <c r="RV63" s="75">
        <f t="shared" si="52"/>
        <v>-0.05</v>
      </c>
      <c r="RW63" s="75">
        <f t="shared" si="52"/>
        <v>-0.05</v>
      </c>
      <c r="RX63" s="75">
        <f t="shared" si="52"/>
        <v>-0.05</v>
      </c>
      <c r="RY63" s="75">
        <f t="shared" si="52"/>
        <v>-0.05</v>
      </c>
      <c r="RZ63" s="75">
        <f t="shared" si="52"/>
        <v>-0.05</v>
      </c>
      <c r="SA63" s="75">
        <f t="shared" si="52"/>
        <v>-0.05</v>
      </c>
      <c r="SB63" s="75">
        <f t="shared" si="52"/>
        <v>-0.05</v>
      </c>
      <c r="SC63" s="75">
        <f t="shared" si="52"/>
        <v>-0.05</v>
      </c>
      <c r="SD63" s="75">
        <f t="shared" si="52"/>
        <v>-0.05</v>
      </c>
      <c r="SE63" s="75">
        <f t="shared" si="52"/>
        <v>-0.05</v>
      </c>
      <c r="SF63" s="75">
        <f t="shared" si="52"/>
        <v>-0.05</v>
      </c>
      <c r="SG63" s="75">
        <f t="shared" si="52"/>
        <v>-0.05</v>
      </c>
      <c r="SH63" s="75">
        <f t="shared" si="52"/>
        <v>-0.05</v>
      </c>
      <c r="SI63" s="75">
        <f t="shared" si="52"/>
        <v>-0.05</v>
      </c>
      <c r="SJ63" s="75">
        <f t="shared" si="52"/>
        <v>-0.05</v>
      </c>
      <c r="SK63" s="75">
        <f t="shared" si="52"/>
        <v>-0.05</v>
      </c>
      <c r="SL63" s="75">
        <f t="shared" si="52"/>
        <v>-0.05</v>
      </c>
    </row>
    <row r="64">
      <c r="A64" s="53" t="s">
        <v>140</v>
      </c>
      <c r="B64" s="75">
        <f t="array" ref="B64">INDEX('New CEA'!$B64:$F64,MATCH($B$2,'New CEA'!B$2:F$2,0))</f>
        <v>-0.02</v>
      </c>
      <c r="C64" s="273"/>
      <c r="D64" s="274"/>
      <c r="E64" s="275"/>
      <c r="F64" s="75"/>
      <c r="G64" s="75">
        <f t="shared" ref="G64:SL64" si="53">$B64</f>
        <v>-0.02</v>
      </c>
      <c r="H64" s="75">
        <f t="shared" si="53"/>
        <v>-0.02</v>
      </c>
      <c r="I64" s="75">
        <f t="shared" si="53"/>
        <v>-0.02</v>
      </c>
      <c r="J64" s="75">
        <f t="shared" si="53"/>
        <v>-0.02</v>
      </c>
      <c r="K64" s="75">
        <f t="shared" si="53"/>
        <v>-0.02</v>
      </c>
      <c r="L64" s="75">
        <f t="shared" si="53"/>
        <v>-0.02</v>
      </c>
      <c r="M64" s="75">
        <f t="shared" si="53"/>
        <v>-0.02</v>
      </c>
      <c r="N64" s="75">
        <f t="shared" si="53"/>
        <v>-0.02</v>
      </c>
      <c r="O64" s="75">
        <f t="shared" si="53"/>
        <v>-0.02</v>
      </c>
      <c r="P64" s="75">
        <f t="shared" si="53"/>
        <v>-0.02</v>
      </c>
      <c r="Q64" s="75">
        <f t="shared" si="53"/>
        <v>-0.02</v>
      </c>
      <c r="R64" s="75">
        <f t="shared" si="53"/>
        <v>-0.02</v>
      </c>
      <c r="S64" s="75">
        <f t="shared" si="53"/>
        <v>-0.02</v>
      </c>
      <c r="T64" s="75">
        <f t="shared" si="53"/>
        <v>-0.02</v>
      </c>
      <c r="U64" s="75">
        <f t="shared" si="53"/>
        <v>-0.02</v>
      </c>
      <c r="V64" s="75">
        <f t="shared" si="53"/>
        <v>-0.02</v>
      </c>
      <c r="W64" s="75">
        <f t="shared" si="53"/>
        <v>-0.02</v>
      </c>
      <c r="X64" s="75">
        <f t="shared" si="53"/>
        <v>-0.02</v>
      </c>
      <c r="Y64" s="75">
        <f t="shared" si="53"/>
        <v>-0.02</v>
      </c>
      <c r="Z64" s="75">
        <f t="shared" si="53"/>
        <v>-0.02</v>
      </c>
      <c r="AA64" s="75">
        <f t="shared" si="53"/>
        <v>-0.02</v>
      </c>
      <c r="AB64" s="75">
        <f t="shared" si="53"/>
        <v>-0.02</v>
      </c>
      <c r="AC64" s="75">
        <f t="shared" si="53"/>
        <v>-0.02</v>
      </c>
      <c r="AD64" s="75">
        <f t="shared" si="53"/>
        <v>-0.02</v>
      </c>
      <c r="AE64" s="75">
        <f t="shared" si="53"/>
        <v>-0.02</v>
      </c>
      <c r="AF64" s="75">
        <f t="shared" si="53"/>
        <v>-0.02</v>
      </c>
      <c r="AG64" s="75">
        <f t="shared" si="53"/>
        <v>-0.02</v>
      </c>
      <c r="AH64" s="75">
        <f t="shared" si="53"/>
        <v>-0.02</v>
      </c>
      <c r="AI64" s="75">
        <f t="shared" si="53"/>
        <v>-0.02</v>
      </c>
      <c r="AJ64" s="75">
        <f t="shared" si="53"/>
        <v>-0.02</v>
      </c>
      <c r="AK64" s="75">
        <f t="shared" si="53"/>
        <v>-0.02</v>
      </c>
      <c r="AL64" s="75">
        <f t="shared" si="53"/>
        <v>-0.02</v>
      </c>
      <c r="AM64" s="75">
        <f t="shared" si="53"/>
        <v>-0.02</v>
      </c>
      <c r="AN64" s="75">
        <f t="shared" si="53"/>
        <v>-0.02</v>
      </c>
      <c r="AO64" s="75">
        <f t="shared" si="53"/>
        <v>-0.02</v>
      </c>
      <c r="AP64" s="75">
        <f t="shared" si="53"/>
        <v>-0.02</v>
      </c>
      <c r="AQ64" s="75">
        <f t="shared" si="53"/>
        <v>-0.02</v>
      </c>
      <c r="AR64" s="75">
        <f t="shared" si="53"/>
        <v>-0.02</v>
      </c>
      <c r="AS64" s="75">
        <f t="shared" si="53"/>
        <v>-0.02</v>
      </c>
      <c r="AT64" s="75">
        <f t="shared" si="53"/>
        <v>-0.02</v>
      </c>
      <c r="AU64" s="75">
        <f t="shared" si="53"/>
        <v>-0.02</v>
      </c>
      <c r="AV64" s="75">
        <f t="shared" si="53"/>
        <v>-0.02</v>
      </c>
      <c r="AW64" s="75">
        <f t="shared" si="53"/>
        <v>-0.02</v>
      </c>
      <c r="AX64" s="75">
        <f t="shared" si="53"/>
        <v>-0.02</v>
      </c>
      <c r="AY64" s="75">
        <f t="shared" si="53"/>
        <v>-0.02</v>
      </c>
      <c r="AZ64" s="75">
        <f t="shared" si="53"/>
        <v>-0.02</v>
      </c>
      <c r="BA64" s="75">
        <f t="shared" si="53"/>
        <v>-0.02</v>
      </c>
      <c r="BB64" s="75">
        <f t="shared" si="53"/>
        <v>-0.02</v>
      </c>
      <c r="BC64" s="75">
        <f t="shared" si="53"/>
        <v>-0.02</v>
      </c>
      <c r="BD64" s="75">
        <f t="shared" si="53"/>
        <v>-0.02</v>
      </c>
      <c r="BE64" s="75">
        <f t="shared" si="53"/>
        <v>-0.02</v>
      </c>
      <c r="BF64" s="75">
        <f t="shared" si="53"/>
        <v>-0.02</v>
      </c>
      <c r="BG64" s="75">
        <f t="shared" si="53"/>
        <v>-0.02</v>
      </c>
      <c r="BH64" s="75">
        <f t="shared" si="53"/>
        <v>-0.02</v>
      </c>
      <c r="BI64" s="75">
        <f t="shared" si="53"/>
        <v>-0.02</v>
      </c>
      <c r="BJ64" s="75">
        <f t="shared" si="53"/>
        <v>-0.02</v>
      </c>
      <c r="BK64" s="75">
        <f t="shared" si="53"/>
        <v>-0.02</v>
      </c>
      <c r="BL64" s="75">
        <f t="shared" si="53"/>
        <v>-0.02</v>
      </c>
      <c r="BM64" s="75">
        <f t="shared" si="53"/>
        <v>-0.02</v>
      </c>
      <c r="BN64" s="75">
        <f t="shared" si="53"/>
        <v>-0.02</v>
      </c>
      <c r="BO64" s="75">
        <f t="shared" si="53"/>
        <v>-0.02</v>
      </c>
      <c r="BP64" s="75">
        <f t="shared" si="53"/>
        <v>-0.02</v>
      </c>
      <c r="BQ64" s="75">
        <f t="shared" si="53"/>
        <v>-0.02</v>
      </c>
      <c r="BR64" s="75">
        <f t="shared" si="53"/>
        <v>-0.02</v>
      </c>
      <c r="BS64" s="75">
        <f t="shared" si="53"/>
        <v>-0.02</v>
      </c>
      <c r="BT64" s="75">
        <f t="shared" si="53"/>
        <v>-0.02</v>
      </c>
      <c r="BU64" s="75">
        <f t="shared" si="53"/>
        <v>-0.02</v>
      </c>
      <c r="BV64" s="75">
        <f t="shared" si="53"/>
        <v>-0.02</v>
      </c>
      <c r="BW64" s="75">
        <f t="shared" si="53"/>
        <v>-0.02</v>
      </c>
      <c r="BX64" s="75">
        <f t="shared" si="53"/>
        <v>-0.02</v>
      </c>
      <c r="BY64" s="75">
        <f t="shared" si="53"/>
        <v>-0.02</v>
      </c>
      <c r="BZ64" s="75">
        <f t="shared" si="53"/>
        <v>-0.02</v>
      </c>
      <c r="CA64" s="75">
        <f t="shared" si="53"/>
        <v>-0.02</v>
      </c>
      <c r="CB64" s="75">
        <f t="shared" si="53"/>
        <v>-0.02</v>
      </c>
      <c r="CC64" s="75">
        <f t="shared" si="53"/>
        <v>-0.02</v>
      </c>
      <c r="CD64" s="75">
        <f t="shared" si="53"/>
        <v>-0.02</v>
      </c>
      <c r="CE64" s="75">
        <f t="shared" si="53"/>
        <v>-0.02</v>
      </c>
      <c r="CF64" s="75">
        <f t="shared" si="53"/>
        <v>-0.02</v>
      </c>
      <c r="CG64" s="75">
        <f t="shared" si="53"/>
        <v>-0.02</v>
      </c>
      <c r="CH64" s="75">
        <f t="shared" si="53"/>
        <v>-0.02</v>
      </c>
      <c r="CI64" s="75">
        <f t="shared" si="53"/>
        <v>-0.02</v>
      </c>
      <c r="CJ64" s="75">
        <f t="shared" si="53"/>
        <v>-0.02</v>
      </c>
      <c r="CK64" s="75">
        <f t="shared" si="53"/>
        <v>-0.02</v>
      </c>
      <c r="CL64" s="75">
        <f t="shared" si="53"/>
        <v>-0.02</v>
      </c>
      <c r="CM64" s="75">
        <f t="shared" si="53"/>
        <v>-0.02</v>
      </c>
      <c r="CN64" s="75">
        <f t="shared" si="53"/>
        <v>-0.02</v>
      </c>
      <c r="CO64" s="75">
        <f t="shared" si="53"/>
        <v>-0.02</v>
      </c>
      <c r="CP64" s="75">
        <f t="shared" si="53"/>
        <v>-0.02</v>
      </c>
      <c r="CQ64" s="75">
        <f t="shared" si="53"/>
        <v>-0.02</v>
      </c>
      <c r="CR64" s="75">
        <f t="shared" si="53"/>
        <v>-0.02</v>
      </c>
      <c r="CS64" s="75">
        <f t="shared" si="53"/>
        <v>-0.02</v>
      </c>
      <c r="CT64" s="75">
        <f t="shared" si="53"/>
        <v>-0.02</v>
      </c>
      <c r="CU64" s="75">
        <f t="shared" si="53"/>
        <v>-0.02</v>
      </c>
      <c r="CV64" s="75">
        <f t="shared" si="53"/>
        <v>-0.02</v>
      </c>
      <c r="CW64" s="75">
        <f t="shared" si="53"/>
        <v>-0.02</v>
      </c>
      <c r="CX64" s="75">
        <f t="shared" si="53"/>
        <v>-0.02</v>
      </c>
      <c r="CY64" s="75">
        <f t="shared" si="53"/>
        <v>-0.02</v>
      </c>
      <c r="CZ64" s="75">
        <f t="shared" si="53"/>
        <v>-0.02</v>
      </c>
      <c r="DA64" s="75">
        <f t="shared" si="53"/>
        <v>-0.02</v>
      </c>
      <c r="DB64" s="75">
        <f t="shared" si="53"/>
        <v>-0.02</v>
      </c>
      <c r="DC64" s="75">
        <f t="shared" si="53"/>
        <v>-0.02</v>
      </c>
      <c r="DD64" s="75">
        <f t="shared" si="53"/>
        <v>-0.02</v>
      </c>
      <c r="DE64" s="75">
        <f t="shared" si="53"/>
        <v>-0.02</v>
      </c>
      <c r="DF64" s="75">
        <f t="shared" si="53"/>
        <v>-0.02</v>
      </c>
      <c r="DG64" s="75">
        <f t="shared" si="53"/>
        <v>-0.02</v>
      </c>
      <c r="DH64" s="75">
        <f t="shared" si="53"/>
        <v>-0.02</v>
      </c>
      <c r="DI64" s="75">
        <f t="shared" si="53"/>
        <v>-0.02</v>
      </c>
      <c r="DJ64" s="75">
        <f t="shared" si="53"/>
        <v>-0.02</v>
      </c>
      <c r="DK64" s="75">
        <f t="shared" si="53"/>
        <v>-0.02</v>
      </c>
      <c r="DL64" s="75">
        <f t="shared" si="53"/>
        <v>-0.02</v>
      </c>
      <c r="DM64" s="75">
        <f t="shared" si="53"/>
        <v>-0.02</v>
      </c>
      <c r="DN64" s="75">
        <f t="shared" si="53"/>
        <v>-0.02</v>
      </c>
      <c r="DO64" s="75">
        <f t="shared" si="53"/>
        <v>-0.02</v>
      </c>
      <c r="DP64" s="75">
        <f t="shared" si="53"/>
        <v>-0.02</v>
      </c>
      <c r="DQ64" s="75">
        <f t="shared" si="53"/>
        <v>-0.02</v>
      </c>
      <c r="DR64" s="75">
        <f t="shared" si="53"/>
        <v>-0.02</v>
      </c>
      <c r="DS64" s="75">
        <f t="shared" si="53"/>
        <v>-0.02</v>
      </c>
      <c r="DT64" s="75">
        <f t="shared" si="53"/>
        <v>-0.02</v>
      </c>
      <c r="DU64" s="75">
        <f t="shared" si="53"/>
        <v>-0.02</v>
      </c>
      <c r="DV64" s="75">
        <f t="shared" si="53"/>
        <v>-0.02</v>
      </c>
      <c r="DW64" s="75">
        <f t="shared" si="53"/>
        <v>-0.02</v>
      </c>
      <c r="DX64" s="75">
        <f t="shared" si="53"/>
        <v>-0.02</v>
      </c>
      <c r="DY64" s="75">
        <f t="shared" si="53"/>
        <v>-0.02</v>
      </c>
      <c r="DZ64" s="75">
        <f t="shared" si="53"/>
        <v>-0.02</v>
      </c>
      <c r="EA64" s="75">
        <f t="shared" si="53"/>
        <v>-0.02</v>
      </c>
      <c r="EB64" s="75">
        <f t="shared" si="53"/>
        <v>-0.02</v>
      </c>
      <c r="EC64" s="75">
        <f t="shared" si="53"/>
        <v>-0.02</v>
      </c>
      <c r="ED64" s="75">
        <f t="shared" si="53"/>
        <v>-0.02</v>
      </c>
      <c r="EE64" s="75">
        <f t="shared" si="53"/>
        <v>-0.02</v>
      </c>
      <c r="EF64" s="75">
        <f t="shared" si="53"/>
        <v>-0.02</v>
      </c>
      <c r="EG64" s="75">
        <f t="shared" si="53"/>
        <v>-0.02</v>
      </c>
      <c r="EH64" s="75">
        <f t="shared" si="53"/>
        <v>-0.02</v>
      </c>
      <c r="EI64" s="75">
        <f t="shared" si="53"/>
        <v>-0.02</v>
      </c>
      <c r="EJ64" s="75">
        <f t="shared" si="53"/>
        <v>-0.02</v>
      </c>
      <c r="EK64" s="75">
        <f t="shared" si="53"/>
        <v>-0.02</v>
      </c>
      <c r="EL64" s="75">
        <f t="shared" si="53"/>
        <v>-0.02</v>
      </c>
      <c r="EM64" s="75">
        <f t="shared" si="53"/>
        <v>-0.02</v>
      </c>
      <c r="EN64" s="75">
        <f t="shared" si="53"/>
        <v>-0.02</v>
      </c>
      <c r="EO64" s="75">
        <f t="shared" si="53"/>
        <v>-0.02</v>
      </c>
      <c r="EP64" s="75">
        <f t="shared" si="53"/>
        <v>-0.02</v>
      </c>
      <c r="EQ64" s="75">
        <f t="shared" si="53"/>
        <v>-0.02</v>
      </c>
      <c r="ER64" s="75">
        <f t="shared" si="53"/>
        <v>-0.02</v>
      </c>
      <c r="ES64" s="75">
        <f t="shared" si="53"/>
        <v>-0.02</v>
      </c>
      <c r="ET64" s="75">
        <f t="shared" si="53"/>
        <v>-0.02</v>
      </c>
      <c r="EU64" s="75">
        <f t="shared" si="53"/>
        <v>-0.02</v>
      </c>
      <c r="EV64" s="75">
        <f t="shared" si="53"/>
        <v>-0.02</v>
      </c>
      <c r="EW64" s="75">
        <f t="shared" si="53"/>
        <v>-0.02</v>
      </c>
      <c r="EX64" s="75">
        <f t="shared" si="53"/>
        <v>-0.02</v>
      </c>
      <c r="EY64" s="75">
        <f t="shared" si="53"/>
        <v>-0.02</v>
      </c>
      <c r="EZ64" s="75">
        <f t="shared" si="53"/>
        <v>-0.02</v>
      </c>
      <c r="FA64" s="75">
        <f t="shared" si="53"/>
        <v>-0.02</v>
      </c>
      <c r="FB64" s="75">
        <f t="shared" si="53"/>
        <v>-0.02</v>
      </c>
      <c r="FC64" s="75">
        <f t="shared" si="53"/>
        <v>-0.02</v>
      </c>
      <c r="FD64" s="75">
        <f t="shared" si="53"/>
        <v>-0.02</v>
      </c>
      <c r="FE64" s="75">
        <f t="shared" si="53"/>
        <v>-0.02</v>
      </c>
      <c r="FF64" s="75">
        <f t="shared" si="53"/>
        <v>-0.02</v>
      </c>
      <c r="FG64" s="75">
        <f t="shared" si="53"/>
        <v>-0.02</v>
      </c>
      <c r="FH64" s="75">
        <f t="shared" si="53"/>
        <v>-0.02</v>
      </c>
      <c r="FI64" s="75">
        <f t="shared" si="53"/>
        <v>-0.02</v>
      </c>
      <c r="FJ64" s="75">
        <f t="shared" si="53"/>
        <v>-0.02</v>
      </c>
      <c r="FK64" s="75">
        <f t="shared" si="53"/>
        <v>-0.02</v>
      </c>
      <c r="FL64" s="75">
        <f t="shared" si="53"/>
        <v>-0.02</v>
      </c>
      <c r="FM64" s="75">
        <f t="shared" si="53"/>
        <v>-0.02</v>
      </c>
      <c r="FN64" s="75">
        <f t="shared" si="53"/>
        <v>-0.02</v>
      </c>
      <c r="FO64" s="75">
        <f t="shared" si="53"/>
        <v>-0.02</v>
      </c>
      <c r="FP64" s="75">
        <f t="shared" si="53"/>
        <v>-0.02</v>
      </c>
      <c r="FQ64" s="75">
        <f t="shared" si="53"/>
        <v>-0.02</v>
      </c>
      <c r="FR64" s="75">
        <f t="shared" si="53"/>
        <v>-0.02</v>
      </c>
      <c r="FS64" s="75">
        <f t="shared" si="53"/>
        <v>-0.02</v>
      </c>
      <c r="FT64" s="75">
        <f t="shared" si="53"/>
        <v>-0.02</v>
      </c>
      <c r="FU64" s="75">
        <f t="shared" si="53"/>
        <v>-0.02</v>
      </c>
      <c r="FV64" s="75">
        <f t="shared" si="53"/>
        <v>-0.02</v>
      </c>
      <c r="FW64" s="75">
        <f t="shared" si="53"/>
        <v>-0.02</v>
      </c>
      <c r="FX64" s="75">
        <f t="shared" si="53"/>
        <v>-0.02</v>
      </c>
      <c r="FY64" s="75">
        <f t="shared" si="53"/>
        <v>-0.02</v>
      </c>
      <c r="FZ64" s="75">
        <f t="shared" si="53"/>
        <v>-0.02</v>
      </c>
      <c r="GA64" s="75">
        <f t="shared" si="53"/>
        <v>-0.02</v>
      </c>
      <c r="GB64" s="75">
        <f t="shared" si="53"/>
        <v>-0.02</v>
      </c>
      <c r="GC64" s="75">
        <f t="shared" si="53"/>
        <v>-0.02</v>
      </c>
      <c r="GD64" s="75">
        <f t="shared" si="53"/>
        <v>-0.02</v>
      </c>
      <c r="GE64" s="75">
        <f t="shared" si="53"/>
        <v>-0.02</v>
      </c>
      <c r="GF64" s="75">
        <f t="shared" si="53"/>
        <v>-0.02</v>
      </c>
      <c r="GG64" s="75">
        <f t="shared" si="53"/>
        <v>-0.02</v>
      </c>
      <c r="GH64" s="75">
        <f t="shared" si="53"/>
        <v>-0.02</v>
      </c>
      <c r="GI64" s="75">
        <f t="shared" si="53"/>
        <v>-0.02</v>
      </c>
      <c r="GJ64" s="75">
        <f t="shared" si="53"/>
        <v>-0.02</v>
      </c>
      <c r="GK64" s="75">
        <f t="shared" si="53"/>
        <v>-0.02</v>
      </c>
      <c r="GL64" s="75">
        <f t="shared" si="53"/>
        <v>-0.02</v>
      </c>
      <c r="GM64" s="75">
        <f t="shared" si="53"/>
        <v>-0.02</v>
      </c>
      <c r="GN64" s="75">
        <f t="shared" si="53"/>
        <v>-0.02</v>
      </c>
      <c r="GO64" s="75">
        <f t="shared" si="53"/>
        <v>-0.02</v>
      </c>
      <c r="GP64" s="75">
        <f t="shared" si="53"/>
        <v>-0.02</v>
      </c>
      <c r="GQ64" s="75">
        <f t="shared" si="53"/>
        <v>-0.02</v>
      </c>
      <c r="GR64" s="75">
        <f t="shared" si="53"/>
        <v>-0.02</v>
      </c>
      <c r="GS64" s="75">
        <f t="shared" si="53"/>
        <v>-0.02</v>
      </c>
      <c r="GT64" s="75">
        <f t="shared" si="53"/>
        <v>-0.02</v>
      </c>
      <c r="GU64" s="75">
        <f t="shared" si="53"/>
        <v>-0.02</v>
      </c>
      <c r="GV64" s="75">
        <f t="shared" si="53"/>
        <v>-0.02</v>
      </c>
      <c r="GW64" s="75">
        <f t="shared" si="53"/>
        <v>-0.02</v>
      </c>
      <c r="GX64" s="75">
        <f t="shared" si="53"/>
        <v>-0.02</v>
      </c>
      <c r="GY64" s="75">
        <f t="shared" si="53"/>
        <v>-0.02</v>
      </c>
      <c r="GZ64" s="75">
        <f t="shared" si="53"/>
        <v>-0.02</v>
      </c>
      <c r="HA64" s="75">
        <f t="shared" si="53"/>
        <v>-0.02</v>
      </c>
      <c r="HB64" s="75">
        <f t="shared" si="53"/>
        <v>-0.02</v>
      </c>
      <c r="HC64" s="75">
        <f t="shared" si="53"/>
        <v>-0.02</v>
      </c>
      <c r="HD64" s="75">
        <f t="shared" si="53"/>
        <v>-0.02</v>
      </c>
      <c r="HE64" s="75">
        <f t="shared" si="53"/>
        <v>-0.02</v>
      </c>
      <c r="HF64" s="75">
        <f t="shared" si="53"/>
        <v>-0.02</v>
      </c>
      <c r="HG64" s="75">
        <f t="shared" si="53"/>
        <v>-0.02</v>
      </c>
      <c r="HH64" s="75">
        <f t="shared" si="53"/>
        <v>-0.02</v>
      </c>
      <c r="HI64" s="75">
        <f t="shared" si="53"/>
        <v>-0.02</v>
      </c>
      <c r="HJ64" s="75">
        <f t="shared" si="53"/>
        <v>-0.02</v>
      </c>
      <c r="HK64" s="75">
        <f t="shared" si="53"/>
        <v>-0.02</v>
      </c>
      <c r="HL64" s="75">
        <f t="shared" si="53"/>
        <v>-0.02</v>
      </c>
      <c r="HM64" s="75">
        <f t="shared" si="53"/>
        <v>-0.02</v>
      </c>
      <c r="HN64" s="75">
        <f t="shared" si="53"/>
        <v>-0.02</v>
      </c>
      <c r="HO64" s="75">
        <f t="shared" si="53"/>
        <v>-0.02</v>
      </c>
      <c r="HP64" s="75">
        <f t="shared" si="53"/>
        <v>-0.02</v>
      </c>
      <c r="HQ64" s="75">
        <f t="shared" si="53"/>
        <v>-0.02</v>
      </c>
      <c r="HR64" s="75">
        <f t="shared" si="53"/>
        <v>-0.02</v>
      </c>
      <c r="HS64" s="75">
        <f t="shared" si="53"/>
        <v>-0.02</v>
      </c>
      <c r="HT64" s="75">
        <f t="shared" si="53"/>
        <v>-0.02</v>
      </c>
      <c r="HU64" s="75">
        <f t="shared" si="53"/>
        <v>-0.02</v>
      </c>
      <c r="HV64" s="75">
        <f t="shared" si="53"/>
        <v>-0.02</v>
      </c>
      <c r="HW64" s="75">
        <f t="shared" si="53"/>
        <v>-0.02</v>
      </c>
      <c r="HX64" s="75">
        <f t="shared" si="53"/>
        <v>-0.02</v>
      </c>
      <c r="HY64" s="75">
        <f t="shared" si="53"/>
        <v>-0.02</v>
      </c>
      <c r="HZ64" s="75">
        <f t="shared" si="53"/>
        <v>-0.02</v>
      </c>
      <c r="IA64" s="75">
        <f t="shared" si="53"/>
        <v>-0.02</v>
      </c>
      <c r="IB64" s="75">
        <f t="shared" si="53"/>
        <v>-0.02</v>
      </c>
      <c r="IC64" s="75">
        <f t="shared" si="53"/>
        <v>-0.02</v>
      </c>
      <c r="ID64" s="75">
        <f t="shared" si="53"/>
        <v>-0.02</v>
      </c>
      <c r="IE64" s="75">
        <f t="shared" si="53"/>
        <v>-0.02</v>
      </c>
      <c r="IF64" s="75">
        <f t="shared" si="53"/>
        <v>-0.02</v>
      </c>
      <c r="IG64" s="75">
        <f t="shared" si="53"/>
        <v>-0.02</v>
      </c>
      <c r="IH64" s="75">
        <f t="shared" si="53"/>
        <v>-0.02</v>
      </c>
      <c r="II64" s="75">
        <f t="shared" si="53"/>
        <v>-0.02</v>
      </c>
      <c r="IJ64" s="75">
        <f t="shared" si="53"/>
        <v>-0.02</v>
      </c>
      <c r="IK64" s="75">
        <f t="shared" si="53"/>
        <v>-0.02</v>
      </c>
      <c r="IL64" s="75">
        <f t="shared" si="53"/>
        <v>-0.02</v>
      </c>
      <c r="IM64" s="75">
        <f t="shared" si="53"/>
        <v>-0.02</v>
      </c>
      <c r="IN64" s="75">
        <f t="shared" si="53"/>
        <v>-0.02</v>
      </c>
      <c r="IO64" s="75">
        <f t="shared" si="53"/>
        <v>-0.02</v>
      </c>
      <c r="IP64" s="75">
        <f t="shared" si="53"/>
        <v>-0.02</v>
      </c>
      <c r="IQ64" s="75">
        <f t="shared" si="53"/>
        <v>-0.02</v>
      </c>
      <c r="IR64" s="75">
        <f t="shared" si="53"/>
        <v>-0.02</v>
      </c>
      <c r="IS64" s="75">
        <f t="shared" si="53"/>
        <v>-0.02</v>
      </c>
      <c r="IT64" s="75">
        <f t="shared" si="53"/>
        <v>-0.02</v>
      </c>
      <c r="IU64" s="75">
        <f t="shared" si="53"/>
        <v>-0.02</v>
      </c>
      <c r="IV64" s="75">
        <f t="shared" si="53"/>
        <v>-0.02</v>
      </c>
      <c r="IW64" s="75">
        <f t="shared" si="53"/>
        <v>-0.02</v>
      </c>
      <c r="IX64" s="75">
        <f t="shared" si="53"/>
        <v>-0.02</v>
      </c>
      <c r="IY64" s="75">
        <f t="shared" si="53"/>
        <v>-0.02</v>
      </c>
      <c r="IZ64" s="75">
        <f t="shared" si="53"/>
        <v>-0.02</v>
      </c>
      <c r="JA64" s="75">
        <f t="shared" si="53"/>
        <v>-0.02</v>
      </c>
      <c r="JB64" s="75">
        <f t="shared" si="53"/>
        <v>-0.02</v>
      </c>
      <c r="JC64" s="75">
        <f t="shared" si="53"/>
        <v>-0.02</v>
      </c>
      <c r="JD64" s="75">
        <f t="shared" si="53"/>
        <v>-0.02</v>
      </c>
      <c r="JE64" s="75">
        <f t="shared" si="53"/>
        <v>-0.02</v>
      </c>
      <c r="JF64" s="75">
        <f t="shared" si="53"/>
        <v>-0.02</v>
      </c>
      <c r="JG64" s="75">
        <f t="shared" si="53"/>
        <v>-0.02</v>
      </c>
      <c r="JH64" s="75">
        <f t="shared" si="53"/>
        <v>-0.02</v>
      </c>
      <c r="JI64" s="75">
        <f t="shared" si="53"/>
        <v>-0.02</v>
      </c>
      <c r="JJ64" s="75">
        <f t="shared" si="53"/>
        <v>-0.02</v>
      </c>
      <c r="JK64" s="75">
        <f t="shared" si="53"/>
        <v>-0.02</v>
      </c>
      <c r="JL64" s="75">
        <f t="shared" si="53"/>
        <v>-0.02</v>
      </c>
      <c r="JM64" s="75">
        <f t="shared" si="53"/>
        <v>-0.02</v>
      </c>
      <c r="JN64" s="75">
        <f t="shared" si="53"/>
        <v>-0.02</v>
      </c>
      <c r="JO64" s="75">
        <f t="shared" si="53"/>
        <v>-0.02</v>
      </c>
      <c r="JP64" s="75">
        <f t="shared" si="53"/>
        <v>-0.02</v>
      </c>
      <c r="JQ64" s="75">
        <f t="shared" si="53"/>
        <v>-0.02</v>
      </c>
      <c r="JR64" s="75">
        <f t="shared" si="53"/>
        <v>-0.02</v>
      </c>
      <c r="JS64" s="75">
        <f t="shared" si="53"/>
        <v>-0.02</v>
      </c>
      <c r="JT64" s="75">
        <f t="shared" si="53"/>
        <v>-0.02</v>
      </c>
      <c r="JU64" s="75">
        <f t="shared" si="53"/>
        <v>-0.02</v>
      </c>
      <c r="JV64" s="75">
        <f t="shared" si="53"/>
        <v>-0.02</v>
      </c>
      <c r="JW64" s="75">
        <f t="shared" si="53"/>
        <v>-0.02</v>
      </c>
      <c r="JX64" s="75">
        <f t="shared" si="53"/>
        <v>-0.02</v>
      </c>
      <c r="JY64" s="75">
        <f t="shared" si="53"/>
        <v>-0.02</v>
      </c>
      <c r="JZ64" s="75">
        <f t="shared" si="53"/>
        <v>-0.02</v>
      </c>
      <c r="KA64" s="75">
        <f t="shared" si="53"/>
        <v>-0.02</v>
      </c>
      <c r="KB64" s="75">
        <f t="shared" si="53"/>
        <v>-0.02</v>
      </c>
      <c r="KC64" s="75">
        <f t="shared" si="53"/>
        <v>-0.02</v>
      </c>
      <c r="KD64" s="75">
        <f t="shared" si="53"/>
        <v>-0.02</v>
      </c>
      <c r="KE64" s="75">
        <f t="shared" si="53"/>
        <v>-0.02</v>
      </c>
      <c r="KF64" s="75">
        <f t="shared" si="53"/>
        <v>-0.02</v>
      </c>
      <c r="KG64" s="75">
        <f t="shared" si="53"/>
        <v>-0.02</v>
      </c>
      <c r="KH64" s="75">
        <f t="shared" si="53"/>
        <v>-0.02</v>
      </c>
      <c r="KI64" s="75">
        <f t="shared" si="53"/>
        <v>-0.02</v>
      </c>
      <c r="KJ64" s="75">
        <f t="shared" si="53"/>
        <v>-0.02</v>
      </c>
      <c r="KK64" s="75">
        <f t="shared" si="53"/>
        <v>-0.02</v>
      </c>
      <c r="KL64" s="75">
        <f t="shared" si="53"/>
        <v>-0.02</v>
      </c>
      <c r="KM64" s="75">
        <f t="shared" si="53"/>
        <v>-0.02</v>
      </c>
      <c r="KN64" s="75">
        <f t="shared" si="53"/>
        <v>-0.02</v>
      </c>
      <c r="KO64" s="75">
        <f t="shared" si="53"/>
        <v>-0.02</v>
      </c>
      <c r="KP64" s="75">
        <f t="shared" si="53"/>
        <v>-0.02</v>
      </c>
      <c r="KQ64" s="75">
        <f t="shared" si="53"/>
        <v>-0.02</v>
      </c>
      <c r="KR64" s="75">
        <f t="shared" si="53"/>
        <v>-0.02</v>
      </c>
      <c r="KS64" s="75">
        <f t="shared" si="53"/>
        <v>-0.02</v>
      </c>
      <c r="KT64" s="75">
        <f t="shared" si="53"/>
        <v>-0.02</v>
      </c>
      <c r="KU64" s="75">
        <f t="shared" si="53"/>
        <v>-0.02</v>
      </c>
      <c r="KV64" s="75">
        <f t="shared" si="53"/>
        <v>-0.02</v>
      </c>
      <c r="KW64" s="75">
        <f t="shared" si="53"/>
        <v>-0.02</v>
      </c>
      <c r="KX64" s="75">
        <f t="shared" si="53"/>
        <v>-0.02</v>
      </c>
      <c r="KY64" s="75">
        <f t="shared" si="53"/>
        <v>-0.02</v>
      </c>
      <c r="KZ64" s="75">
        <f t="shared" si="53"/>
        <v>-0.02</v>
      </c>
      <c r="LA64" s="75">
        <f t="shared" si="53"/>
        <v>-0.02</v>
      </c>
      <c r="LB64" s="75">
        <f t="shared" si="53"/>
        <v>-0.02</v>
      </c>
      <c r="LC64" s="75">
        <f t="shared" si="53"/>
        <v>-0.02</v>
      </c>
      <c r="LD64" s="75">
        <f t="shared" si="53"/>
        <v>-0.02</v>
      </c>
      <c r="LE64" s="75">
        <f t="shared" si="53"/>
        <v>-0.02</v>
      </c>
      <c r="LF64" s="75">
        <f t="shared" si="53"/>
        <v>-0.02</v>
      </c>
      <c r="LG64" s="75">
        <f t="shared" si="53"/>
        <v>-0.02</v>
      </c>
      <c r="LH64" s="75">
        <f t="shared" si="53"/>
        <v>-0.02</v>
      </c>
      <c r="LI64" s="75">
        <f t="shared" si="53"/>
        <v>-0.02</v>
      </c>
      <c r="LJ64" s="75">
        <f t="shared" si="53"/>
        <v>-0.02</v>
      </c>
      <c r="LK64" s="75">
        <f t="shared" si="53"/>
        <v>-0.02</v>
      </c>
      <c r="LL64" s="75">
        <f t="shared" si="53"/>
        <v>-0.02</v>
      </c>
      <c r="LM64" s="75">
        <f t="shared" si="53"/>
        <v>-0.02</v>
      </c>
      <c r="LN64" s="75">
        <f t="shared" si="53"/>
        <v>-0.02</v>
      </c>
      <c r="LO64" s="75">
        <f t="shared" si="53"/>
        <v>-0.02</v>
      </c>
      <c r="LP64" s="75">
        <f t="shared" si="53"/>
        <v>-0.02</v>
      </c>
      <c r="LQ64" s="75">
        <f t="shared" si="53"/>
        <v>-0.02</v>
      </c>
      <c r="LR64" s="75">
        <f t="shared" si="53"/>
        <v>-0.02</v>
      </c>
      <c r="LS64" s="75">
        <f t="shared" si="53"/>
        <v>-0.02</v>
      </c>
      <c r="LT64" s="75">
        <f t="shared" si="53"/>
        <v>-0.02</v>
      </c>
      <c r="LU64" s="75">
        <f t="shared" si="53"/>
        <v>-0.02</v>
      </c>
      <c r="LV64" s="75">
        <f t="shared" si="53"/>
        <v>-0.02</v>
      </c>
      <c r="LW64" s="75">
        <f t="shared" si="53"/>
        <v>-0.02</v>
      </c>
      <c r="LX64" s="75">
        <f t="shared" si="53"/>
        <v>-0.02</v>
      </c>
      <c r="LY64" s="75">
        <f t="shared" si="53"/>
        <v>-0.02</v>
      </c>
      <c r="LZ64" s="75">
        <f t="shared" si="53"/>
        <v>-0.02</v>
      </c>
      <c r="MA64" s="75">
        <f t="shared" si="53"/>
        <v>-0.02</v>
      </c>
      <c r="MB64" s="75">
        <f t="shared" si="53"/>
        <v>-0.02</v>
      </c>
      <c r="MC64" s="75">
        <f t="shared" si="53"/>
        <v>-0.02</v>
      </c>
      <c r="MD64" s="75">
        <f t="shared" si="53"/>
        <v>-0.02</v>
      </c>
      <c r="ME64" s="75">
        <f t="shared" si="53"/>
        <v>-0.02</v>
      </c>
      <c r="MF64" s="75">
        <f t="shared" si="53"/>
        <v>-0.02</v>
      </c>
      <c r="MG64" s="75">
        <f t="shared" si="53"/>
        <v>-0.02</v>
      </c>
      <c r="MH64" s="75">
        <f t="shared" si="53"/>
        <v>-0.02</v>
      </c>
      <c r="MI64" s="75">
        <f t="shared" si="53"/>
        <v>-0.02</v>
      </c>
      <c r="MJ64" s="75">
        <f t="shared" si="53"/>
        <v>-0.02</v>
      </c>
      <c r="MK64" s="75">
        <f t="shared" si="53"/>
        <v>-0.02</v>
      </c>
      <c r="ML64" s="75">
        <f t="shared" si="53"/>
        <v>-0.02</v>
      </c>
      <c r="MM64" s="75">
        <f t="shared" si="53"/>
        <v>-0.02</v>
      </c>
      <c r="MN64" s="75">
        <f t="shared" si="53"/>
        <v>-0.02</v>
      </c>
      <c r="MO64" s="75">
        <f t="shared" si="53"/>
        <v>-0.02</v>
      </c>
      <c r="MP64" s="75">
        <f t="shared" si="53"/>
        <v>-0.02</v>
      </c>
      <c r="MQ64" s="75">
        <f t="shared" si="53"/>
        <v>-0.02</v>
      </c>
      <c r="MR64" s="75">
        <f t="shared" si="53"/>
        <v>-0.02</v>
      </c>
      <c r="MS64" s="75">
        <f t="shared" si="53"/>
        <v>-0.02</v>
      </c>
      <c r="MT64" s="75">
        <f t="shared" si="53"/>
        <v>-0.02</v>
      </c>
      <c r="MU64" s="75">
        <f t="shared" si="53"/>
        <v>-0.02</v>
      </c>
      <c r="MV64" s="75">
        <f t="shared" si="53"/>
        <v>-0.02</v>
      </c>
      <c r="MW64" s="75">
        <f t="shared" si="53"/>
        <v>-0.02</v>
      </c>
      <c r="MX64" s="75">
        <f t="shared" si="53"/>
        <v>-0.02</v>
      </c>
      <c r="MY64" s="75">
        <f t="shared" si="53"/>
        <v>-0.02</v>
      </c>
      <c r="MZ64" s="75">
        <f t="shared" si="53"/>
        <v>-0.02</v>
      </c>
      <c r="NA64" s="75">
        <f t="shared" si="53"/>
        <v>-0.02</v>
      </c>
      <c r="NB64" s="75">
        <f t="shared" si="53"/>
        <v>-0.02</v>
      </c>
      <c r="NC64" s="75">
        <f t="shared" si="53"/>
        <v>-0.02</v>
      </c>
      <c r="ND64" s="75">
        <f t="shared" si="53"/>
        <v>-0.02</v>
      </c>
      <c r="NE64" s="75">
        <f t="shared" si="53"/>
        <v>-0.02</v>
      </c>
      <c r="NF64" s="75">
        <f t="shared" si="53"/>
        <v>-0.02</v>
      </c>
      <c r="NG64" s="75">
        <f t="shared" si="53"/>
        <v>-0.02</v>
      </c>
      <c r="NH64" s="75">
        <f t="shared" si="53"/>
        <v>-0.02</v>
      </c>
      <c r="NI64" s="75">
        <f t="shared" si="53"/>
        <v>-0.02</v>
      </c>
      <c r="NJ64" s="75">
        <f t="shared" si="53"/>
        <v>-0.02</v>
      </c>
      <c r="NK64" s="75">
        <f t="shared" si="53"/>
        <v>-0.02</v>
      </c>
      <c r="NL64" s="75">
        <f t="shared" si="53"/>
        <v>-0.02</v>
      </c>
      <c r="NM64" s="75">
        <f t="shared" si="53"/>
        <v>-0.02</v>
      </c>
      <c r="NN64" s="75">
        <f t="shared" si="53"/>
        <v>-0.02</v>
      </c>
      <c r="NO64" s="75">
        <f t="shared" si="53"/>
        <v>-0.02</v>
      </c>
      <c r="NP64" s="75">
        <f t="shared" si="53"/>
        <v>-0.02</v>
      </c>
      <c r="NQ64" s="75">
        <f t="shared" si="53"/>
        <v>-0.02</v>
      </c>
      <c r="NR64" s="75">
        <f t="shared" si="53"/>
        <v>-0.02</v>
      </c>
      <c r="NS64" s="75">
        <f t="shared" si="53"/>
        <v>-0.02</v>
      </c>
      <c r="NT64" s="75">
        <f t="shared" si="53"/>
        <v>-0.02</v>
      </c>
      <c r="NU64" s="75">
        <f t="shared" si="53"/>
        <v>-0.02</v>
      </c>
      <c r="NV64" s="75">
        <f t="shared" si="53"/>
        <v>-0.02</v>
      </c>
      <c r="NW64" s="75">
        <f t="shared" si="53"/>
        <v>-0.02</v>
      </c>
      <c r="NX64" s="75">
        <f t="shared" si="53"/>
        <v>-0.02</v>
      </c>
      <c r="NY64" s="75">
        <f t="shared" si="53"/>
        <v>-0.02</v>
      </c>
      <c r="NZ64" s="75">
        <f t="shared" si="53"/>
        <v>-0.02</v>
      </c>
      <c r="OA64" s="75">
        <f t="shared" si="53"/>
        <v>-0.02</v>
      </c>
      <c r="OB64" s="75">
        <f t="shared" si="53"/>
        <v>-0.02</v>
      </c>
      <c r="OC64" s="75">
        <f t="shared" si="53"/>
        <v>-0.02</v>
      </c>
      <c r="OD64" s="75">
        <f t="shared" si="53"/>
        <v>-0.02</v>
      </c>
      <c r="OE64" s="75">
        <f t="shared" si="53"/>
        <v>-0.02</v>
      </c>
      <c r="OF64" s="75">
        <f t="shared" si="53"/>
        <v>-0.02</v>
      </c>
      <c r="OG64" s="75">
        <f t="shared" si="53"/>
        <v>-0.02</v>
      </c>
      <c r="OH64" s="75">
        <f t="shared" si="53"/>
        <v>-0.02</v>
      </c>
      <c r="OI64" s="75">
        <f t="shared" si="53"/>
        <v>-0.02</v>
      </c>
      <c r="OJ64" s="75">
        <f t="shared" si="53"/>
        <v>-0.02</v>
      </c>
      <c r="OK64" s="75">
        <f t="shared" si="53"/>
        <v>-0.02</v>
      </c>
      <c r="OL64" s="75">
        <f t="shared" si="53"/>
        <v>-0.02</v>
      </c>
      <c r="OM64" s="75">
        <f t="shared" si="53"/>
        <v>-0.02</v>
      </c>
      <c r="ON64" s="75">
        <f t="shared" si="53"/>
        <v>-0.02</v>
      </c>
      <c r="OO64" s="75">
        <f t="shared" si="53"/>
        <v>-0.02</v>
      </c>
      <c r="OP64" s="75">
        <f t="shared" si="53"/>
        <v>-0.02</v>
      </c>
      <c r="OQ64" s="75">
        <f t="shared" si="53"/>
        <v>-0.02</v>
      </c>
      <c r="OR64" s="75">
        <f t="shared" si="53"/>
        <v>-0.02</v>
      </c>
      <c r="OS64" s="75">
        <f t="shared" si="53"/>
        <v>-0.02</v>
      </c>
      <c r="OT64" s="75">
        <f t="shared" si="53"/>
        <v>-0.02</v>
      </c>
      <c r="OU64" s="75">
        <f t="shared" si="53"/>
        <v>-0.02</v>
      </c>
      <c r="OV64" s="75">
        <f t="shared" si="53"/>
        <v>-0.02</v>
      </c>
      <c r="OW64" s="75">
        <f t="shared" si="53"/>
        <v>-0.02</v>
      </c>
      <c r="OX64" s="75">
        <f t="shared" si="53"/>
        <v>-0.02</v>
      </c>
      <c r="OY64" s="75">
        <f t="shared" si="53"/>
        <v>-0.02</v>
      </c>
      <c r="OZ64" s="75">
        <f t="shared" si="53"/>
        <v>-0.02</v>
      </c>
      <c r="PA64" s="75">
        <f t="shared" si="53"/>
        <v>-0.02</v>
      </c>
      <c r="PB64" s="75">
        <f t="shared" si="53"/>
        <v>-0.02</v>
      </c>
      <c r="PC64" s="75">
        <f t="shared" si="53"/>
        <v>-0.02</v>
      </c>
      <c r="PD64" s="75">
        <f t="shared" si="53"/>
        <v>-0.02</v>
      </c>
      <c r="PE64" s="75">
        <f t="shared" si="53"/>
        <v>-0.02</v>
      </c>
      <c r="PF64" s="75">
        <f t="shared" si="53"/>
        <v>-0.02</v>
      </c>
      <c r="PG64" s="75">
        <f t="shared" si="53"/>
        <v>-0.02</v>
      </c>
      <c r="PH64" s="75">
        <f t="shared" si="53"/>
        <v>-0.02</v>
      </c>
      <c r="PI64" s="75">
        <f t="shared" si="53"/>
        <v>-0.02</v>
      </c>
      <c r="PJ64" s="75">
        <f t="shared" si="53"/>
        <v>-0.02</v>
      </c>
      <c r="PK64" s="75">
        <f t="shared" si="53"/>
        <v>-0.02</v>
      </c>
      <c r="PL64" s="75">
        <f t="shared" si="53"/>
        <v>-0.02</v>
      </c>
      <c r="PM64" s="75">
        <f t="shared" si="53"/>
        <v>-0.02</v>
      </c>
      <c r="PN64" s="75">
        <f t="shared" si="53"/>
        <v>-0.02</v>
      </c>
      <c r="PO64" s="75">
        <f t="shared" si="53"/>
        <v>-0.02</v>
      </c>
      <c r="PP64" s="75">
        <f t="shared" si="53"/>
        <v>-0.02</v>
      </c>
      <c r="PQ64" s="75">
        <f t="shared" si="53"/>
        <v>-0.02</v>
      </c>
      <c r="PR64" s="75">
        <f t="shared" si="53"/>
        <v>-0.02</v>
      </c>
      <c r="PS64" s="75">
        <f t="shared" si="53"/>
        <v>-0.02</v>
      </c>
      <c r="PT64" s="75">
        <f t="shared" si="53"/>
        <v>-0.02</v>
      </c>
      <c r="PU64" s="75">
        <f t="shared" si="53"/>
        <v>-0.02</v>
      </c>
      <c r="PV64" s="75">
        <f t="shared" si="53"/>
        <v>-0.02</v>
      </c>
      <c r="PW64" s="75">
        <f t="shared" si="53"/>
        <v>-0.02</v>
      </c>
      <c r="PX64" s="75">
        <f t="shared" si="53"/>
        <v>-0.02</v>
      </c>
      <c r="PY64" s="75">
        <f t="shared" si="53"/>
        <v>-0.02</v>
      </c>
      <c r="PZ64" s="75">
        <f t="shared" si="53"/>
        <v>-0.02</v>
      </c>
      <c r="QA64" s="75">
        <f t="shared" si="53"/>
        <v>-0.02</v>
      </c>
      <c r="QB64" s="75">
        <f t="shared" si="53"/>
        <v>-0.02</v>
      </c>
      <c r="QC64" s="75">
        <f t="shared" si="53"/>
        <v>-0.02</v>
      </c>
      <c r="QD64" s="75">
        <f t="shared" si="53"/>
        <v>-0.02</v>
      </c>
      <c r="QE64" s="75">
        <f t="shared" si="53"/>
        <v>-0.02</v>
      </c>
      <c r="QF64" s="75">
        <f t="shared" si="53"/>
        <v>-0.02</v>
      </c>
      <c r="QG64" s="75">
        <f t="shared" si="53"/>
        <v>-0.02</v>
      </c>
      <c r="QH64" s="75">
        <f t="shared" si="53"/>
        <v>-0.02</v>
      </c>
      <c r="QI64" s="75">
        <f t="shared" si="53"/>
        <v>-0.02</v>
      </c>
      <c r="QJ64" s="75">
        <f t="shared" si="53"/>
        <v>-0.02</v>
      </c>
      <c r="QK64" s="75">
        <f t="shared" si="53"/>
        <v>-0.02</v>
      </c>
      <c r="QL64" s="75">
        <f t="shared" si="53"/>
        <v>-0.02</v>
      </c>
      <c r="QM64" s="75">
        <f t="shared" si="53"/>
        <v>-0.02</v>
      </c>
      <c r="QN64" s="75">
        <f t="shared" si="53"/>
        <v>-0.02</v>
      </c>
      <c r="QO64" s="75">
        <f t="shared" si="53"/>
        <v>-0.02</v>
      </c>
      <c r="QP64" s="75">
        <f t="shared" si="53"/>
        <v>-0.02</v>
      </c>
      <c r="QQ64" s="75">
        <f t="shared" si="53"/>
        <v>-0.02</v>
      </c>
      <c r="QR64" s="75">
        <f t="shared" si="53"/>
        <v>-0.02</v>
      </c>
      <c r="QS64" s="75">
        <f t="shared" si="53"/>
        <v>-0.02</v>
      </c>
      <c r="QT64" s="75">
        <f t="shared" si="53"/>
        <v>-0.02</v>
      </c>
      <c r="QU64" s="75">
        <f t="shared" si="53"/>
        <v>-0.02</v>
      </c>
      <c r="QV64" s="75">
        <f t="shared" si="53"/>
        <v>-0.02</v>
      </c>
      <c r="QW64" s="75">
        <f t="shared" si="53"/>
        <v>-0.02</v>
      </c>
      <c r="QX64" s="75">
        <f t="shared" si="53"/>
        <v>-0.02</v>
      </c>
      <c r="QY64" s="75">
        <f t="shared" si="53"/>
        <v>-0.02</v>
      </c>
      <c r="QZ64" s="75">
        <f t="shared" si="53"/>
        <v>-0.02</v>
      </c>
      <c r="RA64" s="75">
        <f t="shared" si="53"/>
        <v>-0.02</v>
      </c>
      <c r="RB64" s="75">
        <f t="shared" si="53"/>
        <v>-0.02</v>
      </c>
      <c r="RC64" s="75">
        <f t="shared" si="53"/>
        <v>-0.02</v>
      </c>
      <c r="RD64" s="75">
        <f t="shared" si="53"/>
        <v>-0.02</v>
      </c>
      <c r="RE64" s="75">
        <f t="shared" si="53"/>
        <v>-0.02</v>
      </c>
      <c r="RF64" s="75">
        <f t="shared" si="53"/>
        <v>-0.02</v>
      </c>
      <c r="RG64" s="75">
        <f t="shared" si="53"/>
        <v>-0.02</v>
      </c>
      <c r="RH64" s="75">
        <f t="shared" si="53"/>
        <v>-0.02</v>
      </c>
      <c r="RI64" s="75">
        <f t="shared" si="53"/>
        <v>-0.02</v>
      </c>
      <c r="RJ64" s="75">
        <f t="shared" si="53"/>
        <v>-0.02</v>
      </c>
      <c r="RK64" s="75">
        <f t="shared" si="53"/>
        <v>-0.02</v>
      </c>
      <c r="RL64" s="75">
        <f t="shared" si="53"/>
        <v>-0.02</v>
      </c>
      <c r="RM64" s="75">
        <f t="shared" si="53"/>
        <v>-0.02</v>
      </c>
      <c r="RN64" s="75">
        <f t="shared" si="53"/>
        <v>-0.02</v>
      </c>
      <c r="RO64" s="75">
        <f t="shared" si="53"/>
        <v>-0.02</v>
      </c>
      <c r="RP64" s="75">
        <f t="shared" si="53"/>
        <v>-0.02</v>
      </c>
      <c r="RQ64" s="75">
        <f t="shared" si="53"/>
        <v>-0.02</v>
      </c>
      <c r="RR64" s="75">
        <f t="shared" si="53"/>
        <v>-0.02</v>
      </c>
      <c r="RS64" s="75">
        <f t="shared" si="53"/>
        <v>-0.02</v>
      </c>
      <c r="RT64" s="75">
        <f t="shared" si="53"/>
        <v>-0.02</v>
      </c>
      <c r="RU64" s="75">
        <f t="shared" si="53"/>
        <v>-0.02</v>
      </c>
      <c r="RV64" s="75">
        <f t="shared" si="53"/>
        <v>-0.02</v>
      </c>
      <c r="RW64" s="75">
        <f t="shared" si="53"/>
        <v>-0.02</v>
      </c>
      <c r="RX64" s="75">
        <f t="shared" si="53"/>
        <v>-0.02</v>
      </c>
      <c r="RY64" s="75">
        <f t="shared" si="53"/>
        <v>-0.02</v>
      </c>
      <c r="RZ64" s="75">
        <f t="shared" si="53"/>
        <v>-0.02</v>
      </c>
      <c r="SA64" s="75">
        <f t="shared" si="53"/>
        <v>-0.02</v>
      </c>
      <c r="SB64" s="75">
        <f t="shared" si="53"/>
        <v>-0.02</v>
      </c>
      <c r="SC64" s="75">
        <f t="shared" si="53"/>
        <v>-0.02</v>
      </c>
      <c r="SD64" s="75">
        <f t="shared" si="53"/>
        <v>-0.02</v>
      </c>
      <c r="SE64" s="75">
        <f t="shared" si="53"/>
        <v>-0.02</v>
      </c>
      <c r="SF64" s="75">
        <f t="shared" si="53"/>
        <v>-0.02</v>
      </c>
      <c r="SG64" s="75">
        <f t="shared" si="53"/>
        <v>-0.02</v>
      </c>
      <c r="SH64" s="75">
        <f t="shared" si="53"/>
        <v>-0.02</v>
      </c>
      <c r="SI64" s="75">
        <f t="shared" si="53"/>
        <v>-0.02</v>
      </c>
      <c r="SJ64" s="75">
        <f t="shared" si="53"/>
        <v>-0.02</v>
      </c>
      <c r="SK64" s="75">
        <f t="shared" si="53"/>
        <v>-0.02</v>
      </c>
      <c r="SL64" s="75">
        <f t="shared" si="53"/>
        <v>-0.02</v>
      </c>
    </row>
    <row r="65">
      <c r="A65" s="53" t="s">
        <v>141</v>
      </c>
      <c r="B65" s="81">
        <f>1+SUM(B59:B64)</f>
        <v>1.08</v>
      </c>
      <c r="C65" s="286"/>
      <c r="D65" s="271"/>
      <c r="E65" s="272"/>
      <c r="F65" s="81"/>
      <c r="G65" s="81">
        <f t="shared" ref="G65:SL65" si="54">1+SUM(G59:G64)</f>
        <v>1.08</v>
      </c>
      <c r="H65" s="81">
        <f t="shared" si="54"/>
        <v>1.08</v>
      </c>
      <c r="I65" s="81">
        <f t="shared" si="54"/>
        <v>1.08</v>
      </c>
      <c r="J65" s="81">
        <f t="shared" si="54"/>
        <v>1.08</v>
      </c>
      <c r="K65" s="81">
        <f t="shared" si="54"/>
        <v>1.08</v>
      </c>
      <c r="L65" s="81">
        <f t="shared" si="54"/>
        <v>1.08</v>
      </c>
      <c r="M65" s="81">
        <f t="shared" si="54"/>
        <v>1.08</v>
      </c>
      <c r="N65" s="81">
        <f t="shared" si="54"/>
        <v>1.08</v>
      </c>
      <c r="O65" s="81">
        <f t="shared" si="54"/>
        <v>1.08</v>
      </c>
      <c r="P65" s="81">
        <f t="shared" si="54"/>
        <v>1.08</v>
      </c>
      <c r="Q65" s="81">
        <f t="shared" si="54"/>
        <v>1.08</v>
      </c>
      <c r="R65" s="81">
        <f t="shared" si="54"/>
        <v>1.08</v>
      </c>
      <c r="S65" s="81">
        <f t="shared" si="54"/>
        <v>1.08</v>
      </c>
      <c r="T65" s="81">
        <f t="shared" si="54"/>
        <v>1.08</v>
      </c>
      <c r="U65" s="81">
        <f t="shared" si="54"/>
        <v>1.08</v>
      </c>
      <c r="V65" s="81">
        <f t="shared" si="54"/>
        <v>1.08</v>
      </c>
      <c r="W65" s="81">
        <f t="shared" si="54"/>
        <v>1.08</v>
      </c>
      <c r="X65" s="81">
        <f t="shared" si="54"/>
        <v>1.08</v>
      </c>
      <c r="Y65" s="81">
        <f t="shared" si="54"/>
        <v>1.08</v>
      </c>
      <c r="Z65" s="81">
        <f t="shared" si="54"/>
        <v>1.08</v>
      </c>
      <c r="AA65" s="81">
        <f t="shared" si="54"/>
        <v>1.08</v>
      </c>
      <c r="AB65" s="81">
        <f t="shared" si="54"/>
        <v>1.08</v>
      </c>
      <c r="AC65" s="81">
        <f t="shared" si="54"/>
        <v>1.08</v>
      </c>
      <c r="AD65" s="81">
        <f t="shared" si="54"/>
        <v>1.08</v>
      </c>
      <c r="AE65" s="81">
        <f t="shared" si="54"/>
        <v>1.08</v>
      </c>
      <c r="AF65" s="81">
        <f t="shared" si="54"/>
        <v>1.08</v>
      </c>
      <c r="AG65" s="81">
        <f t="shared" si="54"/>
        <v>1.08</v>
      </c>
      <c r="AH65" s="81">
        <f t="shared" si="54"/>
        <v>1.08</v>
      </c>
      <c r="AI65" s="81">
        <f t="shared" si="54"/>
        <v>1.08</v>
      </c>
      <c r="AJ65" s="81">
        <f t="shared" si="54"/>
        <v>1.08</v>
      </c>
      <c r="AK65" s="81">
        <f t="shared" si="54"/>
        <v>1.08</v>
      </c>
      <c r="AL65" s="81">
        <f t="shared" si="54"/>
        <v>1.08</v>
      </c>
      <c r="AM65" s="81">
        <f t="shared" si="54"/>
        <v>1.08</v>
      </c>
      <c r="AN65" s="81">
        <f t="shared" si="54"/>
        <v>1.08</v>
      </c>
      <c r="AO65" s="81">
        <f t="shared" si="54"/>
        <v>1.08</v>
      </c>
      <c r="AP65" s="81">
        <f t="shared" si="54"/>
        <v>1.08</v>
      </c>
      <c r="AQ65" s="81">
        <f t="shared" si="54"/>
        <v>1.08</v>
      </c>
      <c r="AR65" s="81">
        <f t="shared" si="54"/>
        <v>1.08</v>
      </c>
      <c r="AS65" s="81">
        <f t="shared" si="54"/>
        <v>1.08</v>
      </c>
      <c r="AT65" s="81">
        <f t="shared" si="54"/>
        <v>1.08</v>
      </c>
      <c r="AU65" s="81">
        <f t="shared" si="54"/>
        <v>1.08</v>
      </c>
      <c r="AV65" s="81">
        <f t="shared" si="54"/>
        <v>1.08</v>
      </c>
      <c r="AW65" s="81">
        <f t="shared" si="54"/>
        <v>1.08</v>
      </c>
      <c r="AX65" s="81">
        <f t="shared" si="54"/>
        <v>1.08</v>
      </c>
      <c r="AY65" s="81">
        <f t="shared" si="54"/>
        <v>1.08</v>
      </c>
      <c r="AZ65" s="81">
        <f t="shared" si="54"/>
        <v>1.08</v>
      </c>
      <c r="BA65" s="81">
        <f t="shared" si="54"/>
        <v>1.08</v>
      </c>
      <c r="BB65" s="81">
        <f t="shared" si="54"/>
        <v>1.08</v>
      </c>
      <c r="BC65" s="81">
        <f t="shared" si="54"/>
        <v>1.08</v>
      </c>
      <c r="BD65" s="81">
        <f t="shared" si="54"/>
        <v>1.08</v>
      </c>
      <c r="BE65" s="81">
        <f t="shared" si="54"/>
        <v>1.08</v>
      </c>
      <c r="BF65" s="81">
        <f t="shared" si="54"/>
        <v>1.08</v>
      </c>
      <c r="BG65" s="81">
        <f t="shared" si="54"/>
        <v>1.08</v>
      </c>
      <c r="BH65" s="81">
        <f t="shared" si="54"/>
        <v>1.08</v>
      </c>
      <c r="BI65" s="81">
        <f t="shared" si="54"/>
        <v>1.08</v>
      </c>
      <c r="BJ65" s="81">
        <f t="shared" si="54"/>
        <v>1.08</v>
      </c>
      <c r="BK65" s="81">
        <f t="shared" si="54"/>
        <v>1.08</v>
      </c>
      <c r="BL65" s="81">
        <f t="shared" si="54"/>
        <v>1.08</v>
      </c>
      <c r="BM65" s="81">
        <f t="shared" si="54"/>
        <v>1.08</v>
      </c>
      <c r="BN65" s="81">
        <f t="shared" si="54"/>
        <v>1.08</v>
      </c>
      <c r="BO65" s="81">
        <f t="shared" si="54"/>
        <v>1.08</v>
      </c>
      <c r="BP65" s="81">
        <f t="shared" si="54"/>
        <v>1.08</v>
      </c>
      <c r="BQ65" s="81">
        <f t="shared" si="54"/>
        <v>1.08</v>
      </c>
      <c r="BR65" s="81">
        <f t="shared" si="54"/>
        <v>1.08</v>
      </c>
      <c r="BS65" s="81">
        <f t="shared" si="54"/>
        <v>1.08</v>
      </c>
      <c r="BT65" s="81">
        <f t="shared" si="54"/>
        <v>1.08</v>
      </c>
      <c r="BU65" s="81">
        <f t="shared" si="54"/>
        <v>1.08</v>
      </c>
      <c r="BV65" s="81">
        <f t="shared" si="54"/>
        <v>1.08</v>
      </c>
      <c r="BW65" s="81">
        <f t="shared" si="54"/>
        <v>1.08</v>
      </c>
      <c r="BX65" s="81">
        <f t="shared" si="54"/>
        <v>1.08</v>
      </c>
      <c r="BY65" s="81">
        <f t="shared" si="54"/>
        <v>1.08</v>
      </c>
      <c r="BZ65" s="81">
        <f t="shared" si="54"/>
        <v>1.08</v>
      </c>
      <c r="CA65" s="81">
        <f t="shared" si="54"/>
        <v>1.08</v>
      </c>
      <c r="CB65" s="81">
        <f t="shared" si="54"/>
        <v>1.08</v>
      </c>
      <c r="CC65" s="81">
        <f t="shared" si="54"/>
        <v>1.08</v>
      </c>
      <c r="CD65" s="81">
        <f t="shared" si="54"/>
        <v>1.08</v>
      </c>
      <c r="CE65" s="81">
        <f t="shared" si="54"/>
        <v>1.08</v>
      </c>
      <c r="CF65" s="81">
        <f t="shared" si="54"/>
        <v>1.08</v>
      </c>
      <c r="CG65" s="81">
        <f t="shared" si="54"/>
        <v>1.08</v>
      </c>
      <c r="CH65" s="81">
        <f t="shared" si="54"/>
        <v>1.08</v>
      </c>
      <c r="CI65" s="81">
        <f t="shared" si="54"/>
        <v>1.08</v>
      </c>
      <c r="CJ65" s="81">
        <f t="shared" si="54"/>
        <v>1.08</v>
      </c>
      <c r="CK65" s="81">
        <f t="shared" si="54"/>
        <v>1.08</v>
      </c>
      <c r="CL65" s="81">
        <f t="shared" si="54"/>
        <v>1.08</v>
      </c>
      <c r="CM65" s="81">
        <f t="shared" si="54"/>
        <v>1.08</v>
      </c>
      <c r="CN65" s="81">
        <f t="shared" si="54"/>
        <v>1.08</v>
      </c>
      <c r="CO65" s="81">
        <f t="shared" si="54"/>
        <v>1.08</v>
      </c>
      <c r="CP65" s="81">
        <f t="shared" si="54"/>
        <v>1.08</v>
      </c>
      <c r="CQ65" s="81">
        <f t="shared" si="54"/>
        <v>1.08</v>
      </c>
      <c r="CR65" s="81">
        <f t="shared" si="54"/>
        <v>1.08</v>
      </c>
      <c r="CS65" s="81">
        <f t="shared" si="54"/>
        <v>1.08</v>
      </c>
      <c r="CT65" s="81">
        <f t="shared" si="54"/>
        <v>1.08</v>
      </c>
      <c r="CU65" s="81">
        <f t="shared" si="54"/>
        <v>1.08</v>
      </c>
      <c r="CV65" s="81">
        <f t="shared" si="54"/>
        <v>1.08</v>
      </c>
      <c r="CW65" s="81">
        <f t="shared" si="54"/>
        <v>1.08</v>
      </c>
      <c r="CX65" s="81">
        <f t="shared" si="54"/>
        <v>1.08</v>
      </c>
      <c r="CY65" s="81">
        <f t="shared" si="54"/>
        <v>1.08</v>
      </c>
      <c r="CZ65" s="81">
        <f t="shared" si="54"/>
        <v>1.08</v>
      </c>
      <c r="DA65" s="81">
        <f t="shared" si="54"/>
        <v>1.08</v>
      </c>
      <c r="DB65" s="81">
        <f t="shared" si="54"/>
        <v>1.08</v>
      </c>
      <c r="DC65" s="81">
        <f t="shared" si="54"/>
        <v>1.08</v>
      </c>
      <c r="DD65" s="81">
        <f t="shared" si="54"/>
        <v>1.08</v>
      </c>
      <c r="DE65" s="81">
        <f t="shared" si="54"/>
        <v>1.08</v>
      </c>
      <c r="DF65" s="81">
        <f t="shared" si="54"/>
        <v>1.08</v>
      </c>
      <c r="DG65" s="81">
        <f t="shared" si="54"/>
        <v>1.08</v>
      </c>
      <c r="DH65" s="81">
        <f t="shared" si="54"/>
        <v>1.08</v>
      </c>
      <c r="DI65" s="81">
        <f t="shared" si="54"/>
        <v>1.08</v>
      </c>
      <c r="DJ65" s="81">
        <f t="shared" si="54"/>
        <v>1.08</v>
      </c>
      <c r="DK65" s="81">
        <f t="shared" si="54"/>
        <v>1.08</v>
      </c>
      <c r="DL65" s="81">
        <f t="shared" si="54"/>
        <v>1.08</v>
      </c>
      <c r="DM65" s="81">
        <f t="shared" si="54"/>
        <v>1.08</v>
      </c>
      <c r="DN65" s="81">
        <f t="shared" si="54"/>
        <v>1.08</v>
      </c>
      <c r="DO65" s="81">
        <f t="shared" si="54"/>
        <v>1.08</v>
      </c>
      <c r="DP65" s="81">
        <f t="shared" si="54"/>
        <v>1.08</v>
      </c>
      <c r="DQ65" s="81">
        <f t="shared" si="54"/>
        <v>1.08</v>
      </c>
      <c r="DR65" s="81">
        <f t="shared" si="54"/>
        <v>1.08</v>
      </c>
      <c r="DS65" s="81">
        <f t="shared" si="54"/>
        <v>1.08</v>
      </c>
      <c r="DT65" s="81">
        <f t="shared" si="54"/>
        <v>1.08</v>
      </c>
      <c r="DU65" s="81">
        <f t="shared" si="54"/>
        <v>1.08</v>
      </c>
      <c r="DV65" s="81">
        <f t="shared" si="54"/>
        <v>1.08</v>
      </c>
      <c r="DW65" s="81">
        <f t="shared" si="54"/>
        <v>1.08</v>
      </c>
      <c r="DX65" s="81">
        <f t="shared" si="54"/>
        <v>1.08</v>
      </c>
      <c r="DY65" s="81">
        <f t="shared" si="54"/>
        <v>1.08</v>
      </c>
      <c r="DZ65" s="81">
        <f t="shared" si="54"/>
        <v>1.08</v>
      </c>
      <c r="EA65" s="81">
        <f t="shared" si="54"/>
        <v>1.08</v>
      </c>
      <c r="EB65" s="81">
        <f t="shared" si="54"/>
        <v>1.08</v>
      </c>
      <c r="EC65" s="81">
        <f t="shared" si="54"/>
        <v>1.08</v>
      </c>
      <c r="ED65" s="81">
        <f t="shared" si="54"/>
        <v>1.08</v>
      </c>
      <c r="EE65" s="81">
        <f t="shared" si="54"/>
        <v>1.08</v>
      </c>
      <c r="EF65" s="81">
        <f t="shared" si="54"/>
        <v>1.08</v>
      </c>
      <c r="EG65" s="81">
        <f t="shared" si="54"/>
        <v>1.08</v>
      </c>
      <c r="EH65" s="81">
        <f t="shared" si="54"/>
        <v>1.08</v>
      </c>
      <c r="EI65" s="81">
        <f t="shared" si="54"/>
        <v>1.08</v>
      </c>
      <c r="EJ65" s="81">
        <f t="shared" si="54"/>
        <v>1.08</v>
      </c>
      <c r="EK65" s="81">
        <f t="shared" si="54"/>
        <v>1.08</v>
      </c>
      <c r="EL65" s="81">
        <f t="shared" si="54"/>
        <v>1.08</v>
      </c>
      <c r="EM65" s="81">
        <f t="shared" si="54"/>
        <v>1.08</v>
      </c>
      <c r="EN65" s="81">
        <f t="shared" si="54"/>
        <v>1.08</v>
      </c>
      <c r="EO65" s="81">
        <f t="shared" si="54"/>
        <v>1.08</v>
      </c>
      <c r="EP65" s="81">
        <f t="shared" si="54"/>
        <v>1.08</v>
      </c>
      <c r="EQ65" s="81">
        <f t="shared" si="54"/>
        <v>1.08</v>
      </c>
      <c r="ER65" s="81">
        <f t="shared" si="54"/>
        <v>1.08</v>
      </c>
      <c r="ES65" s="81">
        <f t="shared" si="54"/>
        <v>1.08</v>
      </c>
      <c r="ET65" s="81">
        <f t="shared" si="54"/>
        <v>1.08</v>
      </c>
      <c r="EU65" s="81">
        <f t="shared" si="54"/>
        <v>1.08</v>
      </c>
      <c r="EV65" s="81">
        <f t="shared" si="54"/>
        <v>1.08</v>
      </c>
      <c r="EW65" s="81">
        <f t="shared" si="54"/>
        <v>1.08</v>
      </c>
      <c r="EX65" s="81">
        <f t="shared" si="54"/>
        <v>1.08</v>
      </c>
      <c r="EY65" s="81">
        <f t="shared" si="54"/>
        <v>1.08</v>
      </c>
      <c r="EZ65" s="81">
        <f t="shared" si="54"/>
        <v>1.08</v>
      </c>
      <c r="FA65" s="81">
        <f t="shared" si="54"/>
        <v>1.08</v>
      </c>
      <c r="FB65" s="81">
        <f t="shared" si="54"/>
        <v>1.08</v>
      </c>
      <c r="FC65" s="81">
        <f t="shared" si="54"/>
        <v>1.08</v>
      </c>
      <c r="FD65" s="81">
        <f t="shared" si="54"/>
        <v>1.08</v>
      </c>
      <c r="FE65" s="81">
        <f t="shared" si="54"/>
        <v>1.08</v>
      </c>
      <c r="FF65" s="81">
        <f t="shared" si="54"/>
        <v>1.08</v>
      </c>
      <c r="FG65" s="81">
        <f t="shared" si="54"/>
        <v>1.08</v>
      </c>
      <c r="FH65" s="81">
        <f t="shared" si="54"/>
        <v>1.08</v>
      </c>
      <c r="FI65" s="81">
        <f t="shared" si="54"/>
        <v>1.08</v>
      </c>
      <c r="FJ65" s="81">
        <f t="shared" si="54"/>
        <v>1.08</v>
      </c>
      <c r="FK65" s="81">
        <f t="shared" si="54"/>
        <v>1.08</v>
      </c>
      <c r="FL65" s="81">
        <f t="shared" si="54"/>
        <v>1.08</v>
      </c>
      <c r="FM65" s="81">
        <f t="shared" si="54"/>
        <v>1.08</v>
      </c>
      <c r="FN65" s="81">
        <f t="shared" si="54"/>
        <v>1.08</v>
      </c>
      <c r="FO65" s="81">
        <f t="shared" si="54"/>
        <v>1.08</v>
      </c>
      <c r="FP65" s="81">
        <f t="shared" si="54"/>
        <v>1.08</v>
      </c>
      <c r="FQ65" s="81">
        <f t="shared" si="54"/>
        <v>1.08</v>
      </c>
      <c r="FR65" s="81">
        <f t="shared" si="54"/>
        <v>1.08</v>
      </c>
      <c r="FS65" s="81">
        <f t="shared" si="54"/>
        <v>1.08</v>
      </c>
      <c r="FT65" s="81">
        <f t="shared" si="54"/>
        <v>1.08</v>
      </c>
      <c r="FU65" s="81">
        <f t="shared" si="54"/>
        <v>1.08</v>
      </c>
      <c r="FV65" s="81">
        <f t="shared" si="54"/>
        <v>1.08</v>
      </c>
      <c r="FW65" s="81">
        <f t="shared" si="54"/>
        <v>1.08</v>
      </c>
      <c r="FX65" s="81">
        <f t="shared" si="54"/>
        <v>1.08</v>
      </c>
      <c r="FY65" s="81">
        <f t="shared" si="54"/>
        <v>1.08</v>
      </c>
      <c r="FZ65" s="81">
        <f t="shared" si="54"/>
        <v>1.08</v>
      </c>
      <c r="GA65" s="81">
        <f t="shared" si="54"/>
        <v>1.08</v>
      </c>
      <c r="GB65" s="81">
        <f t="shared" si="54"/>
        <v>1.08</v>
      </c>
      <c r="GC65" s="81">
        <f t="shared" si="54"/>
        <v>1.08</v>
      </c>
      <c r="GD65" s="81">
        <f t="shared" si="54"/>
        <v>1.08</v>
      </c>
      <c r="GE65" s="81">
        <f t="shared" si="54"/>
        <v>1.08</v>
      </c>
      <c r="GF65" s="81">
        <f t="shared" si="54"/>
        <v>1.08</v>
      </c>
      <c r="GG65" s="81">
        <f t="shared" si="54"/>
        <v>1.08</v>
      </c>
      <c r="GH65" s="81">
        <f t="shared" si="54"/>
        <v>1.08</v>
      </c>
      <c r="GI65" s="81">
        <f t="shared" si="54"/>
        <v>1.08</v>
      </c>
      <c r="GJ65" s="81">
        <f t="shared" si="54"/>
        <v>1.08</v>
      </c>
      <c r="GK65" s="81">
        <f t="shared" si="54"/>
        <v>1.08</v>
      </c>
      <c r="GL65" s="81">
        <f t="shared" si="54"/>
        <v>1.08</v>
      </c>
      <c r="GM65" s="81">
        <f t="shared" si="54"/>
        <v>1.08</v>
      </c>
      <c r="GN65" s="81">
        <f t="shared" si="54"/>
        <v>1.08</v>
      </c>
      <c r="GO65" s="81">
        <f t="shared" si="54"/>
        <v>1.08</v>
      </c>
      <c r="GP65" s="81">
        <f t="shared" si="54"/>
        <v>1.08</v>
      </c>
      <c r="GQ65" s="81">
        <f t="shared" si="54"/>
        <v>1.08</v>
      </c>
      <c r="GR65" s="81">
        <f t="shared" si="54"/>
        <v>1.08</v>
      </c>
      <c r="GS65" s="81">
        <f t="shared" si="54"/>
        <v>1.08</v>
      </c>
      <c r="GT65" s="81">
        <f t="shared" si="54"/>
        <v>1.08</v>
      </c>
      <c r="GU65" s="81">
        <f t="shared" si="54"/>
        <v>1.08</v>
      </c>
      <c r="GV65" s="81">
        <f t="shared" si="54"/>
        <v>1.08</v>
      </c>
      <c r="GW65" s="81">
        <f t="shared" si="54"/>
        <v>1.08</v>
      </c>
      <c r="GX65" s="81">
        <f t="shared" si="54"/>
        <v>1.08</v>
      </c>
      <c r="GY65" s="81">
        <f t="shared" si="54"/>
        <v>1.08</v>
      </c>
      <c r="GZ65" s="81">
        <f t="shared" si="54"/>
        <v>1.08</v>
      </c>
      <c r="HA65" s="81">
        <f t="shared" si="54"/>
        <v>1.08</v>
      </c>
      <c r="HB65" s="81">
        <f t="shared" si="54"/>
        <v>1.08</v>
      </c>
      <c r="HC65" s="81">
        <f t="shared" si="54"/>
        <v>1.08</v>
      </c>
      <c r="HD65" s="81">
        <f t="shared" si="54"/>
        <v>1.08</v>
      </c>
      <c r="HE65" s="81">
        <f t="shared" si="54"/>
        <v>1.08</v>
      </c>
      <c r="HF65" s="81">
        <f t="shared" si="54"/>
        <v>1.08</v>
      </c>
      <c r="HG65" s="81">
        <f t="shared" si="54"/>
        <v>1.08</v>
      </c>
      <c r="HH65" s="81">
        <f t="shared" si="54"/>
        <v>1.08</v>
      </c>
      <c r="HI65" s="81">
        <f t="shared" si="54"/>
        <v>1.08</v>
      </c>
      <c r="HJ65" s="81">
        <f t="shared" si="54"/>
        <v>1.08</v>
      </c>
      <c r="HK65" s="81">
        <f t="shared" si="54"/>
        <v>1.08</v>
      </c>
      <c r="HL65" s="81">
        <f t="shared" si="54"/>
        <v>1.08</v>
      </c>
      <c r="HM65" s="81">
        <f t="shared" si="54"/>
        <v>1.08</v>
      </c>
      <c r="HN65" s="81">
        <f t="shared" si="54"/>
        <v>1.08</v>
      </c>
      <c r="HO65" s="81">
        <f t="shared" si="54"/>
        <v>1.08</v>
      </c>
      <c r="HP65" s="81">
        <f t="shared" si="54"/>
        <v>1.08</v>
      </c>
      <c r="HQ65" s="81">
        <f t="shared" si="54"/>
        <v>1.08</v>
      </c>
      <c r="HR65" s="81">
        <f t="shared" si="54"/>
        <v>1.08</v>
      </c>
      <c r="HS65" s="81">
        <f t="shared" si="54"/>
        <v>1.08</v>
      </c>
      <c r="HT65" s="81">
        <f t="shared" si="54"/>
        <v>1.08</v>
      </c>
      <c r="HU65" s="81">
        <f t="shared" si="54"/>
        <v>1.08</v>
      </c>
      <c r="HV65" s="81">
        <f t="shared" si="54"/>
        <v>1.08</v>
      </c>
      <c r="HW65" s="81">
        <f t="shared" si="54"/>
        <v>1.08</v>
      </c>
      <c r="HX65" s="81">
        <f t="shared" si="54"/>
        <v>1.08</v>
      </c>
      <c r="HY65" s="81">
        <f t="shared" si="54"/>
        <v>1.08</v>
      </c>
      <c r="HZ65" s="81">
        <f t="shared" si="54"/>
        <v>1.08</v>
      </c>
      <c r="IA65" s="81">
        <f t="shared" si="54"/>
        <v>1.08</v>
      </c>
      <c r="IB65" s="81">
        <f t="shared" si="54"/>
        <v>1.08</v>
      </c>
      <c r="IC65" s="81">
        <f t="shared" si="54"/>
        <v>1.08</v>
      </c>
      <c r="ID65" s="81">
        <f t="shared" si="54"/>
        <v>1.08</v>
      </c>
      <c r="IE65" s="81">
        <f t="shared" si="54"/>
        <v>1.08</v>
      </c>
      <c r="IF65" s="81">
        <f t="shared" si="54"/>
        <v>1.08</v>
      </c>
      <c r="IG65" s="81">
        <f t="shared" si="54"/>
        <v>1.08</v>
      </c>
      <c r="IH65" s="81">
        <f t="shared" si="54"/>
        <v>1.08</v>
      </c>
      <c r="II65" s="81">
        <f t="shared" si="54"/>
        <v>1.08</v>
      </c>
      <c r="IJ65" s="81">
        <f t="shared" si="54"/>
        <v>1.08</v>
      </c>
      <c r="IK65" s="81">
        <f t="shared" si="54"/>
        <v>1.08</v>
      </c>
      <c r="IL65" s="81">
        <f t="shared" si="54"/>
        <v>1.08</v>
      </c>
      <c r="IM65" s="81">
        <f t="shared" si="54"/>
        <v>1.08</v>
      </c>
      <c r="IN65" s="81">
        <f t="shared" si="54"/>
        <v>1.08</v>
      </c>
      <c r="IO65" s="81">
        <f t="shared" si="54"/>
        <v>1.08</v>
      </c>
      <c r="IP65" s="81">
        <f t="shared" si="54"/>
        <v>1.08</v>
      </c>
      <c r="IQ65" s="81">
        <f t="shared" si="54"/>
        <v>1.08</v>
      </c>
      <c r="IR65" s="81">
        <f t="shared" si="54"/>
        <v>1.08</v>
      </c>
      <c r="IS65" s="81">
        <f t="shared" si="54"/>
        <v>1.08</v>
      </c>
      <c r="IT65" s="81">
        <f t="shared" si="54"/>
        <v>1.08</v>
      </c>
      <c r="IU65" s="81">
        <f t="shared" si="54"/>
        <v>1.08</v>
      </c>
      <c r="IV65" s="81">
        <f t="shared" si="54"/>
        <v>1.08</v>
      </c>
      <c r="IW65" s="81">
        <f t="shared" si="54"/>
        <v>1.08</v>
      </c>
      <c r="IX65" s="81">
        <f t="shared" si="54"/>
        <v>1.08</v>
      </c>
      <c r="IY65" s="81">
        <f t="shared" si="54"/>
        <v>1.08</v>
      </c>
      <c r="IZ65" s="81">
        <f t="shared" si="54"/>
        <v>1.08</v>
      </c>
      <c r="JA65" s="81">
        <f t="shared" si="54"/>
        <v>1.08</v>
      </c>
      <c r="JB65" s="81">
        <f t="shared" si="54"/>
        <v>1.08</v>
      </c>
      <c r="JC65" s="81">
        <f t="shared" si="54"/>
        <v>1.08</v>
      </c>
      <c r="JD65" s="81">
        <f t="shared" si="54"/>
        <v>1.08</v>
      </c>
      <c r="JE65" s="81">
        <f t="shared" si="54"/>
        <v>1.08</v>
      </c>
      <c r="JF65" s="81">
        <f t="shared" si="54"/>
        <v>1.08</v>
      </c>
      <c r="JG65" s="81">
        <f t="shared" si="54"/>
        <v>1.08</v>
      </c>
      <c r="JH65" s="81">
        <f t="shared" si="54"/>
        <v>1.08</v>
      </c>
      <c r="JI65" s="81">
        <f t="shared" si="54"/>
        <v>1.08</v>
      </c>
      <c r="JJ65" s="81">
        <f t="shared" si="54"/>
        <v>1.08</v>
      </c>
      <c r="JK65" s="81">
        <f t="shared" si="54"/>
        <v>1.08</v>
      </c>
      <c r="JL65" s="81">
        <f t="shared" si="54"/>
        <v>1.08</v>
      </c>
      <c r="JM65" s="81">
        <f t="shared" si="54"/>
        <v>1.08</v>
      </c>
      <c r="JN65" s="81">
        <f t="shared" si="54"/>
        <v>1.08</v>
      </c>
      <c r="JO65" s="81">
        <f t="shared" si="54"/>
        <v>1.08</v>
      </c>
      <c r="JP65" s="81">
        <f t="shared" si="54"/>
        <v>1.08</v>
      </c>
      <c r="JQ65" s="81">
        <f t="shared" si="54"/>
        <v>1.08</v>
      </c>
      <c r="JR65" s="81">
        <f t="shared" si="54"/>
        <v>1.08</v>
      </c>
      <c r="JS65" s="81">
        <f t="shared" si="54"/>
        <v>1.08</v>
      </c>
      <c r="JT65" s="81">
        <f t="shared" si="54"/>
        <v>1.08</v>
      </c>
      <c r="JU65" s="81">
        <f t="shared" si="54"/>
        <v>1.08</v>
      </c>
      <c r="JV65" s="81">
        <f t="shared" si="54"/>
        <v>1.08</v>
      </c>
      <c r="JW65" s="81">
        <f t="shared" si="54"/>
        <v>1.08</v>
      </c>
      <c r="JX65" s="81">
        <f t="shared" si="54"/>
        <v>1.08</v>
      </c>
      <c r="JY65" s="81">
        <f t="shared" si="54"/>
        <v>1.08</v>
      </c>
      <c r="JZ65" s="81">
        <f t="shared" si="54"/>
        <v>1.08</v>
      </c>
      <c r="KA65" s="81">
        <f t="shared" si="54"/>
        <v>1.08</v>
      </c>
      <c r="KB65" s="81">
        <f t="shared" si="54"/>
        <v>1.08</v>
      </c>
      <c r="KC65" s="81">
        <f t="shared" si="54"/>
        <v>1.08</v>
      </c>
      <c r="KD65" s="81">
        <f t="shared" si="54"/>
        <v>1.08</v>
      </c>
      <c r="KE65" s="81">
        <f t="shared" si="54"/>
        <v>1.08</v>
      </c>
      <c r="KF65" s="81">
        <f t="shared" si="54"/>
        <v>1.08</v>
      </c>
      <c r="KG65" s="81">
        <f t="shared" si="54"/>
        <v>1.08</v>
      </c>
      <c r="KH65" s="81">
        <f t="shared" si="54"/>
        <v>1.08</v>
      </c>
      <c r="KI65" s="81">
        <f t="shared" si="54"/>
        <v>1.08</v>
      </c>
      <c r="KJ65" s="81">
        <f t="shared" si="54"/>
        <v>1.08</v>
      </c>
      <c r="KK65" s="81">
        <f t="shared" si="54"/>
        <v>1.08</v>
      </c>
      <c r="KL65" s="81">
        <f t="shared" si="54"/>
        <v>1.08</v>
      </c>
      <c r="KM65" s="81">
        <f t="shared" si="54"/>
        <v>1.08</v>
      </c>
      <c r="KN65" s="81">
        <f t="shared" si="54"/>
        <v>1.08</v>
      </c>
      <c r="KO65" s="81">
        <f t="shared" si="54"/>
        <v>1.08</v>
      </c>
      <c r="KP65" s="81">
        <f t="shared" si="54"/>
        <v>1.08</v>
      </c>
      <c r="KQ65" s="81">
        <f t="shared" si="54"/>
        <v>1.08</v>
      </c>
      <c r="KR65" s="81">
        <f t="shared" si="54"/>
        <v>1.08</v>
      </c>
      <c r="KS65" s="81">
        <f t="shared" si="54"/>
        <v>1.08</v>
      </c>
      <c r="KT65" s="81">
        <f t="shared" si="54"/>
        <v>1.08</v>
      </c>
      <c r="KU65" s="81">
        <f t="shared" si="54"/>
        <v>1.08</v>
      </c>
      <c r="KV65" s="81">
        <f t="shared" si="54"/>
        <v>1.08</v>
      </c>
      <c r="KW65" s="81">
        <f t="shared" si="54"/>
        <v>1.08</v>
      </c>
      <c r="KX65" s="81">
        <f t="shared" si="54"/>
        <v>1.08</v>
      </c>
      <c r="KY65" s="81">
        <f t="shared" si="54"/>
        <v>1.08</v>
      </c>
      <c r="KZ65" s="81">
        <f t="shared" si="54"/>
        <v>1.08</v>
      </c>
      <c r="LA65" s="81">
        <f t="shared" si="54"/>
        <v>1.08</v>
      </c>
      <c r="LB65" s="81">
        <f t="shared" si="54"/>
        <v>1.08</v>
      </c>
      <c r="LC65" s="81">
        <f t="shared" si="54"/>
        <v>1.08</v>
      </c>
      <c r="LD65" s="81">
        <f t="shared" si="54"/>
        <v>1.08</v>
      </c>
      <c r="LE65" s="81">
        <f t="shared" si="54"/>
        <v>1.08</v>
      </c>
      <c r="LF65" s="81">
        <f t="shared" si="54"/>
        <v>1.08</v>
      </c>
      <c r="LG65" s="81">
        <f t="shared" si="54"/>
        <v>1.08</v>
      </c>
      <c r="LH65" s="81">
        <f t="shared" si="54"/>
        <v>1.08</v>
      </c>
      <c r="LI65" s="81">
        <f t="shared" si="54"/>
        <v>1.08</v>
      </c>
      <c r="LJ65" s="81">
        <f t="shared" si="54"/>
        <v>1.08</v>
      </c>
      <c r="LK65" s="81">
        <f t="shared" si="54"/>
        <v>1.08</v>
      </c>
      <c r="LL65" s="81">
        <f t="shared" si="54"/>
        <v>1.08</v>
      </c>
      <c r="LM65" s="81">
        <f t="shared" si="54"/>
        <v>1.08</v>
      </c>
      <c r="LN65" s="81">
        <f t="shared" si="54"/>
        <v>1.08</v>
      </c>
      <c r="LO65" s="81">
        <f t="shared" si="54"/>
        <v>1.08</v>
      </c>
      <c r="LP65" s="81">
        <f t="shared" si="54"/>
        <v>1.08</v>
      </c>
      <c r="LQ65" s="81">
        <f t="shared" si="54"/>
        <v>1.08</v>
      </c>
      <c r="LR65" s="81">
        <f t="shared" si="54"/>
        <v>1.08</v>
      </c>
      <c r="LS65" s="81">
        <f t="shared" si="54"/>
        <v>1.08</v>
      </c>
      <c r="LT65" s="81">
        <f t="shared" si="54"/>
        <v>1.08</v>
      </c>
      <c r="LU65" s="81">
        <f t="shared" si="54"/>
        <v>1.08</v>
      </c>
      <c r="LV65" s="81">
        <f t="shared" si="54"/>
        <v>1.08</v>
      </c>
      <c r="LW65" s="81">
        <f t="shared" si="54"/>
        <v>1.08</v>
      </c>
      <c r="LX65" s="81">
        <f t="shared" si="54"/>
        <v>1.08</v>
      </c>
      <c r="LY65" s="81">
        <f t="shared" si="54"/>
        <v>1.08</v>
      </c>
      <c r="LZ65" s="81">
        <f t="shared" si="54"/>
        <v>1.08</v>
      </c>
      <c r="MA65" s="81">
        <f t="shared" si="54"/>
        <v>1.08</v>
      </c>
      <c r="MB65" s="81">
        <f t="shared" si="54"/>
        <v>1.08</v>
      </c>
      <c r="MC65" s="81">
        <f t="shared" si="54"/>
        <v>1.08</v>
      </c>
      <c r="MD65" s="81">
        <f t="shared" si="54"/>
        <v>1.08</v>
      </c>
      <c r="ME65" s="81">
        <f t="shared" si="54"/>
        <v>1.08</v>
      </c>
      <c r="MF65" s="81">
        <f t="shared" si="54"/>
        <v>1.08</v>
      </c>
      <c r="MG65" s="81">
        <f t="shared" si="54"/>
        <v>1.08</v>
      </c>
      <c r="MH65" s="81">
        <f t="shared" si="54"/>
        <v>1.08</v>
      </c>
      <c r="MI65" s="81">
        <f t="shared" si="54"/>
        <v>1.08</v>
      </c>
      <c r="MJ65" s="81">
        <f t="shared" si="54"/>
        <v>1.08</v>
      </c>
      <c r="MK65" s="81">
        <f t="shared" si="54"/>
        <v>1.08</v>
      </c>
      <c r="ML65" s="81">
        <f t="shared" si="54"/>
        <v>1.08</v>
      </c>
      <c r="MM65" s="81">
        <f t="shared" si="54"/>
        <v>1.08</v>
      </c>
      <c r="MN65" s="81">
        <f t="shared" si="54"/>
        <v>1.08</v>
      </c>
      <c r="MO65" s="81">
        <f t="shared" si="54"/>
        <v>1.08</v>
      </c>
      <c r="MP65" s="81">
        <f t="shared" si="54"/>
        <v>1.08</v>
      </c>
      <c r="MQ65" s="81">
        <f t="shared" si="54"/>
        <v>1.08</v>
      </c>
      <c r="MR65" s="81">
        <f t="shared" si="54"/>
        <v>1.08</v>
      </c>
      <c r="MS65" s="81">
        <f t="shared" si="54"/>
        <v>1.08</v>
      </c>
      <c r="MT65" s="81">
        <f t="shared" si="54"/>
        <v>1.08</v>
      </c>
      <c r="MU65" s="81">
        <f t="shared" si="54"/>
        <v>1.08</v>
      </c>
      <c r="MV65" s="81">
        <f t="shared" si="54"/>
        <v>1.08</v>
      </c>
      <c r="MW65" s="81">
        <f t="shared" si="54"/>
        <v>1.08</v>
      </c>
      <c r="MX65" s="81">
        <f t="shared" si="54"/>
        <v>1.08</v>
      </c>
      <c r="MY65" s="81">
        <f t="shared" si="54"/>
        <v>1.08</v>
      </c>
      <c r="MZ65" s="81">
        <f t="shared" si="54"/>
        <v>1.08</v>
      </c>
      <c r="NA65" s="81">
        <f t="shared" si="54"/>
        <v>1.08</v>
      </c>
      <c r="NB65" s="81">
        <f t="shared" si="54"/>
        <v>1.08</v>
      </c>
      <c r="NC65" s="81">
        <f t="shared" si="54"/>
        <v>1.08</v>
      </c>
      <c r="ND65" s="81">
        <f t="shared" si="54"/>
        <v>1.08</v>
      </c>
      <c r="NE65" s="81">
        <f t="shared" si="54"/>
        <v>1.08</v>
      </c>
      <c r="NF65" s="81">
        <f t="shared" si="54"/>
        <v>1.08</v>
      </c>
      <c r="NG65" s="81">
        <f t="shared" si="54"/>
        <v>1.08</v>
      </c>
      <c r="NH65" s="81">
        <f t="shared" si="54"/>
        <v>1.08</v>
      </c>
      <c r="NI65" s="81">
        <f t="shared" si="54"/>
        <v>1.08</v>
      </c>
      <c r="NJ65" s="81">
        <f t="shared" si="54"/>
        <v>1.08</v>
      </c>
      <c r="NK65" s="81">
        <f t="shared" si="54"/>
        <v>1.08</v>
      </c>
      <c r="NL65" s="81">
        <f t="shared" si="54"/>
        <v>1.08</v>
      </c>
      <c r="NM65" s="81">
        <f t="shared" si="54"/>
        <v>1.08</v>
      </c>
      <c r="NN65" s="81">
        <f t="shared" si="54"/>
        <v>1.08</v>
      </c>
      <c r="NO65" s="81">
        <f t="shared" si="54"/>
        <v>1.08</v>
      </c>
      <c r="NP65" s="81">
        <f t="shared" si="54"/>
        <v>1.08</v>
      </c>
      <c r="NQ65" s="81">
        <f t="shared" si="54"/>
        <v>1.08</v>
      </c>
      <c r="NR65" s="81">
        <f t="shared" si="54"/>
        <v>1.08</v>
      </c>
      <c r="NS65" s="81">
        <f t="shared" si="54"/>
        <v>1.08</v>
      </c>
      <c r="NT65" s="81">
        <f t="shared" si="54"/>
        <v>1.08</v>
      </c>
      <c r="NU65" s="81">
        <f t="shared" si="54"/>
        <v>1.08</v>
      </c>
      <c r="NV65" s="81">
        <f t="shared" si="54"/>
        <v>1.08</v>
      </c>
      <c r="NW65" s="81">
        <f t="shared" si="54"/>
        <v>1.08</v>
      </c>
      <c r="NX65" s="81">
        <f t="shared" si="54"/>
        <v>1.08</v>
      </c>
      <c r="NY65" s="81">
        <f t="shared" si="54"/>
        <v>1.08</v>
      </c>
      <c r="NZ65" s="81">
        <f t="shared" si="54"/>
        <v>1.08</v>
      </c>
      <c r="OA65" s="81">
        <f t="shared" si="54"/>
        <v>1.08</v>
      </c>
      <c r="OB65" s="81">
        <f t="shared" si="54"/>
        <v>1.08</v>
      </c>
      <c r="OC65" s="81">
        <f t="shared" si="54"/>
        <v>1.08</v>
      </c>
      <c r="OD65" s="81">
        <f t="shared" si="54"/>
        <v>1.08</v>
      </c>
      <c r="OE65" s="81">
        <f t="shared" si="54"/>
        <v>1.08</v>
      </c>
      <c r="OF65" s="81">
        <f t="shared" si="54"/>
        <v>1.08</v>
      </c>
      <c r="OG65" s="81">
        <f t="shared" si="54"/>
        <v>1.08</v>
      </c>
      <c r="OH65" s="81">
        <f t="shared" si="54"/>
        <v>1.08</v>
      </c>
      <c r="OI65" s="81">
        <f t="shared" si="54"/>
        <v>1.08</v>
      </c>
      <c r="OJ65" s="81">
        <f t="shared" si="54"/>
        <v>1.08</v>
      </c>
      <c r="OK65" s="81">
        <f t="shared" si="54"/>
        <v>1.08</v>
      </c>
      <c r="OL65" s="81">
        <f t="shared" si="54"/>
        <v>1.08</v>
      </c>
      <c r="OM65" s="81">
        <f t="shared" si="54"/>
        <v>1.08</v>
      </c>
      <c r="ON65" s="81">
        <f t="shared" si="54"/>
        <v>1.08</v>
      </c>
      <c r="OO65" s="81">
        <f t="shared" si="54"/>
        <v>1.08</v>
      </c>
      <c r="OP65" s="81">
        <f t="shared" si="54"/>
        <v>1.08</v>
      </c>
      <c r="OQ65" s="81">
        <f t="shared" si="54"/>
        <v>1.08</v>
      </c>
      <c r="OR65" s="81">
        <f t="shared" si="54"/>
        <v>1.08</v>
      </c>
      <c r="OS65" s="81">
        <f t="shared" si="54"/>
        <v>1.08</v>
      </c>
      <c r="OT65" s="81">
        <f t="shared" si="54"/>
        <v>1.08</v>
      </c>
      <c r="OU65" s="81">
        <f t="shared" si="54"/>
        <v>1.08</v>
      </c>
      <c r="OV65" s="81">
        <f t="shared" si="54"/>
        <v>1.08</v>
      </c>
      <c r="OW65" s="81">
        <f t="shared" si="54"/>
        <v>1.08</v>
      </c>
      <c r="OX65" s="81">
        <f t="shared" si="54"/>
        <v>1.08</v>
      </c>
      <c r="OY65" s="81">
        <f t="shared" si="54"/>
        <v>1.08</v>
      </c>
      <c r="OZ65" s="81">
        <f t="shared" si="54"/>
        <v>1.08</v>
      </c>
      <c r="PA65" s="81">
        <f t="shared" si="54"/>
        <v>1.08</v>
      </c>
      <c r="PB65" s="81">
        <f t="shared" si="54"/>
        <v>1.08</v>
      </c>
      <c r="PC65" s="81">
        <f t="shared" si="54"/>
        <v>1.08</v>
      </c>
      <c r="PD65" s="81">
        <f t="shared" si="54"/>
        <v>1.08</v>
      </c>
      <c r="PE65" s="81">
        <f t="shared" si="54"/>
        <v>1.08</v>
      </c>
      <c r="PF65" s="81">
        <f t="shared" si="54"/>
        <v>1.08</v>
      </c>
      <c r="PG65" s="81">
        <f t="shared" si="54"/>
        <v>1.08</v>
      </c>
      <c r="PH65" s="81">
        <f t="shared" si="54"/>
        <v>1.08</v>
      </c>
      <c r="PI65" s="81">
        <f t="shared" si="54"/>
        <v>1.08</v>
      </c>
      <c r="PJ65" s="81">
        <f t="shared" si="54"/>
        <v>1.08</v>
      </c>
      <c r="PK65" s="81">
        <f t="shared" si="54"/>
        <v>1.08</v>
      </c>
      <c r="PL65" s="81">
        <f t="shared" si="54"/>
        <v>1.08</v>
      </c>
      <c r="PM65" s="81">
        <f t="shared" si="54"/>
        <v>1.08</v>
      </c>
      <c r="PN65" s="81">
        <f t="shared" si="54"/>
        <v>1.08</v>
      </c>
      <c r="PO65" s="81">
        <f t="shared" si="54"/>
        <v>1.08</v>
      </c>
      <c r="PP65" s="81">
        <f t="shared" si="54"/>
        <v>1.08</v>
      </c>
      <c r="PQ65" s="81">
        <f t="shared" si="54"/>
        <v>1.08</v>
      </c>
      <c r="PR65" s="81">
        <f t="shared" si="54"/>
        <v>1.08</v>
      </c>
      <c r="PS65" s="81">
        <f t="shared" si="54"/>
        <v>1.08</v>
      </c>
      <c r="PT65" s="81">
        <f t="shared" si="54"/>
        <v>1.08</v>
      </c>
      <c r="PU65" s="81">
        <f t="shared" si="54"/>
        <v>1.08</v>
      </c>
      <c r="PV65" s="81">
        <f t="shared" si="54"/>
        <v>1.08</v>
      </c>
      <c r="PW65" s="81">
        <f t="shared" si="54"/>
        <v>1.08</v>
      </c>
      <c r="PX65" s="81">
        <f t="shared" si="54"/>
        <v>1.08</v>
      </c>
      <c r="PY65" s="81">
        <f t="shared" si="54"/>
        <v>1.08</v>
      </c>
      <c r="PZ65" s="81">
        <f t="shared" si="54"/>
        <v>1.08</v>
      </c>
      <c r="QA65" s="81">
        <f t="shared" si="54"/>
        <v>1.08</v>
      </c>
      <c r="QB65" s="81">
        <f t="shared" si="54"/>
        <v>1.08</v>
      </c>
      <c r="QC65" s="81">
        <f t="shared" si="54"/>
        <v>1.08</v>
      </c>
      <c r="QD65" s="81">
        <f t="shared" si="54"/>
        <v>1.08</v>
      </c>
      <c r="QE65" s="81">
        <f t="shared" si="54"/>
        <v>1.08</v>
      </c>
      <c r="QF65" s="81">
        <f t="shared" si="54"/>
        <v>1.08</v>
      </c>
      <c r="QG65" s="81">
        <f t="shared" si="54"/>
        <v>1.08</v>
      </c>
      <c r="QH65" s="81">
        <f t="shared" si="54"/>
        <v>1.08</v>
      </c>
      <c r="QI65" s="81">
        <f t="shared" si="54"/>
        <v>1.08</v>
      </c>
      <c r="QJ65" s="81">
        <f t="shared" si="54"/>
        <v>1.08</v>
      </c>
      <c r="QK65" s="81">
        <f t="shared" si="54"/>
        <v>1.08</v>
      </c>
      <c r="QL65" s="81">
        <f t="shared" si="54"/>
        <v>1.08</v>
      </c>
      <c r="QM65" s="81">
        <f t="shared" si="54"/>
        <v>1.08</v>
      </c>
      <c r="QN65" s="81">
        <f t="shared" si="54"/>
        <v>1.08</v>
      </c>
      <c r="QO65" s="81">
        <f t="shared" si="54"/>
        <v>1.08</v>
      </c>
      <c r="QP65" s="81">
        <f t="shared" si="54"/>
        <v>1.08</v>
      </c>
      <c r="QQ65" s="81">
        <f t="shared" si="54"/>
        <v>1.08</v>
      </c>
      <c r="QR65" s="81">
        <f t="shared" si="54"/>
        <v>1.08</v>
      </c>
      <c r="QS65" s="81">
        <f t="shared" si="54"/>
        <v>1.08</v>
      </c>
      <c r="QT65" s="81">
        <f t="shared" si="54"/>
        <v>1.08</v>
      </c>
      <c r="QU65" s="81">
        <f t="shared" si="54"/>
        <v>1.08</v>
      </c>
      <c r="QV65" s="81">
        <f t="shared" si="54"/>
        <v>1.08</v>
      </c>
      <c r="QW65" s="81">
        <f t="shared" si="54"/>
        <v>1.08</v>
      </c>
      <c r="QX65" s="81">
        <f t="shared" si="54"/>
        <v>1.08</v>
      </c>
      <c r="QY65" s="81">
        <f t="shared" si="54"/>
        <v>1.08</v>
      </c>
      <c r="QZ65" s="81">
        <f t="shared" si="54"/>
        <v>1.08</v>
      </c>
      <c r="RA65" s="81">
        <f t="shared" si="54"/>
        <v>1.08</v>
      </c>
      <c r="RB65" s="81">
        <f t="shared" si="54"/>
        <v>1.08</v>
      </c>
      <c r="RC65" s="81">
        <f t="shared" si="54"/>
        <v>1.08</v>
      </c>
      <c r="RD65" s="81">
        <f t="shared" si="54"/>
        <v>1.08</v>
      </c>
      <c r="RE65" s="81">
        <f t="shared" si="54"/>
        <v>1.08</v>
      </c>
      <c r="RF65" s="81">
        <f t="shared" si="54"/>
        <v>1.08</v>
      </c>
      <c r="RG65" s="81">
        <f t="shared" si="54"/>
        <v>1.08</v>
      </c>
      <c r="RH65" s="81">
        <f t="shared" si="54"/>
        <v>1.08</v>
      </c>
      <c r="RI65" s="81">
        <f t="shared" si="54"/>
        <v>1.08</v>
      </c>
      <c r="RJ65" s="81">
        <f t="shared" si="54"/>
        <v>1.08</v>
      </c>
      <c r="RK65" s="81">
        <f t="shared" si="54"/>
        <v>1.08</v>
      </c>
      <c r="RL65" s="81">
        <f t="shared" si="54"/>
        <v>1.08</v>
      </c>
      <c r="RM65" s="81">
        <f t="shared" si="54"/>
        <v>1.08</v>
      </c>
      <c r="RN65" s="81">
        <f t="shared" si="54"/>
        <v>1.08</v>
      </c>
      <c r="RO65" s="81">
        <f t="shared" si="54"/>
        <v>1.08</v>
      </c>
      <c r="RP65" s="81">
        <f t="shared" si="54"/>
        <v>1.08</v>
      </c>
      <c r="RQ65" s="81">
        <f t="shared" si="54"/>
        <v>1.08</v>
      </c>
      <c r="RR65" s="81">
        <f t="shared" si="54"/>
        <v>1.08</v>
      </c>
      <c r="RS65" s="81">
        <f t="shared" si="54"/>
        <v>1.08</v>
      </c>
      <c r="RT65" s="81">
        <f t="shared" si="54"/>
        <v>1.08</v>
      </c>
      <c r="RU65" s="81">
        <f t="shared" si="54"/>
        <v>1.08</v>
      </c>
      <c r="RV65" s="81">
        <f t="shared" si="54"/>
        <v>1.08</v>
      </c>
      <c r="RW65" s="81">
        <f t="shared" si="54"/>
        <v>1.08</v>
      </c>
      <c r="RX65" s="81">
        <f t="shared" si="54"/>
        <v>1.08</v>
      </c>
      <c r="RY65" s="81">
        <f t="shared" si="54"/>
        <v>1.08</v>
      </c>
      <c r="RZ65" s="81">
        <f t="shared" si="54"/>
        <v>1.08</v>
      </c>
      <c r="SA65" s="81">
        <f t="shared" si="54"/>
        <v>1.08</v>
      </c>
      <c r="SB65" s="81">
        <f t="shared" si="54"/>
        <v>1.08</v>
      </c>
      <c r="SC65" s="81">
        <f t="shared" si="54"/>
        <v>1.08</v>
      </c>
      <c r="SD65" s="81">
        <f t="shared" si="54"/>
        <v>1.08</v>
      </c>
      <c r="SE65" s="81">
        <f t="shared" si="54"/>
        <v>1.08</v>
      </c>
      <c r="SF65" s="81">
        <f t="shared" si="54"/>
        <v>1.08</v>
      </c>
      <c r="SG65" s="81">
        <f t="shared" si="54"/>
        <v>1.08</v>
      </c>
      <c r="SH65" s="81">
        <f t="shared" si="54"/>
        <v>1.08</v>
      </c>
      <c r="SI65" s="81">
        <f t="shared" si="54"/>
        <v>1.08</v>
      </c>
      <c r="SJ65" s="81">
        <f t="shared" si="54"/>
        <v>1.08</v>
      </c>
      <c r="SK65" s="81">
        <f t="shared" si="54"/>
        <v>1.08</v>
      </c>
      <c r="SL65" s="81">
        <f t="shared" si="54"/>
        <v>1.08</v>
      </c>
    </row>
    <row r="66">
      <c r="A66" s="91" t="s">
        <v>142</v>
      </c>
      <c r="B66" s="92">
        <f>B57*B65</f>
        <v>2.598077218</v>
      </c>
      <c r="C66" s="314"/>
      <c r="D66" s="315"/>
      <c r="E66" s="316"/>
      <c r="F66" s="92"/>
      <c r="G66" s="92">
        <f t="shared" ref="G66:SL66" si="55">G57*G65</f>
        <v>2.650190121</v>
      </c>
      <c r="H66" s="92">
        <f t="shared" si="55"/>
        <v>1.514795068</v>
      </c>
      <c r="I66" s="92">
        <f t="shared" si="55"/>
        <v>1.754813779</v>
      </c>
      <c r="J66" s="92">
        <f t="shared" si="55"/>
        <v>4.47516714</v>
      </c>
      <c r="K66" s="92">
        <f t="shared" si="55"/>
        <v>2.160232008</v>
      </c>
      <c r="L66" s="92">
        <f t="shared" si="55"/>
        <v>2.657387216</v>
      </c>
      <c r="M66" s="92">
        <f t="shared" si="55"/>
        <v>1.311240283</v>
      </c>
      <c r="N66" s="92">
        <f t="shared" si="55"/>
        <v>3.085226251</v>
      </c>
      <c r="O66" s="92">
        <f t="shared" si="55"/>
        <v>5.254379727</v>
      </c>
      <c r="P66" s="92">
        <f t="shared" si="55"/>
        <v>2.060872185</v>
      </c>
      <c r="Q66" s="92">
        <f t="shared" si="55"/>
        <v>4.096967847</v>
      </c>
      <c r="R66" s="92">
        <f t="shared" si="55"/>
        <v>3.459153152</v>
      </c>
      <c r="S66" s="92">
        <f t="shared" si="55"/>
        <v>2.483324063</v>
      </c>
      <c r="T66" s="92">
        <f t="shared" si="55"/>
        <v>2.289660042</v>
      </c>
      <c r="U66" s="92">
        <f t="shared" si="55"/>
        <v>5.750434712</v>
      </c>
      <c r="V66" s="92">
        <f t="shared" si="55"/>
        <v>1.732819922</v>
      </c>
      <c r="W66" s="92">
        <f t="shared" si="55"/>
        <v>2.119941678</v>
      </c>
      <c r="X66" s="92">
        <f t="shared" si="55"/>
        <v>6.514628098</v>
      </c>
      <c r="Y66" s="92">
        <f t="shared" si="55"/>
        <v>3.308220077</v>
      </c>
      <c r="Z66" s="92">
        <f t="shared" si="55"/>
        <v>3.204786002</v>
      </c>
      <c r="AA66" s="92">
        <f t="shared" si="55"/>
        <v>2.505461479</v>
      </c>
      <c r="AB66" s="92">
        <f t="shared" si="55"/>
        <v>2.980925836</v>
      </c>
      <c r="AC66" s="92">
        <f t="shared" si="55"/>
        <v>1.197751024</v>
      </c>
      <c r="AD66" s="92">
        <f t="shared" si="55"/>
        <v>1.076637101</v>
      </c>
      <c r="AE66" s="92">
        <f t="shared" si="55"/>
        <v>1.833724523</v>
      </c>
      <c r="AF66" s="92">
        <f t="shared" si="55"/>
        <v>2.338859387</v>
      </c>
      <c r="AG66" s="92">
        <f t="shared" si="55"/>
        <v>5.425514221</v>
      </c>
      <c r="AH66" s="92">
        <f t="shared" si="55"/>
        <v>1.740157041</v>
      </c>
      <c r="AI66" s="92">
        <f t="shared" si="55"/>
        <v>2.509383797</v>
      </c>
      <c r="AJ66" s="92">
        <f t="shared" si="55"/>
        <v>1.151735856</v>
      </c>
      <c r="AK66" s="92">
        <f t="shared" si="55"/>
        <v>1.806995059</v>
      </c>
      <c r="AL66" s="92">
        <f t="shared" si="55"/>
        <v>2.922782417</v>
      </c>
      <c r="AM66" s="92">
        <f t="shared" si="55"/>
        <v>2.990588141</v>
      </c>
      <c r="AN66" s="92">
        <f t="shared" si="55"/>
        <v>3.741662783</v>
      </c>
      <c r="AO66" s="92">
        <f t="shared" si="55"/>
        <v>1.119469521</v>
      </c>
      <c r="AP66" s="92">
        <f t="shared" si="55"/>
        <v>1.573828188</v>
      </c>
      <c r="AQ66" s="92">
        <f t="shared" si="55"/>
        <v>1.064830733</v>
      </c>
      <c r="AR66" s="92">
        <f t="shared" si="55"/>
        <v>4.783997895</v>
      </c>
      <c r="AS66" s="92">
        <f t="shared" si="55"/>
        <v>1.830844986</v>
      </c>
      <c r="AT66" s="92">
        <f t="shared" si="55"/>
        <v>2.546424255</v>
      </c>
      <c r="AU66" s="92">
        <f t="shared" si="55"/>
        <v>4.575049399</v>
      </c>
      <c r="AV66" s="92">
        <f t="shared" si="55"/>
        <v>1.575326469</v>
      </c>
      <c r="AW66" s="92">
        <f t="shared" si="55"/>
        <v>2.473795488</v>
      </c>
      <c r="AX66" s="92">
        <f t="shared" si="55"/>
        <v>1.227941187</v>
      </c>
      <c r="AY66" s="92">
        <f t="shared" si="55"/>
        <v>3.766574635</v>
      </c>
      <c r="AZ66" s="92">
        <f t="shared" si="55"/>
        <v>1.494753456</v>
      </c>
      <c r="BA66" s="92">
        <f t="shared" si="55"/>
        <v>4.932367262</v>
      </c>
      <c r="BB66" s="92">
        <f t="shared" si="55"/>
        <v>1.964920594</v>
      </c>
      <c r="BC66" s="92">
        <f t="shared" si="55"/>
        <v>3.880446891</v>
      </c>
      <c r="BD66" s="92">
        <f t="shared" si="55"/>
        <v>1.994999122</v>
      </c>
      <c r="BE66" s="92">
        <f t="shared" si="55"/>
        <v>2.431530822</v>
      </c>
      <c r="BF66" s="92">
        <f t="shared" si="55"/>
        <v>1.37647746</v>
      </c>
      <c r="BG66" s="92">
        <f t="shared" si="55"/>
        <v>2.922707807</v>
      </c>
      <c r="BH66" s="92">
        <f t="shared" si="55"/>
        <v>0.6215000871</v>
      </c>
      <c r="BI66" s="92">
        <f t="shared" si="55"/>
        <v>3.386305252</v>
      </c>
      <c r="BJ66" s="92">
        <f t="shared" si="55"/>
        <v>0.9864704558</v>
      </c>
      <c r="BK66" s="92">
        <f t="shared" si="55"/>
        <v>1.100443596</v>
      </c>
      <c r="BL66" s="92">
        <f t="shared" si="55"/>
        <v>1.45632495</v>
      </c>
      <c r="BM66" s="92">
        <f t="shared" si="55"/>
        <v>1.818441736</v>
      </c>
      <c r="BN66" s="92">
        <f t="shared" si="55"/>
        <v>3.759448903</v>
      </c>
      <c r="BO66" s="92">
        <f t="shared" si="55"/>
        <v>1.975381185</v>
      </c>
      <c r="BP66" s="92">
        <f t="shared" si="55"/>
        <v>1.647518159</v>
      </c>
      <c r="BQ66" s="92">
        <f t="shared" si="55"/>
        <v>1.087746344</v>
      </c>
      <c r="BR66" s="92">
        <f t="shared" si="55"/>
        <v>2.365187755</v>
      </c>
      <c r="BS66" s="92">
        <f t="shared" si="55"/>
        <v>0.7960007174</v>
      </c>
      <c r="BT66" s="92">
        <f t="shared" si="55"/>
        <v>1.416634593</v>
      </c>
      <c r="BU66" s="92">
        <f t="shared" si="55"/>
        <v>4.792711146</v>
      </c>
      <c r="BV66" s="92">
        <f t="shared" si="55"/>
        <v>3.496532426</v>
      </c>
      <c r="BW66" s="92">
        <f t="shared" si="55"/>
        <v>2.755038378</v>
      </c>
      <c r="BX66" s="92">
        <f t="shared" si="55"/>
        <v>2.969596921</v>
      </c>
      <c r="BY66" s="92">
        <f t="shared" si="55"/>
        <v>1.029405148</v>
      </c>
      <c r="BZ66" s="92">
        <f t="shared" si="55"/>
        <v>2.351985174</v>
      </c>
      <c r="CA66" s="92">
        <f t="shared" si="55"/>
        <v>1.739003371</v>
      </c>
      <c r="CB66" s="92">
        <f t="shared" si="55"/>
        <v>2.122655551</v>
      </c>
      <c r="CC66" s="92">
        <f t="shared" si="55"/>
        <v>2.141550822</v>
      </c>
      <c r="CD66" s="92">
        <f t="shared" si="55"/>
        <v>2.948031584</v>
      </c>
      <c r="CE66" s="92">
        <f t="shared" si="55"/>
        <v>2.405096605</v>
      </c>
      <c r="CF66" s="92">
        <f t="shared" si="55"/>
        <v>1.711937826</v>
      </c>
      <c r="CG66" s="92">
        <f t="shared" si="55"/>
        <v>2.617372129</v>
      </c>
      <c r="CH66" s="92">
        <f t="shared" si="55"/>
        <v>1.713735818</v>
      </c>
      <c r="CI66" s="92">
        <f t="shared" si="55"/>
        <v>2.677967546</v>
      </c>
      <c r="CJ66" s="92">
        <f t="shared" si="55"/>
        <v>6.206395664</v>
      </c>
      <c r="CK66" s="92">
        <f t="shared" si="55"/>
        <v>2.134670585</v>
      </c>
      <c r="CL66" s="92">
        <f t="shared" si="55"/>
        <v>2.274258157</v>
      </c>
      <c r="CM66" s="92">
        <f t="shared" si="55"/>
        <v>2.535461917</v>
      </c>
      <c r="CN66" s="92">
        <f t="shared" si="55"/>
        <v>2.55656173</v>
      </c>
      <c r="CO66" s="92">
        <f t="shared" si="55"/>
        <v>2.428479073</v>
      </c>
      <c r="CP66" s="92">
        <f t="shared" si="55"/>
        <v>1.70640225</v>
      </c>
      <c r="CQ66" s="92">
        <f t="shared" si="55"/>
        <v>3.366547303</v>
      </c>
      <c r="CR66" s="92">
        <f t="shared" si="55"/>
        <v>2.248604468</v>
      </c>
      <c r="CS66" s="92">
        <f t="shared" si="55"/>
        <v>3.012405318</v>
      </c>
      <c r="CT66" s="92">
        <f t="shared" si="55"/>
        <v>2.314922409</v>
      </c>
      <c r="CU66" s="92">
        <f t="shared" si="55"/>
        <v>2.042094646</v>
      </c>
      <c r="CV66" s="92">
        <f t="shared" si="55"/>
        <v>1.279729887</v>
      </c>
      <c r="CW66" s="92">
        <f t="shared" si="55"/>
        <v>1.569868264</v>
      </c>
      <c r="CX66" s="92">
        <f t="shared" si="55"/>
        <v>1.731423191</v>
      </c>
      <c r="CY66" s="92">
        <f t="shared" si="55"/>
        <v>1.831088641</v>
      </c>
      <c r="CZ66" s="92">
        <f t="shared" si="55"/>
        <v>3.669030801</v>
      </c>
      <c r="DA66" s="92">
        <f t="shared" si="55"/>
        <v>5.193490938</v>
      </c>
      <c r="DB66" s="92">
        <f t="shared" si="55"/>
        <v>4.526012403</v>
      </c>
      <c r="DC66" s="92">
        <f t="shared" si="55"/>
        <v>1.6418655</v>
      </c>
      <c r="DD66" s="92">
        <f t="shared" si="55"/>
        <v>2.47293316</v>
      </c>
      <c r="DE66" s="92">
        <f t="shared" si="55"/>
        <v>1.081826853</v>
      </c>
      <c r="DF66" s="92">
        <f t="shared" si="55"/>
        <v>3.827548985</v>
      </c>
      <c r="DG66" s="92">
        <f t="shared" si="55"/>
        <v>2.931934918</v>
      </c>
      <c r="DH66" s="92">
        <f t="shared" si="55"/>
        <v>2.324620144</v>
      </c>
      <c r="DI66" s="92">
        <f t="shared" si="55"/>
        <v>0.7962986405</v>
      </c>
      <c r="DJ66" s="92">
        <f t="shared" si="55"/>
        <v>6.045717464</v>
      </c>
      <c r="DK66" s="92">
        <f t="shared" si="55"/>
        <v>2.274742433</v>
      </c>
      <c r="DL66" s="92">
        <f t="shared" si="55"/>
        <v>1.122084693</v>
      </c>
      <c r="DM66" s="92">
        <f t="shared" si="55"/>
        <v>1.802068758</v>
      </c>
      <c r="DN66" s="92">
        <f t="shared" si="55"/>
        <v>0.7453859401</v>
      </c>
      <c r="DO66" s="92">
        <f t="shared" si="55"/>
        <v>2.078908422</v>
      </c>
      <c r="DP66" s="92">
        <f t="shared" si="55"/>
        <v>1.35836557</v>
      </c>
      <c r="DQ66" s="92">
        <f t="shared" si="55"/>
        <v>2.637882866</v>
      </c>
      <c r="DR66" s="92">
        <f t="shared" si="55"/>
        <v>3.91557363</v>
      </c>
      <c r="DS66" s="92">
        <f t="shared" si="55"/>
        <v>2.728297164</v>
      </c>
      <c r="DT66" s="92">
        <f t="shared" si="55"/>
        <v>4.635328878</v>
      </c>
      <c r="DU66" s="92">
        <f t="shared" si="55"/>
        <v>1.764892099</v>
      </c>
      <c r="DV66" s="92">
        <f t="shared" si="55"/>
        <v>2.652253289</v>
      </c>
      <c r="DW66" s="92">
        <f t="shared" si="55"/>
        <v>3.98444623</v>
      </c>
      <c r="DX66" s="92">
        <f t="shared" si="55"/>
        <v>2.314259488</v>
      </c>
      <c r="DY66" s="92">
        <f t="shared" si="55"/>
        <v>1.736843784</v>
      </c>
      <c r="DZ66" s="92">
        <f t="shared" si="55"/>
        <v>1.62754548</v>
      </c>
      <c r="EA66" s="92">
        <f t="shared" si="55"/>
        <v>2.769654362</v>
      </c>
      <c r="EB66" s="92">
        <f t="shared" si="55"/>
        <v>1.586200077</v>
      </c>
      <c r="EC66" s="92">
        <f t="shared" si="55"/>
        <v>2.815735522</v>
      </c>
      <c r="ED66" s="92">
        <f t="shared" si="55"/>
        <v>2.302644463</v>
      </c>
      <c r="EE66" s="92">
        <f t="shared" si="55"/>
        <v>1.967637393</v>
      </c>
      <c r="EF66" s="92">
        <f t="shared" si="55"/>
        <v>9.331566504</v>
      </c>
      <c r="EG66" s="92">
        <f t="shared" si="55"/>
        <v>2.805175817</v>
      </c>
      <c r="EH66" s="92">
        <f t="shared" si="55"/>
        <v>3.289004721</v>
      </c>
      <c r="EI66" s="92">
        <f t="shared" si="55"/>
        <v>3.470394764</v>
      </c>
      <c r="EJ66" s="92">
        <f t="shared" si="55"/>
        <v>1.304733331</v>
      </c>
      <c r="EK66" s="92">
        <f t="shared" si="55"/>
        <v>3.381101168</v>
      </c>
      <c r="EL66" s="92">
        <f t="shared" si="55"/>
        <v>2.439170603</v>
      </c>
      <c r="EM66" s="92">
        <f t="shared" si="55"/>
        <v>0.7179103784</v>
      </c>
      <c r="EN66" s="92">
        <f t="shared" si="55"/>
        <v>1.806900039</v>
      </c>
      <c r="EO66" s="92">
        <f t="shared" si="55"/>
        <v>2.174702988</v>
      </c>
      <c r="EP66" s="92">
        <f t="shared" si="55"/>
        <v>0.9819473503</v>
      </c>
      <c r="EQ66" s="92">
        <f t="shared" si="55"/>
        <v>2.898891009</v>
      </c>
      <c r="ER66" s="92">
        <f t="shared" si="55"/>
        <v>2.407329809</v>
      </c>
      <c r="ES66" s="92">
        <f t="shared" si="55"/>
        <v>2.510345437</v>
      </c>
      <c r="ET66" s="92">
        <f t="shared" si="55"/>
        <v>1.713796819</v>
      </c>
      <c r="EU66" s="92">
        <f t="shared" si="55"/>
        <v>5.526503666</v>
      </c>
      <c r="EV66" s="92">
        <f t="shared" si="55"/>
        <v>1.778558263</v>
      </c>
      <c r="EW66" s="92">
        <f t="shared" si="55"/>
        <v>1.684432503</v>
      </c>
      <c r="EX66" s="92">
        <f t="shared" si="55"/>
        <v>1.088271427</v>
      </c>
      <c r="EY66" s="92">
        <f t="shared" si="55"/>
        <v>5.275126247</v>
      </c>
      <c r="EZ66" s="92">
        <f t="shared" si="55"/>
        <v>3.116504452</v>
      </c>
      <c r="FA66" s="92">
        <f t="shared" si="55"/>
        <v>4.898356987</v>
      </c>
      <c r="FB66" s="92">
        <f t="shared" si="55"/>
        <v>8.06954254</v>
      </c>
      <c r="FC66" s="92">
        <f t="shared" si="55"/>
        <v>2.229963277</v>
      </c>
      <c r="FD66" s="92">
        <f t="shared" si="55"/>
        <v>0.8283264608</v>
      </c>
      <c r="FE66" s="92">
        <f t="shared" si="55"/>
        <v>1.403730729</v>
      </c>
      <c r="FF66" s="92">
        <f t="shared" si="55"/>
        <v>1.058413111</v>
      </c>
      <c r="FG66" s="92">
        <f t="shared" si="55"/>
        <v>1.396421187</v>
      </c>
      <c r="FH66" s="92">
        <f t="shared" si="55"/>
        <v>3.715208817</v>
      </c>
      <c r="FI66" s="92">
        <f t="shared" si="55"/>
        <v>1.394554492</v>
      </c>
      <c r="FJ66" s="92">
        <f t="shared" si="55"/>
        <v>1.131759227</v>
      </c>
      <c r="FK66" s="92">
        <f t="shared" si="55"/>
        <v>1.767699452</v>
      </c>
      <c r="FL66" s="92">
        <f t="shared" si="55"/>
        <v>2.818998107</v>
      </c>
      <c r="FM66" s="92">
        <f t="shared" si="55"/>
        <v>5.129057827</v>
      </c>
      <c r="FN66" s="92">
        <f t="shared" si="55"/>
        <v>2.466503218</v>
      </c>
      <c r="FO66" s="92">
        <f t="shared" si="55"/>
        <v>4.189247501</v>
      </c>
      <c r="FP66" s="92">
        <f t="shared" si="55"/>
        <v>2.443008205</v>
      </c>
      <c r="FQ66" s="92">
        <f t="shared" si="55"/>
        <v>3.484917195</v>
      </c>
      <c r="FR66" s="92">
        <f t="shared" si="55"/>
        <v>2.722378615</v>
      </c>
      <c r="FS66" s="92">
        <f t="shared" si="55"/>
        <v>2.070513214</v>
      </c>
      <c r="FT66" s="92">
        <f t="shared" si="55"/>
        <v>2.601903856</v>
      </c>
      <c r="FU66" s="92">
        <f t="shared" si="55"/>
        <v>1.894788266</v>
      </c>
      <c r="FV66" s="92">
        <f t="shared" si="55"/>
        <v>2.765635299</v>
      </c>
      <c r="FW66" s="92">
        <f t="shared" si="55"/>
        <v>2.24644919</v>
      </c>
      <c r="FX66" s="92">
        <f t="shared" si="55"/>
        <v>1.58499869</v>
      </c>
      <c r="FY66" s="92">
        <f t="shared" si="55"/>
        <v>1.663679956</v>
      </c>
      <c r="FZ66" s="92">
        <f t="shared" si="55"/>
        <v>2.041984427</v>
      </c>
      <c r="GA66" s="92">
        <f t="shared" si="55"/>
        <v>1.697985255</v>
      </c>
      <c r="GB66" s="92">
        <f t="shared" si="55"/>
        <v>1.228751753</v>
      </c>
      <c r="GC66" s="92">
        <f t="shared" si="55"/>
        <v>2.842582016</v>
      </c>
      <c r="GD66" s="92">
        <f t="shared" si="55"/>
        <v>1.061734572</v>
      </c>
      <c r="GE66" s="92">
        <f t="shared" si="55"/>
        <v>1.150417848</v>
      </c>
      <c r="GF66" s="92">
        <f t="shared" si="55"/>
        <v>5.677749689</v>
      </c>
      <c r="GG66" s="92">
        <f t="shared" si="55"/>
        <v>1.007115687</v>
      </c>
      <c r="GH66" s="92">
        <f t="shared" si="55"/>
        <v>2.626358472</v>
      </c>
      <c r="GI66" s="92">
        <f t="shared" si="55"/>
        <v>1.583233969</v>
      </c>
      <c r="GJ66" s="92">
        <f t="shared" si="55"/>
        <v>3.681314701</v>
      </c>
      <c r="GK66" s="92">
        <f t="shared" si="55"/>
        <v>3.741249768</v>
      </c>
      <c r="GL66" s="92">
        <f t="shared" si="55"/>
        <v>1.721051608</v>
      </c>
      <c r="GM66" s="92">
        <f t="shared" si="55"/>
        <v>4.274528733</v>
      </c>
      <c r="GN66" s="92">
        <f t="shared" si="55"/>
        <v>7.577223798</v>
      </c>
      <c r="GO66" s="92">
        <f t="shared" si="55"/>
        <v>1.071339477</v>
      </c>
      <c r="GP66" s="92">
        <f t="shared" si="55"/>
        <v>2.359614823</v>
      </c>
      <c r="GQ66" s="92">
        <f t="shared" si="55"/>
        <v>3.044308232</v>
      </c>
      <c r="GR66" s="92">
        <f t="shared" si="55"/>
        <v>1.820143953</v>
      </c>
      <c r="GS66" s="92">
        <f t="shared" si="55"/>
        <v>3.517162411</v>
      </c>
      <c r="GT66" s="92">
        <f t="shared" si="55"/>
        <v>1.171426998</v>
      </c>
      <c r="GU66" s="92">
        <f t="shared" si="55"/>
        <v>3.630188594</v>
      </c>
      <c r="GV66" s="92">
        <f t="shared" si="55"/>
        <v>3.89131152</v>
      </c>
      <c r="GW66" s="92">
        <f t="shared" si="55"/>
        <v>0.9132548229</v>
      </c>
      <c r="GX66" s="92">
        <f t="shared" si="55"/>
        <v>2.106944981</v>
      </c>
      <c r="GY66" s="92">
        <f t="shared" si="55"/>
        <v>1.976485693</v>
      </c>
      <c r="GZ66" s="92">
        <f t="shared" si="55"/>
        <v>3.574116209</v>
      </c>
      <c r="HA66" s="92">
        <f t="shared" si="55"/>
        <v>1.812939843</v>
      </c>
      <c r="HB66" s="92">
        <f t="shared" si="55"/>
        <v>1.568054637</v>
      </c>
      <c r="HC66" s="92">
        <f t="shared" si="55"/>
        <v>3.587759605</v>
      </c>
      <c r="HD66" s="92">
        <f t="shared" si="55"/>
        <v>1.972392047</v>
      </c>
      <c r="HE66" s="92">
        <f t="shared" si="55"/>
        <v>3.878048063</v>
      </c>
      <c r="HF66" s="92">
        <f t="shared" si="55"/>
        <v>0.8670653084</v>
      </c>
      <c r="HG66" s="92">
        <f t="shared" si="55"/>
        <v>1.344788466</v>
      </c>
      <c r="HH66" s="92">
        <f t="shared" si="55"/>
        <v>3.514606158</v>
      </c>
      <c r="HI66" s="92">
        <f t="shared" si="55"/>
        <v>1.812597858</v>
      </c>
      <c r="HJ66" s="92">
        <f t="shared" si="55"/>
        <v>2.047957685</v>
      </c>
      <c r="HK66" s="92">
        <f t="shared" si="55"/>
        <v>1.171997248</v>
      </c>
      <c r="HL66" s="92">
        <f t="shared" si="55"/>
        <v>2.051172986</v>
      </c>
      <c r="HM66" s="92">
        <f t="shared" si="55"/>
        <v>4.708233775</v>
      </c>
      <c r="HN66" s="92">
        <f t="shared" si="55"/>
        <v>1.300148243</v>
      </c>
      <c r="HO66" s="92">
        <f t="shared" si="55"/>
        <v>0.9169839603</v>
      </c>
      <c r="HP66" s="92">
        <f t="shared" si="55"/>
        <v>3.581245224</v>
      </c>
      <c r="HQ66" s="92">
        <f t="shared" si="55"/>
        <v>1.009282496</v>
      </c>
      <c r="HR66" s="92">
        <f t="shared" si="55"/>
        <v>4.589802389</v>
      </c>
      <c r="HS66" s="92">
        <f t="shared" si="55"/>
        <v>3.524805053</v>
      </c>
      <c r="HT66" s="92">
        <f t="shared" si="55"/>
        <v>1.778108003</v>
      </c>
      <c r="HU66" s="92">
        <f t="shared" si="55"/>
        <v>3.766627093</v>
      </c>
      <c r="HV66" s="92">
        <f t="shared" si="55"/>
        <v>4.691671852</v>
      </c>
      <c r="HW66" s="92">
        <f t="shared" si="55"/>
        <v>2.001380503</v>
      </c>
      <c r="HX66" s="92">
        <f t="shared" si="55"/>
        <v>1.153707576</v>
      </c>
      <c r="HY66" s="92">
        <f t="shared" si="55"/>
        <v>3.178738093</v>
      </c>
      <c r="HZ66" s="92">
        <f t="shared" si="55"/>
        <v>2.499865425</v>
      </c>
      <c r="IA66" s="92">
        <f t="shared" si="55"/>
        <v>1.851085788</v>
      </c>
      <c r="IB66" s="92">
        <f t="shared" si="55"/>
        <v>3.433328507</v>
      </c>
      <c r="IC66" s="92">
        <f t="shared" si="55"/>
        <v>1.004481264</v>
      </c>
      <c r="ID66" s="92">
        <f t="shared" si="55"/>
        <v>1.80032973</v>
      </c>
      <c r="IE66" s="92">
        <f t="shared" si="55"/>
        <v>2.24007671</v>
      </c>
      <c r="IF66" s="92">
        <f t="shared" si="55"/>
        <v>3.834305844</v>
      </c>
      <c r="IG66" s="92">
        <f t="shared" si="55"/>
        <v>10.30995473</v>
      </c>
      <c r="IH66" s="92">
        <f t="shared" si="55"/>
        <v>2.444396179</v>
      </c>
      <c r="II66" s="92">
        <f t="shared" si="55"/>
        <v>2.772885574</v>
      </c>
      <c r="IJ66" s="92">
        <f t="shared" si="55"/>
        <v>1.428158073</v>
      </c>
      <c r="IK66" s="92">
        <f t="shared" si="55"/>
        <v>2.333702091</v>
      </c>
      <c r="IL66" s="92">
        <f t="shared" si="55"/>
        <v>3.768092179</v>
      </c>
      <c r="IM66" s="92">
        <f t="shared" si="55"/>
        <v>2.150547439</v>
      </c>
      <c r="IN66" s="92">
        <f t="shared" si="55"/>
        <v>0.9560221803</v>
      </c>
      <c r="IO66" s="92">
        <f t="shared" si="55"/>
        <v>1.609883886</v>
      </c>
      <c r="IP66" s="92">
        <f t="shared" si="55"/>
        <v>2.80348487</v>
      </c>
      <c r="IQ66" s="92">
        <f t="shared" si="55"/>
        <v>1.204316246</v>
      </c>
      <c r="IR66" s="92">
        <f t="shared" si="55"/>
        <v>3.511585217</v>
      </c>
      <c r="IS66" s="92">
        <f t="shared" si="55"/>
        <v>3.009298981</v>
      </c>
      <c r="IT66" s="92">
        <f t="shared" si="55"/>
        <v>2.594559737</v>
      </c>
      <c r="IU66" s="92">
        <f t="shared" si="55"/>
        <v>1.429232696</v>
      </c>
      <c r="IV66" s="92">
        <f t="shared" si="55"/>
        <v>3.704432397</v>
      </c>
      <c r="IW66" s="92">
        <f t="shared" si="55"/>
        <v>1.07187479</v>
      </c>
      <c r="IX66" s="92">
        <f t="shared" si="55"/>
        <v>1.286619496</v>
      </c>
      <c r="IY66" s="92">
        <f t="shared" si="55"/>
        <v>3.254227291</v>
      </c>
      <c r="IZ66" s="92">
        <f t="shared" si="55"/>
        <v>2.562341573</v>
      </c>
      <c r="JA66" s="92">
        <f t="shared" si="55"/>
        <v>1.590374939</v>
      </c>
      <c r="JB66" s="92">
        <f t="shared" si="55"/>
        <v>2.2022947</v>
      </c>
      <c r="JC66" s="92">
        <f t="shared" si="55"/>
        <v>2.305398718</v>
      </c>
      <c r="JD66" s="92">
        <f t="shared" si="55"/>
        <v>2.688845964</v>
      </c>
      <c r="JE66" s="92">
        <f t="shared" si="55"/>
        <v>1.084596664</v>
      </c>
      <c r="JF66" s="92">
        <f t="shared" si="55"/>
        <v>1.270838451</v>
      </c>
      <c r="JG66" s="92">
        <f t="shared" si="55"/>
        <v>3.162899726</v>
      </c>
      <c r="JH66" s="92">
        <f t="shared" si="55"/>
        <v>2.556382135</v>
      </c>
      <c r="JI66" s="92">
        <f t="shared" si="55"/>
        <v>2.210318773</v>
      </c>
      <c r="JJ66" s="92">
        <f t="shared" si="55"/>
        <v>3.12769724</v>
      </c>
      <c r="JK66" s="92">
        <f t="shared" si="55"/>
        <v>4.433078087</v>
      </c>
      <c r="JL66" s="92">
        <f t="shared" si="55"/>
        <v>1.640615114</v>
      </c>
      <c r="JM66" s="92">
        <f t="shared" si="55"/>
        <v>1.228469787</v>
      </c>
      <c r="JN66" s="92">
        <f t="shared" si="55"/>
        <v>4.16886002</v>
      </c>
      <c r="JO66" s="92">
        <f t="shared" si="55"/>
        <v>4.505723931</v>
      </c>
      <c r="JP66" s="92">
        <f t="shared" si="55"/>
        <v>3.417850096</v>
      </c>
      <c r="JQ66" s="92">
        <f t="shared" si="55"/>
        <v>1.46262627</v>
      </c>
      <c r="JR66" s="92">
        <f t="shared" si="55"/>
        <v>2.233293995</v>
      </c>
      <c r="JS66" s="92">
        <f t="shared" si="55"/>
        <v>3.361305294</v>
      </c>
      <c r="JT66" s="92">
        <f t="shared" si="55"/>
        <v>2.393284467</v>
      </c>
      <c r="JU66" s="92">
        <f t="shared" si="55"/>
        <v>1.274747876</v>
      </c>
      <c r="JV66" s="92">
        <f t="shared" si="55"/>
        <v>2.25374826</v>
      </c>
      <c r="JW66" s="92">
        <f t="shared" si="55"/>
        <v>1.734497628</v>
      </c>
      <c r="JX66" s="92">
        <f t="shared" si="55"/>
        <v>1.151461247</v>
      </c>
      <c r="JY66" s="92">
        <f t="shared" si="55"/>
        <v>3.927057247</v>
      </c>
      <c r="JZ66" s="92">
        <f t="shared" si="55"/>
        <v>6.814148196</v>
      </c>
      <c r="KA66" s="92">
        <f t="shared" si="55"/>
        <v>4.278449893</v>
      </c>
      <c r="KB66" s="92">
        <f t="shared" si="55"/>
        <v>1.338297213</v>
      </c>
      <c r="KC66" s="92">
        <f t="shared" si="55"/>
        <v>1.944146235</v>
      </c>
      <c r="KD66" s="92">
        <f t="shared" si="55"/>
        <v>3.741844498</v>
      </c>
      <c r="KE66" s="92">
        <f t="shared" si="55"/>
        <v>5.941667061</v>
      </c>
      <c r="KF66" s="92">
        <f t="shared" si="55"/>
        <v>1.860968591</v>
      </c>
      <c r="KG66" s="92">
        <f t="shared" si="55"/>
        <v>0.9409414909</v>
      </c>
      <c r="KH66" s="92">
        <f t="shared" si="55"/>
        <v>1.831290055</v>
      </c>
      <c r="KI66" s="92">
        <f t="shared" si="55"/>
        <v>1.424355035</v>
      </c>
      <c r="KJ66" s="92">
        <f t="shared" si="55"/>
        <v>2.421840231</v>
      </c>
      <c r="KK66" s="92">
        <f t="shared" si="55"/>
        <v>1.871385916</v>
      </c>
      <c r="KL66" s="92">
        <f t="shared" si="55"/>
        <v>1.331974817</v>
      </c>
      <c r="KM66" s="92">
        <f t="shared" si="55"/>
        <v>1.724119092</v>
      </c>
      <c r="KN66" s="92">
        <f t="shared" si="55"/>
        <v>5.645171579</v>
      </c>
      <c r="KO66" s="92">
        <f t="shared" si="55"/>
        <v>2.498239313</v>
      </c>
      <c r="KP66" s="92">
        <f t="shared" si="55"/>
        <v>2.224298445</v>
      </c>
      <c r="KQ66" s="92">
        <f t="shared" si="55"/>
        <v>3.170343342</v>
      </c>
      <c r="KR66" s="92">
        <f t="shared" si="55"/>
        <v>1.037916865</v>
      </c>
      <c r="KS66" s="92">
        <f t="shared" si="55"/>
        <v>1.393619268</v>
      </c>
      <c r="KT66" s="92">
        <f t="shared" si="55"/>
        <v>2.285469077</v>
      </c>
      <c r="KU66" s="92">
        <f t="shared" si="55"/>
        <v>2.189821922</v>
      </c>
      <c r="KV66" s="92">
        <f t="shared" si="55"/>
        <v>2.799010933</v>
      </c>
      <c r="KW66" s="92">
        <f t="shared" si="55"/>
        <v>2.034292914</v>
      </c>
      <c r="KX66" s="92">
        <f t="shared" si="55"/>
        <v>7.100082556</v>
      </c>
      <c r="KY66" s="92">
        <f t="shared" si="55"/>
        <v>3.119216428</v>
      </c>
      <c r="KZ66" s="92">
        <f t="shared" si="55"/>
        <v>2.061273558</v>
      </c>
      <c r="LA66" s="92">
        <f t="shared" si="55"/>
        <v>1.437987673</v>
      </c>
      <c r="LB66" s="92">
        <f t="shared" si="55"/>
        <v>5.305297559</v>
      </c>
      <c r="LC66" s="92">
        <f t="shared" si="55"/>
        <v>2.958721174</v>
      </c>
      <c r="LD66" s="92">
        <f t="shared" si="55"/>
        <v>3.435372928</v>
      </c>
      <c r="LE66" s="92">
        <f t="shared" si="55"/>
        <v>2.221091025</v>
      </c>
      <c r="LF66" s="92">
        <f t="shared" si="55"/>
        <v>1.772361963</v>
      </c>
      <c r="LG66" s="92">
        <f t="shared" si="55"/>
        <v>2.12559056</v>
      </c>
      <c r="LH66" s="92">
        <f t="shared" si="55"/>
        <v>2.23384652</v>
      </c>
      <c r="LI66" s="92">
        <f t="shared" si="55"/>
        <v>5.387465205</v>
      </c>
      <c r="LJ66" s="92">
        <f t="shared" si="55"/>
        <v>2.940539347</v>
      </c>
      <c r="LK66" s="92">
        <f t="shared" si="55"/>
        <v>4.498055785</v>
      </c>
      <c r="LL66" s="92">
        <f t="shared" si="55"/>
        <v>1.942487585</v>
      </c>
      <c r="LM66" s="92">
        <f t="shared" si="55"/>
        <v>2.871242392</v>
      </c>
      <c r="LN66" s="92">
        <f t="shared" si="55"/>
        <v>3.201945206</v>
      </c>
      <c r="LO66" s="92">
        <f t="shared" si="55"/>
        <v>1.450806841</v>
      </c>
      <c r="LP66" s="92">
        <f t="shared" si="55"/>
        <v>1.034586469</v>
      </c>
      <c r="LQ66" s="92">
        <f t="shared" si="55"/>
        <v>2.140803979</v>
      </c>
      <c r="LR66" s="92">
        <f t="shared" si="55"/>
        <v>3.196193167</v>
      </c>
      <c r="LS66" s="92">
        <f t="shared" si="55"/>
        <v>4.432614285</v>
      </c>
      <c r="LT66" s="92">
        <f t="shared" si="55"/>
        <v>1.592949157</v>
      </c>
      <c r="LU66" s="92">
        <f t="shared" si="55"/>
        <v>1.488950907</v>
      </c>
      <c r="LV66" s="92">
        <f t="shared" si="55"/>
        <v>1.710719237</v>
      </c>
      <c r="LW66" s="92">
        <f t="shared" si="55"/>
        <v>0.9834703625</v>
      </c>
      <c r="LX66" s="92">
        <f t="shared" si="55"/>
        <v>1.56617628</v>
      </c>
      <c r="LY66" s="92">
        <f t="shared" si="55"/>
        <v>3.966979978</v>
      </c>
      <c r="LZ66" s="92">
        <f t="shared" si="55"/>
        <v>1.328399582</v>
      </c>
      <c r="MA66" s="92">
        <f t="shared" si="55"/>
        <v>1.910945315</v>
      </c>
      <c r="MB66" s="92">
        <f t="shared" si="55"/>
        <v>9.957085023</v>
      </c>
      <c r="MC66" s="92">
        <f t="shared" si="55"/>
        <v>4.776976791</v>
      </c>
      <c r="MD66" s="92">
        <f t="shared" si="55"/>
        <v>2.020861106</v>
      </c>
      <c r="ME66" s="92">
        <f t="shared" si="55"/>
        <v>2.630960866</v>
      </c>
      <c r="MF66" s="92">
        <f t="shared" si="55"/>
        <v>1.049525306</v>
      </c>
      <c r="MG66" s="92">
        <f t="shared" si="55"/>
        <v>2.222834458</v>
      </c>
      <c r="MH66" s="92">
        <f t="shared" si="55"/>
        <v>2.286800524</v>
      </c>
      <c r="MI66" s="92">
        <f t="shared" si="55"/>
        <v>3.590804801</v>
      </c>
      <c r="MJ66" s="92">
        <f t="shared" si="55"/>
        <v>1.779731</v>
      </c>
      <c r="MK66" s="92">
        <f t="shared" si="55"/>
        <v>0.8011154647</v>
      </c>
      <c r="ML66" s="92">
        <f t="shared" si="55"/>
        <v>2.021208556</v>
      </c>
      <c r="MM66" s="92">
        <f t="shared" si="55"/>
        <v>1.572391841</v>
      </c>
      <c r="MN66" s="92">
        <f t="shared" si="55"/>
        <v>4.32626634</v>
      </c>
      <c r="MO66" s="92">
        <f t="shared" si="55"/>
        <v>3.765649599</v>
      </c>
      <c r="MP66" s="92">
        <f t="shared" si="55"/>
        <v>4.355699051</v>
      </c>
      <c r="MQ66" s="92">
        <f t="shared" si="55"/>
        <v>1.437050171</v>
      </c>
      <c r="MR66" s="92">
        <f t="shared" si="55"/>
        <v>1.570649832</v>
      </c>
      <c r="MS66" s="92">
        <f t="shared" si="55"/>
        <v>2.042601416</v>
      </c>
      <c r="MT66" s="92">
        <f t="shared" si="55"/>
        <v>3.123326892</v>
      </c>
      <c r="MU66" s="92">
        <f t="shared" si="55"/>
        <v>2.522411336</v>
      </c>
      <c r="MV66" s="92">
        <f t="shared" si="55"/>
        <v>3.436187933</v>
      </c>
      <c r="MW66" s="92">
        <f t="shared" si="55"/>
        <v>1.480119852</v>
      </c>
      <c r="MX66" s="92">
        <f t="shared" si="55"/>
        <v>3.148342367</v>
      </c>
      <c r="MY66" s="92">
        <f t="shared" si="55"/>
        <v>1.641904279</v>
      </c>
      <c r="MZ66" s="92">
        <f t="shared" si="55"/>
        <v>1.657964281</v>
      </c>
      <c r="NA66" s="92">
        <f t="shared" si="55"/>
        <v>7.635135945</v>
      </c>
      <c r="NB66" s="92">
        <f t="shared" si="55"/>
        <v>3.487091261</v>
      </c>
      <c r="NC66" s="92">
        <f t="shared" si="55"/>
        <v>2.858587244</v>
      </c>
      <c r="ND66" s="92">
        <f t="shared" si="55"/>
        <v>2.874304581</v>
      </c>
      <c r="NE66" s="92">
        <f t="shared" si="55"/>
        <v>2.305235889</v>
      </c>
      <c r="NF66" s="92">
        <f t="shared" si="55"/>
        <v>0.8821825411</v>
      </c>
      <c r="NG66" s="92">
        <f t="shared" si="55"/>
        <v>5.201728713</v>
      </c>
      <c r="NH66" s="92">
        <f t="shared" si="55"/>
        <v>1.410854975</v>
      </c>
      <c r="NI66" s="92">
        <f t="shared" si="55"/>
        <v>3.391075823</v>
      </c>
      <c r="NJ66" s="92">
        <f t="shared" si="55"/>
        <v>1.585373307</v>
      </c>
      <c r="NK66" s="92">
        <f t="shared" si="55"/>
        <v>3.69700956</v>
      </c>
      <c r="NL66" s="92">
        <f t="shared" si="55"/>
        <v>3.238980387</v>
      </c>
      <c r="NM66" s="92">
        <f t="shared" si="55"/>
        <v>4.907227957</v>
      </c>
      <c r="NN66" s="92">
        <f t="shared" si="55"/>
        <v>0.9835417284</v>
      </c>
      <c r="NO66" s="92">
        <f t="shared" si="55"/>
        <v>3.485997889</v>
      </c>
      <c r="NP66" s="92">
        <f t="shared" si="55"/>
        <v>7.177117867</v>
      </c>
      <c r="NQ66" s="92">
        <f t="shared" si="55"/>
        <v>1.829469593</v>
      </c>
      <c r="NR66" s="92">
        <f t="shared" si="55"/>
        <v>1.797737868</v>
      </c>
      <c r="NS66" s="92">
        <f t="shared" si="55"/>
        <v>2.774137483</v>
      </c>
      <c r="NT66" s="92">
        <f t="shared" si="55"/>
        <v>6.670024015</v>
      </c>
      <c r="NU66" s="92">
        <f t="shared" si="55"/>
        <v>2.369166533</v>
      </c>
      <c r="NV66" s="92">
        <f t="shared" si="55"/>
        <v>2.232712508</v>
      </c>
      <c r="NW66" s="92">
        <f t="shared" si="55"/>
        <v>5.50387669</v>
      </c>
      <c r="NX66" s="92">
        <f t="shared" si="55"/>
        <v>1.846729122</v>
      </c>
      <c r="NY66" s="92">
        <f t="shared" si="55"/>
        <v>2.063957684</v>
      </c>
      <c r="NZ66" s="92">
        <f t="shared" si="55"/>
        <v>1.422945024</v>
      </c>
      <c r="OA66" s="92">
        <f t="shared" si="55"/>
        <v>2.428749012</v>
      </c>
      <c r="OB66" s="92">
        <f t="shared" si="55"/>
        <v>2.981527634</v>
      </c>
      <c r="OC66" s="92">
        <f t="shared" si="55"/>
        <v>1.487287355</v>
      </c>
      <c r="OD66" s="92">
        <f t="shared" si="55"/>
        <v>3.203657326</v>
      </c>
      <c r="OE66" s="92">
        <f t="shared" si="55"/>
        <v>1.347745838</v>
      </c>
      <c r="OF66" s="92">
        <f t="shared" si="55"/>
        <v>2.575928066</v>
      </c>
      <c r="OG66" s="92">
        <f t="shared" si="55"/>
        <v>1.655873281</v>
      </c>
      <c r="OH66" s="92">
        <f t="shared" si="55"/>
        <v>1.940789709</v>
      </c>
      <c r="OI66" s="92">
        <f t="shared" si="55"/>
        <v>3.927778818</v>
      </c>
      <c r="OJ66" s="92">
        <f t="shared" si="55"/>
        <v>1.371217576</v>
      </c>
      <c r="OK66" s="92">
        <f t="shared" si="55"/>
        <v>1.661211494</v>
      </c>
      <c r="OL66" s="92">
        <f t="shared" si="55"/>
        <v>1.242818708</v>
      </c>
      <c r="OM66" s="92">
        <f t="shared" si="55"/>
        <v>1.354969458</v>
      </c>
      <c r="ON66" s="92">
        <f t="shared" si="55"/>
        <v>4.456835293</v>
      </c>
      <c r="OO66" s="92">
        <f t="shared" si="55"/>
        <v>0.7366031581</v>
      </c>
      <c r="OP66" s="92">
        <f t="shared" si="55"/>
        <v>1.685908278</v>
      </c>
      <c r="OQ66" s="92">
        <f t="shared" si="55"/>
        <v>2.551036051</v>
      </c>
      <c r="OR66" s="92">
        <f t="shared" si="55"/>
        <v>3.382804789</v>
      </c>
      <c r="OS66" s="92">
        <f t="shared" si="55"/>
        <v>1.372651928</v>
      </c>
      <c r="OT66" s="92">
        <f t="shared" si="55"/>
        <v>3.282760781</v>
      </c>
      <c r="OU66" s="92">
        <f t="shared" si="55"/>
        <v>2.012690299</v>
      </c>
      <c r="OV66" s="92">
        <f t="shared" si="55"/>
        <v>3.133836169</v>
      </c>
      <c r="OW66" s="92">
        <f t="shared" si="55"/>
        <v>1.488287632</v>
      </c>
      <c r="OX66" s="92">
        <f t="shared" si="55"/>
        <v>1.688490421</v>
      </c>
      <c r="OY66" s="92">
        <f t="shared" si="55"/>
        <v>1.918819881</v>
      </c>
      <c r="OZ66" s="92">
        <f t="shared" si="55"/>
        <v>2.596966598</v>
      </c>
      <c r="PA66" s="92">
        <f t="shared" si="55"/>
        <v>1.870464496</v>
      </c>
      <c r="PB66" s="92">
        <f t="shared" si="55"/>
        <v>2.857176047</v>
      </c>
      <c r="PC66" s="92">
        <f t="shared" si="55"/>
        <v>3.110408976</v>
      </c>
      <c r="PD66" s="92">
        <f t="shared" si="55"/>
        <v>0.8506191368</v>
      </c>
      <c r="PE66" s="92">
        <f t="shared" si="55"/>
        <v>1.895550999</v>
      </c>
      <c r="PF66" s="92">
        <f t="shared" si="55"/>
        <v>3.803745429</v>
      </c>
      <c r="PG66" s="92">
        <f t="shared" si="55"/>
        <v>1.790441272</v>
      </c>
      <c r="PH66" s="92">
        <f t="shared" si="55"/>
        <v>1.796295654</v>
      </c>
      <c r="PI66" s="92">
        <f t="shared" si="55"/>
        <v>1.849794782</v>
      </c>
      <c r="PJ66" s="92">
        <f t="shared" si="55"/>
        <v>0.9978738562</v>
      </c>
      <c r="PK66" s="92">
        <f t="shared" si="55"/>
        <v>2.501483042</v>
      </c>
      <c r="PL66" s="92">
        <f t="shared" si="55"/>
        <v>2.281370241</v>
      </c>
      <c r="PM66" s="92">
        <f t="shared" si="55"/>
        <v>1.25327425</v>
      </c>
      <c r="PN66" s="92">
        <f t="shared" si="55"/>
        <v>0.8970552556</v>
      </c>
      <c r="PO66" s="92">
        <f t="shared" si="55"/>
        <v>1.199028149</v>
      </c>
      <c r="PP66" s="92">
        <f t="shared" si="55"/>
        <v>1.085446525</v>
      </c>
      <c r="PQ66" s="92">
        <f t="shared" si="55"/>
        <v>4.687985513</v>
      </c>
      <c r="PR66" s="92">
        <f t="shared" si="55"/>
        <v>3.962327706</v>
      </c>
      <c r="PS66" s="92">
        <f t="shared" si="55"/>
        <v>1.039427699</v>
      </c>
      <c r="PT66" s="92">
        <f t="shared" si="55"/>
        <v>1.879555735</v>
      </c>
      <c r="PU66" s="92">
        <f t="shared" si="55"/>
        <v>1.173609217</v>
      </c>
      <c r="PV66" s="92">
        <f t="shared" si="55"/>
        <v>1.862064578</v>
      </c>
      <c r="PW66" s="92">
        <f t="shared" si="55"/>
        <v>3.997883888</v>
      </c>
      <c r="PX66" s="92">
        <f t="shared" si="55"/>
        <v>3.089362391</v>
      </c>
      <c r="PY66" s="92">
        <f t="shared" si="55"/>
        <v>4.739490909</v>
      </c>
      <c r="PZ66" s="92">
        <f t="shared" si="55"/>
        <v>1.914383589</v>
      </c>
      <c r="QA66" s="92">
        <f t="shared" si="55"/>
        <v>2.709034167</v>
      </c>
      <c r="QB66" s="92">
        <f t="shared" si="55"/>
        <v>1.85458558</v>
      </c>
      <c r="QC66" s="92">
        <f t="shared" si="55"/>
        <v>6.52870229</v>
      </c>
      <c r="QD66" s="92">
        <f t="shared" si="55"/>
        <v>1.576975648</v>
      </c>
      <c r="QE66" s="92">
        <f t="shared" si="55"/>
        <v>4.030647115</v>
      </c>
      <c r="QF66" s="92">
        <f t="shared" si="55"/>
        <v>1.078776103</v>
      </c>
      <c r="QG66" s="92">
        <f t="shared" si="55"/>
        <v>7.002984927</v>
      </c>
      <c r="QH66" s="92">
        <f t="shared" si="55"/>
        <v>2.735969995</v>
      </c>
      <c r="QI66" s="92">
        <f t="shared" si="55"/>
        <v>1.85538977</v>
      </c>
      <c r="QJ66" s="92">
        <f t="shared" si="55"/>
        <v>2.399921435</v>
      </c>
      <c r="QK66" s="92">
        <f t="shared" si="55"/>
        <v>1.794288111</v>
      </c>
      <c r="QL66" s="92">
        <f t="shared" si="55"/>
        <v>1.257206644</v>
      </c>
      <c r="QM66" s="92">
        <f t="shared" si="55"/>
        <v>4.589231324</v>
      </c>
      <c r="QN66" s="92">
        <f t="shared" si="55"/>
        <v>1.191813979</v>
      </c>
      <c r="QO66" s="92">
        <f t="shared" si="55"/>
        <v>1.208583611</v>
      </c>
      <c r="QP66" s="92">
        <f t="shared" si="55"/>
        <v>1.615200353</v>
      </c>
      <c r="QQ66" s="92">
        <f t="shared" si="55"/>
        <v>5.461167492</v>
      </c>
      <c r="QR66" s="92">
        <f t="shared" si="55"/>
        <v>5.316409604</v>
      </c>
      <c r="QS66" s="92">
        <f t="shared" si="55"/>
        <v>2.983326435</v>
      </c>
      <c r="QT66" s="92">
        <f t="shared" si="55"/>
        <v>1.736494539</v>
      </c>
      <c r="QU66" s="92">
        <f t="shared" si="55"/>
        <v>1.318315499</v>
      </c>
      <c r="QV66" s="92">
        <f t="shared" si="55"/>
        <v>3.029167871</v>
      </c>
      <c r="QW66" s="92">
        <f t="shared" si="55"/>
        <v>2.955860045</v>
      </c>
      <c r="QX66" s="92">
        <f t="shared" si="55"/>
        <v>2.289829765</v>
      </c>
      <c r="QY66" s="92">
        <f t="shared" si="55"/>
        <v>1.204861115</v>
      </c>
      <c r="QZ66" s="92">
        <f t="shared" si="55"/>
        <v>2.314450074</v>
      </c>
      <c r="RA66" s="92">
        <f t="shared" si="55"/>
        <v>3.415800564</v>
      </c>
      <c r="RB66" s="92">
        <f t="shared" si="55"/>
        <v>3.134947694</v>
      </c>
      <c r="RC66" s="92">
        <f t="shared" si="55"/>
        <v>1.383144527</v>
      </c>
      <c r="RD66" s="92">
        <f t="shared" si="55"/>
        <v>1.167047974</v>
      </c>
      <c r="RE66" s="92">
        <f t="shared" si="55"/>
        <v>3.225400996</v>
      </c>
      <c r="RF66" s="92">
        <f t="shared" si="55"/>
        <v>2.381495874</v>
      </c>
      <c r="RG66" s="92">
        <f t="shared" si="55"/>
        <v>1.344250396</v>
      </c>
      <c r="RH66" s="92">
        <f t="shared" si="55"/>
        <v>0.9573395367</v>
      </c>
      <c r="RI66" s="92">
        <f t="shared" si="55"/>
        <v>4.479679459</v>
      </c>
      <c r="RJ66" s="92">
        <f t="shared" si="55"/>
        <v>3.012225471</v>
      </c>
      <c r="RK66" s="92">
        <f t="shared" si="55"/>
        <v>5.69876049</v>
      </c>
      <c r="RL66" s="92">
        <f t="shared" si="55"/>
        <v>2.721519429</v>
      </c>
      <c r="RM66" s="92">
        <f t="shared" si="55"/>
        <v>4.324714159</v>
      </c>
      <c r="RN66" s="92">
        <f t="shared" si="55"/>
        <v>3.707402226</v>
      </c>
      <c r="RO66" s="92">
        <f t="shared" si="55"/>
        <v>3.800178865</v>
      </c>
      <c r="RP66" s="92">
        <f t="shared" si="55"/>
        <v>4.667715352</v>
      </c>
      <c r="RQ66" s="92">
        <f t="shared" si="55"/>
        <v>2.140642295</v>
      </c>
      <c r="RR66" s="92">
        <f t="shared" si="55"/>
        <v>3.066721009</v>
      </c>
      <c r="RS66" s="92">
        <f t="shared" si="55"/>
        <v>3.523288081</v>
      </c>
      <c r="RT66" s="92">
        <f t="shared" si="55"/>
        <v>1.765985434</v>
      </c>
      <c r="RU66" s="92">
        <f t="shared" si="55"/>
        <v>1.085420881</v>
      </c>
      <c r="RV66" s="92">
        <f t="shared" si="55"/>
        <v>1.690630652</v>
      </c>
      <c r="RW66" s="92">
        <f t="shared" si="55"/>
        <v>2.4045835</v>
      </c>
      <c r="RX66" s="92">
        <f t="shared" si="55"/>
        <v>1.880706609</v>
      </c>
      <c r="RY66" s="92">
        <f t="shared" si="55"/>
        <v>0.6111748996</v>
      </c>
      <c r="RZ66" s="92">
        <f t="shared" si="55"/>
        <v>2.626890877</v>
      </c>
      <c r="SA66" s="92">
        <f t="shared" si="55"/>
        <v>1.159408714</v>
      </c>
      <c r="SB66" s="92">
        <f t="shared" si="55"/>
        <v>2.221047039</v>
      </c>
      <c r="SC66" s="92">
        <f t="shared" si="55"/>
        <v>2.00556336</v>
      </c>
      <c r="SD66" s="92">
        <f t="shared" si="55"/>
        <v>3.973017186</v>
      </c>
      <c r="SE66" s="92">
        <f t="shared" si="55"/>
        <v>2.111593983</v>
      </c>
      <c r="SF66" s="92">
        <f t="shared" si="55"/>
        <v>1.921594746</v>
      </c>
      <c r="SG66" s="92">
        <f t="shared" si="55"/>
        <v>2.368172867</v>
      </c>
      <c r="SH66" s="92">
        <f t="shared" si="55"/>
        <v>2.475450818</v>
      </c>
      <c r="SI66" s="92">
        <f t="shared" si="55"/>
        <v>2.91322296</v>
      </c>
      <c r="SJ66" s="92">
        <f t="shared" si="55"/>
        <v>1.198264241</v>
      </c>
      <c r="SK66" s="92">
        <f t="shared" si="55"/>
        <v>4.278377855</v>
      </c>
      <c r="SL66" s="92">
        <f t="shared" si="55"/>
        <v>1.738706908</v>
      </c>
    </row>
    <row r="67">
      <c r="B67" s="98"/>
      <c r="C67" s="244"/>
      <c r="D67" s="145"/>
      <c r="E67" s="228"/>
    </row>
    <row r="68">
      <c r="B68" s="98"/>
      <c r="C68" s="244"/>
      <c r="D68" s="145"/>
      <c r="E68" s="228"/>
    </row>
    <row r="69">
      <c r="B69" s="98"/>
      <c r="C69" s="244"/>
      <c r="D69" s="145"/>
      <c r="E69" s="228"/>
    </row>
    <row r="70">
      <c r="B70" s="98"/>
      <c r="C70" s="244"/>
      <c r="D70" s="145"/>
      <c r="E70" s="228"/>
    </row>
    <row r="71">
      <c r="B71" s="98"/>
      <c r="C71" s="244"/>
      <c r="D71" s="145"/>
      <c r="E71" s="228"/>
    </row>
    <row r="72">
      <c r="B72" s="98"/>
      <c r="C72" s="244"/>
      <c r="D72" s="145"/>
      <c r="E72" s="228"/>
    </row>
    <row r="73">
      <c r="B73" s="98"/>
      <c r="C73" s="244"/>
      <c r="D73" s="145"/>
      <c r="E73" s="228"/>
    </row>
    <row r="74">
      <c r="B74" s="98"/>
      <c r="C74" s="244"/>
      <c r="D74" s="145"/>
      <c r="E74" s="228"/>
    </row>
    <row r="75">
      <c r="B75" s="98"/>
      <c r="C75" s="244"/>
      <c r="D75" s="145"/>
      <c r="E75" s="228"/>
    </row>
    <row r="76">
      <c r="B76" s="98"/>
      <c r="C76" s="244"/>
      <c r="D76" s="145"/>
      <c r="E76" s="228"/>
    </row>
    <row r="77">
      <c r="B77" s="98"/>
      <c r="C77" s="244"/>
      <c r="D77" s="145"/>
      <c r="E77" s="228"/>
    </row>
    <row r="78">
      <c r="B78" s="98"/>
      <c r="C78" s="244"/>
      <c r="D78" s="145"/>
      <c r="E78" s="228"/>
    </row>
    <row r="79">
      <c r="B79" s="98"/>
      <c r="C79" s="244"/>
      <c r="D79" s="145"/>
      <c r="E79" s="228"/>
    </row>
    <row r="80">
      <c r="B80" s="98"/>
      <c r="C80" s="244"/>
      <c r="D80" s="145"/>
      <c r="E80" s="228"/>
    </row>
    <row r="81">
      <c r="B81" s="98"/>
      <c r="C81" s="244"/>
      <c r="D81" s="145"/>
      <c r="E81" s="228"/>
    </row>
    <row r="82">
      <c r="B82" s="98"/>
      <c r="C82" s="244"/>
      <c r="D82" s="145"/>
      <c r="E82" s="228"/>
    </row>
    <row r="83">
      <c r="B83" s="98"/>
      <c r="C83" s="244"/>
      <c r="D83" s="145"/>
      <c r="E83" s="228"/>
    </row>
    <row r="84">
      <c r="B84" s="98"/>
      <c r="C84" s="244"/>
      <c r="D84" s="145"/>
      <c r="E84" s="228"/>
    </row>
    <row r="85">
      <c r="B85" s="98"/>
      <c r="C85" s="244"/>
      <c r="D85" s="145"/>
      <c r="E85" s="228"/>
    </row>
    <row r="86">
      <c r="B86" s="98"/>
      <c r="C86" s="244"/>
      <c r="D86" s="145"/>
      <c r="E86" s="228"/>
    </row>
    <row r="87">
      <c r="B87" s="98"/>
      <c r="C87" s="244"/>
      <c r="D87" s="145"/>
      <c r="E87" s="228"/>
    </row>
    <row r="88">
      <c r="B88" s="98"/>
      <c r="C88" s="244"/>
      <c r="D88" s="145"/>
      <c r="E88" s="228"/>
    </row>
    <row r="89">
      <c r="B89" s="98"/>
      <c r="C89" s="244"/>
      <c r="D89" s="145"/>
      <c r="E89" s="228"/>
    </row>
    <row r="90">
      <c r="B90" s="98"/>
      <c r="C90" s="244"/>
      <c r="D90" s="145"/>
      <c r="E90" s="228"/>
    </row>
    <row r="91">
      <c r="B91" s="98"/>
      <c r="C91" s="244"/>
      <c r="D91" s="145"/>
      <c r="E91" s="228"/>
    </row>
    <row r="92">
      <c r="B92" s="98"/>
      <c r="C92" s="244"/>
      <c r="D92" s="145"/>
      <c r="E92" s="228"/>
    </row>
    <row r="93">
      <c r="B93" s="98"/>
      <c r="C93" s="244"/>
      <c r="D93" s="145"/>
      <c r="E93" s="228"/>
    </row>
    <row r="94">
      <c r="B94" s="98"/>
      <c r="C94" s="244"/>
      <c r="D94" s="145"/>
      <c r="E94" s="228"/>
    </row>
    <row r="95">
      <c r="B95" s="98"/>
      <c r="C95" s="244"/>
      <c r="D95" s="145"/>
      <c r="E95" s="228"/>
    </row>
    <row r="96">
      <c r="B96" s="98"/>
      <c r="C96" s="244"/>
      <c r="D96" s="145"/>
      <c r="E96" s="228"/>
    </row>
    <row r="97">
      <c r="B97" s="98"/>
      <c r="C97" s="244"/>
      <c r="D97" s="145"/>
      <c r="E97" s="228"/>
    </row>
    <row r="98">
      <c r="B98" s="98"/>
      <c r="C98" s="244"/>
      <c r="D98" s="145"/>
      <c r="E98" s="228"/>
    </row>
    <row r="99">
      <c r="B99" s="98"/>
      <c r="C99" s="244"/>
      <c r="D99" s="145"/>
      <c r="E99" s="228"/>
    </row>
    <row r="100">
      <c r="B100" s="98"/>
      <c r="C100" s="244"/>
      <c r="D100" s="145"/>
      <c r="E100" s="228"/>
    </row>
    <row r="101">
      <c r="B101" s="98"/>
      <c r="C101" s="244"/>
      <c r="D101" s="145"/>
      <c r="E101" s="228"/>
    </row>
    <row r="102">
      <c r="B102" s="98"/>
      <c r="C102" s="244"/>
      <c r="D102" s="145"/>
      <c r="E102" s="228"/>
    </row>
    <row r="103">
      <c r="B103" s="98"/>
      <c r="C103" s="244"/>
      <c r="D103" s="145"/>
      <c r="E103" s="228"/>
    </row>
    <row r="104">
      <c r="B104" s="98"/>
      <c r="C104" s="244"/>
      <c r="D104" s="145"/>
      <c r="E104" s="228"/>
    </row>
    <row r="105">
      <c r="B105" s="98"/>
      <c r="C105" s="244"/>
      <c r="D105" s="145"/>
      <c r="E105" s="228"/>
    </row>
    <row r="106">
      <c r="B106" s="98"/>
      <c r="C106" s="244"/>
      <c r="D106" s="145"/>
      <c r="E106" s="228"/>
    </row>
    <row r="107">
      <c r="B107" s="98"/>
      <c r="C107" s="244"/>
      <c r="D107" s="145"/>
      <c r="E107" s="228"/>
    </row>
    <row r="108">
      <c r="B108" s="98"/>
      <c r="C108" s="244"/>
      <c r="D108" s="145"/>
      <c r="E108" s="228"/>
    </row>
    <row r="109">
      <c r="B109" s="98"/>
      <c r="C109" s="244"/>
      <c r="D109" s="145"/>
      <c r="E109" s="228"/>
    </row>
    <row r="110">
      <c r="B110" s="98"/>
      <c r="C110" s="244"/>
      <c r="D110" s="145"/>
      <c r="E110" s="228"/>
    </row>
    <row r="111">
      <c r="B111" s="98"/>
      <c r="C111" s="244"/>
      <c r="D111" s="145"/>
      <c r="E111" s="228"/>
    </row>
    <row r="112">
      <c r="B112" s="98"/>
      <c r="C112" s="244"/>
      <c r="D112" s="145"/>
      <c r="E112" s="228"/>
    </row>
    <row r="113">
      <c r="B113" s="98"/>
      <c r="C113" s="244"/>
      <c r="D113" s="145"/>
      <c r="E113" s="228"/>
    </row>
    <row r="114">
      <c r="B114" s="98"/>
      <c r="C114" s="244"/>
      <c r="D114" s="145"/>
      <c r="E114" s="228"/>
    </row>
    <row r="115">
      <c r="B115" s="98"/>
      <c r="C115" s="244"/>
      <c r="D115" s="145"/>
      <c r="E115" s="228"/>
    </row>
    <row r="116">
      <c r="B116" s="98"/>
      <c r="C116" s="244"/>
      <c r="D116" s="145"/>
      <c r="E116" s="228"/>
    </row>
    <row r="117">
      <c r="B117" s="98"/>
      <c r="C117" s="244"/>
      <c r="D117" s="145"/>
      <c r="E117" s="228"/>
    </row>
    <row r="118">
      <c r="B118" s="98"/>
      <c r="C118" s="244"/>
      <c r="D118" s="145"/>
      <c r="E118" s="228"/>
    </row>
    <row r="119">
      <c r="B119" s="98"/>
      <c r="C119" s="244"/>
      <c r="D119" s="145"/>
      <c r="E119" s="228"/>
    </row>
    <row r="120">
      <c r="B120" s="98"/>
      <c r="C120" s="244"/>
      <c r="D120" s="145"/>
      <c r="E120" s="228"/>
    </row>
    <row r="121">
      <c r="B121" s="98"/>
      <c r="C121" s="244"/>
      <c r="D121" s="145"/>
      <c r="E121" s="228"/>
    </row>
    <row r="122">
      <c r="B122" s="98"/>
      <c r="C122" s="244"/>
      <c r="D122" s="145"/>
      <c r="E122" s="228"/>
    </row>
    <row r="123">
      <c r="B123" s="98"/>
      <c r="C123" s="244"/>
      <c r="D123" s="145"/>
      <c r="E123" s="228"/>
    </row>
    <row r="124">
      <c r="B124" s="98"/>
      <c r="C124" s="244"/>
      <c r="D124" s="145"/>
      <c r="E124" s="228"/>
    </row>
    <row r="125">
      <c r="B125" s="98"/>
      <c r="C125" s="244"/>
      <c r="D125" s="145"/>
      <c r="E125" s="228"/>
    </row>
    <row r="126">
      <c r="B126" s="98"/>
      <c r="C126" s="244"/>
      <c r="D126" s="145"/>
      <c r="E126" s="228"/>
    </row>
    <row r="127">
      <c r="B127" s="98"/>
      <c r="C127" s="244"/>
      <c r="D127" s="145"/>
      <c r="E127" s="228"/>
    </row>
    <row r="128">
      <c r="B128" s="98"/>
      <c r="C128" s="244"/>
      <c r="D128" s="145"/>
      <c r="E128" s="228"/>
    </row>
    <row r="129">
      <c r="B129" s="98"/>
      <c r="C129" s="244"/>
      <c r="D129" s="145"/>
      <c r="E129" s="228"/>
    </row>
    <row r="130">
      <c r="B130" s="98"/>
      <c r="C130" s="244"/>
      <c r="D130" s="145"/>
      <c r="E130" s="228"/>
    </row>
    <row r="131">
      <c r="B131" s="98"/>
      <c r="C131" s="244"/>
      <c r="D131" s="145"/>
      <c r="E131" s="228"/>
    </row>
    <row r="132">
      <c r="B132" s="98"/>
      <c r="C132" s="244"/>
      <c r="D132" s="145"/>
      <c r="E132" s="228"/>
    </row>
    <row r="133">
      <c r="B133" s="98"/>
      <c r="C133" s="244"/>
      <c r="D133" s="145"/>
      <c r="E133" s="228"/>
    </row>
    <row r="134">
      <c r="B134" s="98"/>
      <c r="C134" s="244"/>
      <c r="D134" s="145"/>
      <c r="E134" s="228"/>
    </row>
    <row r="135">
      <c r="B135" s="98"/>
      <c r="C135" s="244"/>
      <c r="D135" s="145"/>
      <c r="E135" s="228"/>
    </row>
    <row r="136">
      <c r="B136" s="98"/>
      <c r="C136" s="244"/>
      <c r="D136" s="145"/>
      <c r="E136" s="228"/>
    </row>
    <row r="137">
      <c r="B137" s="98"/>
      <c r="C137" s="244"/>
      <c r="D137" s="145"/>
      <c r="E137" s="228"/>
    </row>
    <row r="138">
      <c r="B138" s="98"/>
      <c r="C138" s="244"/>
      <c r="D138" s="145"/>
      <c r="E138" s="228"/>
    </row>
    <row r="139">
      <c r="B139" s="98"/>
      <c r="C139" s="244"/>
      <c r="D139" s="145"/>
      <c r="E139" s="228"/>
    </row>
    <row r="140">
      <c r="B140" s="98"/>
      <c r="C140" s="244"/>
      <c r="D140" s="145"/>
      <c r="E140" s="228"/>
    </row>
    <row r="141">
      <c r="B141" s="98"/>
      <c r="C141" s="244"/>
      <c r="D141" s="145"/>
      <c r="E141" s="228"/>
    </row>
    <row r="142">
      <c r="B142" s="98"/>
      <c r="C142" s="244"/>
      <c r="D142" s="145"/>
      <c r="E142" s="228"/>
    </row>
    <row r="143">
      <c r="B143" s="98"/>
      <c r="C143" s="244"/>
      <c r="D143" s="145"/>
      <c r="E143" s="228"/>
    </row>
    <row r="144">
      <c r="B144" s="98"/>
      <c r="C144" s="244"/>
      <c r="D144" s="145"/>
      <c r="E144" s="228"/>
    </row>
    <row r="145">
      <c r="B145" s="98"/>
      <c r="C145" s="244"/>
      <c r="D145" s="145"/>
      <c r="E145" s="228"/>
    </row>
    <row r="146">
      <c r="B146" s="98"/>
      <c r="C146" s="244"/>
      <c r="D146" s="145"/>
      <c r="E146" s="228"/>
    </row>
    <row r="147">
      <c r="B147" s="98"/>
      <c r="C147" s="244"/>
      <c r="D147" s="145"/>
      <c r="E147" s="228"/>
    </row>
    <row r="148">
      <c r="B148" s="98"/>
      <c r="C148" s="244"/>
      <c r="D148" s="145"/>
      <c r="E148" s="228"/>
    </row>
    <row r="149">
      <c r="B149" s="98"/>
      <c r="C149" s="244"/>
      <c r="D149" s="145"/>
      <c r="E149" s="228"/>
    </row>
    <row r="150">
      <c r="B150" s="98"/>
      <c r="C150" s="244"/>
      <c r="D150" s="145"/>
      <c r="E150" s="228"/>
    </row>
    <row r="151">
      <c r="B151" s="98"/>
      <c r="C151" s="244"/>
      <c r="D151" s="145"/>
      <c r="E151" s="228"/>
    </row>
    <row r="152">
      <c r="B152" s="98"/>
      <c r="C152" s="244"/>
      <c r="D152" s="145"/>
      <c r="E152" s="228"/>
    </row>
    <row r="153">
      <c r="B153" s="98"/>
      <c r="C153" s="244"/>
      <c r="D153" s="145"/>
      <c r="E153" s="228"/>
    </row>
    <row r="154">
      <c r="B154" s="98"/>
      <c r="C154" s="244"/>
      <c r="D154" s="145"/>
      <c r="E154" s="228"/>
    </row>
    <row r="155">
      <c r="B155" s="98"/>
      <c r="C155" s="244"/>
      <c r="D155" s="145"/>
      <c r="E155" s="228"/>
    </row>
    <row r="156">
      <c r="B156" s="98"/>
      <c r="C156" s="244"/>
      <c r="D156" s="145"/>
      <c r="E156" s="228"/>
    </row>
    <row r="157">
      <c r="B157" s="98"/>
      <c r="C157" s="244"/>
      <c r="D157" s="145"/>
      <c r="E157" s="228"/>
    </row>
    <row r="158">
      <c r="B158" s="98"/>
      <c r="C158" s="244"/>
      <c r="D158" s="145"/>
      <c r="E158" s="228"/>
    </row>
    <row r="159">
      <c r="B159" s="98"/>
      <c r="C159" s="244"/>
      <c r="D159" s="145"/>
      <c r="E159" s="228"/>
    </row>
    <row r="160">
      <c r="B160" s="98"/>
      <c r="C160" s="244"/>
      <c r="D160" s="145"/>
      <c r="E160" s="228"/>
    </row>
    <row r="161">
      <c r="B161" s="98"/>
      <c r="C161" s="244"/>
      <c r="D161" s="145"/>
      <c r="E161" s="228"/>
    </row>
    <row r="162">
      <c r="B162" s="98"/>
      <c r="C162" s="244"/>
      <c r="D162" s="145"/>
      <c r="E162" s="228"/>
    </row>
    <row r="163">
      <c r="B163" s="98"/>
      <c r="C163" s="244"/>
      <c r="D163" s="145"/>
      <c r="E163" s="228"/>
    </row>
    <row r="164">
      <c r="B164" s="98"/>
      <c r="C164" s="244"/>
      <c r="D164" s="145"/>
      <c r="E164" s="228"/>
    </row>
    <row r="165">
      <c r="B165" s="98"/>
      <c r="C165" s="244"/>
      <c r="D165" s="145"/>
      <c r="E165" s="228"/>
    </row>
    <row r="166">
      <c r="B166" s="98"/>
      <c r="C166" s="244"/>
      <c r="D166" s="145"/>
      <c r="E166" s="228"/>
    </row>
    <row r="167">
      <c r="B167" s="98"/>
      <c r="C167" s="244"/>
      <c r="D167" s="145"/>
      <c r="E167" s="228"/>
    </row>
    <row r="168">
      <c r="B168" s="98"/>
      <c r="C168" s="244"/>
      <c r="D168" s="145"/>
      <c r="E168" s="228"/>
    </row>
    <row r="169">
      <c r="B169" s="98"/>
      <c r="C169" s="244"/>
      <c r="D169" s="145"/>
      <c r="E169" s="228"/>
    </row>
    <row r="170">
      <c r="B170" s="98"/>
      <c r="C170" s="244"/>
      <c r="D170" s="145"/>
      <c r="E170" s="228"/>
    </row>
    <row r="171">
      <c r="B171" s="98"/>
      <c r="C171" s="244"/>
      <c r="D171" s="145"/>
      <c r="E171" s="228"/>
    </row>
    <row r="172">
      <c r="B172" s="98"/>
      <c r="C172" s="244"/>
      <c r="D172" s="145"/>
      <c r="E172" s="228"/>
    </row>
    <row r="173">
      <c r="B173" s="98"/>
      <c r="C173" s="244"/>
      <c r="D173" s="145"/>
      <c r="E173" s="228"/>
    </row>
    <row r="174">
      <c r="B174" s="98"/>
      <c r="C174" s="244"/>
      <c r="D174" s="145"/>
      <c r="E174" s="228"/>
    </row>
    <row r="175">
      <c r="B175" s="98"/>
      <c r="C175" s="244"/>
      <c r="D175" s="145"/>
      <c r="E175" s="228"/>
    </row>
    <row r="176">
      <c r="B176" s="98"/>
      <c r="C176" s="244"/>
      <c r="D176" s="145"/>
      <c r="E176" s="228"/>
    </row>
    <row r="177">
      <c r="B177" s="98"/>
      <c r="C177" s="244"/>
      <c r="D177" s="145"/>
      <c r="E177" s="228"/>
    </row>
    <row r="178">
      <c r="B178" s="98"/>
      <c r="C178" s="244"/>
      <c r="D178" s="145"/>
      <c r="E178" s="228"/>
    </row>
    <row r="179">
      <c r="B179" s="98"/>
      <c r="C179" s="244"/>
      <c r="D179" s="145"/>
      <c r="E179" s="228"/>
    </row>
    <row r="180">
      <c r="B180" s="98"/>
      <c r="C180" s="244"/>
      <c r="D180" s="145"/>
      <c r="E180" s="228"/>
    </row>
    <row r="181">
      <c r="B181" s="98"/>
      <c r="C181" s="244"/>
      <c r="D181" s="145"/>
      <c r="E181" s="228"/>
    </row>
    <row r="182">
      <c r="B182" s="98"/>
      <c r="C182" s="244"/>
      <c r="D182" s="145"/>
      <c r="E182" s="228"/>
    </row>
    <row r="183">
      <c r="B183" s="98"/>
      <c r="C183" s="244"/>
      <c r="D183" s="145"/>
      <c r="E183" s="228"/>
    </row>
    <row r="184">
      <c r="B184" s="98"/>
      <c r="C184" s="244"/>
      <c r="D184" s="145"/>
      <c r="E184" s="228"/>
    </row>
    <row r="185">
      <c r="B185" s="98"/>
      <c r="C185" s="244"/>
      <c r="D185" s="145"/>
      <c r="E185" s="228"/>
    </row>
    <row r="186">
      <c r="B186" s="98"/>
      <c r="C186" s="244"/>
      <c r="D186" s="145"/>
      <c r="E186" s="228"/>
    </row>
    <row r="187">
      <c r="B187" s="98"/>
      <c r="C187" s="244"/>
      <c r="D187" s="145"/>
      <c r="E187" s="228"/>
    </row>
    <row r="188">
      <c r="B188" s="98"/>
      <c r="C188" s="244"/>
      <c r="D188" s="145"/>
      <c r="E188" s="228"/>
    </row>
    <row r="189">
      <c r="B189" s="98"/>
      <c r="C189" s="244"/>
      <c r="D189" s="145"/>
      <c r="E189" s="228"/>
    </row>
    <row r="190">
      <c r="B190" s="98"/>
      <c r="C190" s="244"/>
      <c r="D190" s="145"/>
      <c r="E190" s="228"/>
    </row>
    <row r="191">
      <c r="B191" s="98"/>
      <c r="C191" s="244"/>
      <c r="D191" s="145"/>
      <c r="E191" s="228"/>
    </row>
    <row r="192">
      <c r="B192" s="98"/>
      <c r="C192" s="244"/>
      <c r="D192" s="145"/>
      <c r="E192" s="228"/>
    </row>
    <row r="193">
      <c r="B193" s="98"/>
      <c r="C193" s="244"/>
      <c r="D193" s="145"/>
      <c r="E193" s="228"/>
    </row>
    <row r="194">
      <c r="B194" s="98"/>
      <c r="C194" s="244"/>
      <c r="D194" s="145"/>
      <c r="E194" s="228"/>
    </row>
    <row r="195">
      <c r="B195" s="98"/>
      <c r="C195" s="244"/>
      <c r="D195" s="145"/>
      <c r="E195" s="228"/>
    </row>
    <row r="196">
      <c r="B196" s="98"/>
      <c r="C196" s="244"/>
      <c r="D196" s="145"/>
      <c r="E196" s="228"/>
    </row>
    <row r="197">
      <c r="B197" s="98"/>
      <c r="C197" s="244"/>
      <c r="D197" s="145"/>
      <c r="E197" s="228"/>
    </row>
    <row r="198">
      <c r="B198" s="98"/>
      <c r="C198" s="244"/>
      <c r="D198" s="145"/>
      <c r="E198" s="228"/>
    </row>
    <row r="199">
      <c r="B199" s="98"/>
      <c r="C199" s="244"/>
      <c r="D199" s="145"/>
      <c r="E199" s="228"/>
    </row>
    <row r="200">
      <c r="B200" s="98"/>
      <c r="C200" s="244"/>
      <c r="D200" s="145"/>
      <c r="E200" s="228"/>
    </row>
    <row r="201">
      <c r="B201" s="98"/>
      <c r="C201" s="244"/>
      <c r="D201" s="145"/>
      <c r="E201" s="228"/>
    </row>
    <row r="202">
      <c r="B202" s="98"/>
      <c r="C202" s="244"/>
      <c r="D202" s="145"/>
      <c r="E202" s="228"/>
    </row>
    <row r="203">
      <c r="B203" s="98"/>
      <c r="C203" s="244"/>
      <c r="D203" s="145"/>
      <c r="E203" s="228"/>
    </row>
    <row r="204">
      <c r="B204" s="98"/>
      <c r="C204" s="244"/>
      <c r="D204" s="145"/>
      <c r="E204" s="228"/>
    </row>
    <row r="205">
      <c r="B205" s="98"/>
      <c r="C205" s="244"/>
      <c r="D205" s="145"/>
      <c r="E205" s="228"/>
    </row>
    <row r="206">
      <c r="B206" s="98"/>
      <c r="C206" s="244"/>
      <c r="D206" s="145"/>
      <c r="E206" s="228"/>
    </row>
    <row r="207">
      <c r="B207" s="98"/>
      <c r="C207" s="244"/>
      <c r="D207" s="145"/>
      <c r="E207" s="228"/>
    </row>
    <row r="208">
      <c r="B208" s="98"/>
      <c r="C208" s="244"/>
      <c r="D208" s="145"/>
      <c r="E208" s="228"/>
    </row>
    <row r="209">
      <c r="B209" s="98"/>
      <c r="C209" s="244"/>
      <c r="D209" s="145"/>
      <c r="E209" s="228"/>
    </row>
    <row r="210">
      <c r="B210" s="98"/>
      <c r="C210" s="244"/>
      <c r="D210" s="145"/>
      <c r="E210" s="228"/>
    </row>
    <row r="211">
      <c r="B211" s="98"/>
      <c r="C211" s="244"/>
      <c r="D211" s="145"/>
      <c r="E211" s="228"/>
    </row>
    <row r="212">
      <c r="B212" s="98"/>
      <c r="C212" s="244"/>
      <c r="D212" s="145"/>
      <c r="E212" s="228"/>
    </row>
    <row r="213">
      <c r="B213" s="98"/>
      <c r="C213" s="244"/>
      <c r="D213" s="145"/>
      <c r="E213" s="228"/>
    </row>
    <row r="214">
      <c r="B214" s="98"/>
      <c r="C214" s="244"/>
      <c r="D214" s="145"/>
      <c r="E214" s="228"/>
    </row>
    <row r="215">
      <c r="B215" s="98"/>
      <c r="C215" s="244"/>
      <c r="D215" s="145"/>
      <c r="E215" s="228"/>
    </row>
    <row r="216">
      <c r="B216" s="98"/>
      <c r="C216" s="244"/>
      <c r="D216" s="145"/>
      <c r="E216" s="228"/>
    </row>
    <row r="217">
      <c r="B217" s="98"/>
      <c r="C217" s="244"/>
      <c r="D217" s="145"/>
      <c r="E217" s="228"/>
    </row>
    <row r="218">
      <c r="B218" s="98"/>
      <c r="C218" s="244"/>
      <c r="D218" s="145"/>
      <c r="E218" s="228"/>
    </row>
    <row r="219">
      <c r="B219" s="98"/>
      <c r="C219" s="244"/>
      <c r="D219" s="145"/>
      <c r="E219" s="228"/>
    </row>
    <row r="220">
      <c r="B220" s="98"/>
      <c r="C220" s="244"/>
      <c r="D220" s="145"/>
      <c r="E220" s="228"/>
    </row>
    <row r="221">
      <c r="B221" s="98"/>
      <c r="C221" s="244"/>
      <c r="D221" s="145"/>
      <c r="E221" s="228"/>
    </row>
    <row r="222">
      <c r="B222" s="98"/>
      <c r="C222" s="244"/>
      <c r="D222" s="145"/>
      <c r="E222" s="228"/>
    </row>
    <row r="223">
      <c r="B223" s="98"/>
      <c r="C223" s="244"/>
      <c r="D223" s="145"/>
      <c r="E223" s="228"/>
    </row>
    <row r="224">
      <c r="B224" s="98"/>
      <c r="C224" s="244"/>
      <c r="D224" s="145"/>
      <c r="E224" s="228"/>
    </row>
    <row r="225">
      <c r="B225" s="98"/>
      <c r="C225" s="244"/>
      <c r="D225" s="145"/>
      <c r="E225" s="228"/>
    </row>
    <row r="226">
      <c r="B226" s="98"/>
      <c r="C226" s="244"/>
      <c r="D226" s="145"/>
      <c r="E226" s="228"/>
    </row>
    <row r="227">
      <c r="B227" s="98"/>
      <c r="C227" s="244"/>
      <c r="D227" s="145"/>
      <c r="E227" s="228"/>
    </row>
    <row r="228">
      <c r="B228" s="98"/>
      <c r="C228" s="244"/>
      <c r="D228" s="145"/>
      <c r="E228" s="228"/>
    </row>
    <row r="229">
      <c r="B229" s="98"/>
      <c r="C229" s="244"/>
      <c r="D229" s="145"/>
      <c r="E229" s="228"/>
    </row>
    <row r="230">
      <c r="B230" s="98"/>
      <c r="C230" s="244"/>
      <c r="D230" s="145"/>
      <c r="E230" s="228"/>
    </row>
    <row r="231">
      <c r="B231" s="98"/>
      <c r="C231" s="244"/>
      <c r="D231" s="145"/>
      <c r="E231" s="228"/>
    </row>
    <row r="232">
      <c r="B232" s="98"/>
      <c r="C232" s="244"/>
      <c r="D232" s="145"/>
      <c r="E232" s="228"/>
    </row>
    <row r="233">
      <c r="B233" s="98"/>
      <c r="C233" s="244"/>
      <c r="D233" s="145"/>
      <c r="E233" s="228"/>
    </row>
    <row r="234">
      <c r="B234" s="98"/>
      <c r="C234" s="244"/>
      <c r="D234" s="145"/>
      <c r="E234" s="228"/>
    </row>
    <row r="235">
      <c r="B235" s="98"/>
      <c r="C235" s="244"/>
      <c r="D235" s="145"/>
      <c r="E235" s="228"/>
    </row>
    <row r="236">
      <c r="B236" s="98"/>
      <c r="C236" s="244"/>
      <c r="D236" s="145"/>
      <c r="E236" s="228"/>
    </row>
    <row r="237">
      <c r="B237" s="98"/>
      <c r="C237" s="244"/>
      <c r="D237" s="145"/>
      <c r="E237" s="228"/>
    </row>
    <row r="238">
      <c r="B238" s="98"/>
      <c r="C238" s="244"/>
      <c r="D238" s="145"/>
      <c r="E238" s="228"/>
    </row>
    <row r="239">
      <c r="B239" s="98"/>
      <c r="C239" s="244"/>
      <c r="D239" s="145"/>
      <c r="E239" s="228"/>
    </row>
    <row r="240">
      <c r="B240" s="98"/>
      <c r="C240" s="244"/>
      <c r="D240" s="145"/>
      <c r="E240" s="228"/>
    </row>
    <row r="241">
      <c r="B241" s="98"/>
      <c r="C241" s="244"/>
      <c r="D241" s="145"/>
      <c r="E241" s="228"/>
    </row>
    <row r="242">
      <c r="B242" s="98"/>
      <c r="C242" s="244"/>
      <c r="D242" s="145"/>
      <c r="E242" s="228"/>
    </row>
    <row r="243">
      <c r="B243" s="98"/>
      <c r="C243" s="244"/>
      <c r="D243" s="145"/>
      <c r="E243" s="228"/>
    </row>
    <row r="244">
      <c r="B244" s="98"/>
      <c r="C244" s="244"/>
      <c r="D244" s="145"/>
      <c r="E244" s="228"/>
    </row>
    <row r="245">
      <c r="B245" s="98"/>
      <c r="C245" s="244"/>
      <c r="D245" s="145"/>
      <c r="E245" s="228"/>
    </row>
    <row r="246">
      <c r="B246" s="98"/>
      <c r="C246" s="244"/>
      <c r="D246" s="145"/>
      <c r="E246" s="228"/>
    </row>
    <row r="247">
      <c r="B247" s="98"/>
      <c r="C247" s="244"/>
      <c r="D247" s="145"/>
      <c r="E247" s="228"/>
    </row>
    <row r="248">
      <c r="B248" s="98"/>
      <c r="C248" s="244"/>
      <c r="D248" s="145"/>
      <c r="E248" s="228"/>
    </row>
    <row r="249">
      <c r="B249" s="98"/>
      <c r="C249" s="244"/>
      <c r="D249" s="145"/>
      <c r="E249" s="228"/>
    </row>
    <row r="250">
      <c r="B250" s="98"/>
      <c r="C250" s="244"/>
      <c r="D250" s="145"/>
      <c r="E250" s="228"/>
    </row>
    <row r="251">
      <c r="B251" s="98"/>
      <c r="C251" s="244"/>
      <c r="D251" s="145"/>
      <c r="E251" s="228"/>
    </row>
    <row r="252">
      <c r="B252" s="98"/>
      <c r="C252" s="244"/>
      <c r="D252" s="145"/>
      <c r="E252" s="228"/>
    </row>
    <row r="253">
      <c r="B253" s="98"/>
      <c r="C253" s="244"/>
      <c r="D253" s="145"/>
      <c r="E253" s="228"/>
    </row>
    <row r="254">
      <c r="B254" s="98"/>
      <c r="C254" s="244"/>
      <c r="D254" s="145"/>
      <c r="E254" s="228"/>
    </row>
    <row r="255">
      <c r="B255" s="98"/>
      <c r="C255" s="244"/>
      <c r="D255" s="145"/>
      <c r="E255" s="228"/>
    </row>
    <row r="256">
      <c r="B256" s="98"/>
      <c r="C256" s="244"/>
      <c r="D256" s="145"/>
      <c r="E256" s="228"/>
    </row>
    <row r="257">
      <c r="B257" s="98"/>
      <c r="C257" s="244"/>
      <c r="D257" s="145"/>
      <c r="E257" s="228"/>
    </row>
    <row r="258">
      <c r="B258" s="98"/>
      <c r="C258" s="244"/>
      <c r="D258" s="145"/>
      <c r="E258" s="228"/>
    </row>
    <row r="259">
      <c r="B259" s="98"/>
      <c r="C259" s="244"/>
      <c r="D259" s="145"/>
      <c r="E259" s="228"/>
    </row>
    <row r="260">
      <c r="B260" s="98"/>
      <c r="C260" s="244"/>
      <c r="D260" s="145"/>
      <c r="E260" s="228"/>
    </row>
    <row r="261">
      <c r="B261" s="98"/>
      <c r="C261" s="244"/>
      <c r="D261" s="145"/>
      <c r="E261" s="228"/>
    </row>
    <row r="262">
      <c r="B262" s="98"/>
      <c r="C262" s="244"/>
      <c r="D262" s="145"/>
      <c r="E262" s="228"/>
    </row>
    <row r="263">
      <c r="B263" s="98"/>
      <c r="C263" s="244"/>
      <c r="D263" s="145"/>
      <c r="E263" s="228"/>
    </row>
    <row r="264">
      <c r="B264" s="98"/>
      <c r="C264" s="244"/>
      <c r="D264" s="145"/>
      <c r="E264" s="228"/>
    </row>
    <row r="265">
      <c r="B265" s="98"/>
      <c r="C265" s="244"/>
      <c r="D265" s="145"/>
      <c r="E265" s="228"/>
    </row>
    <row r="266">
      <c r="B266" s="98"/>
      <c r="C266" s="244"/>
      <c r="D266" s="145"/>
      <c r="E266" s="228"/>
    </row>
    <row r="267">
      <c r="B267" s="98"/>
      <c r="C267" s="244"/>
      <c r="D267" s="145"/>
      <c r="E267" s="228"/>
    </row>
    <row r="268">
      <c r="B268" s="98"/>
      <c r="C268" s="244"/>
      <c r="D268" s="145"/>
      <c r="E268" s="228"/>
    </row>
    <row r="269">
      <c r="B269" s="98"/>
      <c r="C269" s="244"/>
      <c r="D269" s="145"/>
      <c r="E269" s="228"/>
    </row>
    <row r="270">
      <c r="B270" s="98"/>
      <c r="C270" s="244"/>
      <c r="D270" s="145"/>
      <c r="E270" s="228"/>
    </row>
    <row r="271">
      <c r="B271" s="98"/>
      <c r="C271" s="244"/>
      <c r="D271" s="145"/>
      <c r="E271" s="228"/>
    </row>
    <row r="272">
      <c r="B272" s="98"/>
      <c r="C272" s="244"/>
      <c r="D272" s="145"/>
      <c r="E272" s="228"/>
    </row>
    <row r="273">
      <c r="B273" s="98"/>
      <c r="C273" s="244"/>
      <c r="D273" s="145"/>
      <c r="E273" s="228"/>
    </row>
    <row r="274">
      <c r="B274" s="98"/>
      <c r="C274" s="244"/>
      <c r="D274" s="145"/>
      <c r="E274" s="228"/>
    </row>
    <row r="275">
      <c r="B275" s="98"/>
      <c r="C275" s="244"/>
      <c r="D275" s="145"/>
      <c r="E275" s="228"/>
    </row>
    <row r="276">
      <c r="B276" s="98"/>
      <c r="C276" s="244"/>
      <c r="D276" s="145"/>
      <c r="E276" s="228"/>
    </row>
    <row r="277">
      <c r="B277" s="98"/>
      <c r="C277" s="244"/>
      <c r="D277" s="145"/>
      <c r="E277" s="228"/>
    </row>
    <row r="278">
      <c r="B278" s="98"/>
      <c r="C278" s="244"/>
      <c r="D278" s="145"/>
      <c r="E278" s="228"/>
    </row>
    <row r="279">
      <c r="B279" s="98"/>
      <c r="C279" s="244"/>
      <c r="D279" s="145"/>
      <c r="E279" s="228"/>
    </row>
    <row r="280">
      <c r="B280" s="98"/>
      <c r="C280" s="244"/>
      <c r="D280" s="145"/>
      <c r="E280" s="228"/>
    </row>
    <row r="281">
      <c r="B281" s="98"/>
      <c r="C281" s="244"/>
      <c r="D281" s="145"/>
      <c r="E281" s="228"/>
    </row>
    <row r="282">
      <c r="B282" s="98"/>
      <c r="C282" s="244"/>
      <c r="D282" s="145"/>
      <c r="E282" s="228"/>
    </row>
    <row r="283">
      <c r="B283" s="98"/>
      <c r="C283" s="244"/>
      <c r="D283" s="145"/>
      <c r="E283" s="228"/>
    </row>
    <row r="284">
      <c r="B284" s="98"/>
      <c r="C284" s="244"/>
      <c r="D284" s="145"/>
      <c r="E284" s="228"/>
    </row>
    <row r="285">
      <c r="B285" s="98"/>
      <c r="C285" s="244"/>
      <c r="D285" s="145"/>
      <c r="E285" s="228"/>
    </row>
    <row r="286">
      <c r="B286" s="98"/>
      <c r="C286" s="244"/>
      <c r="D286" s="145"/>
      <c r="E286" s="228"/>
    </row>
    <row r="287">
      <c r="B287" s="98"/>
      <c r="C287" s="244"/>
      <c r="D287" s="145"/>
      <c r="E287" s="228"/>
    </row>
    <row r="288">
      <c r="B288" s="98"/>
      <c r="C288" s="244"/>
      <c r="D288" s="145"/>
      <c r="E288" s="228"/>
    </row>
    <row r="289">
      <c r="B289" s="98"/>
      <c r="C289" s="244"/>
      <c r="D289" s="145"/>
      <c r="E289" s="228"/>
    </row>
    <row r="290">
      <c r="B290" s="98"/>
      <c r="C290" s="244"/>
      <c r="D290" s="145"/>
      <c r="E290" s="228"/>
    </row>
    <row r="291">
      <c r="B291" s="98"/>
      <c r="C291" s="244"/>
      <c r="D291" s="145"/>
      <c r="E291" s="228"/>
    </row>
    <row r="292">
      <c r="B292" s="98"/>
      <c r="C292" s="244"/>
      <c r="D292" s="145"/>
      <c r="E292" s="228"/>
    </row>
    <row r="293">
      <c r="B293" s="98"/>
      <c r="C293" s="244"/>
      <c r="D293" s="145"/>
      <c r="E293" s="228"/>
    </row>
    <row r="294">
      <c r="B294" s="98"/>
      <c r="C294" s="244"/>
      <c r="D294" s="145"/>
      <c r="E294" s="228"/>
    </row>
    <row r="295">
      <c r="B295" s="98"/>
      <c r="C295" s="244"/>
      <c r="D295" s="145"/>
      <c r="E295" s="228"/>
    </row>
    <row r="296">
      <c r="B296" s="98"/>
      <c r="C296" s="244"/>
      <c r="D296" s="145"/>
      <c r="E296" s="228"/>
    </row>
    <row r="297">
      <c r="B297" s="98"/>
      <c r="C297" s="244"/>
      <c r="D297" s="145"/>
      <c r="E297" s="228"/>
    </row>
    <row r="298">
      <c r="B298" s="98"/>
      <c r="C298" s="244"/>
      <c r="D298" s="145"/>
      <c r="E298" s="228"/>
    </row>
    <row r="299">
      <c r="B299" s="98"/>
      <c r="C299" s="244"/>
      <c r="D299" s="145"/>
      <c r="E299" s="228"/>
    </row>
    <row r="300">
      <c r="B300" s="98"/>
      <c r="C300" s="244"/>
      <c r="D300" s="145"/>
      <c r="E300" s="228"/>
    </row>
    <row r="301">
      <c r="B301" s="98"/>
      <c r="C301" s="244"/>
      <c r="D301" s="145"/>
      <c r="E301" s="228"/>
    </row>
    <row r="302">
      <c r="B302" s="98"/>
      <c r="C302" s="244"/>
      <c r="D302" s="145"/>
      <c r="E302" s="228"/>
    </row>
    <row r="303">
      <c r="B303" s="98"/>
      <c r="C303" s="244"/>
      <c r="D303" s="145"/>
      <c r="E303" s="228"/>
    </row>
    <row r="304">
      <c r="B304" s="98"/>
      <c r="C304" s="244"/>
      <c r="D304" s="145"/>
      <c r="E304" s="228"/>
    </row>
    <row r="305">
      <c r="B305" s="98"/>
      <c r="C305" s="244"/>
      <c r="D305" s="145"/>
      <c r="E305" s="228"/>
    </row>
    <row r="306">
      <c r="B306" s="98"/>
      <c r="C306" s="244"/>
      <c r="D306" s="145"/>
      <c r="E306" s="228"/>
    </row>
    <row r="307">
      <c r="B307" s="98"/>
      <c r="C307" s="244"/>
      <c r="D307" s="145"/>
      <c r="E307" s="228"/>
    </row>
    <row r="308">
      <c r="B308" s="98"/>
      <c r="C308" s="244"/>
      <c r="D308" s="145"/>
      <c r="E308" s="228"/>
    </row>
    <row r="309">
      <c r="B309" s="98"/>
      <c r="C309" s="244"/>
      <c r="D309" s="145"/>
      <c r="E309" s="228"/>
    </row>
    <row r="310">
      <c r="B310" s="98"/>
      <c r="C310" s="244"/>
      <c r="D310" s="145"/>
      <c r="E310" s="228"/>
    </row>
    <row r="311">
      <c r="B311" s="98"/>
      <c r="C311" s="244"/>
      <c r="D311" s="145"/>
      <c r="E311" s="228"/>
    </row>
    <row r="312">
      <c r="B312" s="98"/>
      <c r="C312" s="244"/>
      <c r="D312" s="145"/>
      <c r="E312" s="228"/>
    </row>
    <row r="313">
      <c r="B313" s="98"/>
      <c r="C313" s="244"/>
      <c r="D313" s="145"/>
      <c r="E313" s="228"/>
    </row>
    <row r="314">
      <c r="B314" s="98"/>
      <c r="C314" s="244"/>
      <c r="D314" s="145"/>
      <c r="E314" s="228"/>
    </row>
    <row r="315">
      <c r="B315" s="98"/>
      <c r="C315" s="244"/>
      <c r="D315" s="145"/>
      <c r="E315" s="228"/>
    </row>
    <row r="316">
      <c r="B316" s="98"/>
      <c r="C316" s="244"/>
      <c r="D316" s="145"/>
      <c r="E316" s="228"/>
    </row>
    <row r="317">
      <c r="B317" s="98"/>
      <c r="C317" s="244"/>
      <c r="D317" s="145"/>
      <c r="E317" s="228"/>
    </row>
    <row r="318">
      <c r="B318" s="98"/>
      <c r="C318" s="244"/>
      <c r="D318" s="145"/>
      <c r="E318" s="228"/>
    </row>
    <row r="319">
      <c r="B319" s="98"/>
      <c r="C319" s="244"/>
      <c r="D319" s="145"/>
      <c r="E319" s="228"/>
    </row>
    <row r="320">
      <c r="B320" s="98"/>
      <c r="C320" s="244"/>
      <c r="D320" s="145"/>
      <c r="E320" s="228"/>
    </row>
    <row r="321">
      <c r="B321" s="98"/>
      <c r="C321" s="244"/>
      <c r="D321" s="145"/>
      <c r="E321" s="228"/>
    </row>
    <row r="322">
      <c r="B322" s="98"/>
      <c r="C322" s="244"/>
      <c r="D322" s="145"/>
      <c r="E322" s="228"/>
    </row>
    <row r="323">
      <c r="B323" s="98"/>
      <c r="C323" s="244"/>
      <c r="D323" s="145"/>
      <c r="E323" s="228"/>
    </row>
    <row r="324">
      <c r="B324" s="98"/>
      <c r="C324" s="244"/>
      <c r="D324" s="145"/>
      <c r="E324" s="228"/>
    </row>
    <row r="325">
      <c r="B325" s="98"/>
      <c r="C325" s="244"/>
      <c r="D325" s="145"/>
      <c r="E325" s="228"/>
    </row>
    <row r="326">
      <c r="B326" s="98"/>
      <c r="C326" s="244"/>
      <c r="D326" s="145"/>
      <c r="E326" s="228"/>
    </row>
    <row r="327">
      <c r="B327" s="98"/>
      <c r="C327" s="244"/>
      <c r="D327" s="145"/>
      <c r="E327" s="228"/>
    </row>
    <row r="328">
      <c r="B328" s="98"/>
      <c r="C328" s="244"/>
      <c r="D328" s="145"/>
      <c r="E328" s="228"/>
    </row>
    <row r="329">
      <c r="B329" s="98"/>
      <c r="C329" s="244"/>
      <c r="D329" s="145"/>
      <c r="E329" s="228"/>
    </row>
    <row r="330">
      <c r="B330" s="98"/>
      <c r="C330" s="244"/>
      <c r="D330" s="145"/>
      <c r="E330" s="228"/>
    </row>
    <row r="331">
      <c r="B331" s="98"/>
      <c r="C331" s="244"/>
      <c r="D331" s="145"/>
      <c r="E331" s="228"/>
    </row>
    <row r="332">
      <c r="B332" s="98"/>
      <c r="C332" s="244"/>
      <c r="D332" s="145"/>
      <c r="E332" s="228"/>
    </row>
    <row r="333">
      <c r="B333" s="98"/>
      <c r="C333" s="244"/>
      <c r="D333" s="145"/>
      <c r="E333" s="228"/>
    </row>
    <row r="334">
      <c r="B334" s="98"/>
      <c r="C334" s="244"/>
      <c r="D334" s="145"/>
      <c r="E334" s="228"/>
    </row>
    <row r="335">
      <c r="B335" s="98"/>
      <c r="C335" s="244"/>
      <c r="D335" s="145"/>
      <c r="E335" s="228"/>
    </row>
    <row r="336">
      <c r="B336" s="98"/>
      <c r="C336" s="244"/>
      <c r="D336" s="145"/>
      <c r="E336" s="228"/>
    </row>
    <row r="337">
      <c r="B337" s="98"/>
      <c r="C337" s="244"/>
      <c r="D337" s="145"/>
      <c r="E337" s="228"/>
    </row>
    <row r="338">
      <c r="B338" s="98"/>
      <c r="C338" s="244"/>
      <c r="D338" s="145"/>
      <c r="E338" s="228"/>
    </row>
    <row r="339">
      <c r="B339" s="98"/>
      <c r="C339" s="244"/>
      <c r="D339" s="145"/>
      <c r="E339" s="228"/>
    </row>
    <row r="340">
      <c r="B340" s="98"/>
      <c r="C340" s="244"/>
      <c r="D340" s="145"/>
      <c r="E340" s="228"/>
    </row>
    <row r="341">
      <c r="B341" s="98"/>
      <c r="C341" s="244"/>
      <c r="D341" s="145"/>
      <c r="E341" s="228"/>
    </row>
    <row r="342">
      <c r="B342" s="98"/>
      <c r="C342" s="244"/>
      <c r="D342" s="145"/>
      <c r="E342" s="228"/>
    </row>
    <row r="343">
      <c r="B343" s="98"/>
      <c r="C343" s="244"/>
      <c r="D343" s="145"/>
      <c r="E343" s="228"/>
    </row>
    <row r="344">
      <c r="B344" s="98"/>
      <c r="C344" s="244"/>
      <c r="D344" s="145"/>
      <c r="E344" s="228"/>
    </row>
    <row r="345">
      <c r="B345" s="98"/>
      <c r="C345" s="244"/>
      <c r="D345" s="145"/>
      <c r="E345" s="228"/>
    </row>
    <row r="346">
      <c r="B346" s="98"/>
      <c r="C346" s="244"/>
      <c r="D346" s="145"/>
      <c r="E346" s="228"/>
    </row>
    <row r="347">
      <c r="B347" s="98"/>
      <c r="C347" s="244"/>
      <c r="D347" s="145"/>
      <c r="E347" s="228"/>
    </row>
    <row r="348">
      <c r="B348" s="98"/>
      <c r="C348" s="244"/>
      <c r="D348" s="145"/>
      <c r="E348" s="228"/>
    </row>
    <row r="349">
      <c r="B349" s="98"/>
      <c r="C349" s="244"/>
      <c r="D349" s="145"/>
      <c r="E349" s="228"/>
    </row>
    <row r="350">
      <c r="B350" s="98"/>
      <c r="C350" s="244"/>
      <c r="D350" s="145"/>
      <c r="E350" s="228"/>
    </row>
    <row r="351">
      <c r="B351" s="98"/>
      <c r="C351" s="244"/>
      <c r="D351" s="145"/>
      <c r="E351" s="228"/>
    </row>
    <row r="352">
      <c r="B352" s="98"/>
      <c r="C352" s="244"/>
      <c r="D352" s="145"/>
      <c r="E352" s="228"/>
    </row>
    <row r="353">
      <c r="B353" s="98"/>
      <c r="C353" s="244"/>
      <c r="D353" s="145"/>
      <c r="E353" s="228"/>
    </row>
    <row r="354">
      <c r="B354" s="98"/>
      <c r="C354" s="244"/>
      <c r="D354" s="145"/>
      <c r="E354" s="228"/>
    </row>
    <row r="355">
      <c r="B355" s="98"/>
      <c r="C355" s="244"/>
      <c r="D355" s="145"/>
      <c r="E355" s="228"/>
    </row>
    <row r="356">
      <c r="B356" s="98"/>
      <c r="C356" s="244"/>
      <c r="D356" s="145"/>
      <c r="E356" s="228"/>
    </row>
    <row r="357">
      <c r="B357" s="98"/>
      <c r="C357" s="244"/>
      <c r="D357" s="145"/>
      <c r="E357" s="228"/>
    </row>
    <row r="358">
      <c r="B358" s="98"/>
      <c r="C358" s="244"/>
      <c r="D358" s="145"/>
      <c r="E358" s="228"/>
    </row>
    <row r="359">
      <c r="B359" s="98"/>
      <c r="C359" s="244"/>
      <c r="D359" s="145"/>
      <c r="E359" s="228"/>
    </row>
    <row r="360">
      <c r="B360" s="98"/>
      <c r="C360" s="244"/>
      <c r="D360" s="145"/>
      <c r="E360" s="228"/>
    </row>
    <row r="361">
      <c r="B361" s="98"/>
      <c r="C361" s="244"/>
      <c r="D361" s="145"/>
      <c r="E361" s="228"/>
    </row>
    <row r="362">
      <c r="B362" s="98"/>
      <c r="C362" s="244"/>
      <c r="D362" s="145"/>
      <c r="E362" s="228"/>
    </row>
    <row r="363">
      <c r="B363" s="98"/>
      <c r="C363" s="244"/>
      <c r="D363" s="145"/>
      <c r="E363" s="228"/>
    </row>
    <row r="364">
      <c r="B364" s="98"/>
      <c r="C364" s="244"/>
      <c r="D364" s="145"/>
      <c r="E364" s="228"/>
    </row>
    <row r="365">
      <c r="B365" s="98"/>
      <c r="C365" s="244"/>
      <c r="D365" s="145"/>
      <c r="E365" s="228"/>
    </row>
    <row r="366">
      <c r="B366" s="98"/>
      <c r="C366" s="244"/>
      <c r="D366" s="145"/>
      <c r="E366" s="228"/>
    </row>
    <row r="367">
      <c r="B367" s="98"/>
      <c r="C367" s="244"/>
      <c r="D367" s="145"/>
      <c r="E367" s="228"/>
    </row>
    <row r="368">
      <c r="B368" s="98"/>
      <c r="C368" s="244"/>
      <c r="D368" s="145"/>
      <c r="E368" s="228"/>
    </row>
    <row r="369">
      <c r="B369" s="98"/>
      <c r="C369" s="244"/>
      <c r="D369" s="145"/>
      <c r="E369" s="228"/>
    </row>
    <row r="370">
      <c r="B370" s="98"/>
      <c r="C370" s="244"/>
      <c r="D370" s="145"/>
      <c r="E370" s="228"/>
    </row>
    <row r="371">
      <c r="B371" s="98"/>
      <c r="C371" s="244"/>
      <c r="D371" s="145"/>
      <c r="E371" s="228"/>
    </row>
    <row r="372">
      <c r="B372" s="98"/>
      <c r="C372" s="244"/>
      <c r="D372" s="145"/>
      <c r="E372" s="228"/>
    </row>
    <row r="373">
      <c r="B373" s="98"/>
      <c r="C373" s="244"/>
      <c r="D373" s="145"/>
      <c r="E373" s="228"/>
    </row>
    <row r="374">
      <c r="B374" s="98"/>
      <c r="C374" s="244"/>
      <c r="D374" s="145"/>
      <c r="E374" s="228"/>
    </row>
    <row r="375">
      <c r="B375" s="98"/>
      <c r="C375" s="244"/>
      <c r="D375" s="145"/>
      <c r="E375" s="228"/>
    </row>
    <row r="376">
      <c r="B376" s="98"/>
      <c r="C376" s="244"/>
      <c r="D376" s="145"/>
      <c r="E376" s="228"/>
    </row>
    <row r="377">
      <c r="B377" s="98"/>
      <c r="C377" s="244"/>
      <c r="D377" s="145"/>
      <c r="E377" s="228"/>
    </row>
    <row r="378">
      <c r="B378" s="98"/>
      <c r="C378" s="244"/>
      <c r="D378" s="145"/>
      <c r="E378" s="228"/>
    </row>
    <row r="379">
      <c r="B379" s="98"/>
      <c r="C379" s="244"/>
      <c r="D379" s="145"/>
      <c r="E379" s="228"/>
    </row>
    <row r="380">
      <c r="B380" s="98"/>
      <c r="C380" s="244"/>
      <c r="D380" s="145"/>
      <c r="E380" s="228"/>
    </row>
    <row r="381">
      <c r="B381" s="98"/>
      <c r="C381" s="244"/>
      <c r="D381" s="145"/>
      <c r="E381" s="228"/>
    </row>
    <row r="382">
      <c r="B382" s="98"/>
      <c r="C382" s="244"/>
      <c r="D382" s="145"/>
      <c r="E382" s="228"/>
    </row>
    <row r="383">
      <c r="B383" s="98"/>
      <c r="C383" s="244"/>
      <c r="D383" s="145"/>
      <c r="E383" s="228"/>
    </row>
    <row r="384">
      <c r="B384" s="98"/>
      <c r="C384" s="244"/>
      <c r="D384" s="145"/>
      <c r="E384" s="228"/>
    </row>
    <row r="385">
      <c r="B385" s="98"/>
      <c r="C385" s="244"/>
      <c r="D385" s="145"/>
      <c r="E385" s="228"/>
    </row>
    <row r="386">
      <c r="B386" s="98"/>
      <c r="C386" s="244"/>
      <c r="D386" s="145"/>
      <c r="E386" s="228"/>
    </row>
    <row r="387">
      <c r="B387" s="98"/>
      <c r="C387" s="244"/>
      <c r="D387" s="145"/>
      <c r="E387" s="228"/>
    </row>
    <row r="388">
      <c r="B388" s="98"/>
      <c r="C388" s="244"/>
      <c r="D388" s="145"/>
      <c r="E388" s="228"/>
    </row>
    <row r="389">
      <c r="B389" s="98"/>
      <c r="C389" s="244"/>
      <c r="D389" s="145"/>
      <c r="E389" s="228"/>
    </row>
    <row r="390">
      <c r="B390" s="98"/>
      <c r="C390" s="244"/>
      <c r="D390" s="145"/>
      <c r="E390" s="228"/>
    </row>
    <row r="391">
      <c r="B391" s="98"/>
      <c r="C391" s="244"/>
      <c r="D391" s="145"/>
      <c r="E391" s="228"/>
    </row>
    <row r="392">
      <c r="B392" s="98"/>
      <c r="C392" s="244"/>
      <c r="D392" s="145"/>
      <c r="E392" s="228"/>
    </row>
    <row r="393">
      <c r="B393" s="98"/>
      <c r="C393" s="244"/>
      <c r="D393" s="145"/>
      <c r="E393" s="228"/>
    </row>
    <row r="394">
      <c r="B394" s="98"/>
      <c r="C394" s="244"/>
      <c r="D394" s="145"/>
      <c r="E394" s="228"/>
    </row>
    <row r="395">
      <c r="B395" s="98"/>
      <c r="C395" s="244"/>
      <c r="D395" s="145"/>
      <c r="E395" s="228"/>
    </row>
    <row r="396">
      <c r="B396" s="98"/>
      <c r="C396" s="244"/>
      <c r="D396" s="145"/>
      <c r="E396" s="228"/>
    </row>
    <row r="397">
      <c r="B397" s="98"/>
      <c r="C397" s="244"/>
      <c r="D397" s="145"/>
      <c r="E397" s="228"/>
    </row>
    <row r="398">
      <c r="B398" s="98"/>
      <c r="C398" s="244"/>
      <c r="D398" s="145"/>
      <c r="E398" s="228"/>
    </row>
    <row r="399">
      <c r="B399" s="98"/>
      <c r="C399" s="244"/>
      <c r="D399" s="145"/>
      <c r="E399" s="228"/>
    </row>
    <row r="400">
      <c r="B400" s="98"/>
      <c r="C400" s="244"/>
      <c r="D400" s="145"/>
      <c r="E400" s="228"/>
    </row>
    <row r="401">
      <c r="B401" s="98"/>
      <c r="C401" s="244"/>
      <c r="D401" s="145"/>
      <c r="E401" s="228"/>
    </row>
    <row r="402">
      <c r="B402" s="98"/>
      <c r="C402" s="244"/>
      <c r="D402" s="145"/>
      <c r="E402" s="228"/>
    </row>
    <row r="403">
      <c r="B403" s="98"/>
      <c r="C403" s="244"/>
      <c r="D403" s="145"/>
      <c r="E403" s="228"/>
    </row>
    <row r="404">
      <c r="B404" s="98"/>
      <c r="C404" s="244"/>
      <c r="D404" s="145"/>
      <c r="E404" s="228"/>
    </row>
    <row r="405">
      <c r="B405" s="98"/>
      <c r="C405" s="244"/>
      <c r="D405" s="145"/>
      <c r="E405" s="228"/>
    </row>
    <row r="406">
      <c r="B406" s="98"/>
      <c r="C406" s="244"/>
      <c r="D406" s="145"/>
      <c r="E406" s="228"/>
    </row>
    <row r="407">
      <c r="B407" s="98"/>
      <c r="C407" s="244"/>
      <c r="D407" s="145"/>
      <c r="E407" s="228"/>
    </row>
    <row r="408">
      <c r="B408" s="98"/>
      <c r="C408" s="244"/>
      <c r="D408" s="145"/>
      <c r="E408" s="228"/>
    </row>
    <row r="409">
      <c r="B409" s="98"/>
      <c r="C409" s="244"/>
      <c r="D409" s="145"/>
      <c r="E409" s="228"/>
    </row>
    <row r="410">
      <c r="B410" s="98"/>
      <c r="C410" s="244"/>
      <c r="D410" s="145"/>
      <c r="E410" s="228"/>
    </row>
    <row r="411">
      <c r="B411" s="98"/>
      <c r="C411" s="244"/>
      <c r="D411" s="145"/>
      <c r="E411" s="228"/>
    </row>
    <row r="412">
      <c r="B412" s="98"/>
      <c r="C412" s="244"/>
      <c r="D412" s="145"/>
      <c r="E412" s="228"/>
    </row>
    <row r="413">
      <c r="B413" s="98"/>
      <c r="C413" s="244"/>
      <c r="D413" s="145"/>
      <c r="E413" s="228"/>
    </row>
    <row r="414">
      <c r="B414" s="98"/>
      <c r="C414" s="244"/>
      <c r="D414" s="145"/>
      <c r="E414" s="228"/>
    </row>
    <row r="415">
      <c r="B415" s="98"/>
      <c r="C415" s="244"/>
      <c r="D415" s="145"/>
      <c r="E415" s="228"/>
    </row>
    <row r="416">
      <c r="B416" s="98"/>
      <c r="C416" s="244"/>
      <c r="D416" s="145"/>
      <c r="E416" s="228"/>
    </row>
    <row r="417">
      <c r="B417" s="98"/>
      <c r="C417" s="244"/>
      <c r="D417" s="145"/>
      <c r="E417" s="228"/>
    </row>
    <row r="418">
      <c r="B418" s="98"/>
      <c r="C418" s="244"/>
      <c r="D418" s="145"/>
      <c r="E418" s="228"/>
    </row>
    <row r="419">
      <c r="B419" s="98"/>
      <c r="C419" s="244"/>
      <c r="D419" s="145"/>
      <c r="E419" s="228"/>
    </row>
    <row r="420">
      <c r="B420" s="98"/>
      <c r="C420" s="244"/>
      <c r="D420" s="145"/>
      <c r="E420" s="228"/>
    </row>
    <row r="421">
      <c r="B421" s="98"/>
      <c r="C421" s="244"/>
      <c r="D421" s="145"/>
      <c r="E421" s="228"/>
    </row>
    <row r="422">
      <c r="B422" s="98"/>
      <c r="C422" s="244"/>
      <c r="D422" s="145"/>
      <c r="E422" s="228"/>
    </row>
    <row r="423">
      <c r="B423" s="98"/>
      <c r="C423" s="244"/>
      <c r="D423" s="145"/>
      <c r="E423" s="228"/>
    </row>
    <row r="424">
      <c r="B424" s="98"/>
      <c r="C424" s="244"/>
      <c r="D424" s="145"/>
      <c r="E424" s="228"/>
    </row>
    <row r="425">
      <c r="B425" s="98"/>
      <c r="C425" s="244"/>
      <c r="D425" s="145"/>
      <c r="E425" s="228"/>
    </row>
    <row r="426">
      <c r="B426" s="98"/>
      <c r="C426" s="244"/>
      <c r="D426" s="145"/>
      <c r="E426" s="228"/>
    </row>
    <row r="427">
      <c r="B427" s="98"/>
      <c r="C427" s="244"/>
      <c r="D427" s="145"/>
      <c r="E427" s="228"/>
    </row>
    <row r="428">
      <c r="B428" s="98"/>
      <c r="C428" s="244"/>
      <c r="D428" s="145"/>
      <c r="E428" s="228"/>
    </row>
    <row r="429">
      <c r="B429" s="98"/>
      <c r="C429" s="244"/>
      <c r="D429" s="145"/>
      <c r="E429" s="228"/>
    </row>
    <row r="430">
      <c r="B430" s="98"/>
      <c r="C430" s="244"/>
      <c r="D430" s="145"/>
      <c r="E430" s="228"/>
    </row>
    <row r="431">
      <c r="B431" s="98"/>
      <c r="C431" s="244"/>
      <c r="D431" s="145"/>
      <c r="E431" s="228"/>
    </row>
    <row r="432">
      <c r="B432" s="98"/>
      <c r="C432" s="244"/>
      <c r="D432" s="145"/>
      <c r="E432" s="228"/>
    </row>
    <row r="433">
      <c r="B433" s="98"/>
      <c r="C433" s="244"/>
      <c r="D433" s="145"/>
      <c r="E433" s="228"/>
    </row>
    <row r="434">
      <c r="B434" s="98"/>
      <c r="C434" s="244"/>
      <c r="D434" s="145"/>
      <c r="E434" s="228"/>
    </row>
    <row r="435">
      <c r="B435" s="98"/>
      <c r="C435" s="244"/>
      <c r="D435" s="145"/>
      <c r="E435" s="228"/>
    </row>
    <row r="436">
      <c r="B436" s="98"/>
      <c r="C436" s="244"/>
      <c r="D436" s="145"/>
      <c r="E436" s="228"/>
    </row>
    <row r="437">
      <c r="B437" s="98"/>
      <c r="C437" s="244"/>
      <c r="D437" s="145"/>
      <c r="E437" s="228"/>
    </row>
    <row r="438">
      <c r="B438" s="98"/>
      <c r="C438" s="244"/>
      <c r="D438" s="145"/>
      <c r="E438" s="228"/>
    </row>
    <row r="439">
      <c r="B439" s="98"/>
      <c r="C439" s="244"/>
      <c r="D439" s="145"/>
      <c r="E439" s="228"/>
    </row>
    <row r="440">
      <c r="B440" s="98"/>
      <c r="C440" s="244"/>
      <c r="D440" s="145"/>
      <c r="E440" s="228"/>
    </row>
    <row r="441">
      <c r="B441" s="98"/>
      <c r="C441" s="244"/>
      <c r="D441" s="145"/>
      <c r="E441" s="228"/>
    </row>
    <row r="442">
      <c r="B442" s="98"/>
      <c r="C442" s="244"/>
      <c r="D442" s="145"/>
      <c r="E442" s="228"/>
    </row>
    <row r="443">
      <c r="B443" s="98"/>
      <c r="C443" s="244"/>
      <c r="D443" s="145"/>
      <c r="E443" s="228"/>
    </row>
    <row r="444">
      <c r="B444" s="98"/>
      <c r="C444" s="244"/>
      <c r="D444" s="145"/>
      <c r="E444" s="228"/>
    </row>
    <row r="445">
      <c r="B445" s="98"/>
      <c r="C445" s="244"/>
      <c r="D445" s="145"/>
      <c r="E445" s="228"/>
    </row>
    <row r="446">
      <c r="B446" s="98"/>
      <c r="C446" s="244"/>
      <c r="D446" s="145"/>
      <c r="E446" s="228"/>
    </row>
    <row r="447">
      <c r="B447" s="98"/>
      <c r="C447" s="244"/>
      <c r="D447" s="145"/>
      <c r="E447" s="228"/>
    </row>
    <row r="448">
      <c r="B448" s="98"/>
      <c r="C448" s="244"/>
      <c r="D448" s="145"/>
      <c r="E448" s="228"/>
    </row>
    <row r="449">
      <c r="B449" s="98"/>
      <c r="C449" s="244"/>
      <c r="D449" s="145"/>
      <c r="E449" s="228"/>
    </row>
    <row r="450">
      <c r="B450" s="98"/>
      <c r="C450" s="244"/>
      <c r="D450" s="145"/>
      <c r="E450" s="228"/>
    </row>
    <row r="451">
      <c r="B451" s="98"/>
      <c r="C451" s="244"/>
      <c r="D451" s="145"/>
      <c r="E451" s="228"/>
    </row>
    <row r="452">
      <c r="B452" s="98"/>
      <c r="C452" s="244"/>
      <c r="D452" s="145"/>
      <c r="E452" s="228"/>
    </row>
    <row r="453">
      <c r="B453" s="98"/>
      <c r="C453" s="244"/>
      <c r="D453" s="145"/>
      <c r="E453" s="228"/>
    </row>
    <row r="454">
      <c r="B454" s="98"/>
      <c r="C454" s="244"/>
      <c r="D454" s="145"/>
      <c r="E454" s="228"/>
    </row>
    <row r="455">
      <c r="B455" s="98"/>
      <c r="C455" s="244"/>
      <c r="D455" s="145"/>
      <c r="E455" s="228"/>
    </row>
    <row r="456">
      <c r="B456" s="98"/>
      <c r="C456" s="244"/>
      <c r="D456" s="145"/>
      <c r="E456" s="228"/>
    </row>
    <row r="457">
      <c r="B457" s="98"/>
      <c r="C457" s="244"/>
      <c r="D457" s="145"/>
      <c r="E457" s="228"/>
    </row>
    <row r="458">
      <c r="B458" s="98"/>
      <c r="C458" s="244"/>
      <c r="D458" s="145"/>
      <c r="E458" s="228"/>
    </row>
    <row r="459">
      <c r="B459" s="98"/>
      <c r="C459" s="244"/>
      <c r="D459" s="145"/>
      <c r="E459" s="228"/>
    </row>
    <row r="460">
      <c r="B460" s="98"/>
      <c r="C460" s="244"/>
      <c r="D460" s="145"/>
      <c r="E460" s="228"/>
    </row>
    <row r="461">
      <c r="B461" s="98"/>
      <c r="C461" s="244"/>
      <c r="D461" s="145"/>
      <c r="E461" s="228"/>
    </row>
    <row r="462">
      <c r="B462" s="98"/>
      <c r="C462" s="244"/>
      <c r="D462" s="145"/>
      <c r="E462" s="228"/>
    </row>
    <row r="463">
      <c r="B463" s="98"/>
      <c r="C463" s="244"/>
      <c r="D463" s="145"/>
      <c r="E463" s="228"/>
    </row>
    <row r="464">
      <c r="B464" s="98"/>
      <c r="C464" s="244"/>
      <c r="D464" s="145"/>
      <c r="E464" s="228"/>
    </row>
    <row r="465">
      <c r="B465" s="98"/>
      <c r="C465" s="244"/>
      <c r="D465" s="145"/>
      <c r="E465" s="228"/>
    </row>
    <row r="466">
      <c r="B466" s="98"/>
      <c r="C466" s="244"/>
      <c r="D466" s="145"/>
      <c r="E466" s="228"/>
    </row>
    <row r="467">
      <c r="B467" s="98"/>
      <c r="C467" s="244"/>
      <c r="D467" s="145"/>
      <c r="E467" s="228"/>
    </row>
    <row r="468">
      <c r="B468" s="98"/>
      <c r="C468" s="244"/>
      <c r="D468" s="145"/>
      <c r="E468" s="228"/>
    </row>
    <row r="469">
      <c r="B469" s="98"/>
      <c r="C469" s="244"/>
      <c r="D469" s="145"/>
      <c r="E469" s="228"/>
    </row>
    <row r="470">
      <c r="B470" s="98"/>
      <c r="C470" s="244"/>
      <c r="D470" s="145"/>
      <c r="E470" s="228"/>
    </row>
    <row r="471">
      <c r="B471" s="98"/>
      <c r="C471" s="244"/>
      <c r="D471" s="145"/>
      <c r="E471" s="228"/>
    </row>
    <row r="472">
      <c r="B472" s="98"/>
      <c r="C472" s="244"/>
      <c r="D472" s="145"/>
      <c r="E472" s="228"/>
    </row>
    <row r="473">
      <c r="B473" s="98"/>
      <c r="C473" s="244"/>
      <c r="D473" s="145"/>
      <c r="E473" s="228"/>
    </row>
    <row r="474">
      <c r="B474" s="98"/>
      <c r="C474" s="244"/>
      <c r="D474" s="145"/>
      <c r="E474" s="228"/>
    </row>
    <row r="475">
      <c r="B475" s="98"/>
      <c r="C475" s="244"/>
      <c r="D475" s="145"/>
      <c r="E475" s="228"/>
    </row>
    <row r="476">
      <c r="B476" s="98"/>
      <c r="C476" s="244"/>
      <c r="D476" s="145"/>
      <c r="E476" s="228"/>
    </row>
    <row r="477">
      <c r="B477" s="98"/>
      <c r="C477" s="244"/>
      <c r="D477" s="145"/>
      <c r="E477" s="228"/>
    </row>
    <row r="478">
      <c r="B478" s="98"/>
      <c r="C478" s="244"/>
      <c r="D478" s="145"/>
      <c r="E478" s="228"/>
    </row>
    <row r="479">
      <c r="B479" s="98"/>
      <c r="C479" s="244"/>
      <c r="D479" s="145"/>
      <c r="E479" s="228"/>
    </row>
    <row r="480">
      <c r="B480" s="98"/>
      <c r="C480" s="244"/>
      <c r="D480" s="145"/>
      <c r="E480" s="228"/>
    </row>
    <row r="481">
      <c r="B481" s="98"/>
      <c r="C481" s="244"/>
      <c r="D481" s="145"/>
      <c r="E481" s="228"/>
    </row>
    <row r="482">
      <c r="B482" s="98"/>
      <c r="C482" s="244"/>
      <c r="D482" s="145"/>
      <c r="E482" s="228"/>
    </row>
    <row r="483">
      <c r="B483" s="98"/>
      <c r="C483" s="244"/>
      <c r="D483" s="145"/>
      <c r="E483" s="228"/>
    </row>
    <row r="484">
      <c r="B484" s="98"/>
      <c r="C484" s="244"/>
      <c r="D484" s="145"/>
      <c r="E484" s="228"/>
    </row>
    <row r="485">
      <c r="B485" s="98"/>
      <c r="C485" s="244"/>
      <c r="D485" s="145"/>
      <c r="E485" s="228"/>
    </row>
    <row r="486">
      <c r="B486" s="98"/>
      <c r="C486" s="244"/>
      <c r="D486" s="145"/>
      <c r="E486" s="228"/>
    </row>
    <row r="487">
      <c r="B487" s="98"/>
      <c r="C487" s="244"/>
      <c r="D487" s="145"/>
      <c r="E487" s="228"/>
    </row>
    <row r="488">
      <c r="B488" s="98"/>
      <c r="C488" s="244"/>
      <c r="D488" s="145"/>
      <c r="E488" s="228"/>
    </row>
    <row r="489">
      <c r="B489" s="98"/>
      <c r="C489" s="244"/>
      <c r="D489" s="145"/>
      <c r="E489" s="228"/>
    </row>
    <row r="490">
      <c r="B490" s="98"/>
      <c r="C490" s="244"/>
      <c r="D490" s="145"/>
      <c r="E490" s="228"/>
    </row>
    <row r="491">
      <c r="B491" s="98"/>
      <c r="C491" s="244"/>
      <c r="D491" s="145"/>
      <c r="E491" s="228"/>
    </row>
    <row r="492">
      <c r="B492" s="98"/>
      <c r="C492" s="244"/>
      <c r="D492" s="145"/>
      <c r="E492" s="228"/>
    </row>
    <row r="493">
      <c r="B493" s="98"/>
      <c r="C493" s="244"/>
      <c r="D493" s="145"/>
      <c r="E493" s="228"/>
    </row>
    <row r="494">
      <c r="B494" s="98"/>
      <c r="C494" s="244"/>
      <c r="D494" s="145"/>
      <c r="E494" s="228"/>
    </row>
    <row r="495">
      <c r="B495" s="98"/>
      <c r="C495" s="244"/>
      <c r="D495" s="145"/>
      <c r="E495" s="228"/>
    </row>
    <row r="496">
      <c r="B496" s="98"/>
      <c r="C496" s="244"/>
      <c r="D496" s="145"/>
      <c r="E496" s="228"/>
    </row>
    <row r="497">
      <c r="B497" s="98"/>
      <c r="C497" s="244"/>
      <c r="D497" s="145"/>
      <c r="E497" s="228"/>
    </row>
    <row r="498">
      <c r="B498" s="98"/>
      <c r="C498" s="244"/>
      <c r="D498" s="145"/>
      <c r="E498" s="228"/>
    </row>
    <row r="499">
      <c r="B499" s="98"/>
      <c r="C499" s="244"/>
      <c r="D499" s="145"/>
      <c r="E499" s="228"/>
    </row>
    <row r="500">
      <c r="B500" s="98"/>
      <c r="C500" s="244"/>
      <c r="D500" s="145"/>
      <c r="E500" s="228"/>
    </row>
    <row r="501">
      <c r="B501" s="98"/>
      <c r="C501" s="244"/>
      <c r="D501" s="145"/>
      <c r="E501" s="228"/>
    </row>
    <row r="502">
      <c r="B502" s="98"/>
      <c r="C502" s="244"/>
      <c r="D502" s="145"/>
      <c r="E502" s="228"/>
    </row>
    <row r="503">
      <c r="B503" s="98"/>
      <c r="C503" s="244"/>
      <c r="D503" s="145"/>
      <c r="E503" s="228"/>
    </row>
    <row r="504">
      <c r="B504" s="98"/>
      <c r="C504" s="244"/>
      <c r="D504" s="145"/>
      <c r="E504" s="228"/>
    </row>
    <row r="505">
      <c r="B505" s="98"/>
      <c r="C505" s="244"/>
      <c r="D505" s="145"/>
      <c r="E505" s="228"/>
    </row>
    <row r="506">
      <c r="B506" s="98"/>
      <c r="C506" s="244"/>
      <c r="D506" s="145"/>
      <c r="E506" s="228"/>
    </row>
    <row r="507">
      <c r="B507" s="98"/>
      <c r="C507" s="244"/>
      <c r="D507" s="145"/>
      <c r="E507" s="228"/>
    </row>
    <row r="508">
      <c r="B508" s="98"/>
      <c r="C508" s="244"/>
      <c r="D508" s="145"/>
      <c r="E508" s="228"/>
    </row>
    <row r="509">
      <c r="B509" s="98"/>
      <c r="C509" s="244"/>
      <c r="D509" s="145"/>
      <c r="E509" s="228"/>
    </row>
    <row r="510">
      <c r="B510" s="98"/>
      <c r="C510" s="244"/>
      <c r="D510" s="145"/>
      <c r="E510" s="228"/>
    </row>
    <row r="511">
      <c r="B511" s="98"/>
      <c r="C511" s="244"/>
      <c r="D511" s="145"/>
      <c r="E511" s="228"/>
    </row>
    <row r="512">
      <c r="B512" s="98"/>
      <c r="C512" s="244"/>
      <c r="D512" s="145"/>
      <c r="E512" s="228"/>
    </row>
    <row r="513">
      <c r="B513" s="98"/>
      <c r="C513" s="244"/>
      <c r="D513" s="145"/>
      <c r="E513" s="228"/>
    </row>
    <row r="514">
      <c r="B514" s="98"/>
      <c r="C514" s="244"/>
      <c r="D514" s="145"/>
      <c r="E514" s="228"/>
    </row>
    <row r="515">
      <c r="B515" s="98"/>
      <c r="C515" s="244"/>
      <c r="D515" s="145"/>
      <c r="E515" s="228"/>
    </row>
    <row r="516">
      <c r="B516" s="98"/>
      <c r="C516" s="244"/>
      <c r="D516" s="145"/>
      <c r="E516" s="228"/>
    </row>
    <row r="517">
      <c r="B517" s="98"/>
      <c r="C517" s="244"/>
      <c r="D517" s="145"/>
      <c r="E517" s="228"/>
    </row>
    <row r="518">
      <c r="B518" s="98"/>
      <c r="C518" s="244"/>
      <c r="D518" s="145"/>
      <c r="E518" s="228"/>
    </row>
    <row r="519">
      <c r="B519" s="98"/>
      <c r="C519" s="244"/>
      <c r="D519" s="145"/>
      <c r="E519" s="228"/>
    </row>
    <row r="520">
      <c r="B520" s="98"/>
      <c r="C520" s="244"/>
      <c r="D520" s="145"/>
      <c r="E520" s="228"/>
    </row>
    <row r="521">
      <c r="B521" s="98"/>
      <c r="C521" s="244"/>
      <c r="D521" s="145"/>
      <c r="E521" s="228"/>
    </row>
    <row r="522">
      <c r="B522" s="98"/>
      <c r="C522" s="244"/>
      <c r="D522" s="145"/>
      <c r="E522" s="228"/>
    </row>
    <row r="523">
      <c r="B523" s="98"/>
      <c r="C523" s="244"/>
      <c r="D523" s="145"/>
      <c r="E523" s="228"/>
    </row>
    <row r="524">
      <c r="B524" s="98"/>
      <c r="C524" s="244"/>
      <c r="D524" s="145"/>
      <c r="E524" s="228"/>
    </row>
    <row r="525">
      <c r="B525" s="98"/>
      <c r="C525" s="244"/>
      <c r="D525" s="145"/>
      <c r="E525" s="228"/>
    </row>
    <row r="526">
      <c r="B526" s="98"/>
      <c r="C526" s="244"/>
      <c r="D526" s="145"/>
      <c r="E526" s="228"/>
    </row>
    <row r="527">
      <c r="B527" s="98"/>
      <c r="C527" s="244"/>
      <c r="D527" s="145"/>
      <c r="E527" s="228"/>
    </row>
    <row r="528">
      <c r="B528" s="98"/>
      <c r="C528" s="244"/>
      <c r="D528" s="145"/>
      <c r="E528" s="228"/>
    </row>
    <row r="529">
      <c r="B529" s="98"/>
      <c r="C529" s="244"/>
      <c r="D529" s="145"/>
      <c r="E529" s="228"/>
    </row>
    <row r="530">
      <c r="B530" s="98"/>
      <c r="C530" s="244"/>
      <c r="D530" s="145"/>
      <c r="E530" s="228"/>
    </row>
    <row r="531">
      <c r="B531" s="98"/>
      <c r="C531" s="244"/>
      <c r="D531" s="145"/>
      <c r="E531" s="228"/>
    </row>
    <row r="532">
      <c r="B532" s="98"/>
      <c r="C532" s="244"/>
      <c r="D532" s="145"/>
      <c r="E532" s="228"/>
    </row>
    <row r="533">
      <c r="B533" s="98"/>
      <c r="C533" s="244"/>
      <c r="D533" s="145"/>
      <c r="E533" s="228"/>
    </row>
    <row r="534">
      <c r="B534" s="98"/>
      <c r="C534" s="244"/>
      <c r="D534" s="145"/>
      <c r="E534" s="228"/>
    </row>
    <row r="535">
      <c r="B535" s="98"/>
      <c r="C535" s="244"/>
      <c r="D535" s="145"/>
      <c r="E535" s="228"/>
    </row>
    <row r="536">
      <c r="B536" s="98"/>
      <c r="C536" s="244"/>
      <c r="D536" s="145"/>
      <c r="E536" s="228"/>
    </row>
    <row r="537">
      <c r="B537" s="98"/>
      <c r="C537" s="244"/>
      <c r="D537" s="145"/>
      <c r="E537" s="228"/>
    </row>
    <row r="538">
      <c r="B538" s="98"/>
      <c r="C538" s="244"/>
      <c r="D538" s="145"/>
      <c r="E538" s="228"/>
    </row>
    <row r="539">
      <c r="B539" s="98"/>
      <c r="C539" s="244"/>
      <c r="D539" s="145"/>
      <c r="E539" s="228"/>
    </row>
    <row r="540">
      <c r="B540" s="98"/>
      <c r="C540" s="244"/>
      <c r="D540" s="145"/>
      <c r="E540" s="228"/>
    </row>
    <row r="541">
      <c r="B541" s="98"/>
      <c r="C541" s="244"/>
      <c r="D541" s="145"/>
      <c r="E541" s="228"/>
    </row>
    <row r="542">
      <c r="B542" s="98"/>
      <c r="C542" s="244"/>
      <c r="D542" s="145"/>
      <c r="E542" s="228"/>
    </row>
    <row r="543">
      <c r="B543" s="98"/>
      <c r="C543" s="244"/>
      <c r="D543" s="145"/>
      <c r="E543" s="228"/>
    </row>
    <row r="544">
      <c r="B544" s="98"/>
      <c r="C544" s="244"/>
      <c r="D544" s="145"/>
      <c r="E544" s="228"/>
    </row>
    <row r="545">
      <c r="B545" s="98"/>
      <c r="C545" s="244"/>
      <c r="D545" s="145"/>
      <c r="E545" s="228"/>
    </row>
    <row r="546">
      <c r="B546" s="98"/>
      <c r="C546" s="244"/>
      <c r="D546" s="145"/>
      <c r="E546" s="228"/>
    </row>
    <row r="547">
      <c r="B547" s="98"/>
      <c r="C547" s="244"/>
      <c r="D547" s="145"/>
      <c r="E547" s="228"/>
    </row>
    <row r="548">
      <c r="B548" s="98"/>
      <c r="C548" s="244"/>
      <c r="D548" s="145"/>
      <c r="E548" s="228"/>
    </row>
    <row r="549">
      <c r="B549" s="98"/>
      <c r="C549" s="244"/>
      <c r="D549" s="145"/>
      <c r="E549" s="228"/>
    </row>
    <row r="550">
      <c r="B550" s="98"/>
      <c r="C550" s="244"/>
      <c r="D550" s="145"/>
      <c r="E550" s="228"/>
    </row>
    <row r="551">
      <c r="B551" s="98"/>
      <c r="C551" s="244"/>
      <c r="D551" s="145"/>
      <c r="E551" s="228"/>
    </row>
    <row r="552">
      <c r="B552" s="98"/>
      <c r="C552" s="244"/>
      <c r="D552" s="145"/>
      <c r="E552" s="228"/>
    </row>
    <row r="553">
      <c r="B553" s="98"/>
      <c r="C553" s="244"/>
      <c r="D553" s="145"/>
      <c r="E553" s="228"/>
    </row>
    <row r="554">
      <c r="B554" s="98"/>
      <c r="C554" s="244"/>
      <c r="D554" s="145"/>
      <c r="E554" s="228"/>
    </row>
    <row r="555">
      <c r="B555" s="98"/>
      <c r="C555" s="244"/>
      <c r="D555" s="145"/>
      <c r="E555" s="228"/>
    </row>
    <row r="556">
      <c r="B556" s="98"/>
      <c r="C556" s="244"/>
      <c r="D556" s="145"/>
      <c r="E556" s="228"/>
    </row>
    <row r="557">
      <c r="B557" s="98"/>
      <c r="C557" s="244"/>
      <c r="D557" s="145"/>
      <c r="E557" s="228"/>
    </row>
    <row r="558">
      <c r="B558" s="98"/>
      <c r="C558" s="244"/>
      <c r="D558" s="145"/>
      <c r="E558" s="228"/>
    </row>
    <row r="559">
      <c r="B559" s="98"/>
      <c r="C559" s="244"/>
      <c r="D559" s="145"/>
      <c r="E559" s="228"/>
    </row>
    <row r="560">
      <c r="B560" s="98"/>
      <c r="C560" s="244"/>
      <c r="D560" s="145"/>
      <c r="E560" s="228"/>
    </row>
    <row r="561">
      <c r="B561" s="98"/>
      <c r="C561" s="244"/>
      <c r="D561" s="145"/>
      <c r="E561" s="228"/>
    </row>
    <row r="562">
      <c r="B562" s="98"/>
      <c r="C562" s="244"/>
      <c r="D562" s="145"/>
      <c r="E562" s="228"/>
    </row>
    <row r="563">
      <c r="B563" s="98"/>
      <c r="C563" s="244"/>
      <c r="D563" s="145"/>
      <c r="E563" s="228"/>
    </row>
    <row r="564">
      <c r="B564" s="98"/>
      <c r="C564" s="244"/>
      <c r="D564" s="145"/>
      <c r="E564" s="228"/>
    </row>
    <row r="565">
      <c r="B565" s="98"/>
      <c r="C565" s="244"/>
      <c r="D565" s="145"/>
      <c r="E565" s="228"/>
    </row>
    <row r="566">
      <c r="B566" s="98"/>
      <c r="C566" s="244"/>
      <c r="D566" s="145"/>
      <c r="E566" s="228"/>
    </row>
    <row r="567">
      <c r="B567" s="98"/>
      <c r="C567" s="244"/>
      <c r="D567" s="145"/>
      <c r="E567" s="228"/>
    </row>
    <row r="568">
      <c r="B568" s="98"/>
      <c r="C568" s="244"/>
      <c r="D568" s="145"/>
      <c r="E568" s="228"/>
    </row>
    <row r="569">
      <c r="B569" s="98"/>
      <c r="C569" s="244"/>
      <c r="D569" s="145"/>
      <c r="E569" s="228"/>
    </row>
    <row r="570">
      <c r="B570" s="98"/>
      <c r="C570" s="244"/>
      <c r="D570" s="145"/>
      <c r="E570" s="228"/>
    </row>
    <row r="571">
      <c r="B571" s="98"/>
      <c r="C571" s="244"/>
      <c r="D571" s="145"/>
      <c r="E571" s="228"/>
    </row>
    <row r="572">
      <c r="B572" s="98"/>
      <c r="C572" s="244"/>
      <c r="D572" s="145"/>
      <c r="E572" s="228"/>
    </row>
    <row r="573">
      <c r="B573" s="98"/>
      <c r="C573" s="244"/>
      <c r="D573" s="145"/>
      <c r="E573" s="228"/>
    </row>
    <row r="574">
      <c r="B574" s="98"/>
      <c r="C574" s="244"/>
      <c r="D574" s="145"/>
      <c r="E574" s="228"/>
    </row>
    <row r="575">
      <c r="B575" s="98"/>
      <c r="C575" s="244"/>
      <c r="D575" s="145"/>
      <c r="E575" s="228"/>
    </row>
    <row r="576">
      <c r="B576" s="98"/>
      <c r="C576" s="244"/>
      <c r="D576" s="145"/>
      <c r="E576" s="228"/>
    </row>
    <row r="577">
      <c r="B577" s="98"/>
      <c r="C577" s="244"/>
      <c r="D577" s="145"/>
      <c r="E577" s="228"/>
    </row>
    <row r="578">
      <c r="B578" s="98"/>
      <c r="C578" s="244"/>
      <c r="D578" s="145"/>
      <c r="E578" s="228"/>
    </row>
    <row r="579">
      <c r="B579" s="98"/>
      <c r="C579" s="244"/>
      <c r="D579" s="145"/>
      <c r="E579" s="228"/>
    </row>
    <row r="580">
      <c r="B580" s="98"/>
      <c r="C580" s="244"/>
      <c r="D580" s="145"/>
      <c r="E580" s="228"/>
    </row>
    <row r="581">
      <c r="B581" s="98"/>
      <c r="C581" s="244"/>
      <c r="D581" s="145"/>
      <c r="E581" s="228"/>
    </row>
    <row r="582">
      <c r="B582" s="98"/>
      <c r="C582" s="244"/>
      <c r="D582" s="145"/>
      <c r="E582" s="228"/>
    </row>
    <row r="583">
      <c r="B583" s="98"/>
      <c r="C583" s="244"/>
      <c r="D583" s="145"/>
      <c r="E583" s="228"/>
    </row>
    <row r="584">
      <c r="B584" s="98"/>
      <c r="C584" s="244"/>
      <c r="D584" s="145"/>
      <c r="E584" s="228"/>
    </row>
    <row r="585">
      <c r="B585" s="98"/>
      <c r="C585" s="244"/>
      <c r="D585" s="145"/>
      <c r="E585" s="228"/>
    </row>
    <row r="586">
      <c r="B586" s="98"/>
      <c r="C586" s="244"/>
      <c r="D586" s="145"/>
      <c r="E586" s="228"/>
    </row>
    <row r="587">
      <c r="B587" s="98"/>
      <c r="C587" s="244"/>
      <c r="D587" s="145"/>
      <c r="E587" s="228"/>
    </row>
    <row r="588">
      <c r="B588" s="98"/>
      <c r="C588" s="244"/>
      <c r="D588" s="145"/>
      <c r="E588" s="228"/>
    </row>
    <row r="589">
      <c r="B589" s="98"/>
      <c r="C589" s="244"/>
      <c r="D589" s="145"/>
      <c r="E589" s="228"/>
    </row>
    <row r="590">
      <c r="B590" s="98"/>
      <c r="C590" s="244"/>
      <c r="D590" s="145"/>
      <c r="E590" s="228"/>
    </row>
    <row r="591">
      <c r="B591" s="98"/>
      <c r="C591" s="244"/>
      <c r="D591" s="145"/>
      <c r="E591" s="228"/>
    </row>
    <row r="592">
      <c r="B592" s="98"/>
      <c r="C592" s="244"/>
      <c r="D592" s="145"/>
      <c r="E592" s="228"/>
    </row>
    <row r="593">
      <c r="B593" s="98"/>
      <c r="C593" s="244"/>
      <c r="D593" s="145"/>
      <c r="E593" s="228"/>
    </row>
    <row r="594">
      <c r="B594" s="98"/>
      <c r="C594" s="244"/>
      <c r="D594" s="145"/>
      <c r="E594" s="228"/>
    </row>
    <row r="595">
      <c r="B595" s="98"/>
      <c r="C595" s="244"/>
      <c r="D595" s="145"/>
      <c r="E595" s="228"/>
    </row>
    <row r="596">
      <c r="B596" s="98"/>
      <c r="C596" s="244"/>
      <c r="D596" s="145"/>
      <c r="E596" s="228"/>
    </row>
    <row r="597">
      <c r="B597" s="98"/>
      <c r="C597" s="244"/>
      <c r="D597" s="145"/>
      <c r="E597" s="228"/>
    </row>
    <row r="598">
      <c r="B598" s="98"/>
      <c r="C598" s="244"/>
      <c r="D598" s="145"/>
      <c r="E598" s="228"/>
    </row>
    <row r="599">
      <c r="B599" s="98"/>
      <c r="C599" s="244"/>
      <c r="D599" s="145"/>
      <c r="E599" s="228"/>
    </row>
    <row r="600">
      <c r="B600" s="98"/>
      <c r="C600" s="244"/>
      <c r="D600" s="145"/>
      <c r="E600" s="228"/>
    </row>
    <row r="601">
      <c r="B601" s="98"/>
      <c r="C601" s="244"/>
      <c r="D601" s="145"/>
      <c r="E601" s="228"/>
    </row>
    <row r="602">
      <c r="B602" s="98"/>
      <c r="C602" s="244"/>
      <c r="D602" s="145"/>
      <c r="E602" s="228"/>
    </row>
    <row r="603">
      <c r="B603" s="98"/>
      <c r="C603" s="244"/>
      <c r="D603" s="145"/>
      <c r="E603" s="228"/>
    </row>
    <row r="604">
      <c r="B604" s="98"/>
      <c r="C604" s="244"/>
      <c r="D604" s="145"/>
      <c r="E604" s="228"/>
    </row>
    <row r="605">
      <c r="B605" s="98"/>
      <c r="C605" s="244"/>
      <c r="D605" s="145"/>
      <c r="E605" s="228"/>
    </row>
    <row r="606">
      <c r="B606" s="98"/>
      <c r="C606" s="244"/>
      <c r="D606" s="145"/>
      <c r="E606" s="228"/>
    </row>
    <row r="607">
      <c r="B607" s="98"/>
      <c r="C607" s="244"/>
      <c r="D607" s="145"/>
      <c r="E607" s="228"/>
    </row>
    <row r="608">
      <c r="B608" s="98"/>
      <c r="C608" s="244"/>
      <c r="D608" s="145"/>
      <c r="E608" s="228"/>
    </row>
    <row r="609">
      <c r="B609" s="98"/>
      <c r="C609" s="244"/>
      <c r="D609" s="145"/>
      <c r="E609" s="228"/>
    </row>
    <row r="610">
      <c r="B610" s="98"/>
      <c r="C610" s="244"/>
      <c r="D610" s="145"/>
      <c r="E610" s="228"/>
    </row>
    <row r="611">
      <c r="B611" s="98"/>
      <c r="C611" s="244"/>
      <c r="D611" s="145"/>
      <c r="E611" s="228"/>
    </row>
    <row r="612">
      <c r="B612" s="98"/>
      <c r="C612" s="244"/>
      <c r="D612" s="145"/>
      <c r="E612" s="228"/>
    </row>
    <row r="613">
      <c r="B613" s="98"/>
      <c r="C613" s="244"/>
      <c r="D613" s="145"/>
      <c r="E613" s="228"/>
    </row>
    <row r="614">
      <c r="B614" s="98"/>
      <c r="C614" s="244"/>
      <c r="D614" s="145"/>
      <c r="E614" s="228"/>
    </row>
    <row r="615">
      <c r="B615" s="98"/>
      <c r="C615" s="244"/>
      <c r="D615" s="145"/>
      <c r="E615" s="228"/>
    </row>
    <row r="616">
      <c r="B616" s="98"/>
      <c r="C616" s="244"/>
      <c r="D616" s="145"/>
      <c r="E616" s="228"/>
    </row>
    <row r="617">
      <c r="B617" s="98"/>
      <c r="C617" s="244"/>
      <c r="D617" s="145"/>
      <c r="E617" s="228"/>
    </row>
    <row r="618">
      <c r="B618" s="98"/>
      <c r="C618" s="244"/>
      <c r="D618" s="145"/>
      <c r="E618" s="228"/>
    </row>
    <row r="619">
      <c r="B619" s="98"/>
      <c r="C619" s="244"/>
      <c r="D619" s="145"/>
      <c r="E619" s="228"/>
    </row>
    <row r="620">
      <c r="B620" s="98"/>
      <c r="C620" s="244"/>
      <c r="D620" s="145"/>
      <c r="E620" s="228"/>
    </row>
    <row r="621">
      <c r="B621" s="98"/>
      <c r="C621" s="244"/>
      <c r="D621" s="145"/>
      <c r="E621" s="228"/>
    </row>
    <row r="622">
      <c r="B622" s="98"/>
      <c r="C622" s="244"/>
      <c r="D622" s="145"/>
      <c r="E622" s="228"/>
    </row>
    <row r="623">
      <c r="B623" s="98"/>
      <c r="C623" s="244"/>
      <c r="D623" s="145"/>
      <c r="E623" s="228"/>
    </row>
    <row r="624">
      <c r="B624" s="98"/>
      <c r="C624" s="244"/>
      <c r="D624" s="145"/>
      <c r="E624" s="228"/>
    </row>
    <row r="625">
      <c r="B625" s="98"/>
      <c r="C625" s="244"/>
      <c r="D625" s="145"/>
      <c r="E625" s="228"/>
    </row>
    <row r="626">
      <c r="B626" s="98"/>
      <c r="C626" s="244"/>
      <c r="D626" s="145"/>
      <c r="E626" s="228"/>
    </row>
    <row r="627">
      <c r="B627" s="98"/>
      <c r="C627" s="244"/>
      <c r="D627" s="145"/>
      <c r="E627" s="228"/>
    </row>
    <row r="628">
      <c r="B628" s="98"/>
      <c r="C628" s="244"/>
      <c r="D628" s="145"/>
      <c r="E628" s="228"/>
    </row>
    <row r="629">
      <c r="B629" s="98"/>
      <c r="C629" s="244"/>
      <c r="D629" s="145"/>
      <c r="E629" s="228"/>
    </row>
    <row r="630">
      <c r="B630" s="98"/>
      <c r="C630" s="244"/>
      <c r="D630" s="145"/>
      <c r="E630" s="228"/>
    </row>
    <row r="631">
      <c r="B631" s="98"/>
      <c r="C631" s="244"/>
      <c r="D631" s="145"/>
      <c r="E631" s="228"/>
    </row>
    <row r="632">
      <c r="B632" s="98"/>
      <c r="C632" s="244"/>
      <c r="D632" s="145"/>
      <c r="E632" s="228"/>
    </row>
    <row r="633">
      <c r="B633" s="98"/>
      <c r="C633" s="244"/>
      <c r="D633" s="145"/>
      <c r="E633" s="228"/>
    </row>
    <row r="634">
      <c r="B634" s="98"/>
      <c r="C634" s="244"/>
      <c r="D634" s="145"/>
      <c r="E634" s="228"/>
    </row>
    <row r="635">
      <c r="B635" s="98"/>
      <c r="C635" s="244"/>
      <c r="D635" s="145"/>
      <c r="E635" s="228"/>
    </row>
    <row r="636">
      <c r="B636" s="98"/>
      <c r="C636" s="244"/>
      <c r="D636" s="145"/>
      <c r="E636" s="228"/>
    </row>
    <row r="637">
      <c r="B637" s="98"/>
      <c r="C637" s="244"/>
      <c r="D637" s="145"/>
      <c r="E637" s="228"/>
    </row>
    <row r="638">
      <c r="B638" s="98"/>
      <c r="C638" s="244"/>
      <c r="D638" s="145"/>
      <c r="E638" s="228"/>
    </row>
    <row r="639">
      <c r="B639" s="98"/>
      <c r="C639" s="244"/>
      <c r="D639" s="145"/>
      <c r="E639" s="228"/>
    </row>
    <row r="640">
      <c r="B640" s="98"/>
      <c r="C640" s="244"/>
      <c r="D640" s="145"/>
      <c r="E640" s="228"/>
    </row>
    <row r="641">
      <c r="B641" s="98"/>
      <c r="C641" s="244"/>
      <c r="D641" s="145"/>
      <c r="E641" s="228"/>
    </row>
    <row r="642">
      <c r="B642" s="98"/>
      <c r="C642" s="244"/>
      <c r="D642" s="145"/>
      <c r="E642" s="228"/>
    </row>
    <row r="643">
      <c r="B643" s="98"/>
      <c r="C643" s="244"/>
      <c r="D643" s="145"/>
      <c r="E643" s="228"/>
    </row>
    <row r="644">
      <c r="B644" s="98"/>
      <c r="C644" s="244"/>
      <c r="D644" s="145"/>
      <c r="E644" s="228"/>
    </row>
    <row r="645">
      <c r="B645" s="98"/>
      <c r="C645" s="244"/>
      <c r="D645" s="145"/>
      <c r="E645" s="228"/>
    </row>
    <row r="646">
      <c r="B646" s="98"/>
      <c r="C646" s="244"/>
      <c r="D646" s="145"/>
      <c r="E646" s="228"/>
    </row>
    <row r="647">
      <c r="B647" s="98"/>
      <c r="C647" s="244"/>
      <c r="D647" s="145"/>
      <c r="E647" s="228"/>
    </row>
    <row r="648">
      <c r="B648" s="98"/>
      <c r="C648" s="244"/>
      <c r="D648" s="145"/>
      <c r="E648" s="228"/>
    </row>
    <row r="649">
      <c r="B649" s="98"/>
      <c r="C649" s="244"/>
      <c r="D649" s="145"/>
      <c r="E649" s="228"/>
    </row>
    <row r="650">
      <c r="B650" s="98"/>
      <c r="C650" s="244"/>
      <c r="D650" s="145"/>
      <c r="E650" s="228"/>
    </row>
    <row r="651">
      <c r="B651" s="98"/>
      <c r="C651" s="244"/>
      <c r="D651" s="145"/>
      <c r="E651" s="228"/>
    </row>
    <row r="652">
      <c r="B652" s="98"/>
      <c r="C652" s="244"/>
      <c r="D652" s="145"/>
      <c r="E652" s="228"/>
    </row>
    <row r="653">
      <c r="B653" s="98"/>
      <c r="C653" s="244"/>
      <c r="D653" s="145"/>
      <c r="E653" s="228"/>
    </row>
    <row r="654">
      <c r="B654" s="98"/>
      <c r="C654" s="244"/>
      <c r="D654" s="145"/>
      <c r="E654" s="228"/>
    </row>
    <row r="655">
      <c r="B655" s="98"/>
      <c r="C655" s="244"/>
      <c r="D655" s="145"/>
      <c r="E655" s="228"/>
    </row>
    <row r="656">
      <c r="B656" s="98"/>
      <c r="C656" s="244"/>
      <c r="D656" s="145"/>
      <c r="E656" s="228"/>
    </row>
    <row r="657">
      <c r="B657" s="98"/>
      <c r="C657" s="244"/>
      <c r="D657" s="145"/>
      <c r="E657" s="228"/>
    </row>
    <row r="658">
      <c r="B658" s="98"/>
      <c r="C658" s="244"/>
      <c r="D658" s="145"/>
      <c r="E658" s="228"/>
    </row>
    <row r="659">
      <c r="B659" s="98"/>
      <c r="C659" s="244"/>
      <c r="D659" s="145"/>
      <c r="E659" s="228"/>
    </row>
    <row r="660">
      <c r="B660" s="98"/>
      <c r="C660" s="244"/>
      <c r="D660" s="145"/>
      <c r="E660" s="228"/>
    </row>
    <row r="661">
      <c r="B661" s="98"/>
      <c r="C661" s="244"/>
      <c r="D661" s="145"/>
      <c r="E661" s="228"/>
    </row>
    <row r="662">
      <c r="B662" s="98"/>
      <c r="C662" s="244"/>
      <c r="D662" s="145"/>
      <c r="E662" s="228"/>
    </row>
    <row r="663">
      <c r="B663" s="98"/>
      <c r="C663" s="244"/>
      <c r="D663" s="145"/>
      <c r="E663" s="228"/>
    </row>
    <row r="664">
      <c r="B664" s="98"/>
      <c r="C664" s="244"/>
      <c r="D664" s="145"/>
      <c r="E664" s="228"/>
    </row>
    <row r="665">
      <c r="B665" s="98"/>
      <c r="C665" s="244"/>
      <c r="D665" s="145"/>
      <c r="E665" s="228"/>
    </row>
    <row r="666">
      <c r="B666" s="98"/>
      <c r="C666" s="244"/>
      <c r="D666" s="145"/>
      <c r="E666" s="228"/>
    </row>
    <row r="667">
      <c r="B667" s="98"/>
      <c r="C667" s="244"/>
      <c r="D667" s="145"/>
      <c r="E667" s="228"/>
    </row>
    <row r="668">
      <c r="B668" s="98"/>
      <c r="C668" s="244"/>
      <c r="D668" s="145"/>
      <c r="E668" s="228"/>
    </row>
    <row r="669">
      <c r="B669" s="98"/>
      <c r="C669" s="244"/>
      <c r="D669" s="145"/>
      <c r="E669" s="228"/>
    </row>
    <row r="670">
      <c r="B670" s="98"/>
      <c r="C670" s="244"/>
      <c r="D670" s="145"/>
      <c r="E670" s="228"/>
    </row>
    <row r="671">
      <c r="B671" s="98"/>
      <c r="C671" s="244"/>
      <c r="D671" s="145"/>
      <c r="E671" s="228"/>
    </row>
    <row r="672">
      <c r="B672" s="98"/>
      <c r="C672" s="244"/>
      <c r="D672" s="145"/>
      <c r="E672" s="228"/>
    </row>
    <row r="673">
      <c r="B673" s="98"/>
      <c r="C673" s="244"/>
      <c r="D673" s="145"/>
      <c r="E673" s="228"/>
    </row>
    <row r="674">
      <c r="B674" s="98"/>
      <c r="C674" s="244"/>
      <c r="D674" s="145"/>
      <c r="E674" s="228"/>
    </row>
    <row r="675">
      <c r="B675" s="98"/>
      <c r="C675" s="244"/>
      <c r="D675" s="145"/>
      <c r="E675" s="228"/>
    </row>
    <row r="676">
      <c r="B676" s="98"/>
      <c r="C676" s="244"/>
      <c r="D676" s="145"/>
      <c r="E676" s="228"/>
    </row>
    <row r="677">
      <c r="B677" s="98"/>
      <c r="C677" s="244"/>
      <c r="D677" s="145"/>
      <c r="E677" s="228"/>
    </row>
    <row r="678">
      <c r="B678" s="98"/>
      <c r="C678" s="244"/>
      <c r="D678" s="145"/>
      <c r="E678" s="228"/>
    </row>
    <row r="679">
      <c r="B679" s="98"/>
      <c r="C679" s="244"/>
      <c r="D679" s="145"/>
      <c r="E679" s="228"/>
    </row>
    <row r="680">
      <c r="B680" s="98"/>
      <c r="C680" s="244"/>
      <c r="D680" s="145"/>
      <c r="E680" s="228"/>
    </row>
    <row r="681">
      <c r="B681" s="98"/>
      <c r="C681" s="244"/>
      <c r="D681" s="145"/>
      <c r="E681" s="228"/>
    </row>
    <row r="682">
      <c r="B682" s="98"/>
      <c r="C682" s="244"/>
      <c r="D682" s="145"/>
      <c r="E682" s="228"/>
    </row>
    <row r="683">
      <c r="B683" s="98"/>
      <c r="C683" s="244"/>
      <c r="D683" s="145"/>
      <c r="E683" s="228"/>
    </row>
    <row r="684">
      <c r="B684" s="98"/>
      <c r="C684" s="244"/>
      <c r="D684" s="145"/>
      <c r="E684" s="228"/>
    </row>
    <row r="685">
      <c r="B685" s="98"/>
      <c r="C685" s="244"/>
      <c r="D685" s="145"/>
      <c r="E685" s="228"/>
    </row>
    <row r="686">
      <c r="B686" s="98"/>
      <c r="C686" s="244"/>
      <c r="D686" s="145"/>
      <c r="E686" s="228"/>
    </row>
    <row r="687">
      <c r="B687" s="98"/>
      <c r="C687" s="244"/>
      <c r="D687" s="145"/>
      <c r="E687" s="228"/>
    </row>
    <row r="688">
      <c r="B688" s="98"/>
      <c r="C688" s="244"/>
      <c r="D688" s="145"/>
      <c r="E688" s="228"/>
    </row>
    <row r="689">
      <c r="B689" s="98"/>
      <c r="C689" s="244"/>
      <c r="D689" s="145"/>
      <c r="E689" s="228"/>
    </row>
    <row r="690">
      <c r="B690" s="98"/>
      <c r="C690" s="244"/>
      <c r="D690" s="145"/>
      <c r="E690" s="228"/>
    </row>
    <row r="691">
      <c r="B691" s="98"/>
      <c r="C691" s="244"/>
      <c r="D691" s="145"/>
      <c r="E691" s="228"/>
    </row>
    <row r="692">
      <c r="B692" s="98"/>
      <c r="C692" s="244"/>
      <c r="D692" s="145"/>
      <c r="E692" s="228"/>
    </row>
    <row r="693">
      <c r="B693" s="98"/>
      <c r="C693" s="244"/>
      <c r="D693" s="145"/>
      <c r="E693" s="228"/>
    </row>
    <row r="694">
      <c r="B694" s="98"/>
      <c r="C694" s="244"/>
      <c r="D694" s="145"/>
      <c r="E694" s="228"/>
    </row>
    <row r="695">
      <c r="B695" s="98"/>
      <c r="C695" s="244"/>
      <c r="D695" s="145"/>
      <c r="E695" s="228"/>
    </row>
    <row r="696">
      <c r="B696" s="98"/>
      <c r="C696" s="244"/>
      <c r="D696" s="145"/>
      <c r="E696" s="228"/>
    </row>
    <row r="697">
      <c r="B697" s="98"/>
      <c r="C697" s="244"/>
      <c r="D697" s="145"/>
      <c r="E697" s="228"/>
    </row>
    <row r="698">
      <c r="B698" s="98"/>
      <c r="C698" s="244"/>
      <c r="D698" s="145"/>
      <c r="E698" s="228"/>
    </row>
    <row r="699">
      <c r="B699" s="98"/>
      <c r="C699" s="244"/>
      <c r="D699" s="145"/>
      <c r="E699" s="228"/>
    </row>
    <row r="700">
      <c r="B700" s="98"/>
      <c r="C700" s="244"/>
      <c r="D700" s="145"/>
      <c r="E700" s="228"/>
    </row>
    <row r="701">
      <c r="B701" s="98"/>
      <c r="C701" s="244"/>
      <c r="D701" s="145"/>
      <c r="E701" s="228"/>
    </row>
    <row r="702">
      <c r="B702" s="98"/>
      <c r="C702" s="244"/>
      <c r="D702" s="145"/>
      <c r="E702" s="228"/>
    </row>
    <row r="703">
      <c r="B703" s="98"/>
      <c r="C703" s="244"/>
      <c r="D703" s="145"/>
      <c r="E703" s="228"/>
    </row>
    <row r="704">
      <c r="B704" s="98"/>
      <c r="C704" s="244"/>
      <c r="D704" s="145"/>
      <c r="E704" s="228"/>
    </row>
    <row r="705">
      <c r="B705" s="98"/>
      <c r="C705" s="244"/>
      <c r="D705" s="145"/>
      <c r="E705" s="228"/>
    </row>
    <row r="706">
      <c r="B706" s="98"/>
      <c r="C706" s="244"/>
      <c r="D706" s="145"/>
      <c r="E706" s="228"/>
    </row>
    <row r="707">
      <c r="B707" s="98"/>
      <c r="C707" s="244"/>
      <c r="D707" s="145"/>
      <c r="E707" s="228"/>
    </row>
    <row r="708">
      <c r="B708" s="98"/>
      <c r="C708" s="244"/>
      <c r="D708" s="145"/>
      <c r="E708" s="228"/>
    </row>
    <row r="709">
      <c r="B709" s="98"/>
      <c r="C709" s="244"/>
      <c r="D709" s="145"/>
      <c r="E709" s="228"/>
    </row>
    <row r="710">
      <c r="B710" s="98"/>
      <c r="C710" s="244"/>
      <c r="D710" s="145"/>
      <c r="E710" s="228"/>
    </row>
    <row r="711">
      <c r="B711" s="98"/>
      <c r="C711" s="244"/>
      <c r="D711" s="145"/>
      <c r="E711" s="228"/>
    </row>
    <row r="712">
      <c r="B712" s="98"/>
      <c r="C712" s="244"/>
      <c r="D712" s="145"/>
      <c r="E712" s="228"/>
    </row>
    <row r="713">
      <c r="B713" s="98"/>
      <c r="C713" s="244"/>
      <c r="D713" s="145"/>
      <c r="E713" s="228"/>
    </row>
    <row r="714">
      <c r="B714" s="98"/>
      <c r="C714" s="244"/>
      <c r="D714" s="145"/>
      <c r="E714" s="228"/>
    </row>
    <row r="715">
      <c r="B715" s="98"/>
      <c r="C715" s="244"/>
      <c r="D715" s="145"/>
      <c r="E715" s="228"/>
    </row>
    <row r="716">
      <c r="B716" s="98"/>
      <c r="C716" s="244"/>
      <c r="D716" s="145"/>
      <c r="E716" s="228"/>
    </row>
    <row r="717">
      <c r="B717" s="98"/>
      <c r="C717" s="244"/>
      <c r="D717" s="145"/>
      <c r="E717" s="228"/>
    </row>
    <row r="718">
      <c r="B718" s="98"/>
      <c r="C718" s="244"/>
      <c r="D718" s="145"/>
      <c r="E718" s="228"/>
    </row>
    <row r="719">
      <c r="B719" s="98"/>
      <c r="C719" s="244"/>
      <c r="D719" s="145"/>
      <c r="E719" s="228"/>
    </row>
    <row r="720">
      <c r="B720" s="98"/>
      <c r="C720" s="244"/>
      <c r="D720" s="145"/>
      <c r="E720" s="228"/>
    </row>
    <row r="721">
      <c r="B721" s="98"/>
      <c r="C721" s="244"/>
      <c r="D721" s="145"/>
      <c r="E721" s="228"/>
    </row>
    <row r="722">
      <c r="B722" s="98"/>
      <c r="C722" s="244"/>
      <c r="D722" s="145"/>
      <c r="E722" s="228"/>
    </row>
    <row r="723">
      <c r="B723" s="98"/>
      <c r="C723" s="244"/>
      <c r="D723" s="145"/>
      <c r="E723" s="228"/>
    </row>
    <row r="724">
      <c r="B724" s="98"/>
      <c r="C724" s="244"/>
      <c r="D724" s="145"/>
      <c r="E724" s="228"/>
    </row>
    <row r="725">
      <c r="B725" s="98"/>
      <c r="C725" s="244"/>
      <c r="D725" s="145"/>
      <c r="E725" s="228"/>
    </row>
    <row r="726">
      <c r="B726" s="98"/>
      <c r="C726" s="244"/>
      <c r="D726" s="145"/>
      <c r="E726" s="228"/>
    </row>
    <row r="727">
      <c r="B727" s="98"/>
      <c r="C727" s="244"/>
      <c r="D727" s="145"/>
      <c r="E727" s="228"/>
    </row>
    <row r="728">
      <c r="B728" s="98"/>
      <c r="C728" s="244"/>
      <c r="D728" s="145"/>
      <c r="E728" s="228"/>
    </row>
    <row r="729">
      <c r="B729" s="98"/>
      <c r="C729" s="244"/>
      <c r="D729" s="145"/>
      <c r="E729" s="228"/>
    </row>
    <row r="730">
      <c r="B730" s="98"/>
      <c r="C730" s="244"/>
      <c r="D730" s="145"/>
      <c r="E730" s="228"/>
    </row>
    <row r="731">
      <c r="B731" s="98"/>
      <c r="C731" s="244"/>
      <c r="D731" s="145"/>
      <c r="E731" s="228"/>
    </row>
    <row r="732">
      <c r="B732" s="98"/>
      <c r="C732" s="244"/>
      <c r="D732" s="145"/>
      <c r="E732" s="228"/>
    </row>
    <row r="733">
      <c r="B733" s="98"/>
      <c r="C733" s="244"/>
      <c r="D733" s="145"/>
      <c r="E733" s="228"/>
    </row>
    <row r="734">
      <c r="B734" s="98"/>
      <c r="C734" s="244"/>
      <c r="D734" s="145"/>
      <c r="E734" s="228"/>
    </row>
    <row r="735">
      <c r="B735" s="98"/>
      <c r="C735" s="244"/>
      <c r="D735" s="145"/>
      <c r="E735" s="228"/>
    </row>
    <row r="736">
      <c r="B736" s="98"/>
      <c r="C736" s="244"/>
      <c r="D736" s="145"/>
      <c r="E736" s="228"/>
    </row>
    <row r="737">
      <c r="B737" s="98"/>
      <c r="C737" s="244"/>
      <c r="D737" s="145"/>
      <c r="E737" s="228"/>
    </row>
    <row r="738">
      <c r="B738" s="98"/>
      <c r="C738" s="244"/>
      <c r="D738" s="145"/>
      <c r="E738" s="228"/>
    </row>
    <row r="739">
      <c r="B739" s="98"/>
      <c r="C739" s="244"/>
      <c r="D739" s="145"/>
      <c r="E739" s="228"/>
    </row>
    <row r="740">
      <c r="B740" s="98"/>
      <c r="C740" s="244"/>
      <c r="D740" s="145"/>
      <c r="E740" s="228"/>
    </row>
    <row r="741">
      <c r="B741" s="98"/>
      <c r="C741" s="244"/>
      <c r="D741" s="145"/>
      <c r="E741" s="228"/>
    </row>
    <row r="742">
      <c r="B742" s="98"/>
      <c r="C742" s="244"/>
      <c r="D742" s="145"/>
      <c r="E742" s="228"/>
    </row>
    <row r="743">
      <c r="B743" s="98"/>
      <c r="C743" s="244"/>
      <c r="D743" s="145"/>
      <c r="E743" s="228"/>
    </row>
    <row r="744">
      <c r="B744" s="98"/>
      <c r="C744" s="244"/>
      <c r="D744" s="145"/>
      <c r="E744" s="228"/>
    </row>
    <row r="745">
      <c r="B745" s="98"/>
      <c r="C745" s="244"/>
      <c r="D745" s="145"/>
      <c r="E745" s="228"/>
    </row>
    <row r="746">
      <c r="B746" s="98"/>
      <c r="C746" s="244"/>
      <c r="D746" s="145"/>
      <c r="E746" s="228"/>
    </row>
    <row r="747">
      <c r="B747" s="98"/>
      <c r="C747" s="244"/>
      <c r="D747" s="145"/>
      <c r="E747" s="228"/>
    </row>
    <row r="748">
      <c r="B748" s="98"/>
      <c r="C748" s="244"/>
      <c r="D748" s="145"/>
      <c r="E748" s="228"/>
    </row>
    <row r="749">
      <c r="B749" s="98"/>
      <c r="C749" s="244"/>
      <c r="D749" s="145"/>
      <c r="E749" s="228"/>
    </row>
    <row r="750">
      <c r="B750" s="98"/>
      <c r="C750" s="244"/>
      <c r="D750" s="145"/>
      <c r="E750" s="228"/>
    </row>
    <row r="751">
      <c r="B751" s="98"/>
      <c r="C751" s="244"/>
      <c r="D751" s="145"/>
      <c r="E751" s="228"/>
    </row>
    <row r="752">
      <c r="B752" s="98"/>
      <c r="C752" s="244"/>
      <c r="D752" s="145"/>
      <c r="E752" s="228"/>
    </row>
    <row r="753">
      <c r="B753" s="98"/>
      <c r="C753" s="244"/>
      <c r="D753" s="145"/>
      <c r="E753" s="228"/>
    </row>
    <row r="754">
      <c r="B754" s="98"/>
      <c r="C754" s="244"/>
      <c r="D754" s="145"/>
      <c r="E754" s="228"/>
    </row>
    <row r="755">
      <c r="B755" s="98"/>
      <c r="C755" s="244"/>
      <c r="D755" s="145"/>
      <c r="E755" s="228"/>
    </row>
    <row r="756">
      <c r="B756" s="98"/>
      <c r="C756" s="244"/>
      <c r="D756" s="145"/>
      <c r="E756" s="228"/>
    </row>
    <row r="757">
      <c r="B757" s="98"/>
      <c r="C757" s="244"/>
      <c r="D757" s="145"/>
      <c r="E757" s="228"/>
    </row>
    <row r="758">
      <c r="B758" s="98"/>
      <c r="C758" s="244"/>
      <c r="D758" s="145"/>
      <c r="E758" s="228"/>
    </row>
    <row r="759">
      <c r="B759" s="98"/>
      <c r="C759" s="244"/>
      <c r="D759" s="145"/>
      <c r="E759" s="228"/>
    </row>
    <row r="760">
      <c r="B760" s="98"/>
      <c r="C760" s="244"/>
      <c r="D760" s="145"/>
      <c r="E760" s="228"/>
    </row>
    <row r="761">
      <c r="B761" s="98"/>
      <c r="C761" s="244"/>
      <c r="D761" s="145"/>
      <c r="E761" s="228"/>
    </row>
    <row r="762">
      <c r="B762" s="98"/>
      <c r="C762" s="244"/>
      <c r="D762" s="145"/>
      <c r="E762" s="228"/>
    </row>
    <row r="763">
      <c r="B763" s="98"/>
      <c r="C763" s="244"/>
      <c r="D763" s="145"/>
      <c r="E763" s="228"/>
    </row>
    <row r="764">
      <c r="B764" s="98"/>
      <c r="C764" s="244"/>
      <c r="D764" s="145"/>
      <c r="E764" s="228"/>
    </row>
    <row r="765">
      <c r="B765" s="98"/>
      <c r="C765" s="244"/>
      <c r="D765" s="145"/>
      <c r="E765" s="228"/>
    </row>
    <row r="766">
      <c r="B766" s="98"/>
      <c r="C766" s="244"/>
      <c r="D766" s="145"/>
      <c r="E766" s="228"/>
    </row>
    <row r="767">
      <c r="B767" s="98"/>
      <c r="C767" s="244"/>
      <c r="D767" s="145"/>
      <c r="E767" s="228"/>
    </row>
    <row r="768">
      <c r="B768" s="98"/>
      <c r="C768" s="244"/>
      <c r="D768" s="145"/>
      <c r="E768" s="228"/>
    </row>
    <row r="769">
      <c r="B769" s="98"/>
      <c r="C769" s="244"/>
      <c r="D769" s="145"/>
      <c r="E769" s="228"/>
    </row>
    <row r="770">
      <c r="B770" s="98"/>
      <c r="C770" s="244"/>
      <c r="D770" s="145"/>
      <c r="E770" s="228"/>
    </row>
    <row r="771">
      <c r="B771" s="98"/>
      <c r="C771" s="244"/>
      <c r="D771" s="145"/>
      <c r="E771" s="228"/>
    </row>
    <row r="772">
      <c r="B772" s="98"/>
      <c r="C772" s="244"/>
      <c r="D772" s="145"/>
      <c r="E772" s="228"/>
    </row>
    <row r="773">
      <c r="B773" s="98"/>
      <c r="C773" s="244"/>
      <c r="D773" s="145"/>
      <c r="E773" s="228"/>
    </row>
    <row r="774">
      <c r="B774" s="98"/>
      <c r="C774" s="244"/>
      <c r="D774" s="145"/>
      <c r="E774" s="228"/>
    </row>
    <row r="775">
      <c r="B775" s="98"/>
      <c r="C775" s="244"/>
      <c r="D775" s="145"/>
      <c r="E775" s="228"/>
    </row>
    <row r="776">
      <c r="B776" s="98"/>
      <c r="C776" s="244"/>
      <c r="D776" s="145"/>
      <c r="E776" s="228"/>
    </row>
    <row r="777">
      <c r="B777" s="98"/>
      <c r="C777" s="244"/>
      <c r="D777" s="145"/>
      <c r="E777" s="228"/>
    </row>
    <row r="778">
      <c r="B778" s="98"/>
      <c r="C778" s="244"/>
      <c r="D778" s="145"/>
      <c r="E778" s="228"/>
    </row>
    <row r="779">
      <c r="B779" s="98"/>
      <c r="C779" s="244"/>
      <c r="D779" s="145"/>
      <c r="E779" s="228"/>
    </row>
    <row r="780">
      <c r="B780" s="98"/>
      <c r="C780" s="244"/>
      <c r="D780" s="145"/>
      <c r="E780" s="228"/>
    </row>
    <row r="781">
      <c r="B781" s="98"/>
      <c r="C781" s="244"/>
      <c r="D781" s="145"/>
      <c r="E781" s="228"/>
    </row>
    <row r="782">
      <c r="B782" s="98"/>
      <c r="C782" s="244"/>
      <c r="D782" s="145"/>
      <c r="E782" s="228"/>
    </row>
    <row r="783">
      <c r="B783" s="98"/>
      <c r="C783" s="244"/>
      <c r="D783" s="145"/>
      <c r="E783" s="228"/>
    </row>
    <row r="784">
      <c r="B784" s="98"/>
      <c r="C784" s="244"/>
      <c r="D784" s="145"/>
      <c r="E784" s="228"/>
    </row>
    <row r="785">
      <c r="B785" s="98"/>
      <c r="C785" s="244"/>
      <c r="D785" s="145"/>
      <c r="E785" s="228"/>
    </row>
    <row r="786">
      <c r="B786" s="98"/>
      <c r="C786" s="244"/>
      <c r="D786" s="145"/>
      <c r="E786" s="228"/>
    </row>
    <row r="787">
      <c r="B787" s="98"/>
      <c r="C787" s="244"/>
      <c r="D787" s="145"/>
      <c r="E787" s="228"/>
    </row>
    <row r="788">
      <c r="B788" s="98"/>
      <c r="C788" s="244"/>
      <c r="D788" s="145"/>
      <c r="E788" s="228"/>
    </row>
    <row r="789">
      <c r="B789" s="98"/>
      <c r="C789" s="244"/>
      <c r="D789" s="145"/>
      <c r="E789" s="228"/>
    </row>
    <row r="790">
      <c r="B790" s="98"/>
      <c r="C790" s="244"/>
      <c r="D790" s="145"/>
      <c r="E790" s="228"/>
    </row>
    <row r="791">
      <c r="B791" s="98"/>
      <c r="C791" s="244"/>
      <c r="D791" s="145"/>
      <c r="E791" s="228"/>
    </row>
    <row r="792">
      <c r="B792" s="98"/>
      <c r="C792" s="244"/>
      <c r="D792" s="145"/>
      <c r="E792" s="228"/>
    </row>
    <row r="793">
      <c r="B793" s="98"/>
      <c r="C793" s="244"/>
      <c r="D793" s="145"/>
      <c r="E793" s="228"/>
    </row>
    <row r="794">
      <c r="B794" s="98"/>
      <c r="C794" s="244"/>
      <c r="D794" s="145"/>
      <c r="E794" s="228"/>
    </row>
    <row r="795">
      <c r="B795" s="98"/>
      <c r="C795" s="244"/>
      <c r="D795" s="145"/>
      <c r="E795" s="228"/>
    </row>
    <row r="796">
      <c r="B796" s="98"/>
      <c r="C796" s="244"/>
      <c r="D796" s="145"/>
      <c r="E796" s="228"/>
    </row>
    <row r="797">
      <c r="B797" s="98"/>
      <c r="C797" s="244"/>
      <c r="D797" s="145"/>
      <c r="E797" s="228"/>
    </row>
    <row r="798">
      <c r="B798" s="98"/>
      <c r="C798" s="244"/>
      <c r="D798" s="145"/>
      <c r="E798" s="228"/>
    </row>
    <row r="799">
      <c r="B799" s="98"/>
      <c r="C799" s="244"/>
      <c r="D799" s="145"/>
      <c r="E799" s="228"/>
    </row>
    <row r="800">
      <c r="B800" s="98"/>
      <c r="C800" s="244"/>
      <c r="D800" s="145"/>
      <c r="E800" s="228"/>
    </row>
    <row r="801">
      <c r="B801" s="98"/>
      <c r="C801" s="244"/>
      <c r="D801" s="145"/>
      <c r="E801" s="228"/>
    </row>
    <row r="802">
      <c r="B802" s="98"/>
      <c r="C802" s="244"/>
      <c r="D802" s="145"/>
      <c r="E802" s="228"/>
    </row>
    <row r="803">
      <c r="B803" s="98"/>
      <c r="C803" s="244"/>
      <c r="D803" s="145"/>
      <c r="E803" s="228"/>
    </row>
    <row r="804">
      <c r="B804" s="98"/>
      <c r="C804" s="244"/>
      <c r="D804" s="145"/>
      <c r="E804" s="228"/>
    </row>
    <row r="805">
      <c r="B805" s="98"/>
      <c r="C805" s="244"/>
      <c r="D805" s="145"/>
      <c r="E805" s="228"/>
    </row>
    <row r="806">
      <c r="B806" s="98"/>
      <c r="C806" s="244"/>
      <c r="D806" s="145"/>
      <c r="E806" s="228"/>
    </row>
    <row r="807">
      <c r="B807" s="98"/>
      <c r="C807" s="244"/>
      <c r="D807" s="145"/>
      <c r="E807" s="228"/>
    </row>
    <row r="808">
      <c r="B808" s="98"/>
      <c r="C808" s="244"/>
      <c r="D808" s="145"/>
      <c r="E808" s="228"/>
    </row>
    <row r="809">
      <c r="B809" s="98"/>
      <c r="C809" s="244"/>
      <c r="D809" s="145"/>
      <c r="E809" s="228"/>
    </row>
    <row r="810">
      <c r="B810" s="98"/>
      <c r="C810" s="244"/>
      <c r="D810" s="145"/>
      <c r="E810" s="228"/>
    </row>
    <row r="811">
      <c r="B811" s="98"/>
      <c r="C811" s="244"/>
      <c r="D811" s="145"/>
      <c r="E811" s="228"/>
    </row>
    <row r="812">
      <c r="B812" s="98"/>
      <c r="C812" s="244"/>
      <c r="D812" s="145"/>
      <c r="E812" s="228"/>
    </row>
    <row r="813">
      <c r="B813" s="98"/>
      <c r="C813" s="244"/>
      <c r="D813" s="145"/>
      <c r="E813" s="228"/>
    </row>
    <row r="814">
      <c r="B814" s="98"/>
      <c r="C814" s="244"/>
      <c r="D814" s="145"/>
      <c r="E814" s="228"/>
    </row>
    <row r="815">
      <c r="B815" s="98"/>
      <c r="C815" s="244"/>
      <c r="D815" s="145"/>
      <c r="E815" s="228"/>
    </row>
    <row r="816">
      <c r="B816" s="98"/>
      <c r="C816" s="244"/>
      <c r="D816" s="145"/>
      <c r="E816" s="228"/>
    </row>
    <row r="817">
      <c r="B817" s="98"/>
      <c r="C817" s="244"/>
      <c r="D817" s="145"/>
      <c r="E817" s="228"/>
    </row>
    <row r="818">
      <c r="B818" s="98"/>
      <c r="C818" s="244"/>
      <c r="D818" s="145"/>
      <c r="E818" s="228"/>
    </row>
    <row r="819">
      <c r="B819" s="98"/>
      <c r="C819" s="244"/>
      <c r="D819" s="145"/>
      <c r="E819" s="228"/>
    </row>
    <row r="820">
      <c r="B820" s="98"/>
      <c r="C820" s="244"/>
      <c r="D820" s="145"/>
      <c r="E820" s="228"/>
    </row>
    <row r="821">
      <c r="B821" s="98"/>
      <c r="C821" s="244"/>
      <c r="D821" s="145"/>
      <c r="E821" s="228"/>
    </row>
    <row r="822">
      <c r="B822" s="98"/>
      <c r="C822" s="244"/>
      <c r="D822" s="145"/>
      <c r="E822" s="228"/>
    </row>
    <row r="823">
      <c r="B823" s="98"/>
      <c r="C823" s="244"/>
      <c r="D823" s="145"/>
      <c r="E823" s="228"/>
    </row>
    <row r="824">
      <c r="B824" s="98"/>
      <c r="C824" s="244"/>
      <c r="D824" s="145"/>
      <c r="E824" s="228"/>
    </row>
    <row r="825">
      <c r="B825" s="98"/>
      <c r="C825" s="244"/>
      <c r="D825" s="145"/>
      <c r="E825" s="228"/>
    </row>
    <row r="826">
      <c r="B826" s="98"/>
      <c r="C826" s="244"/>
      <c r="D826" s="145"/>
      <c r="E826" s="228"/>
    </row>
    <row r="827">
      <c r="B827" s="98"/>
      <c r="C827" s="244"/>
      <c r="D827" s="145"/>
      <c r="E827" s="228"/>
    </row>
    <row r="828">
      <c r="B828" s="98"/>
      <c r="C828" s="244"/>
      <c r="D828" s="145"/>
      <c r="E828" s="228"/>
    </row>
    <row r="829">
      <c r="B829" s="98"/>
      <c r="C829" s="244"/>
      <c r="D829" s="145"/>
      <c r="E829" s="228"/>
    </row>
    <row r="830">
      <c r="B830" s="98"/>
      <c r="C830" s="244"/>
      <c r="D830" s="145"/>
      <c r="E830" s="228"/>
    </row>
    <row r="831">
      <c r="B831" s="98"/>
      <c r="C831" s="244"/>
      <c r="D831" s="145"/>
      <c r="E831" s="228"/>
    </row>
    <row r="832">
      <c r="B832" s="98"/>
      <c r="C832" s="244"/>
      <c r="D832" s="145"/>
      <c r="E832" s="228"/>
    </row>
    <row r="833">
      <c r="B833" s="98"/>
      <c r="C833" s="244"/>
      <c r="D833" s="145"/>
      <c r="E833" s="228"/>
    </row>
    <row r="834">
      <c r="B834" s="98"/>
      <c r="C834" s="244"/>
      <c r="D834" s="145"/>
      <c r="E834" s="228"/>
    </row>
    <row r="835">
      <c r="B835" s="98"/>
      <c r="C835" s="244"/>
      <c r="D835" s="145"/>
      <c r="E835" s="228"/>
    </row>
    <row r="836">
      <c r="B836" s="98"/>
      <c r="C836" s="244"/>
      <c r="D836" s="145"/>
      <c r="E836" s="228"/>
    </row>
    <row r="837">
      <c r="B837" s="98"/>
      <c r="C837" s="244"/>
      <c r="D837" s="145"/>
      <c r="E837" s="228"/>
    </row>
    <row r="838">
      <c r="B838" s="98"/>
      <c r="C838" s="244"/>
      <c r="D838" s="145"/>
      <c r="E838" s="228"/>
    </row>
    <row r="839">
      <c r="B839" s="98"/>
      <c r="C839" s="244"/>
      <c r="D839" s="145"/>
      <c r="E839" s="228"/>
    </row>
    <row r="840">
      <c r="B840" s="98"/>
      <c r="C840" s="244"/>
      <c r="D840" s="145"/>
      <c r="E840" s="228"/>
    </row>
    <row r="841">
      <c r="B841" s="98"/>
      <c r="C841" s="244"/>
      <c r="D841" s="145"/>
      <c r="E841" s="228"/>
    </row>
    <row r="842">
      <c r="B842" s="98"/>
      <c r="C842" s="244"/>
      <c r="D842" s="145"/>
      <c r="E842" s="228"/>
    </row>
    <row r="843">
      <c r="B843" s="98"/>
      <c r="C843" s="244"/>
      <c r="D843" s="145"/>
      <c r="E843" s="228"/>
    </row>
    <row r="844">
      <c r="B844" s="98"/>
      <c r="C844" s="244"/>
      <c r="D844" s="145"/>
      <c r="E844" s="228"/>
    </row>
    <row r="845">
      <c r="B845" s="98"/>
      <c r="C845" s="244"/>
      <c r="D845" s="145"/>
      <c r="E845" s="228"/>
    </row>
    <row r="846">
      <c r="B846" s="98"/>
      <c r="C846" s="244"/>
      <c r="D846" s="145"/>
      <c r="E846" s="228"/>
    </row>
    <row r="847">
      <c r="B847" s="98"/>
      <c r="C847" s="244"/>
      <c r="D847" s="145"/>
      <c r="E847" s="228"/>
    </row>
    <row r="848">
      <c r="B848" s="98"/>
      <c r="C848" s="244"/>
      <c r="D848" s="145"/>
      <c r="E848" s="228"/>
    </row>
    <row r="849">
      <c r="B849" s="98"/>
      <c r="C849" s="244"/>
      <c r="D849" s="145"/>
      <c r="E849" s="228"/>
    </row>
    <row r="850">
      <c r="B850" s="98"/>
      <c r="C850" s="244"/>
      <c r="D850" s="145"/>
      <c r="E850" s="228"/>
    </row>
    <row r="851">
      <c r="B851" s="98"/>
      <c r="C851" s="244"/>
      <c r="D851" s="145"/>
      <c r="E851" s="228"/>
    </row>
    <row r="852">
      <c r="B852" s="98"/>
      <c r="C852" s="244"/>
      <c r="D852" s="145"/>
      <c r="E852" s="228"/>
    </row>
    <row r="853">
      <c r="B853" s="98"/>
      <c r="C853" s="244"/>
      <c r="D853" s="145"/>
      <c r="E853" s="228"/>
    </row>
    <row r="854">
      <c r="B854" s="98"/>
      <c r="C854" s="244"/>
      <c r="D854" s="145"/>
      <c r="E854" s="228"/>
    </row>
    <row r="855">
      <c r="B855" s="98"/>
      <c r="C855" s="244"/>
      <c r="D855" s="145"/>
      <c r="E855" s="228"/>
    </row>
    <row r="856">
      <c r="B856" s="98"/>
      <c r="C856" s="244"/>
      <c r="D856" s="145"/>
      <c r="E856" s="228"/>
    </row>
    <row r="857">
      <c r="B857" s="98"/>
      <c r="C857" s="244"/>
      <c r="D857" s="145"/>
      <c r="E857" s="228"/>
    </row>
    <row r="858">
      <c r="B858" s="98"/>
      <c r="C858" s="244"/>
      <c r="D858" s="145"/>
      <c r="E858" s="228"/>
    </row>
    <row r="859">
      <c r="B859" s="98"/>
      <c r="C859" s="244"/>
      <c r="D859" s="145"/>
      <c r="E859" s="228"/>
    </row>
    <row r="860">
      <c r="B860" s="98"/>
      <c r="C860" s="244"/>
      <c r="D860" s="145"/>
      <c r="E860" s="228"/>
    </row>
    <row r="861">
      <c r="B861" s="98"/>
      <c r="C861" s="244"/>
      <c r="D861" s="145"/>
      <c r="E861" s="228"/>
    </row>
    <row r="862">
      <c r="B862" s="98"/>
      <c r="C862" s="244"/>
      <c r="D862" s="145"/>
      <c r="E862" s="228"/>
    </row>
    <row r="863">
      <c r="B863" s="98"/>
      <c r="C863" s="244"/>
      <c r="D863" s="145"/>
      <c r="E863" s="228"/>
    </row>
    <row r="864">
      <c r="B864" s="98"/>
      <c r="C864" s="244"/>
      <c r="D864" s="145"/>
      <c r="E864" s="228"/>
    </row>
    <row r="865">
      <c r="B865" s="98"/>
      <c r="C865" s="244"/>
      <c r="D865" s="145"/>
      <c r="E865" s="228"/>
    </row>
    <row r="866">
      <c r="B866" s="98"/>
      <c r="C866" s="244"/>
      <c r="D866" s="145"/>
      <c r="E866" s="228"/>
    </row>
    <row r="867">
      <c r="B867" s="98"/>
      <c r="C867" s="244"/>
      <c r="D867" s="145"/>
      <c r="E867" s="228"/>
    </row>
    <row r="868">
      <c r="B868" s="98"/>
      <c r="C868" s="244"/>
      <c r="D868" s="145"/>
      <c r="E868" s="228"/>
    </row>
    <row r="869">
      <c r="B869" s="98"/>
      <c r="C869" s="244"/>
      <c r="D869" s="145"/>
      <c r="E869" s="228"/>
    </row>
    <row r="870">
      <c r="B870" s="98"/>
      <c r="C870" s="244"/>
      <c r="D870" s="145"/>
      <c r="E870" s="228"/>
    </row>
    <row r="871">
      <c r="B871" s="98"/>
      <c r="C871" s="244"/>
      <c r="D871" s="145"/>
      <c r="E871" s="228"/>
    </row>
    <row r="872">
      <c r="B872" s="98"/>
      <c r="C872" s="244"/>
      <c r="D872" s="145"/>
      <c r="E872" s="228"/>
    </row>
    <row r="873">
      <c r="B873" s="98"/>
      <c r="C873" s="244"/>
      <c r="D873" s="145"/>
      <c r="E873" s="228"/>
    </row>
    <row r="874">
      <c r="B874" s="98"/>
      <c r="C874" s="244"/>
      <c r="D874" s="145"/>
      <c r="E874" s="228"/>
    </row>
    <row r="875">
      <c r="B875" s="98"/>
      <c r="C875" s="244"/>
      <c r="D875" s="145"/>
      <c r="E875" s="228"/>
    </row>
    <row r="876">
      <c r="B876" s="98"/>
      <c r="C876" s="244"/>
      <c r="D876" s="145"/>
      <c r="E876" s="228"/>
    </row>
    <row r="877">
      <c r="B877" s="98"/>
      <c r="C877" s="244"/>
      <c r="D877" s="145"/>
      <c r="E877" s="228"/>
    </row>
    <row r="878">
      <c r="B878" s="98"/>
      <c r="C878" s="244"/>
      <c r="D878" s="145"/>
      <c r="E878" s="228"/>
    </row>
    <row r="879">
      <c r="B879" s="98"/>
      <c r="C879" s="244"/>
      <c r="D879" s="145"/>
      <c r="E879" s="228"/>
    </row>
    <row r="880">
      <c r="B880" s="98"/>
      <c r="C880" s="244"/>
      <c r="D880" s="145"/>
      <c r="E880" s="228"/>
    </row>
    <row r="881">
      <c r="B881" s="98"/>
      <c r="C881" s="244"/>
      <c r="D881" s="145"/>
      <c r="E881" s="228"/>
    </row>
    <row r="882">
      <c r="B882" s="98"/>
      <c r="C882" s="244"/>
      <c r="D882" s="145"/>
      <c r="E882" s="228"/>
    </row>
    <row r="883">
      <c r="B883" s="98"/>
      <c r="C883" s="244"/>
      <c r="D883" s="145"/>
      <c r="E883" s="228"/>
    </row>
    <row r="884">
      <c r="B884" s="98"/>
      <c r="C884" s="244"/>
      <c r="D884" s="145"/>
      <c r="E884" s="228"/>
    </row>
    <row r="885">
      <c r="B885" s="98"/>
      <c r="C885" s="244"/>
      <c r="D885" s="145"/>
      <c r="E885" s="228"/>
    </row>
    <row r="886">
      <c r="B886" s="98"/>
      <c r="C886" s="244"/>
      <c r="D886" s="145"/>
      <c r="E886" s="228"/>
    </row>
    <row r="887">
      <c r="B887" s="98"/>
      <c r="C887" s="244"/>
      <c r="D887" s="145"/>
      <c r="E887" s="228"/>
    </row>
    <row r="888">
      <c r="B888" s="98"/>
      <c r="C888" s="244"/>
      <c r="D888" s="145"/>
      <c r="E888" s="228"/>
    </row>
    <row r="889">
      <c r="B889" s="98"/>
      <c r="C889" s="244"/>
      <c r="D889" s="145"/>
      <c r="E889" s="228"/>
    </row>
    <row r="890">
      <c r="B890" s="98"/>
      <c r="C890" s="244"/>
      <c r="D890" s="145"/>
      <c r="E890" s="228"/>
    </row>
    <row r="891">
      <c r="B891" s="98"/>
      <c r="C891" s="244"/>
      <c r="D891" s="145"/>
      <c r="E891" s="228"/>
    </row>
    <row r="892">
      <c r="B892" s="98"/>
      <c r="C892" s="244"/>
      <c r="D892" s="145"/>
      <c r="E892" s="228"/>
    </row>
    <row r="893">
      <c r="B893" s="98"/>
      <c r="C893" s="244"/>
      <c r="D893" s="145"/>
      <c r="E893" s="228"/>
    </row>
    <row r="894">
      <c r="B894" s="98"/>
      <c r="C894" s="244"/>
      <c r="D894" s="145"/>
      <c r="E894" s="228"/>
    </row>
    <row r="895">
      <c r="B895" s="98"/>
      <c r="C895" s="244"/>
      <c r="D895" s="145"/>
      <c r="E895" s="228"/>
    </row>
    <row r="896">
      <c r="B896" s="98"/>
      <c r="C896" s="244"/>
      <c r="D896" s="145"/>
      <c r="E896" s="228"/>
    </row>
    <row r="897">
      <c r="B897" s="98"/>
      <c r="C897" s="244"/>
      <c r="D897" s="145"/>
      <c r="E897" s="228"/>
    </row>
    <row r="898">
      <c r="B898" s="98"/>
      <c r="C898" s="244"/>
      <c r="D898" s="145"/>
      <c r="E898" s="228"/>
    </row>
    <row r="899">
      <c r="B899" s="98"/>
      <c r="C899" s="244"/>
      <c r="D899" s="145"/>
      <c r="E899" s="228"/>
    </row>
    <row r="900">
      <c r="B900" s="98"/>
      <c r="C900" s="244"/>
      <c r="D900" s="145"/>
      <c r="E900" s="228"/>
    </row>
    <row r="901">
      <c r="B901" s="98"/>
      <c r="C901" s="244"/>
      <c r="D901" s="145"/>
      <c r="E901" s="228"/>
    </row>
    <row r="902">
      <c r="B902" s="98"/>
      <c r="C902" s="244"/>
      <c r="D902" s="145"/>
      <c r="E902" s="228"/>
    </row>
    <row r="903">
      <c r="B903" s="98"/>
      <c r="C903" s="244"/>
      <c r="D903" s="145"/>
      <c r="E903" s="228"/>
    </row>
    <row r="904">
      <c r="B904" s="98"/>
      <c r="C904" s="244"/>
      <c r="D904" s="145"/>
      <c r="E904" s="228"/>
    </row>
    <row r="905">
      <c r="B905" s="98"/>
      <c r="C905" s="244"/>
      <c r="D905" s="145"/>
      <c r="E905" s="228"/>
    </row>
    <row r="906">
      <c r="B906" s="98"/>
      <c r="C906" s="244"/>
      <c r="D906" s="145"/>
      <c r="E906" s="228"/>
    </row>
    <row r="907">
      <c r="B907" s="98"/>
      <c r="C907" s="244"/>
      <c r="D907" s="145"/>
      <c r="E907" s="228"/>
    </row>
    <row r="908">
      <c r="B908" s="98"/>
      <c r="C908" s="244"/>
      <c r="D908" s="145"/>
      <c r="E908" s="228"/>
    </row>
    <row r="909">
      <c r="B909" s="98"/>
      <c r="C909" s="244"/>
      <c r="D909" s="145"/>
      <c r="E909" s="228"/>
    </row>
    <row r="910">
      <c r="B910" s="98"/>
      <c r="C910" s="244"/>
      <c r="D910" s="145"/>
      <c r="E910" s="228"/>
    </row>
    <row r="911">
      <c r="B911" s="98"/>
      <c r="C911" s="244"/>
      <c r="D911" s="145"/>
      <c r="E911" s="228"/>
    </row>
    <row r="912">
      <c r="B912" s="98"/>
      <c r="C912" s="244"/>
      <c r="D912" s="145"/>
      <c r="E912" s="228"/>
    </row>
    <row r="913">
      <c r="B913" s="98"/>
      <c r="C913" s="244"/>
      <c r="D913" s="145"/>
      <c r="E913" s="228"/>
    </row>
    <row r="914">
      <c r="B914" s="98"/>
      <c r="C914" s="244"/>
      <c r="D914" s="145"/>
      <c r="E914" s="228"/>
    </row>
    <row r="915">
      <c r="B915" s="98"/>
      <c r="C915" s="244"/>
      <c r="D915" s="145"/>
      <c r="E915" s="228"/>
    </row>
    <row r="916">
      <c r="B916" s="98"/>
      <c r="C916" s="244"/>
      <c r="D916" s="145"/>
      <c r="E916" s="228"/>
    </row>
    <row r="917">
      <c r="B917" s="98"/>
      <c r="C917" s="244"/>
      <c r="D917" s="145"/>
      <c r="E917" s="228"/>
    </row>
    <row r="918">
      <c r="B918" s="98"/>
      <c r="C918" s="244"/>
      <c r="D918" s="145"/>
      <c r="E918" s="228"/>
    </row>
    <row r="919">
      <c r="B919" s="98"/>
      <c r="C919" s="244"/>
      <c r="D919" s="145"/>
      <c r="E919" s="228"/>
    </row>
    <row r="920">
      <c r="B920" s="98"/>
      <c r="C920" s="244"/>
      <c r="D920" s="145"/>
      <c r="E920" s="228"/>
    </row>
    <row r="921">
      <c r="B921" s="98"/>
      <c r="C921" s="244"/>
      <c r="D921" s="145"/>
      <c r="E921" s="228"/>
    </row>
    <row r="922">
      <c r="B922" s="98"/>
      <c r="C922" s="244"/>
      <c r="D922" s="145"/>
      <c r="E922" s="228"/>
    </row>
    <row r="923">
      <c r="B923" s="98"/>
      <c r="C923" s="244"/>
      <c r="D923" s="145"/>
      <c r="E923" s="228"/>
    </row>
    <row r="924">
      <c r="B924" s="98"/>
      <c r="C924" s="244"/>
      <c r="D924" s="145"/>
      <c r="E924" s="228"/>
    </row>
    <row r="925">
      <c r="B925" s="98"/>
      <c r="C925" s="244"/>
      <c r="D925" s="145"/>
      <c r="E925" s="228"/>
    </row>
    <row r="926">
      <c r="B926" s="98"/>
      <c r="C926" s="244"/>
      <c r="D926" s="145"/>
      <c r="E926" s="228"/>
    </row>
    <row r="927">
      <c r="B927" s="98"/>
      <c r="C927" s="244"/>
      <c r="D927" s="145"/>
      <c r="E927" s="228"/>
    </row>
    <row r="928">
      <c r="B928" s="98"/>
      <c r="C928" s="244"/>
      <c r="D928" s="145"/>
      <c r="E928" s="228"/>
    </row>
    <row r="929">
      <c r="B929" s="98"/>
      <c r="C929" s="244"/>
      <c r="D929" s="145"/>
      <c r="E929" s="228"/>
    </row>
    <row r="930">
      <c r="B930" s="98"/>
      <c r="C930" s="244"/>
      <c r="D930" s="145"/>
      <c r="E930" s="228"/>
    </row>
    <row r="931">
      <c r="B931" s="98"/>
      <c r="C931" s="244"/>
      <c r="D931" s="145"/>
      <c r="E931" s="228"/>
    </row>
    <row r="932">
      <c r="B932" s="98"/>
      <c r="C932" s="244"/>
      <c r="D932" s="145"/>
      <c r="E932" s="228"/>
    </row>
    <row r="933">
      <c r="B933" s="98"/>
      <c r="C933" s="244"/>
      <c r="D933" s="145"/>
      <c r="E933" s="228"/>
    </row>
    <row r="934">
      <c r="B934" s="98"/>
      <c r="C934" s="244"/>
      <c r="D934" s="145"/>
      <c r="E934" s="228"/>
    </row>
    <row r="935">
      <c r="B935" s="98"/>
      <c r="C935" s="244"/>
      <c r="D935" s="145"/>
      <c r="E935" s="228"/>
    </row>
    <row r="936">
      <c r="B936" s="98"/>
      <c r="C936" s="244"/>
      <c r="D936" s="145"/>
      <c r="E936" s="228"/>
    </row>
    <row r="937">
      <c r="B937" s="98"/>
      <c r="C937" s="244"/>
      <c r="D937" s="145"/>
      <c r="E937" s="228"/>
    </row>
    <row r="938">
      <c r="B938" s="98"/>
      <c r="C938" s="244"/>
      <c r="D938" s="145"/>
      <c r="E938" s="228"/>
    </row>
    <row r="939">
      <c r="B939" s="98"/>
      <c r="C939" s="244"/>
      <c r="D939" s="145"/>
      <c r="E939" s="228"/>
    </row>
    <row r="940">
      <c r="B940" s="98"/>
      <c r="C940" s="244"/>
      <c r="D940" s="145"/>
      <c r="E940" s="228"/>
    </row>
    <row r="941">
      <c r="B941" s="98"/>
      <c r="C941" s="244"/>
      <c r="D941" s="145"/>
      <c r="E941" s="228"/>
    </row>
    <row r="942">
      <c r="B942" s="98"/>
      <c r="C942" s="244"/>
      <c r="D942" s="145"/>
      <c r="E942" s="228"/>
    </row>
    <row r="943">
      <c r="B943" s="98"/>
      <c r="C943" s="244"/>
      <c r="D943" s="145"/>
      <c r="E943" s="228"/>
    </row>
    <row r="944">
      <c r="B944" s="98"/>
      <c r="C944" s="244"/>
      <c r="D944" s="145"/>
      <c r="E944" s="228"/>
    </row>
    <row r="945">
      <c r="B945" s="98"/>
      <c r="C945" s="244"/>
      <c r="D945" s="145"/>
      <c r="E945" s="228"/>
    </row>
    <row r="946">
      <c r="B946" s="98"/>
      <c r="C946" s="244"/>
      <c r="D946" s="145"/>
      <c r="E946" s="228"/>
    </row>
    <row r="947">
      <c r="B947" s="98"/>
      <c r="C947" s="244"/>
      <c r="D947" s="145"/>
      <c r="E947" s="228"/>
    </row>
    <row r="948">
      <c r="B948" s="98"/>
      <c r="C948" s="244"/>
      <c r="D948" s="145"/>
      <c r="E948" s="228"/>
    </row>
    <row r="949">
      <c r="B949" s="98"/>
      <c r="C949" s="244"/>
      <c r="D949" s="145"/>
      <c r="E949" s="228"/>
    </row>
    <row r="950">
      <c r="B950" s="98"/>
      <c r="C950" s="244"/>
      <c r="D950" s="145"/>
      <c r="E950" s="228"/>
    </row>
    <row r="951">
      <c r="B951" s="98"/>
      <c r="C951" s="244"/>
      <c r="D951" s="145"/>
      <c r="E951" s="228"/>
    </row>
    <row r="952">
      <c r="B952" s="98"/>
      <c r="C952" s="244"/>
      <c r="D952" s="145"/>
      <c r="E952" s="228"/>
    </row>
    <row r="953">
      <c r="B953" s="98"/>
      <c r="C953" s="244"/>
      <c r="D953" s="145"/>
      <c r="E953" s="228"/>
    </row>
    <row r="954">
      <c r="B954" s="98"/>
      <c r="C954" s="244"/>
      <c r="D954" s="145"/>
      <c r="E954" s="228"/>
    </row>
    <row r="955">
      <c r="B955" s="98"/>
      <c r="C955" s="244"/>
      <c r="D955" s="145"/>
      <c r="E955" s="228"/>
    </row>
    <row r="956">
      <c r="B956" s="98"/>
      <c r="C956" s="244"/>
      <c r="D956" s="145"/>
      <c r="E956" s="228"/>
    </row>
    <row r="957">
      <c r="B957" s="98"/>
      <c r="C957" s="244"/>
      <c r="D957" s="145"/>
      <c r="E957" s="228"/>
    </row>
    <row r="958">
      <c r="B958" s="98"/>
      <c r="C958" s="244"/>
      <c r="D958" s="145"/>
      <c r="E958" s="228"/>
    </row>
    <row r="959">
      <c r="B959" s="98"/>
      <c r="C959" s="244"/>
      <c r="D959" s="145"/>
      <c r="E959" s="228"/>
    </row>
    <row r="960">
      <c r="B960" s="98"/>
      <c r="C960" s="244"/>
      <c r="D960" s="145"/>
      <c r="E960" s="228"/>
    </row>
    <row r="961">
      <c r="B961" s="98"/>
      <c r="C961" s="244"/>
      <c r="D961" s="145"/>
      <c r="E961" s="228"/>
    </row>
    <row r="962">
      <c r="B962" s="98"/>
      <c r="C962" s="244"/>
      <c r="D962" s="145"/>
      <c r="E962" s="228"/>
    </row>
    <row r="963">
      <c r="B963" s="98"/>
      <c r="C963" s="244"/>
      <c r="D963" s="145"/>
      <c r="E963" s="228"/>
    </row>
    <row r="964">
      <c r="B964" s="98"/>
      <c r="C964" s="244"/>
      <c r="D964" s="145"/>
      <c r="E964" s="228"/>
    </row>
    <row r="965">
      <c r="B965" s="98"/>
      <c r="C965" s="244"/>
      <c r="D965" s="145"/>
      <c r="E965" s="228"/>
    </row>
    <row r="966">
      <c r="B966" s="98"/>
      <c r="C966" s="244"/>
      <c r="D966" s="145"/>
      <c r="E966" s="228"/>
    </row>
    <row r="967">
      <c r="B967" s="98"/>
      <c r="C967" s="244"/>
      <c r="D967" s="145"/>
      <c r="E967" s="228"/>
    </row>
    <row r="968">
      <c r="B968" s="98"/>
      <c r="C968" s="244"/>
      <c r="D968" s="145"/>
      <c r="E968" s="228"/>
    </row>
    <row r="969">
      <c r="B969" s="98"/>
      <c r="C969" s="317"/>
      <c r="D969" s="318"/>
      <c r="E969" s="319"/>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7.29" defaultRowHeight="15.0"/>
  <cols>
    <col customWidth="1" min="2" max="2" width="62.29"/>
  </cols>
  <sheetData>
    <row r="1">
      <c r="A1" s="36" t="s">
        <v>52</v>
      </c>
      <c r="B1" s="37"/>
    </row>
    <row r="2">
      <c r="A2" s="38" t="s">
        <v>53</v>
      </c>
      <c r="B2" s="39" t="s">
        <v>54</v>
      </c>
    </row>
    <row r="3">
      <c r="A3" s="38" t="s">
        <v>55</v>
      </c>
      <c r="B3" s="39" t="s">
        <v>56</v>
      </c>
    </row>
    <row r="4">
      <c r="A4" s="38" t="s">
        <v>57</v>
      </c>
      <c r="B4" s="39" t="s">
        <v>58</v>
      </c>
    </row>
    <row r="5">
      <c r="A5" s="38" t="s">
        <v>59</v>
      </c>
      <c r="B5" s="39" t="s">
        <v>60</v>
      </c>
    </row>
    <row r="6">
      <c r="A6" s="38" t="s">
        <v>61</v>
      </c>
      <c r="B6" s="39" t="s">
        <v>62</v>
      </c>
    </row>
    <row r="7">
      <c r="A7" s="38" t="s">
        <v>63</v>
      </c>
      <c r="B7" s="39" t="s">
        <v>64</v>
      </c>
    </row>
  </sheetData>
  <hyperlinks>
    <hyperlink display="WB" location="WB!A1" ref="A2"/>
    <hyperlink display="IHME" location="IHME!A1" ref="A3"/>
    <hyperlink display="UNICEF" location="UNICEF!A1" ref="A4"/>
    <hyperlink display="Equivalence" location="Equivalence!A1" ref="A5"/>
    <hyperlink display="Papers" location="Papers!A1" ref="A6"/>
    <hyperlink display="u5m papers" location="'u5m papers'!A1" ref="A7"/>
  </hyperlink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sheetPr>
  <sheetViews>
    <sheetView workbookViewId="0"/>
  </sheetViews>
  <sheetFormatPr customHeight="1" defaultColWidth="17.29" defaultRowHeight="15.0"/>
  <cols>
    <col customWidth="1" min="5" max="17" width="5.43"/>
    <col customWidth="1" min="18" max="18" width="7.86"/>
    <col customWidth="1" min="19" max="34" width="5.43"/>
    <col customWidth="1" min="35" max="67" width="11.29"/>
    <col customWidth="1" min="68" max="68" width="11.71"/>
    <col customWidth="1" min="69" max="69" width="10.0"/>
    <col customWidth="1" min="70" max="70" width="9.29"/>
    <col customWidth="1" min="71" max="72" width="5.43"/>
  </cols>
  <sheetData>
    <row r="1">
      <c r="A1" s="320" t="s">
        <v>385</v>
      </c>
      <c r="B1" s="52"/>
      <c r="C1" s="52"/>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c r="AM1" s="52"/>
      <c r="AN1" s="52"/>
      <c r="AO1" s="52"/>
      <c r="AP1" s="52"/>
      <c r="AQ1" s="52"/>
      <c r="AR1" s="52"/>
      <c r="AS1" s="52"/>
      <c r="AT1" s="52"/>
      <c r="AU1" s="52"/>
      <c r="AV1" s="52"/>
      <c r="AW1" s="52"/>
      <c r="AX1" s="52"/>
      <c r="AY1" s="52"/>
      <c r="AZ1" s="52"/>
      <c r="BA1" s="52"/>
      <c r="BB1" s="52"/>
      <c r="BC1" s="52"/>
      <c r="BD1" s="52"/>
      <c r="BE1" s="52"/>
      <c r="BF1" s="52"/>
      <c r="BG1" s="52"/>
      <c r="BH1" s="52"/>
      <c r="BI1" s="52"/>
      <c r="BJ1" s="52"/>
      <c r="BK1" s="52"/>
      <c r="BL1" s="52"/>
      <c r="BM1" s="52"/>
      <c r="BN1" s="52"/>
      <c r="BO1" s="52"/>
      <c r="BP1" s="52"/>
      <c r="BQ1" s="52"/>
      <c r="BR1" s="52"/>
      <c r="BS1" s="52"/>
      <c r="BT1" s="52"/>
    </row>
    <row r="2">
      <c r="A2" s="198" t="s">
        <v>386</v>
      </c>
    </row>
    <row r="3">
      <c r="A3" s="321" t="s">
        <v>387</v>
      </c>
      <c r="B3" s="321" t="s">
        <v>388</v>
      </c>
      <c r="C3" s="321" t="s">
        <v>389</v>
      </c>
      <c r="D3" s="321" t="s">
        <v>390</v>
      </c>
      <c r="E3" s="322">
        <v>1960.0</v>
      </c>
      <c r="F3" s="322">
        <v>1961.0</v>
      </c>
      <c r="G3" s="322">
        <v>1962.0</v>
      </c>
      <c r="H3" s="322">
        <v>1963.0</v>
      </c>
      <c r="I3" s="322">
        <v>1964.0</v>
      </c>
      <c r="J3" s="322">
        <v>1965.0</v>
      </c>
      <c r="K3" s="322">
        <v>1966.0</v>
      </c>
      <c r="L3" s="322">
        <v>1967.0</v>
      </c>
      <c r="M3" s="322">
        <v>1968.0</v>
      </c>
      <c r="N3" s="322">
        <v>1969.0</v>
      </c>
      <c r="O3" s="322">
        <v>1970.0</v>
      </c>
      <c r="P3" s="322">
        <v>1971.0</v>
      </c>
      <c r="Q3" s="322">
        <v>1972.0</v>
      </c>
      <c r="R3" s="322">
        <v>1973.0</v>
      </c>
      <c r="S3" s="322">
        <v>1974.0</v>
      </c>
      <c r="T3" s="322">
        <v>1975.0</v>
      </c>
      <c r="U3" s="322">
        <v>1976.0</v>
      </c>
      <c r="V3" s="322">
        <v>1977.0</v>
      </c>
      <c r="W3" s="322">
        <v>1978.0</v>
      </c>
      <c r="X3" s="322">
        <v>1979.0</v>
      </c>
      <c r="Y3" s="322">
        <v>1980.0</v>
      </c>
      <c r="Z3" s="322">
        <v>1981.0</v>
      </c>
      <c r="AA3" s="322">
        <v>1982.0</v>
      </c>
      <c r="AB3" s="322">
        <v>1983.0</v>
      </c>
      <c r="AC3" s="322">
        <v>1984.0</v>
      </c>
      <c r="AD3" s="322">
        <v>1985.0</v>
      </c>
      <c r="AE3" s="322">
        <v>1986.0</v>
      </c>
      <c r="AF3" s="322">
        <v>1987.0</v>
      </c>
      <c r="AG3" s="322">
        <v>1988.0</v>
      </c>
      <c r="AH3" s="322">
        <v>1989.0</v>
      </c>
      <c r="AI3" s="322">
        <v>1990.0</v>
      </c>
      <c r="AJ3" s="322">
        <v>1991.0</v>
      </c>
      <c r="AK3" s="322">
        <v>1992.0</v>
      </c>
      <c r="AL3" s="322">
        <v>1993.0</v>
      </c>
      <c r="AM3" s="322">
        <v>1994.0</v>
      </c>
      <c r="AN3" s="322">
        <v>1995.0</v>
      </c>
      <c r="AO3" s="322">
        <v>1996.0</v>
      </c>
      <c r="AP3" s="322">
        <v>1997.0</v>
      </c>
      <c r="AQ3" s="322">
        <v>1998.0</v>
      </c>
      <c r="AR3" s="322">
        <v>1999.0</v>
      </c>
      <c r="AS3" s="322">
        <v>2000.0</v>
      </c>
      <c r="AT3" s="322">
        <v>2001.0</v>
      </c>
      <c r="AU3" s="322">
        <v>2002.0</v>
      </c>
      <c r="AV3" s="322">
        <v>2003.0</v>
      </c>
      <c r="AW3" s="322">
        <v>2004.0</v>
      </c>
      <c r="AX3" s="322">
        <v>2005.0</v>
      </c>
      <c r="AY3" s="322">
        <v>2006.0</v>
      </c>
      <c r="AZ3" s="322">
        <v>2007.0</v>
      </c>
      <c r="BA3" s="322">
        <v>2008.0</v>
      </c>
      <c r="BB3" s="322">
        <v>2009.0</v>
      </c>
      <c r="BC3" s="322">
        <v>2010.0</v>
      </c>
      <c r="BD3" s="322">
        <v>2011.0</v>
      </c>
      <c r="BE3" s="322">
        <v>2012.0</v>
      </c>
      <c r="BF3" s="322">
        <v>2013.0</v>
      </c>
      <c r="BG3" s="322">
        <v>2014.0</v>
      </c>
      <c r="BH3" s="322">
        <v>2015.0</v>
      </c>
      <c r="BI3" s="322">
        <v>2016.0</v>
      </c>
      <c r="BJ3" s="322">
        <v>2017.0</v>
      </c>
      <c r="BK3" s="322">
        <v>2018.0</v>
      </c>
      <c r="BL3" s="322">
        <v>2019.0</v>
      </c>
      <c r="BM3" s="322">
        <v>2020.0</v>
      </c>
      <c r="BN3" s="322">
        <v>2021.0</v>
      </c>
      <c r="BO3" s="322">
        <v>2022.0</v>
      </c>
      <c r="BP3" s="322">
        <v>2023.0</v>
      </c>
      <c r="BQ3" s="323"/>
      <c r="BR3" s="323"/>
      <c r="BS3" s="323"/>
    </row>
    <row r="4">
      <c r="A4" s="321" t="s">
        <v>74</v>
      </c>
      <c r="B4" s="321" t="s">
        <v>391</v>
      </c>
      <c r="C4" s="321" t="s">
        <v>385</v>
      </c>
      <c r="D4" s="321" t="s">
        <v>392</v>
      </c>
      <c r="F4" s="324"/>
      <c r="G4" s="324"/>
      <c r="H4" s="324"/>
      <c r="I4" s="324"/>
      <c r="J4" s="324"/>
      <c r="K4" s="324"/>
      <c r="L4" s="324"/>
      <c r="M4" s="324"/>
      <c r="N4" s="324"/>
      <c r="O4" s="324"/>
      <c r="P4" s="324"/>
      <c r="Q4" s="324"/>
      <c r="R4" s="324"/>
      <c r="S4" s="324"/>
      <c r="T4" s="324"/>
      <c r="U4" s="324"/>
      <c r="V4" s="324"/>
      <c r="W4" s="324"/>
      <c r="X4" s="324"/>
      <c r="Y4" s="324"/>
      <c r="Z4" s="324"/>
      <c r="AA4" s="324"/>
      <c r="AB4" s="324"/>
      <c r="AC4" s="324"/>
      <c r="AD4" s="324"/>
      <c r="AE4" s="324"/>
      <c r="AF4" s="324"/>
      <c r="AG4" s="324"/>
      <c r="AH4" s="324"/>
      <c r="AI4" s="322">
        <v>4.662486</v>
      </c>
      <c r="AJ4" s="322">
        <v>5.371444</v>
      </c>
      <c r="AK4" s="322">
        <v>6.638518</v>
      </c>
      <c r="AL4" s="322">
        <v>9.412995</v>
      </c>
      <c r="AM4" s="322">
        <v>11.81717</v>
      </c>
      <c r="AN4" s="322">
        <v>11.67336</v>
      </c>
      <c r="AO4" s="322">
        <v>12.3462</v>
      </c>
      <c r="AP4" s="322">
        <v>13.43489</v>
      </c>
      <c r="AQ4" s="322">
        <v>14.11888</v>
      </c>
      <c r="AR4" s="322">
        <v>14.60992</v>
      </c>
      <c r="AS4" s="322">
        <v>15.54312</v>
      </c>
      <c r="AT4" s="322">
        <v>15.98336</v>
      </c>
      <c r="AU4" s="322">
        <v>16.04241</v>
      </c>
      <c r="AV4" s="322">
        <v>17.22603</v>
      </c>
      <c r="AW4" s="322">
        <v>18.72702</v>
      </c>
      <c r="AX4" s="322">
        <v>19.98042</v>
      </c>
      <c r="AY4" s="322">
        <v>22.15367</v>
      </c>
      <c r="AZ4" s="322">
        <v>23.64121</v>
      </c>
      <c r="BA4" s="322">
        <v>28.74122</v>
      </c>
      <c r="BB4" s="322">
        <v>31.50724</v>
      </c>
      <c r="BC4" s="322">
        <v>32.22683</v>
      </c>
      <c r="BD4" s="322">
        <v>35.62133</v>
      </c>
      <c r="BE4" s="322">
        <v>36.56151</v>
      </c>
      <c r="BF4" s="322">
        <v>37.90647</v>
      </c>
      <c r="BG4" s="322">
        <v>39.26264</v>
      </c>
      <c r="BH4" s="322">
        <v>40.57187</v>
      </c>
      <c r="BI4" s="322">
        <v>41.55217</v>
      </c>
      <c r="BJ4" s="322">
        <v>43.65147</v>
      </c>
      <c r="BK4" s="322">
        <v>43.28262</v>
      </c>
      <c r="BL4" s="322">
        <v>43.26185</v>
      </c>
      <c r="BM4" s="322">
        <v>43.22019</v>
      </c>
      <c r="BN4" s="322">
        <v>42.42797</v>
      </c>
      <c r="BO4" s="322">
        <v>42.29325</v>
      </c>
      <c r="BP4" s="322">
        <v>43.73735</v>
      </c>
      <c r="BQ4" s="325"/>
      <c r="BR4" s="325"/>
      <c r="BS4" s="325"/>
    </row>
    <row r="5">
      <c r="A5" s="321" t="s">
        <v>76</v>
      </c>
      <c r="B5" s="321" t="s">
        <v>393</v>
      </c>
      <c r="C5" s="321" t="s">
        <v>385</v>
      </c>
      <c r="D5" s="321" t="s">
        <v>392</v>
      </c>
      <c r="F5" s="324"/>
      <c r="G5" s="324"/>
      <c r="H5" s="324"/>
      <c r="I5" s="324"/>
      <c r="J5" s="324"/>
      <c r="K5" s="324"/>
      <c r="L5" s="324"/>
      <c r="M5" s="324"/>
      <c r="N5" s="324"/>
      <c r="O5" s="324"/>
      <c r="P5" s="324"/>
      <c r="Q5" s="324"/>
      <c r="R5" s="324"/>
      <c r="S5" s="324"/>
      <c r="T5" s="324"/>
      <c r="U5" s="324"/>
      <c r="V5" s="324"/>
      <c r="W5" s="324"/>
      <c r="X5" s="324"/>
      <c r="Y5" s="324"/>
      <c r="Z5" s="324"/>
      <c r="AA5" s="324"/>
      <c r="AB5" s="324"/>
      <c r="AC5" s="324"/>
      <c r="AD5" s="324"/>
      <c r="AE5" s="324"/>
      <c r="AF5" s="324"/>
      <c r="AG5" s="324"/>
      <c r="AH5" s="324"/>
      <c r="AI5" s="326"/>
      <c r="AJ5" s="326"/>
      <c r="AK5" s="326"/>
      <c r="AL5" s="326"/>
      <c r="AM5" s="326"/>
      <c r="AN5" s="326"/>
      <c r="AO5" s="326"/>
      <c r="AP5" s="326"/>
      <c r="AQ5" s="326"/>
      <c r="AR5" s="326"/>
      <c r="AS5" s="326"/>
      <c r="AT5" s="326"/>
      <c r="AU5" s="326"/>
      <c r="AV5" s="326"/>
      <c r="AW5" s="326"/>
      <c r="AX5" s="326"/>
      <c r="AY5" s="326"/>
      <c r="AZ5" s="322">
        <v>11.55958</v>
      </c>
      <c r="BA5" s="322">
        <v>12.74669</v>
      </c>
      <c r="BB5" s="322">
        <v>13.27681</v>
      </c>
      <c r="BC5" s="322">
        <v>14.68568</v>
      </c>
      <c r="BD5" s="322">
        <v>15.82597</v>
      </c>
      <c r="BE5" s="322">
        <v>15.58562</v>
      </c>
      <c r="BF5" s="322">
        <v>16.43296</v>
      </c>
      <c r="BG5" s="322">
        <v>16.7203</v>
      </c>
      <c r="BH5" s="322">
        <v>17.15802</v>
      </c>
      <c r="BI5" s="322">
        <v>19.86096</v>
      </c>
      <c r="BJ5" s="322">
        <v>22.6119</v>
      </c>
      <c r="BK5" s="322">
        <v>22.83751</v>
      </c>
      <c r="BL5" s="322">
        <v>23.03137</v>
      </c>
      <c r="BM5" s="322">
        <v>23.39495</v>
      </c>
      <c r="BN5" s="322">
        <v>23.62321</v>
      </c>
      <c r="BO5" s="322">
        <v>24.12117</v>
      </c>
      <c r="BP5" s="322">
        <v>24.81866</v>
      </c>
    </row>
    <row r="6">
      <c r="A6" s="321" t="s">
        <v>75</v>
      </c>
      <c r="B6" s="321" t="s">
        <v>394</v>
      </c>
      <c r="C6" s="321" t="s">
        <v>385</v>
      </c>
      <c r="D6" s="321" t="s">
        <v>392</v>
      </c>
      <c r="F6" s="324"/>
      <c r="G6" s="324"/>
      <c r="H6" s="324"/>
      <c r="I6" s="324"/>
      <c r="J6" s="324"/>
      <c r="K6" s="324"/>
      <c r="L6" s="324"/>
      <c r="M6" s="324"/>
      <c r="N6" s="324"/>
      <c r="O6" s="324"/>
      <c r="P6" s="324"/>
      <c r="Q6" s="324"/>
      <c r="R6" s="324"/>
      <c r="S6" s="324"/>
      <c r="T6" s="324"/>
      <c r="U6" s="324"/>
      <c r="V6" s="324"/>
      <c r="W6" s="324"/>
      <c r="X6" s="324"/>
      <c r="Y6" s="324"/>
      <c r="Z6" s="324"/>
      <c r="AA6" s="324"/>
      <c r="AB6" s="324"/>
      <c r="AC6" s="324"/>
      <c r="AD6" s="324"/>
      <c r="AE6" s="324"/>
      <c r="AF6" s="324"/>
      <c r="AG6" s="324"/>
      <c r="AH6" s="324"/>
      <c r="AI6" s="322">
        <v>2.63805</v>
      </c>
      <c r="AJ6" s="322">
        <v>2.850146</v>
      </c>
      <c r="AK6" s="322">
        <v>3.423406</v>
      </c>
      <c r="AL6" s="322">
        <v>4.082506</v>
      </c>
      <c r="AM6" s="322">
        <v>5.357389</v>
      </c>
      <c r="AN6" s="322">
        <v>9.55346</v>
      </c>
      <c r="AO6" s="322">
        <v>12.7714</v>
      </c>
      <c r="AP6" s="322">
        <v>13.61998</v>
      </c>
      <c r="AQ6" s="322">
        <v>17.40161</v>
      </c>
      <c r="AR6" s="322">
        <v>24.65872</v>
      </c>
      <c r="AS6" s="322">
        <v>30.90937</v>
      </c>
      <c r="AT6" s="322">
        <v>36.88341</v>
      </c>
      <c r="AU6" s="322">
        <v>41.66098</v>
      </c>
      <c r="AV6" s="322">
        <v>44.63746</v>
      </c>
      <c r="AW6" s="322">
        <v>48.44251</v>
      </c>
      <c r="AX6" s="322">
        <v>54.0731</v>
      </c>
      <c r="AY6" s="322">
        <v>59.70344</v>
      </c>
      <c r="AZ6" s="322">
        <v>62.66359</v>
      </c>
      <c r="BA6" s="322">
        <v>65.6046</v>
      </c>
      <c r="BB6" s="322">
        <v>71.38365</v>
      </c>
      <c r="BC6" s="322">
        <v>75.43711</v>
      </c>
      <c r="BD6" s="322">
        <v>78.70302</v>
      </c>
      <c r="BE6" s="322">
        <v>92.98806</v>
      </c>
      <c r="BF6" s="322">
        <v>118.9128</v>
      </c>
      <c r="BG6" s="322">
        <v>148.2975</v>
      </c>
      <c r="BH6" s="322">
        <v>182.2958</v>
      </c>
      <c r="BI6" s="322">
        <v>220.4329</v>
      </c>
      <c r="BJ6" s="322">
        <v>249.1049</v>
      </c>
      <c r="BK6" s="322">
        <v>266.7161</v>
      </c>
      <c r="BL6" s="322">
        <v>277.8677</v>
      </c>
      <c r="BM6" s="322">
        <v>280.9026</v>
      </c>
      <c r="BN6" s="322">
        <v>282.0942</v>
      </c>
      <c r="BO6" s="322">
        <v>315.9216</v>
      </c>
      <c r="BP6" s="322">
        <v>390.7884</v>
      </c>
      <c r="BQ6" s="325"/>
      <c r="BR6" s="325"/>
      <c r="BS6" s="325"/>
    </row>
    <row r="7">
      <c r="A7" s="321" t="s">
        <v>77</v>
      </c>
      <c r="B7" s="321" t="s">
        <v>395</v>
      </c>
      <c r="C7" s="321" t="s">
        <v>385</v>
      </c>
      <c r="D7" s="321" t="s">
        <v>392</v>
      </c>
      <c r="F7" s="324"/>
      <c r="G7" s="324"/>
      <c r="H7" s="324"/>
      <c r="I7" s="324"/>
      <c r="J7" s="324"/>
      <c r="K7" s="324"/>
      <c r="L7" s="324"/>
      <c r="M7" s="324"/>
      <c r="N7" s="324"/>
      <c r="O7" s="324"/>
      <c r="P7" s="324"/>
      <c r="Q7" s="324"/>
      <c r="R7" s="324"/>
      <c r="S7" s="324"/>
      <c r="T7" s="324"/>
      <c r="U7" s="324"/>
      <c r="V7" s="324"/>
      <c r="W7" s="324"/>
      <c r="X7" s="324"/>
      <c r="Y7" s="324"/>
      <c r="Z7" s="324"/>
      <c r="AA7" s="324"/>
      <c r="AB7" s="324"/>
      <c r="AC7" s="324"/>
      <c r="AD7" s="324"/>
      <c r="AE7" s="324"/>
      <c r="AF7" s="324"/>
      <c r="AG7" s="324"/>
      <c r="AH7" s="324"/>
      <c r="AI7" s="322">
        <v>51.64465</v>
      </c>
      <c r="AJ7" s="322">
        <v>59.27588</v>
      </c>
      <c r="AK7" s="322">
        <v>63.03372</v>
      </c>
      <c r="AL7" s="322">
        <v>68.79069</v>
      </c>
      <c r="AM7" s="324"/>
      <c r="AN7" s="322">
        <v>129.7316</v>
      </c>
      <c r="AO7" s="322">
        <v>135.3783</v>
      </c>
      <c r="AP7" s="322">
        <v>148.1805</v>
      </c>
      <c r="AQ7" s="322">
        <v>154.977</v>
      </c>
      <c r="AR7" s="322">
        <v>148.0098</v>
      </c>
      <c r="AS7" s="322">
        <v>148.7582</v>
      </c>
      <c r="AT7" s="322">
        <v>149.5057</v>
      </c>
      <c r="AU7" s="322">
        <v>150.104</v>
      </c>
      <c r="AV7" s="322">
        <v>157.7062</v>
      </c>
      <c r="AW7" s="322">
        <v>172.4105</v>
      </c>
      <c r="AX7" s="322">
        <v>181.7843</v>
      </c>
      <c r="AY7" s="322">
        <v>191.7462</v>
      </c>
      <c r="AZ7" s="322">
        <v>203.357</v>
      </c>
      <c r="BA7" s="322">
        <v>226.0726</v>
      </c>
      <c r="BB7" s="322">
        <v>256.2474</v>
      </c>
      <c r="BC7" s="322">
        <v>251.4921</v>
      </c>
      <c r="BD7" s="322">
        <v>251.3052</v>
      </c>
      <c r="BE7" s="322">
        <v>258.3165</v>
      </c>
      <c r="BF7" s="322">
        <v>268.6642</v>
      </c>
      <c r="BG7" s="322">
        <v>267.7125</v>
      </c>
      <c r="BH7" s="322">
        <v>269.6642</v>
      </c>
      <c r="BI7" s="322">
        <v>281.0818</v>
      </c>
      <c r="BJ7" s="322">
        <v>297.6189</v>
      </c>
      <c r="BK7" s="322">
        <v>290.7546</v>
      </c>
      <c r="BL7" s="322">
        <v>291.5668</v>
      </c>
      <c r="BM7" s="322">
        <v>305.2331</v>
      </c>
      <c r="BN7" s="322">
        <v>291.5977</v>
      </c>
      <c r="BO7" s="322">
        <v>317.7501</v>
      </c>
      <c r="BP7" s="322">
        <v>365.5828</v>
      </c>
    </row>
    <row r="8">
      <c r="A8" s="321" t="s">
        <v>78</v>
      </c>
      <c r="B8" s="321" t="s">
        <v>396</v>
      </c>
      <c r="C8" s="321" t="s">
        <v>385</v>
      </c>
      <c r="D8" s="321" t="s">
        <v>392</v>
      </c>
      <c r="F8" s="324"/>
      <c r="G8" s="324"/>
      <c r="H8" s="324"/>
      <c r="I8" s="324"/>
      <c r="J8" s="324"/>
      <c r="K8" s="324"/>
      <c r="L8" s="324"/>
      <c r="M8" s="324"/>
      <c r="N8" s="324"/>
      <c r="O8" s="324"/>
      <c r="P8" s="324"/>
      <c r="Q8" s="324"/>
      <c r="R8" s="324"/>
      <c r="S8" s="324"/>
      <c r="T8" s="324"/>
      <c r="U8" s="324"/>
      <c r="V8" s="324"/>
      <c r="W8" s="324"/>
      <c r="X8" s="324"/>
      <c r="Y8" s="324"/>
      <c r="Z8" s="324"/>
      <c r="AA8" s="324"/>
      <c r="AB8" s="324"/>
      <c r="AC8" s="324"/>
      <c r="AD8" s="324"/>
      <c r="AE8" s="324"/>
      <c r="AF8" s="324"/>
      <c r="AG8" s="324"/>
      <c r="AH8" s="324"/>
      <c r="AI8" s="324"/>
      <c r="AJ8" s="324"/>
      <c r="AK8" s="324"/>
      <c r="AL8" s="322">
        <v>455.2835</v>
      </c>
      <c r="AM8" s="322">
        <v>488.2484</v>
      </c>
      <c r="AN8" s="322">
        <v>506.033</v>
      </c>
      <c r="AO8" s="322">
        <v>526.9783</v>
      </c>
      <c r="AP8" s="322">
        <v>557.0062</v>
      </c>
      <c r="AQ8" s="322">
        <v>548.8694</v>
      </c>
      <c r="AR8" s="322">
        <v>568.1484</v>
      </c>
      <c r="AS8" s="322">
        <v>568.2317</v>
      </c>
      <c r="AT8" s="322">
        <v>562.9209</v>
      </c>
      <c r="AU8" s="322">
        <v>552.539</v>
      </c>
      <c r="AV8" s="322">
        <v>587.1726</v>
      </c>
      <c r="AW8" s="322">
        <v>593.1431</v>
      </c>
      <c r="AX8" s="322">
        <v>622.1483</v>
      </c>
      <c r="AY8" s="322">
        <v>646.7672</v>
      </c>
      <c r="AZ8" s="322">
        <v>667.4295</v>
      </c>
      <c r="BA8" s="322">
        <v>720.2108</v>
      </c>
      <c r="BB8" s="322">
        <v>816.8668</v>
      </c>
      <c r="BC8" s="322">
        <v>835.645</v>
      </c>
      <c r="BD8" s="322">
        <v>944.2556</v>
      </c>
      <c r="BE8" s="322">
        <v>1017.041</v>
      </c>
      <c r="BF8" s="322">
        <v>1064.346</v>
      </c>
      <c r="BG8" s="322">
        <v>1080.318</v>
      </c>
      <c r="BH8" s="322">
        <v>1126.516</v>
      </c>
      <c r="BI8" s="322">
        <v>1171.108</v>
      </c>
      <c r="BJ8" s="322">
        <v>1219.186</v>
      </c>
      <c r="BK8" s="322">
        <v>1241.169</v>
      </c>
      <c r="BL8" s="322">
        <v>1279.647</v>
      </c>
      <c r="BM8" s="322">
        <v>1315.932</v>
      </c>
      <c r="BN8" s="322">
        <v>1315.268</v>
      </c>
      <c r="BO8" s="322">
        <v>1305.44</v>
      </c>
      <c r="BP8" s="322">
        <v>1320.92</v>
      </c>
    </row>
    <row r="10">
      <c r="A10" s="320" t="s">
        <v>397</v>
      </c>
      <c r="B10" s="52"/>
      <c r="C10" s="52"/>
      <c r="D10" s="52"/>
      <c r="E10" s="52"/>
      <c r="F10" s="52"/>
      <c r="G10" s="52"/>
      <c r="H10" s="52"/>
      <c r="I10" s="52"/>
      <c r="J10" s="52"/>
      <c r="K10" s="52"/>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52"/>
      <c r="BD10" s="52"/>
      <c r="BE10" s="52"/>
      <c r="BF10" s="52"/>
      <c r="BG10" s="52"/>
      <c r="BH10" s="52"/>
      <c r="BI10" s="52"/>
      <c r="BJ10" s="52"/>
      <c r="BK10" s="52"/>
      <c r="BL10" s="52"/>
      <c r="BM10" s="52"/>
      <c r="BN10" s="52"/>
      <c r="BO10" s="52"/>
      <c r="BP10" s="52"/>
      <c r="BQ10" s="52"/>
      <c r="BR10" s="52"/>
      <c r="BS10" s="52"/>
      <c r="BT10" s="52"/>
    </row>
    <row r="11">
      <c r="A11" s="198" t="s">
        <v>398</v>
      </c>
      <c r="BH11" s="327"/>
    </row>
    <row r="12">
      <c r="A12" s="323" t="s">
        <v>387</v>
      </c>
      <c r="B12" s="323" t="s">
        <v>388</v>
      </c>
      <c r="C12" s="323" t="s">
        <v>389</v>
      </c>
      <c r="D12" s="323" t="s">
        <v>390</v>
      </c>
      <c r="E12" s="323">
        <v>1960.0</v>
      </c>
      <c r="F12" s="323">
        <v>1961.0</v>
      </c>
      <c r="G12" s="323">
        <v>1962.0</v>
      </c>
      <c r="H12" s="323">
        <v>1963.0</v>
      </c>
      <c r="I12" s="323">
        <v>1964.0</v>
      </c>
      <c r="J12" s="323">
        <v>1965.0</v>
      </c>
      <c r="K12" s="323">
        <v>1966.0</v>
      </c>
      <c r="L12" s="323">
        <v>1967.0</v>
      </c>
      <c r="M12" s="323">
        <v>1968.0</v>
      </c>
      <c r="N12" s="323">
        <v>1969.0</v>
      </c>
      <c r="O12" s="323">
        <v>1970.0</v>
      </c>
      <c r="P12" s="323">
        <v>1971.0</v>
      </c>
      <c r="Q12" s="323">
        <v>1972.0</v>
      </c>
      <c r="R12" s="323">
        <v>1973.0</v>
      </c>
      <c r="S12" s="323">
        <v>1974.0</v>
      </c>
      <c r="T12" s="323">
        <v>1975.0</v>
      </c>
      <c r="U12" s="323">
        <v>1976.0</v>
      </c>
      <c r="V12" s="323">
        <v>1977.0</v>
      </c>
      <c r="W12" s="323">
        <v>1978.0</v>
      </c>
      <c r="X12" s="323">
        <v>1979.0</v>
      </c>
      <c r="Y12" s="323">
        <v>1980.0</v>
      </c>
      <c r="Z12" s="323">
        <v>1981.0</v>
      </c>
      <c r="AA12" s="323">
        <v>1982.0</v>
      </c>
      <c r="AB12" s="323">
        <v>1983.0</v>
      </c>
      <c r="AC12" s="323">
        <v>1984.0</v>
      </c>
      <c r="AD12" s="323">
        <v>1985.0</v>
      </c>
      <c r="AE12" s="323">
        <v>1986.0</v>
      </c>
      <c r="AF12" s="323">
        <v>1987.0</v>
      </c>
      <c r="AG12" s="323">
        <v>1988.0</v>
      </c>
      <c r="AH12" s="323">
        <v>1989.0</v>
      </c>
      <c r="AI12" s="323">
        <v>1990.0</v>
      </c>
      <c r="AJ12" s="323">
        <v>1991.0</v>
      </c>
      <c r="AK12" s="323">
        <v>1992.0</v>
      </c>
      <c r="AL12" s="323">
        <v>1993.0</v>
      </c>
      <c r="AM12" s="323">
        <v>1994.0</v>
      </c>
      <c r="AN12" s="323">
        <v>1995.0</v>
      </c>
      <c r="AO12" s="323">
        <v>1996.0</v>
      </c>
      <c r="AP12" s="323">
        <v>1997.0</v>
      </c>
      <c r="AQ12" s="323">
        <v>1998.0</v>
      </c>
      <c r="AR12" s="323">
        <v>1999.0</v>
      </c>
      <c r="AS12" s="323">
        <v>2000.0</v>
      </c>
      <c r="AT12" s="323">
        <v>2001.0</v>
      </c>
      <c r="AU12" s="323">
        <v>2002.0</v>
      </c>
      <c r="AV12" s="323">
        <v>2003.0</v>
      </c>
      <c r="AW12" s="323">
        <v>2004.0</v>
      </c>
      <c r="AX12" s="323">
        <v>2005.0</v>
      </c>
      <c r="AY12" s="323">
        <v>2006.0</v>
      </c>
      <c r="AZ12" s="323">
        <v>2007.0</v>
      </c>
      <c r="BA12" s="323">
        <v>2008.0</v>
      </c>
      <c r="BB12" s="323">
        <v>2009.0</v>
      </c>
      <c r="BC12" s="323">
        <v>2010.0</v>
      </c>
      <c r="BD12" s="323">
        <v>2011.0</v>
      </c>
      <c r="BE12" s="323">
        <v>2012.0</v>
      </c>
      <c r="BF12" s="323">
        <v>2013.0</v>
      </c>
      <c r="BG12" s="323">
        <v>2014.0</v>
      </c>
      <c r="BH12" s="323">
        <v>2015.0</v>
      </c>
      <c r="BI12" s="323">
        <v>2016.0</v>
      </c>
      <c r="BJ12" s="323">
        <v>2017.0</v>
      </c>
      <c r="BK12" s="323">
        <v>2018.0</v>
      </c>
      <c r="BL12" s="323">
        <v>2019.0</v>
      </c>
      <c r="BM12" s="323">
        <v>2020.0</v>
      </c>
      <c r="BN12" s="323">
        <v>2021.0</v>
      </c>
      <c r="BO12" s="323">
        <v>2022.0</v>
      </c>
      <c r="BP12" s="53">
        <v>2023.0</v>
      </c>
    </row>
    <row r="13">
      <c r="A13" s="321" t="s">
        <v>74</v>
      </c>
      <c r="B13" s="321" t="s">
        <v>391</v>
      </c>
      <c r="C13" s="321" t="s">
        <v>397</v>
      </c>
      <c r="D13" s="321" t="s">
        <v>399</v>
      </c>
      <c r="E13" s="322">
        <v>7.14286</v>
      </c>
      <c r="F13" s="322">
        <v>7.14286</v>
      </c>
      <c r="G13" s="322">
        <v>7.14286</v>
      </c>
      <c r="H13" s="322">
        <v>7.14286</v>
      </c>
      <c r="I13" s="322">
        <v>7.14286</v>
      </c>
      <c r="J13" s="322">
        <v>7.14286</v>
      </c>
      <c r="K13" s="322">
        <v>7.14286</v>
      </c>
      <c r="L13" s="322">
        <v>7.14286</v>
      </c>
      <c r="M13" s="322">
        <v>7.14286</v>
      </c>
      <c r="N13" s="322">
        <v>7.14286</v>
      </c>
      <c r="O13" s="322">
        <v>7.14286</v>
      </c>
      <c r="P13" s="322">
        <v>7.14286</v>
      </c>
      <c r="Q13" s="322">
        <v>7.14286</v>
      </c>
      <c r="R13" s="322">
        <v>7.001192</v>
      </c>
      <c r="S13" s="322">
        <v>7.14286</v>
      </c>
      <c r="T13" s="322">
        <v>7.343193</v>
      </c>
      <c r="U13" s="322">
        <v>8.367145</v>
      </c>
      <c r="V13" s="322">
        <v>8.276561</v>
      </c>
      <c r="W13" s="322">
        <v>7.729383</v>
      </c>
      <c r="X13" s="322">
        <v>7.475309</v>
      </c>
      <c r="Y13" s="322">
        <v>7.420187</v>
      </c>
      <c r="Z13" s="322">
        <v>9.047498</v>
      </c>
      <c r="AA13" s="322">
        <v>10.92232</v>
      </c>
      <c r="AB13" s="322">
        <v>13.31152</v>
      </c>
      <c r="AC13" s="322">
        <v>14.41387</v>
      </c>
      <c r="AD13" s="322">
        <v>16.43212</v>
      </c>
      <c r="AE13" s="322">
        <v>16.22574</v>
      </c>
      <c r="AF13" s="322">
        <v>16.45449</v>
      </c>
      <c r="AG13" s="322">
        <v>17.7471</v>
      </c>
      <c r="AH13" s="322">
        <v>20.57247</v>
      </c>
      <c r="AI13" s="322">
        <v>22.91477</v>
      </c>
      <c r="AJ13" s="322">
        <v>27.50787</v>
      </c>
      <c r="AK13" s="322">
        <v>32.21683</v>
      </c>
      <c r="AL13" s="322">
        <v>58.00133</v>
      </c>
      <c r="AM13" s="322">
        <v>56.05058</v>
      </c>
      <c r="AN13" s="322">
        <v>51.42983</v>
      </c>
      <c r="AO13" s="322">
        <v>57.11487</v>
      </c>
      <c r="AP13" s="322">
        <v>58.73184</v>
      </c>
      <c r="AQ13" s="322">
        <v>60.3667</v>
      </c>
      <c r="AR13" s="322">
        <v>70.32622</v>
      </c>
      <c r="AS13" s="322">
        <v>76.17554</v>
      </c>
      <c r="AT13" s="322">
        <v>78.5632</v>
      </c>
      <c r="AU13" s="322">
        <v>78.74914</v>
      </c>
      <c r="AV13" s="322">
        <v>75.93557</v>
      </c>
      <c r="AW13" s="322">
        <v>79.17388</v>
      </c>
      <c r="AX13" s="322">
        <v>75.55411</v>
      </c>
      <c r="AY13" s="322">
        <v>72.10084</v>
      </c>
      <c r="AZ13" s="322">
        <v>67.31764</v>
      </c>
      <c r="BA13" s="322">
        <v>69.17532</v>
      </c>
      <c r="BB13" s="322">
        <v>77.35201</v>
      </c>
      <c r="BC13" s="322">
        <v>79.23315</v>
      </c>
      <c r="BD13" s="322">
        <v>88.81077</v>
      </c>
      <c r="BE13" s="322">
        <v>84.5296</v>
      </c>
      <c r="BF13" s="322">
        <v>86.12288</v>
      </c>
      <c r="BG13" s="322">
        <v>87.92216</v>
      </c>
      <c r="BH13" s="322">
        <v>98.17845</v>
      </c>
      <c r="BI13" s="322">
        <v>101.5044</v>
      </c>
      <c r="BJ13" s="322">
        <v>103.41</v>
      </c>
      <c r="BK13" s="322">
        <v>101.3016</v>
      </c>
      <c r="BL13" s="322">
        <v>101.9913</v>
      </c>
      <c r="BM13" s="322">
        <v>106.4508</v>
      </c>
      <c r="BN13" s="322">
        <v>109.6377</v>
      </c>
      <c r="BO13" s="322">
        <v>117.866</v>
      </c>
      <c r="BP13" s="322">
        <v>139.8464</v>
      </c>
    </row>
    <row r="14">
      <c r="A14" s="321" t="s">
        <v>76</v>
      </c>
      <c r="B14" s="321" t="s">
        <v>393</v>
      </c>
      <c r="C14" s="321" t="s">
        <v>397</v>
      </c>
      <c r="D14" s="321" t="s">
        <v>399</v>
      </c>
      <c r="E14" s="322">
        <v>0.02875</v>
      </c>
      <c r="F14" s="322">
        <v>0.02875</v>
      </c>
      <c r="G14" s="322">
        <v>0.02875</v>
      </c>
      <c r="H14" s="322">
        <v>0.02875</v>
      </c>
      <c r="I14" s="322">
        <v>0.02875</v>
      </c>
      <c r="J14" s="322">
        <v>0.02875</v>
      </c>
      <c r="K14" s="322">
        <v>0.02875</v>
      </c>
      <c r="L14" s="322">
        <v>0.02875</v>
      </c>
      <c r="M14" s="322">
        <v>0.02875</v>
      </c>
      <c r="N14" s="322">
        <v>0.02875</v>
      </c>
      <c r="O14" s="322">
        <v>0.02875</v>
      </c>
      <c r="P14" s="322">
        <v>0.028312</v>
      </c>
      <c r="Q14" s="322">
        <v>0.027053</v>
      </c>
      <c r="R14" s="322">
        <v>0.024515</v>
      </c>
      <c r="S14" s="322">
        <v>0.025408</v>
      </c>
      <c r="T14" s="322">
        <v>0.025553</v>
      </c>
      <c r="U14" s="322">
        <v>0.030229</v>
      </c>
      <c r="V14" s="322">
        <v>0.030407</v>
      </c>
      <c r="W14" s="322">
        <v>0.03</v>
      </c>
      <c r="X14" s="322">
        <v>0.03</v>
      </c>
      <c r="Y14" s="322">
        <v>0.0324</v>
      </c>
      <c r="Z14" s="322">
        <v>0.03535</v>
      </c>
      <c r="AA14" s="322">
        <v>0.03777</v>
      </c>
      <c r="AB14" s="322">
        <v>0.040183</v>
      </c>
      <c r="AC14" s="322">
        <v>0.042443</v>
      </c>
      <c r="AD14" s="322">
        <v>0.043181</v>
      </c>
      <c r="AE14" s="322">
        <v>0.040429</v>
      </c>
      <c r="AF14" s="322">
        <v>0.290731</v>
      </c>
      <c r="AG14" s="322">
        <v>0.524645</v>
      </c>
      <c r="AH14" s="322">
        <v>0.744918</v>
      </c>
      <c r="AI14" s="322">
        <v>0.929089</v>
      </c>
      <c r="AJ14" s="322">
        <v>1.434468</v>
      </c>
      <c r="AK14" s="322">
        <v>2.516554</v>
      </c>
      <c r="AL14" s="322">
        <v>3.874237</v>
      </c>
      <c r="AM14" s="322">
        <v>6.038588</v>
      </c>
      <c r="AN14" s="322">
        <v>9.024333</v>
      </c>
      <c r="AO14" s="322">
        <v>11.29375</v>
      </c>
      <c r="AP14" s="322">
        <v>11.54358</v>
      </c>
      <c r="AQ14" s="322">
        <v>11.87458</v>
      </c>
      <c r="AR14" s="322">
        <v>12.77511</v>
      </c>
      <c r="AS14" s="322">
        <v>15.22725</v>
      </c>
      <c r="AT14" s="322">
        <v>20.70364</v>
      </c>
      <c r="AU14" s="322">
        <v>23.67796</v>
      </c>
      <c r="AV14" s="322">
        <v>23.78227</v>
      </c>
      <c r="AW14" s="322">
        <v>22.58134</v>
      </c>
      <c r="AX14" s="322">
        <v>23.06097</v>
      </c>
      <c r="AY14" s="322">
        <v>25.40078</v>
      </c>
      <c r="AZ14" s="322">
        <v>25.84034</v>
      </c>
      <c r="BA14" s="322">
        <v>24.30064</v>
      </c>
      <c r="BB14" s="322">
        <v>27.5183</v>
      </c>
      <c r="BC14" s="322">
        <v>33.9601</v>
      </c>
      <c r="BD14" s="322">
        <v>29.0676</v>
      </c>
      <c r="BE14" s="322">
        <v>28.37298</v>
      </c>
      <c r="BF14" s="322">
        <v>30.10411</v>
      </c>
      <c r="BG14" s="322">
        <v>31.35269</v>
      </c>
      <c r="BH14" s="322">
        <v>39.98247</v>
      </c>
      <c r="BI14" s="322">
        <v>63.05623</v>
      </c>
      <c r="BJ14" s="322">
        <v>63.58432</v>
      </c>
      <c r="BK14" s="322">
        <v>60.32621</v>
      </c>
      <c r="BL14" s="322">
        <v>62.54833</v>
      </c>
      <c r="BM14" s="322">
        <v>69.465</v>
      </c>
      <c r="BN14" s="322">
        <v>65.465</v>
      </c>
      <c r="BO14" s="322">
        <v>63.85083</v>
      </c>
      <c r="BP14" s="322">
        <v>63.88583</v>
      </c>
    </row>
    <row r="15">
      <c r="A15" s="321" t="s">
        <v>75</v>
      </c>
      <c r="B15" s="321" t="s">
        <v>394</v>
      </c>
      <c r="C15" s="321" t="s">
        <v>397</v>
      </c>
      <c r="D15" s="321" t="s">
        <v>399</v>
      </c>
      <c r="E15" s="322">
        <v>0.714285</v>
      </c>
      <c r="F15" s="322">
        <v>0.714285</v>
      </c>
      <c r="G15" s="322">
        <v>0.714285</v>
      </c>
      <c r="H15" s="322">
        <v>0.714285</v>
      </c>
      <c r="I15" s="322">
        <v>0.714285</v>
      </c>
      <c r="J15" s="322">
        <v>0.714285</v>
      </c>
      <c r="K15" s="322">
        <v>0.714285</v>
      </c>
      <c r="L15" s="322">
        <v>0.724206</v>
      </c>
      <c r="M15" s="322">
        <v>0.833333</v>
      </c>
      <c r="N15" s="322">
        <v>0.833333</v>
      </c>
      <c r="O15" s="322">
        <v>0.833333</v>
      </c>
      <c r="P15" s="322">
        <v>0.830894</v>
      </c>
      <c r="Q15" s="322">
        <v>0.801558</v>
      </c>
      <c r="R15" s="322">
        <v>0.819262</v>
      </c>
      <c r="S15" s="322">
        <v>0.841203</v>
      </c>
      <c r="T15" s="322">
        <v>0.863833</v>
      </c>
      <c r="U15" s="322">
        <v>0.913011</v>
      </c>
      <c r="V15" s="322">
        <v>0.902928</v>
      </c>
      <c r="W15" s="322">
        <v>0.843745</v>
      </c>
      <c r="X15" s="322">
        <v>0.816878</v>
      </c>
      <c r="Y15" s="322">
        <v>0.812096</v>
      </c>
      <c r="Z15" s="322">
        <v>0.895299</v>
      </c>
      <c r="AA15" s="322">
        <v>1.055509</v>
      </c>
      <c r="AB15" s="322">
        <v>1.174763</v>
      </c>
      <c r="AC15" s="322">
        <v>1.41338</v>
      </c>
      <c r="AD15" s="322">
        <v>1.719097</v>
      </c>
      <c r="AE15" s="322">
        <v>1.861073</v>
      </c>
      <c r="AF15" s="322">
        <v>2.208743</v>
      </c>
      <c r="AG15" s="322">
        <v>2.561301</v>
      </c>
      <c r="AH15" s="322">
        <v>2.759524</v>
      </c>
      <c r="AI15" s="322">
        <v>2.728882</v>
      </c>
      <c r="AJ15" s="322">
        <v>2.803313</v>
      </c>
      <c r="AK15" s="322">
        <v>3.603275</v>
      </c>
      <c r="AL15" s="322">
        <v>4.402778</v>
      </c>
      <c r="AM15" s="322">
        <v>8.736405</v>
      </c>
      <c r="AN15" s="322">
        <v>15.28374</v>
      </c>
      <c r="AO15" s="322">
        <v>15.30847</v>
      </c>
      <c r="AP15" s="322">
        <v>16.44418</v>
      </c>
      <c r="AQ15" s="322">
        <v>31.07268</v>
      </c>
      <c r="AR15" s="322">
        <v>44.08814</v>
      </c>
      <c r="AS15" s="322">
        <v>59.54381</v>
      </c>
      <c r="AT15" s="322">
        <v>72.19733</v>
      </c>
      <c r="AU15" s="322">
        <v>76.68661</v>
      </c>
      <c r="AV15" s="322">
        <v>97.43248</v>
      </c>
      <c r="AW15" s="322">
        <v>108.8975</v>
      </c>
      <c r="AX15" s="322">
        <v>118.42</v>
      </c>
      <c r="AY15" s="322">
        <v>136.0125</v>
      </c>
      <c r="AZ15" s="322">
        <v>139.9575</v>
      </c>
      <c r="BA15" s="322">
        <v>140.5217</v>
      </c>
      <c r="BB15" s="322">
        <v>141.1683</v>
      </c>
      <c r="BC15" s="322">
        <v>150.4858</v>
      </c>
      <c r="BD15" s="322">
        <v>156.5158</v>
      </c>
      <c r="BE15" s="322">
        <v>249.1067</v>
      </c>
      <c r="BF15" s="322">
        <v>364.4058</v>
      </c>
      <c r="BG15" s="322">
        <v>424.8967</v>
      </c>
      <c r="BH15" s="322">
        <v>499.6058</v>
      </c>
      <c r="BI15" s="322">
        <v>718.005</v>
      </c>
      <c r="BJ15" s="322">
        <v>730.2725</v>
      </c>
      <c r="BK15" s="322">
        <v>732.3333</v>
      </c>
      <c r="BL15" s="322">
        <v>745.5407</v>
      </c>
      <c r="BM15" s="322">
        <v>749.5275</v>
      </c>
      <c r="BN15" s="326"/>
      <c r="BO15" s="326"/>
      <c r="BP15" s="326"/>
    </row>
    <row r="16">
      <c r="A16" s="321" t="s">
        <v>77</v>
      </c>
      <c r="B16" s="321" t="s">
        <v>395</v>
      </c>
      <c r="C16" s="321" t="s">
        <v>397</v>
      </c>
      <c r="D16" s="321" t="s">
        <v>399</v>
      </c>
      <c r="E16" s="322">
        <v>50.0</v>
      </c>
      <c r="F16" s="322">
        <v>50.0</v>
      </c>
      <c r="G16" s="322">
        <v>50.0</v>
      </c>
      <c r="H16" s="322">
        <v>50.0</v>
      </c>
      <c r="I16" s="322">
        <v>50.0</v>
      </c>
      <c r="J16" s="322">
        <v>50.0</v>
      </c>
      <c r="K16" s="322">
        <v>87.5</v>
      </c>
      <c r="L16" s="322">
        <v>100.0</v>
      </c>
      <c r="M16" s="322">
        <v>100.0</v>
      </c>
      <c r="N16" s="322">
        <v>100.0</v>
      </c>
      <c r="O16" s="322">
        <v>100.0</v>
      </c>
      <c r="P16" s="322">
        <v>99.70733</v>
      </c>
      <c r="Q16" s="322">
        <v>92.105</v>
      </c>
      <c r="R16" s="322">
        <v>83.922</v>
      </c>
      <c r="S16" s="322">
        <v>92.30176</v>
      </c>
      <c r="T16" s="322">
        <v>92.27727</v>
      </c>
      <c r="U16" s="322">
        <v>97.01235</v>
      </c>
      <c r="V16" s="322">
        <v>95.93509</v>
      </c>
      <c r="W16" s="322">
        <v>89.48791</v>
      </c>
      <c r="X16" s="322">
        <v>86.69071</v>
      </c>
      <c r="Y16" s="322">
        <v>86.06388</v>
      </c>
      <c r="Z16" s="322">
        <v>87.16031</v>
      </c>
      <c r="AA16" s="322">
        <v>93.05997</v>
      </c>
      <c r="AB16" s="322">
        <v>96.09394</v>
      </c>
      <c r="AC16" s="322">
        <v>100.2329</v>
      </c>
      <c r="AD16" s="322">
        <v>101.2447</v>
      </c>
      <c r="AE16" s="322">
        <v>87.59092</v>
      </c>
      <c r="AF16" s="322">
        <v>79.46065</v>
      </c>
      <c r="AG16" s="322">
        <v>76.44774</v>
      </c>
      <c r="AH16" s="322">
        <v>80.14898</v>
      </c>
      <c r="AI16" s="322">
        <v>83.7041</v>
      </c>
      <c r="AJ16" s="322">
        <v>125.1642</v>
      </c>
      <c r="AK16" s="322">
        <v>133.9386</v>
      </c>
      <c r="AL16" s="322">
        <v>144.237</v>
      </c>
      <c r="AM16" s="322">
        <v>140.7038</v>
      </c>
      <c r="AN16" s="322">
        <v>262.1823</v>
      </c>
      <c r="AO16" s="322">
        <v>306.82</v>
      </c>
      <c r="AP16" s="322">
        <v>301.5298</v>
      </c>
      <c r="AQ16" s="322">
        <v>312.3141</v>
      </c>
      <c r="AR16" s="322">
        <v>333.9419</v>
      </c>
      <c r="AS16" s="322">
        <v>389.6962</v>
      </c>
      <c r="AT16" s="322">
        <v>442.9919</v>
      </c>
      <c r="AU16" s="322">
        <v>475.3652</v>
      </c>
      <c r="AV16" s="322">
        <v>537.655</v>
      </c>
      <c r="AW16" s="322">
        <v>577.449</v>
      </c>
      <c r="AX16" s="322">
        <v>557.8226</v>
      </c>
      <c r="AY16" s="322">
        <v>551.7103</v>
      </c>
      <c r="AZ16" s="322">
        <v>546.955</v>
      </c>
      <c r="BA16" s="322">
        <v>546.8487</v>
      </c>
      <c r="BB16" s="322">
        <v>568.2813</v>
      </c>
      <c r="BC16" s="322">
        <v>583.1309</v>
      </c>
      <c r="BD16" s="322">
        <v>600.3065</v>
      </c>
      <c r="BE16" s="322">
        <v>614.2951</v>
      </c>
      <c r="BF16" s="322">
        <v>646.636</v>
      </c>
      <c r="BG16" s="322">
        <v>682.4378</v>
      </c>
      <c r="BH16" s="322">
        <v>719.8596</v>
      </c>
      <c r="BI16" s="322">
        <v>787.2515</v>
      </c>
      <c r="BJ16" s="322">
        <v>831.5543</v>
      </c>
      <c r="BK16" s="322">
        <v>861.0934</v>
      </c>
      <c r="BL16" s="322">
        <v>899.3505</v>
      </c>
      <c r="BM16" s="322">
        <v>943.278</v>
      </c>
      <c r="BN16" s="322">
        <v>988.6248</v>
      </c>
      <c r="BO16" s="322">
        <v>1030.308</v>
      </c>
      <c r="BP16" s="322">
        <v>1160.099</v>
      </c>
    </row>
    <row r="17">
      <c r="A17" s="321" t="s">
        <v>78</v>
      </c>
      <c r="B17" s="321" t="s">
        <v>396</v>
      </c>
      <c r="C17" s="321" t="s">
        <v>397</v>
      </c>
      <c r="D17" s="321" t="s">
        <v>399</v>
      </c>
      <c r="E17" s="322">
        <v>0.07143</v>
      </c>
      <c r="F17" s="322">
        <v>0.07143</v>
      </c>
      <c r="G17" s="322">
        <v>0.07143</v>
      </c>
      <c r="H17" s="322">
        <v>0.07143</v>
      </c>
      <c r="I17" s="322">
        <v>0.07143</v>
      </c>
      <c r="J17" s="322">
        <v>0.07143</v>
      </c>
      <c r="K17" s="322">
        <v>0.07143</v>
      </c>
      <c r="L17" s="322">
        <v>0.07143</v>
      </c>
      <c r="M17" s="322">
        <v>0.07143</v>
      </c>
      <c r="N17" s="322">
        <v>0.07143</v>
      </c>
      <c r="O17" s="322">
        <v>0.07143</v>
      </c>
      <c r="P17" s="322">
        <v>0.07143</v>
      </c>
      <c r="Q17" s="322">
        <v>0.07143</v>
      </c>
      <c r="R17" s="322">
        <v>0.070214</v>
      </c>
      <c r="S17" s="322">
        <v>0.071359</v>
      </c>
      <c r="T17" s="322">
        <v>0.074219</v>
      </c>
      <c r="U17" s="322">
        <v>0.082662</v>
      </c>
      <c r="V17" s="322">
        <v>0.08259</v>
      </c>
      <c r="W17" s="322">
        <v>0.077357</v>
      </c>
      <c r="X17" s="322">
        <v>0.074828</v>
      </c>
      <c r="Y17" s="322">
        <v>0.07417</v>
      </c>
      <c r="Z17" s="322">
        <v>0.500523</v>
      </c>
      <c r="AA17" s="322">
        <v>0.940467</v>
      </c>
      <c r="AB17" s="322">
        <v>1.538625</v>
      </c>
      <c r="AC17" s="322">
        <v>3.597025</v>
      </c>
      <c r="AD17" s="322">
        <v>6.7202</v>
      </c>
      <c r="AE17" s="322">
        <v>14.0</v>
      </c>
      <c r="AF17" s="322">
        <v>42.84127</v>
      </c>
      <c r="AG17" s="322">
        <v>106.1358</v>
      </c>
      <c r="AH17" s="322">
        <v>223.0916</v>
      </c>
      <c r="AI17" s="322">
        <v>428.8547</v>
      </c>
      <c r="AJ17" s="322">
        <v>734.0099</v>
      </c>
      <c r="AK17" s="322">
        <v>1133.834</v>
      </c>
      <c r="AL17" s="322">
        <v>1195.017</v>
      </c>
      <c r="AM17" s="322">
        <v>979.4454</v>
      </c>
      <c r="AN17" s="322">
        <v>968.9167</v>
      </c>
      <c r="AO17" s="322">
        <v>1046.085</v>
      </c>
      <c r="AP17" s="322">
        <v>1083.009</v>
      </c>
      <c r="AQ17" s="322">
        <v>1240.306</v>
      </c>
      <c r="AR17" s="322">
        <v>1454.827</v>
      </c>
      <c r="AS17" s="322">
        <v>1644.475</v>
      </c>
      <c r="AT17" s="322">
        <v>1755.659</v>
      </c>
      <c r="AU17" s="322">
        <v>1797.551</v>
      </c>
      <c r="AV17" s="322">
        <v>1963.72</v>
      </c>
      <c r="AW17" s="322">
        <v>1810.305</v>
      </c>
      <c r="AX17" s="322">
        <v>1780.54</v>
      </c>
      <c r="AY17" s="322">
        <v>1831.452</v>
      </c>
      <c r="AZ17" s="322">
        <v>1723.492</v>
      </c>
      <c r="BA17" s="322">
        <v>1720.444</v>
      </c>
      <c r="BB17" s="322">
        <v>2030.488</v>
      </c>
      <c r="BC17" s="322">
        <v>2177.558</v>
      </c>
      <c r="BD17" s="322">
        <v>2522.802</v>
      </c>
      <c r="BE17" s="322">
        <v>2504.563</v>
      </c>
      <c r="BF17" s="322">
        <v>2586.89</v>
      </c>
      <c r="BG17" s="322">
        <v>2599.788</v>
      </c>
      <c r="BH17" s="322">
        <v>3240.645</v>
      </c>
      <c r="BI17" s="322">
        <v>3420.098</v>
      </c>
      <c r="BJ17" s="322">
        <v>3611.224</v>
      </c>
      <c r="BK17" s="322">
        <v>3727.069</v>
      </c>
      <c r="BL17" s="322">
        <v>3704.049</v>
      </c>
      <c r="BM17" s="322">
        <v>3718.249</v>
      </c>
      <c r="BN17" s="322">
        <v>3587.052</v>
      </c>
      <c r="BO17" s="322">
        <v>3689.817</v>
      </c>
      <c r="BP17" s="322">
        <v>3726.14</v>
      </c>
    </row>
    <row r="19">
      <c r="A19" s="320" t="s">
        <v>400</v>
      </c>
      <c r="B19" s="52"/>
      <c r="C19" s="52"/>
      <c r="D19" s="52"/>
      <c r="E19" s="52"/>
      <c r="F19" s="52"/>
      <c r="G19" s="52"/>
      <c r="H19" s="52"/>
      <c r="I19" s="52"/>
      <c r="J19" s="52"/>
      <c r="K19" s="52"/>
      <c r="L19" s="52"/>
      <c r="M19" s="52"/>
      <c r="N19" s="52"/>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row>
    <row r="20">
      <c r="A20" s="198" t="s">
        <v>401</v>
      </c>
    </row>
    <row r="21">
      <c r="A21" s="323" t="s">
        <v>387</v>
      </c>
      <c r="B21" s="323" t="s">
        <v>388</v>
      </c>
      <c r="C21" s="323" t="s">
        <v>389</v>
      </c>
      <c r="D21" s="323" t="s">
        <v>390</v>
      </c>
      <c r="E21" s="323">
        <v>1960.0</v>
      </c>
      <c r="F21" s="323">
        <v>1961.0</v>
      </c>
      <c r="G21" s="323">
        <v>1962.0</v>
      </c>
      <c r="H21" s="323">
        <v>1963.0</v>
      </c>
      <c r="I21" s="323">
        <v>1964.0</v>
      </c>
      <c r="J21" s="323">
        <v>1965.0</v>
      </c>
      <c r="K21" s="323">
        <v>1966.0</v>
      </c>
      <c r="L21" s="323">
        <v>1967.0</v>
      </c>
      <c r="M21" s="323">
        <v>1968.0</v>
      </c>
      <c r="N21" s="323">
        <v>1969.0</v>
      </c>
      <c r="O21" s="323">
        <v>1970.0</v>
      </c>
      <c r="P21" s="323">
        <v>1971.0</v>
      </c>
      <c r="Q21" s="323">
        <v>1972.0</v>
      </c>
      <c r="R21" s="323">
        <v>1973.0</v>
      </c>
      <c r="S21" s="323">
        <v>1974.0</v>
      </c>
      <c r="T21" s="323">
        <v>1975.0</v>
      </c>
      <c r="U21" s="323">
        <v>1976.0</v>
      </c>
      <c r="V21" s="323">
        <v>1977.0</v>
      </c>
      <c r="W21" s="323">
        <v>1978.0</v>
      </c>
      <c r="X21" s="323">
        <v>1979.0</v>
      </c>
      <c r="Y21" s="323">
        <v>1980.0</v>
      </c>
      <c r="Z21" s="323">
        <v>1981.0</v>
      </c>
      <c r="AA21" s="323">
        <v>1982.0</v>
      </c>
      <c r="AB21" s="323">
        <v>1983.0</v>
      </c>
      <c r="AC21" s="323">
        <v>1984.0</v>
      </c>
      <c r="AD21" s="323">
        <v>1985.0</v>
      </c>
      <c r="AE21" s="323">
        <v>1986.0</v>
      </c>
      <c r="AF21" s="323">
        <v>1987.0</v>
      </c>
      <c r="AG21" s="323">
        <v>1988.0</v>
      </c>
      <c r="AH21" s="323">
        <v>1989.0</v>
      </c>
      <c r="AI21" s="323">
        <v>1990.0</v>
      </c>
      <c r="AJ21" s="323">
        <v>1991.0</v>
      </c>
      <c r="AK21" s="323">
        <v>1992.0</v>
      </c>
      <c r="AL21" s="323">
        <v>1993.0</v>
      </c>
      <c r="AM21" s="323">
        <v>1994.0</v>
      </c>
      <c r="AN21" s="323">
        <v>1995.0</v>
      </c>
      <c r="AO21" s="323">
        <v>1996.0</v>
      </c>
      <c r="AP21" s="323">
        <v>1997.0</v>
      </c>
      <c r="AQ21" s="323">
        <v>1998.0</v>
      </c>
      <c r="AR21" s="323">
        <v>1999.0</v>
      </c>
      <c r="AS21" s="323">
        <v>2000.0</v>
      </c>
      <c r="AT21" s="323">
        <v>2001.0</v>
      </c>
      <c r="AU21" s="323">
        <v>2002.0</v>
      </c>
      <c r="AV21" s="323">
        <v>2003.0</v>
      </c>
      <c r="AW21" s="323">
        <v>2004.0</v>
      </c>
      <c r="AX21" s="323">
        <v>2005.0</v>
      </c>
      <c r="AY21" s="323">
        <v>2006.0</v>
      </c>
      <c r="AZ21" s="323">
        <v>2007.0</v>
      </c>
      <c r="BA21" s="323">
        <v>2008.0</v>
      </c>
      <c r="BB21" s="323">
        <v>2009.0</v>
      </c>
      <c r="BC21" s="323">
        <v>2010.0</v>
      </c>
      <c r="BD21" s="323">
        <v>2011.0</v>
      </c>
      <c r="BE21" s="323">
        <v>2012.0</v>
      </c>
      <c r="BF21" s="323">
        <v>2013.0</v>
      </c>
      <c r="BG21" s="323">
        <v>2014.0</v>
      </c>
      <c r="BH21" s="323">
        <v>2015.0</v>
      </c>
      <c r="BI21" s="323">
        <v>2016.0</v>
      </c>
      <c r="BJ21" s="323">
        <v>2017.0</v>
      </c>
      <c r="BK21" s="323">
        <v>2018.0</v>
      </c>
      <c r="BL21" s="323">
        <v>2019.0</v>
      </c>
      <c r="BM21" s="323">
        <v>2020.0</v>
      </c>
      <c r="BN21" s="323">
        <v>2021.0</v>
      </c>
      <c r="BO21" s="323">
        <v>2022.0</v>
      </c>
      <c r="BP21" s="53">
        <v>2023.0</v>
      </c>
      <c r="BQ21" s="191"/>
    </row>
    <row r="22">
      <c r="A22" s="323" t="s">
        <v>74</v>
      </c>
      <c r="B22" s="323" t="s">
        <v>391</v>
      </c>
      <c r="C22" s="323" t="s">
        <v>400</v>
      </c>
      <c r="D22" s="323" t="s">
        <v>402</v>
      </c>
      <c r="E22" s="325"/>
      <c r="F22" s="325"/>
      <c r="G22" s="325"/>
      <c r="H22" s="325"/>
      <c r="I22" s="325"/>
      <c r="J22" s="325"/>
      <c r="K22" s="325"/>
      <c r="L22" s="325"/>
      <c r="M22" s="325"/>
      <c r="N22" s="325"/>
      <c r="O22" s="325"/>
      <c r="P22" s="325"/>
      <c r="Q22" s="325"/>
      <c r="R22" s="325"/>
      <c r="S22" s="325"/>
      <c r="T22" s="325"/>
      <c r="U22" s="325"/>
      <c r="V22" s="325"/>
      <c r="W22" s="325"/>
      <c r="X22" s="325"/>
      <c r="Y22" s="325"/>
      <c r="Z22" s="325"/>
      <c r="AA22" s="325"/>
      <c r="AB22" s="325"/>
      <c r="AC22" s="325"/>
      <c r="AD22" s="325"/>
      <c r="AE22" s="325"/>
      <c r="AF22" s="325"/>
      <c r="AG22" s="325"/>
      <c r="AH22" s="325"/>
      <c r="AI22" s="328">
        <v>4128.85844</v>
      </c>
      <c r="AJ22" s="328">
        <v>4055.87095</v>
      </c>
      <c r="AK22" s="328">
        <v>3903.09752</v>
      </c>
      <c r="AL22" s="328">
        <v>3803.33304</v>
      </c>
      <c r="AM22" s="328">
        <v>3792.65062</v>
      </c>
      <c r="AN22" s="328">
        <v>3850.06686</v>
      </c>
      <c r="AO22" s="328">
        <v>3902.65625</v>
      </c>
      <c r="AP22" s="328">
        <v>3817.71051</v>
      </c>
      <c r="AQ22" s="328">
        <v>3838.69225</v>
      </c>
      <c r="AR22" s="328">
        <v>3818.70444</v>
      </c>
      <c r="AS22" s="328">
        <v>3731.22198</v>
      </c>
      <c r="AT22" s="328">
        <v>3756.73304</v>
      </c>
      <c r="AU22" s="328">
        <v>3664.40988</v>
      </c>
      <c r="AV22" s="328">
        <v>3661.58416</v>
      </c>
      <c r="AW22" s="328">
        <v>3735.13414</v>
      </c>
      <c r="AX22" s="328">
        <v>3839.74491</v>
      </c>
      <c r="AY22" s="328">
        <v>3968.44893</v>
      </c>
      <c r="AZ22" s="328">
        <v>4116.4029</v>
      </c>
      <c r="BA22" s="328">
        <v>4004.87104</v>
      </c>
      <c r="BB22" s="328">
        <v>4016.61228</v>
      </c>
      <c r="BC22" s="328">
        <v>4219.7079</v>
      </c>
      <c r="BD22" s="328">
        <v>4319.5639</v>
      </c>
      <c r="BE22" s="328">
        <v>4404.24467</v>
      </c>
      <c r="BF22" s="328">
        <v>4462.65784</v>
      </c>
      <c r="BG22" s="328">
        <v>4580.39123</v>
      </c>
      <c r="BH22" s="328">
        <v>4703.29767</v>
      </c>
      <c r="BI22" s="328">
        <v>4794.71416</v>
      </c>
      <c r="BJ22" s="328">
        <v>4871.58046</v>
      </c>
      <c r="BK22" s="328">
        <v>5043.16164</v>
      </c>
      <c r="BL22" s="328">
        <v>5197.2281</v>
      </c>
      <c r="BM22" s="328">
        <v>5079.92773</v>
      </c>
      <c r="BN22" s="328">
        <v>5360.3619</v>
      </c>
      <c r="BO22" s="328">
        <v>5513.85968</v>
      </c>
      <c r="BP22" s="328">
        <v>5699.82119</v>
      </c>
      <c r="BQ22" s="83"/>
      <c r="BR22" s="329"/>
    </row>
    <row r="23">
      <c r="A23" s="323" t="s">
        <v>76</v>
      </c>
      <c r="B23" s="323" t="s">
        <v>393</v>
      </c>
      <c r="C23" s="323" t="s">
        <v>400</v>
      </c>
      <c r="D23" s="323" t="s">
        <v>402</v>
      </c>
      <c r="E23" s="325"/>
      <c r="F23" s="325"/>
      <c r="G23" s="325"/>
      <c r="H23" s="325"/>
      <c r="I23" s="325"/>
      <c r="J23" s="325"/>
      <c r="K23" s="325"/>
      <c r="L23" s="325"/>
      <c r="M23" s="325"/>
      <c r="N23" s="325"/>
      <c r="O23" s="325"/>
      <c r="P23" s="325"/>
      <c r="Q23" s="325"/>
      <c r="R23" s="325"/>
      <c r="S23" s="325"/>
      <c r="T23" s="325"/>
      <c r="U23" s="325"/>
      <c r="V23" s="325"/>
      <c r="W23" s="325"/>
      <c r="X23" s="325"/>
      <c r="Y23" s="325"/>
      <c r="Z23" s="325"/>
      <c r="AA23" s="325"/>
      <c r="AB23" s="325"/>
      <c r="AC23" s="325"/>
      <c r="AD23" s="325"/>
      <c r="AE23" s="325"/>
      <c r="AF23" s="325"/>
      <c r="AG23" s="325"/>
      <c r="AH23" s="325"/>
      <c r="AI23" s="328">
        <v>539.022729</v>
      </c>
      <c r="AJ23" s="328">
        <v>554.823923</v>
      </c>
      <c r="AK23" s="328">
        <v>503.296837</v>
      </c>
      <c r="AL23" s="328">
        <v>543.055864</v>
      </c>
      <c r="AM23" s="328">
        <v>550.640789</v>
      </c>
      <c r="AN23" s="328">
        <v>537.739781</v>
      </c>
      <c r="AO23" s="328">
        <v>577.311779</v>
      </c>
      <c r="AP23" s="328">
        <v>628.244775</v>
      </c>
      <c r="AQ23" s="328">
        <v>676.939586</v>
      </c>
      <c r="AR23" s="328">
        <v>738.828663</v>
      </c>
      <c r="AS23" s="328">
        <v>726.447439</v>
      </c>
      <c r="AT23" s="328">
        <v>799.461738</v>
      </c>
      <c r="AU23" s="328">
        <v>854.517246</v>
      </c>
      <c r="AV23" s="328">
        <v>892.70924</v>
      </c>
      <c r="AW23" s="328">
        <v>941.054304</v>
      </c>
      <c r="AX23" s="328">
        <v>974.876982</v>
      </c>
      <c r="AY23" s="328">
        <v>1044.3723</v>
      </c>
      <c r="AZ23" s="328">
        <v>1095.4922</v>
      </c>
      <c r="BA23" s="328">
        <v>1140.55549</v>
      </c>
      <c r="BB23" s="328">
        <v>1176.34949</v>
      </c>
      <c r="BC23" s="328">
        <v>1220.27807</v>
      </c>
      <c r="BD23" s="328">
        <v>1269.55028</v>
      </c>
      <c r="BE23" s="328">
        <v>1330.32965</v>
      </c>
      <c r="BF23" s="328">
        <v>1374.84982</v>
      </c>
      <c r="BG23" s="328">
        <v>1435.99561</v>
      </c>
      <c r="BH23" s="328">
        <v>1495.9387</v>
      </c>
      <c r="BI23" s="328">
        <v>1517.95273</v>
      </c>
      <c r="BJ23" s="328">
        <v>1510.39432</v>
      </c>
      <c r="BK23" s="328">
        <v>1517.64185</v>
      </c>
      <c r="BL23" s="328">
        <v>1508.63558</v>
      </c>
      <c r="BM23" s="328">
        <v>1447.57141</v>
      </c>
      <c r="BN23" s="328">
        <v>1440.45968</v>
      </c>
      <c r="BO23" s="328">
        <v>1462.56935</v>
      </c>
      <c r="BP23" s="328">
        <v>1493.66314</v>
      </c>
      <c r="BQ23" s="83"/>
      <c r="BR23" s="329"/>
    </row>
    <row r="24">
      <c r="A24" s="323" t="s">
        <v>75</v>
      </c>
      <c r="B24" s="323" t="s">
        <v>394</v>
      </c>
      <c r="C24" s="323" t="s">
        <v>400</v>
      </c>
      <c r="D24" s="323" t="s">
        <v>402</v>
      </c>
      <c r="E24" s="325"/>
      <c r="F24" s="325"/>
      <c r="G24" s="325"/>
      <c r="H24" s="325"/>
      <c r="I24" s="325"/>
      <c r="J24" s="325"/>
      <c r="K24" s="325"/>
      <c r="L24" s="325"/>
      <c r="M24" s="325"/>
      <c r="N24" s="325"/>
      <c r="O24" s="325"/>
      <c r="P24" s="325"/>
      <c r="Q24" s="325"/>
      <c r="R24" s="325"/>
      <c r="S24" s="325"/>
      <c r="T24" s="325"/>
      <c r="U24" s="325"/>
      <c r="V24" s="325"/>
      <c r="W24" s="325"/>
      <c r="X24" s="325"/>
      <c r="Y24" s="325"/>
      <c r="Z24" s="325"/>
      <c r="AA24" s="325"/>
      <c r="AB24" s="325"/>
      <c r="AC24" s="325"/>
      <c r="AD24" s="325"/>
      <c r="AE24" s="325"/>
      <c r="AF24" s="325"/>
      <c r="AG24" s="325"/>
      <c r="AH24" s="325"/>
      <c r="AI24" s="328">
        <v>1086.34506</v>
      </c>
      <c r="AJ24" s="328">
        <v>1146.11379</v>
      </c>
      <c r="AK24" s="328">
        <v>1032.26812</v>
      </c>
      <c r="AL24" s="328">
        <v>1116.65892</v>
      </c>
      <c r="AM24" s="328">
        <v>1014.71986</v>
      </c>
      <c r="AN24" s="328">
        <v>1186.69388</v>
      </c>
      <c r="AO24" s="328">
        <v>1249.0998</v>
      </c>
      <c r="AP24" s="328">
        <v>1271.54085</v>
      </c>
      <c r="AQ24" s="328">
        <v>1294.01786</v>
      </c>
      <c r="AR24" s="328">
        <v>1304.04213</v>
      </c>
      <c r="AS24" s="328">
        <v>1294.46475</v>
      </c>
      <c r="AT24" s="328">
        <v>1201.2437</v>
      </c>
      <c r="AU24" s="328">
        <v>1192.04922</v>
      </c>
      <c r="AV24" s="328">
        <v>1228.4295</v>
      </c>
      <c r="AW24" s="328">
        <v>1261.27489</v>
      </c>
      <c r="AX24" s="328">
        <v>1267.3448</v>
      </c>
      <c r="AY24" s="328">
        <v>1290.22723</v>
      </c>
      <c r="AZ24" s="328">
        <v>1374.56968</v>
      </c>
      <c r="BA24" s="328">
        <v>1437.61624</v>
      </c>
      <c r="BB24" s="328">
        <v>1512.74156</v>
      </c>
      <c r="BC24" s="328">
        <v>1570.65</v>
      </c>
      <c r="BD24" s="328">
        <v>1601.58778</v>
      </c>
      <c r="BE24" s="328">
        <v>1586.43855</v>
      </c>
      <c r="BF24" s="328">
        <v>1625.98634</v>
      </c>
      <c r="BG24" s="328">
        <v>1670.21763</v>
      </c>
      <c r="BH24" s="328">
        <v>1670.25776</v>
      </c>
      <c r="BI24" s="328">
        <v>1666.11145</v>
      </c>
      <c r="BJ24" s="328">
        <v>1686.6739</v>
      </c>
      <c r="BK24" s="328">
        <v>1714.09071</v>
      </c>
      <c r="BL24" s="328">
        <v>1759.63014</v>
      </c>
      <c r="BM24" s="328">
        <v>1727.04884</v>
      </c>
      <c r="BN24" s="328">
        <v>1728.8254</v>
      </c>
      <c r="BO24" s="328">
        <v>1700.70514</v>
      </c>
      <c r="BP24" s="328">
        <v>1683.45859</v>
      </c>
      <c r="BQ24" s="83"/>
      <c r="BR24" s="329"/>
    </row>
    <row r="25">
      <c r="A25" s="323" t="s">
        <v>77</v>
      </c>
      <c r="B25" s="323" t="s">
        <v>395</v>
      </c>
      <c r="C25" s="323" t="s">
        <v>400</v>
      </c>
      <c r="D25" s="323" t="s">
        <v>402</v>
      </c>
      <c r="E25" s="325"/>
      <c r="F25" s="325"/>
      <c r="G25" s="325"/>
      <c r="H25" s="325"/>
      <c r="I25" s="325"/>
      <c r="J25" s="325"/>
      <c r="K25" s="325"/>
      <c r="L25" s="325"/>
      <c r="M25" s="325"/>
      <c r="N25" s="325"/>
      <c r="O25" s="325"/>
      <c r="P25" s="325"/>
      <c r="Q25" s="325"/>
      <c r="R25" s="325"/>
      <c r="S25" s="325"/>
      <c r="T25" s="325"/>
      <c r="U25" s="325"/>
      <c r="V25" s="325"/>
      <c r="W25" s="325"/>
      <c r="X25" s="325"/>
      <c r="Y25" s="325"/>
      <c r="Z25" s="325"/>
      <c r="AA25" s="325"/>
      <c r="AB25" s="325"/>
      <c r="AC25" s="325"/>
      <c r="AD25" s="325"/>
      <c r="AE25" s="325"/>
      <c r="AF25" s="325"/>
      <c r="AG25" s="325"/>
      <c r="AH25" s="325"/>
      <c r="AI25" s="328">
        <v>1130.51587</v>
      </c>
      <c r="AJ25" s="328">
        <v>1077.69219</v>
      </c>
      <c r="AK25" s="328">
        <v>1115.42327</v>
      </c>
      <c r="AL25" s="328">
        <v>992.880514</v>
      </c>
      <c r="AM25" s="328">
        <v>579.972671</v>
      </c>
      <c r="AN25" s="328">
        <v>928.481389</v>
      </c>
      <c r="AO25" s="328">
        <v>886.481213</v>
      </c>
      <c r="AP25" s="328">
        <v>884.036802</v>
      </c>
      <c r="AQ25" s="328">
        <v>932.206677</v>
      </c>
      <c r="AR25" s="328">
        <v>961.244435</v>
      </c>
      <c r="AS25" s="328">
        <v>1028.8127</v>
      </c>
      <c r="AT25" s="328">
        <v>1100.63804</v>
      </c>
      <c r="AU25" s="328">
        <v>1223.75766</v>
      </c>
      <c r="AV25" s="328">
        <v>1222.1446</v>
      </c>
      <c r="AW25" s="328">
        <v>1279.72975</v>
      </c>
      <c r="AX25" s="328">
        <v>1363.38499</v>
      </c>
      <c r="AY25" s="328">
        <v>1450.02561</v>
      </c>
      <c r="AZ25" s="328">
        <v>1519.23041</v>
      </c>
      <c r="BA25" s="328">
        <v>1644.11082</v>
      </c>
      <c r="BB25" s="328">
        <v>1701.31638</v>
      </c>
      <c r="BC25" s="328">
        <v>1779.10891</v>
      </c>
      <c r="BD25" s="328">
        <v>1872.04829</v>
      </c>
      <c r="BE25" s="328">
        <v>1984.40301</v>
      </c>
      <c r="BF25" s="328">
        <v>2029.2042</v>
      </c>
      <c r="BG25" s="328">
        <v>2103.7322</v>
      </c>
      <c r="BH25" s="328">
        <v>2236.06386</v>
      </c>
      <c r="BI25" s="328">
        <v>2312.38622</v>
      </c>
      <c r="BJ25" s="328">
        <v>2344.15605</v>
      </c>
      <c r="BK25" s="328">
        <v>2482.60104</v>
      </c>
      <c r="BL25" s="328">
        <v>2652.95119</v>
      </c>
      <c r="BM25" s="328">
        <v>2502.74079</v>
      </c>
      <c r="BN25" s="328">
        <v>2709.45783</v>
      </c>
      <c r="BO25" s="328">
        <v>2863.5239</v>
      </c>
      <c r="BP25" s="328">
        <v>3029.58809</v>
      </c>
      <c r="BQ25" s="83"/>
      <c r="BR25" s="329"/>
    </row>
    <row r="26">
      <c r="A26" s="323" t="s">
        <v>78</v>
      </c>
      <c r="B26" s="323" t="s">
        <v>396</v>
      </c>
      <c r="C26" s="323" t="s">
        <v>400</v>
      </c>
      <c r="D26" s="323" t="s">
        <v>402</v>
      </c>
      <c r="E26" s="325"/>
      <c r="F26" s="325"/>
      <c r="G26" s="325"/>
      <c r="H26" s="325"/>
      <c r="I26" s="325"/>
      <c r="J26" s="325"/>
      <c r="K26" s="325"/>
      <c r="L26" s="325"/>
      <c r="M26" s="325"/>
      <c r="N26" s="325"/>
      <c r="O26" s="325"/>
      <c r="P26" s="325"/>
      <c r="Q26" s="325"/>
      <c r="R26" s="325"/>
      <c r="S26" s="325"/>
      <c r="T26" s="325"/>
      <c r="U26" s="325"/>
      <c r="V26" s="325"/>
      <c r="W26" s="325"/>
      <c r="X26" s="325"/>
      <c r="Y26" s="325"/>
      <c r="Z26" s="325"/>
      <c r="AA26" s="325"/>
      <c r="AB26" s="325"/>
      <c r="AC26" s="325"/>
      <c r="AD26" s="325"/>
      <c r="AE26" s="325"/>
      <c r="AF26" s="325"/>
      <c r="AG26" s="325"/>
      <c r="AH26" s="325"/>
      <c r="AI26" s="328">
        <v>1079.0107</v>
      </c>
      <c r="AJ26" s="328">
        <v>1102.25554</v>
      </c>
      <c r="AK26" s="328">
        <v>1101.73675</v>
      </c>
      <c r="AL26" s="328">
        <v>1152.93847</v>
      </c>
      <c r="AM26" s="328">
        <v>1186.41083</v>
      </c>
      <c r="AN26" s="328">
        <v>1287.56408</v>
      </c>
      <c r="AO26" s="328">
        <v>1366.78557</v>
      </c>
      <c r="AP26" s="328">
        <v>1395.29751</v>
      </c>
      <c r="AQ26" s="328">
        <v>1420.82895</v>
      </c>
      <c r="AR26" s="328">
        <v>1486.35413</v>
      </c>
      <c r="AS26" s="328">
        <v>1485.73302</v>
      </c>
      <c r="AT26" s="328">
        <v>1515.88309</v>
      </c>
      <c r="AU26" s="328">
        <v>1597.81812</v>
      </c>
      <c r="AV26" s="328">
        <v>1648.98481</v>
      </c>
      <c r="AW26" s="328">
        <v>1709.89248</v>
      </c>
      <c r="AX26" s="328">
        <v>1766.09268</v>
      </c>
      <c r="AY26" s="328">
        <v>1900.35033</v>
      </c>
      <c r="AZ26" s="328">
        <v>2000.65649</v>
      </c>
      <c r="BA26" s="328">
        <v>2112.15396</v>
      </c>
      <c r="BB26" s="328">
        <v>2190.99032</v>
      </c>
      <c r="BC26" s="328">
        <v>2248.01182</v>
      </c>
      <c r="BD26" s="328">
        <v>2388.67663</v>
      </c>
      <c r="BE26" s="328">
        <v>2409.59573</v>
      </c>
      <c r="BF26" s="328">
        <v>2425.24428</v>
      </c>
      <c r="BG26" s="328">
        <v>2474.51519</v>
      </c>
      <c r="BH26" s="328">
        <v>2523.65718</v>
      </c>
      <c r="BI26" s="328">
        <v>2557.57984</v>
      </c>
      <c r="BJ26" s="328">
        <v>2547.03649</v>
      </c>
      <c r="BK26" s="328">
        <v>2617.0553</v>
      </c>
      <c r="BL26" s="328">
        <v>2692.5759</v>
      </c>
      <c r="BM26" s="328">
        <v>2681.17778</v>
      </c>
      <c r="BN26" s="328">
        <v>2688.26684</v>
      </c>
      <c r="BO26" s="328">
        <v>2728.54706</v>
      </c>
      <c r="BP26" s="328">
        <v>2792.53341</v>
      </c>
      <c r="BQ26" s="83"/>
      <c r="BR26" s="329"/>
    </row>
    <row r="29">
      <c r="A29" s="50" t="s">
        <v>403</v>
      </c>
      <c r="B29" s="52"/>
      <c r="C29" s="52"/>
      <c r="D29" s="5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row>
    <row r="30">
      <c r="A30" s="198" t="s">
        <v>404</v>
      </c>
    </row>
    <row r="31">
      <c r="A31" s="323" t="s">
        <v>387</v>
      </c>
      <c r="B31" s="53" t="s">
        <v>405</v>
      </c>
      <c r="C31" s="53" t="s">
        <v>406</v>
      </c>
    </row>
    <row r="32">
      <c r="A32" s="323" t="s">
        <v>74</v>
      </c>
      <c r="B32" s="25">
        <v>2015.0</v>
      </c>
      <c r="C32" s="83">
        <v>0.45399999999999996</v>
      </c>
    </row>
    <row r="33">
      <c r="A33" s="323" t="s">
        <v>75</v>
      </c>
      <c r="B33" s="25">
        <v>2019.0</v>
      </c>
      <c r="C33" s="83">
        <v>0.7829999999999999</v>
      </c>
    </row>
    <row r="34">
      <c r="A34" s="323" t="s">
        <v>76</v>
      </c>
      <c r="B34" s="25"/>
      <c r="C34" s="330"/>
    </row>
    <row r="35">
      <c r="A35" s="323" t="s">
        <v>77</v>
      </c>
      <c r="B35" s="25">
        <v>2016.0</v>
      </c>
      <c r="C35" s="83">
        <v>0.574</v>
      </c>
    </row>
    <row r="36">
      <c r="A36" s="323" t="s">
        <v>78</v>
      </c>
      <c r="B36" s="25">
        <v>2019.0</v>
      </c>
      <c r="C36" s="83">
        <v>0.523</v>
      </c>
    </row>
    <row r="38">
      <c r="A38" s="50" t="s">
        <v>407</v>
      </c>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row>
    <row r="39">
      <c r="A39" s="198" t="s">
        <v>408</v>
      </c>
    </row>
    <row r="40">
      <c r="A40" s="323" t="s">
        <v>387</v>
      </c>
      <c r="B40" s="53" t="s">
        <v>409</v>
      </c>
      <c r="C40" s="53" t="s">
        <v>410</v>
      </c>
    </row>
    <row r="41">
      <c r="A41" s="323" t="s">
        <v>74</v>
      </c>
      <c r="B41" s="25">
        <v>2022.0</v>
      </c>
      <c r="C41" s="330">
        <v>0.194</v>
      </c>
    </row>
    <row r="42">
      <c r="A42" s="323" t="s">
        <v>75</v>
      </c>
      <c r="B42" s="25">
        <v>2022.0</v>
      </c>
      <c r="C42" s="330">
        <v>0.37</v>
      </c>
    </row>
    <row r="43">
      <c r="A43" s="323" t="s">
        <v>76</v>
      </c>
      <c r="B43" s="25">
        <v>2022.0</v>
      </c>
      <c r="C43" s="330">
        <v>0.378</v>
      </c>
    </row>
    <row r="44">
      <c r="A44" s="323" t="s">
        <v>77</v>
      </c>
      <c r="B44" s="25">
        <v>2022.0</v>
      </c>
      <c r="C44" s="330">
        <v>0.326</v>
      </c>
    </row>
    <row r="45">
      <c r="A45" s="323" t="s">
        <v>78</v>
      </c>
      <c r="B45" s="25">
        <v>2022.0</v>
      </c>
      <c r="C45" s="330">
        <v>0.279</v>
      </c>
    </row>
    <row r="47">
      <c r="A47" s="50" t="s">
        <v>411</v>
      </c>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c r="BK47" s="52"/>
      <c r="BL47" s="52"/>
      <c r="BM47" s="52"/>
      <c r="BN47" s="52"/>
      <c r="BO47" s="52"/>
      <c r="BP47" s="52"/>
      <c r="BQ47" s="52"/>
      <c r="BR47" s="52"/>
      <c r="BS47" s="52"/>
      <c r="BT47" s="52"/>
    </row>
    <row r="48">
      <c r="A48" s="331" t="s">
        <v>412</v>
      </c>
      <c r="B48" s="321"/>
      <c r="C48" s="321"/>
      <c r="D48" s="321"/>
      <c r="E48" s="322"/>
      <c r="F48" s="322"/>
      <c r="G48" s="322"/>
      <c r="H48" s="322"/>
      <c r="I48" s="322"/>
      <c r="J48" s="322"/>
      <c r="K48" s="322"/>
      <c r="L48" s="322"/>
      <c r="M48" s="322"/>
      <c r="N48" s="322"/>
      <c r="O48" s="322"/>
      <c r="P48" s="322"/>
      <c r="Q48" s="322"/>
      <c r="R48" s="322"/>
      <c r="S48" s="322"/>
      <c r="T48" s="322"/>
      <c r="U48" s="322"/>
      <c r="V48" s="322"/>
      <c r="W48" s="322"/>
      <c r="X48" s="322"/>
      <c r="Y48" s="322"/>
      <c r="Z48" s="322"/>
      <c r="AA48" s="322"/>
      <c r="AB48" s="322"/>
      <c r="AC48" s="322"/>
      <c r="AD48" s="322"/>
      <c r="AE48" s="322"/>
      <c r="AF48" s="322"/>
      <c r="AG48" s="322"/>
      <c r="AH48" s="322"/>
      <c r="AI48" s="322"/>
      <c r="AJ48" s="322"/>
      <c r="AK48" s="322"/>
      <c r="AL48" s="322"/>
      <c r="AM48" s="322"/>
      <c r="AN48" s="322"/>
      <c r="AO48" s="322"/>
      <c r="AP48" s="322"/>
      <c r="AQ48" s="322"/>
      <c r="AR48" s="322"/>
      <c r="AS48" s="322"/>
      <c r="AT48" s="322"/>
      <c r="AU48" s="322"/>
      <c r="AV48" s="322"/>
      <c r="AW48" s="322"/>
      <c r="AX48" s="322"/>
      <c r="AY48" s="322"/>
      <c r="AZ48" s="322"/>
      <c r="BA48" s="322"/>
      <c r="BB48" s="322"/>
      <c r="BC48" s="322"/>
      <c r="BD48" s="322"/>
      <c r="BE48" s="322"/>
      <c r="BF48" s="322"/>
      <c r="BG48" s="322"/>
      <c r="BH48" s="322"/>
      <c r="BI48" s="322"/>
      <c r="BJ48" s="322"/>
      <c r="BK48" s="322"/>
      <c r="BL48" s="322"/>
      <c r="BM48" s="322"/>
      <c r="BN48" s="322"/>
    </row>
    <row r="49">
      <c r="A49" s="321" t="s">
        <v>387</v>
      </c>
      <c r="B49" s="321" t="s">
        <v>388</v>
      </c>
      <c r="C49" s="321" t="s">
        <v>389</v>
      </c>
      <c r="D49" s="321" t="s">
        <v>390</v>
      </c>
      <c r="E49" s="322">
        <v>1960.0</v>
      </c>
      <c r="F49" s="322">
        <v>1961.0</v>
      </c>
      <c r="G49" s="322">
        <v>1962.0</v>
      </c>
      <c r="H49" s="322">
        <v>1963.0</v>
      </c>
      <c r="I49" s="322">
        <v>1964.0</v>
      </c>
      <c r="J49" s="322">
        <v>1965.0</v>
      </c>
      <c r="K49" s="322">
        <v>1966.0</v>
      </c>
      <c r="L49" s="322">
        <v>1967.0</v>
      </c>
      <c r="M49" s="322">
        <v>1968.0</v>
      </c>
      <c r="N49" s="322">
        <v>1969.0</v>
      </c>
      <c r="O49" s="322">
        <v>1970.0</v>
      </c>
      <c r="P49" s="322">
        <v>1971.0</v>
      </c>
      <c r="Q49" s="322">
        <v>1972.0</v>
      </c>
      <c r="R49" s="322">
        <v>1973.0</v>
      </c>
      <c r="S49" s="322">
        <v>1974.0</v>
      </c>
      <c r="T49" s="322">
        <v>1975.0</v>
      </c>
      <c r="U49" s="322">
        <v>1976.0</v>
      </c>
      <c r="V49" s="322">
        <v>1977.0</v>
      </c>
      <c r="W49" s="322">
        <v>1978.0</v>
      </c>
      <c r="X49" s="322">
        <v>1979.0</v>
      </c>
      <c r="Y49" s="322">
        <v>1980.0</v>
      </c>
      <c r="Z49" s="322">
        <v>1981.0</v>
      </c>
      <c r="AA49" s="322">
        <v>1982.0</v>
      </c>
      <c r="AB49" s="322">
        <v>1983.0</v>
      </c>
      <c r="AC49" s="322">
        <v>1984.0</v>
      </c>
      <c r="AD49" s="322">
        <v>1985.0</v>
      </c>
      <c r="AE49" s="322">
        <v>1986.0</v>
      </c>
      <c r="AF49" s="322">
        <v>1987.0</v>
      </c>
      <c r="AG49" s="322">
        <v>1988.0</v>
      </c>
      <c r="AH49" s="322">
        <v>1989.0</v>
      </c>
      <c r="AI49" s="322">
        <v>1990.0</v>
      </c>
      <c r="AJ49" s="322">
        <v>1991.0</v>
      </c>
      <c r="AK49" s="322">
        <v>1992.0</v>
      </c>
      <c r="AL49" s="322">
        <v>1993.0</v>
      </c>
      <c r="AM49" s="322">
        <v>1994.0</v>
      </c>
      <c r="AN49" s="322">
        <v>1995.0</v>
      </c>
      <c r="AO49" s="322">
        <v>1996.0</v>
      </c>
      <c r="AP49" s="322">
        <v>1997.0</v>
      </c>
      <c r="AQ49" s="322">
        <v>1998.0</v>
      </c>
      <c r="AR49" s="322">
        <v>1999.0</v>
      </c>
      <c r="AS49" s="322">
        <v>2000.0</v>
      </c>
      <c r="AT49" s="322">
        <v>2001.0</v>
      </c>
      <c r="AU49" s="322">
        <v>2002.0</v>
      </c>
      <c r="AV49" s="322">
        <v>2003.0</v>
      </c>
      <c r="AW49" s="322">
        <v>2004.0</v>
      </c>
      <c r="AX49" s="322">
        <v>2005.0</v>
      </c>
      <c r="AY49" s="322">
        <v>2006.0</v>
      </c>
      <c r="AZ49" s="322">
        <v>2007.0</v>
      </c>
      <c r="BA49" s="322">
        <v>2008.0</v>
      </c>
      <c r="BB49" s="322">
        <v>2009.0</v>
      </c>
      <c r="BC49" s="322">
        <v>2010.0</v>
      </c>
      <c r="BD49" s="322">
        <v>2011.0</v>
      </c>
      <c r="BE49" s="322">
        <v>2012.0</v>
      </c>
      <c r="BF49" s="322">
        <v>2013.0</v>
      </c>
      <c r="BG49" s="322">
        <v>2014.0</v>
      </c>
      <c r="BH49" s="322">
        <v>2015.0</v>
      </c>
      <c r="BI49" s="322">
        <v>2016.0</v>
      </c>
      <c r="BJ49" s="322">
        <v>2017.0</v>
      </c>
      <c r="BK49" s="322">
        <v>2018.0</v>
      </c>
      <c r="BL49" s="322">
        <v>2019.0</v>
      </c>
      <c r="BM49" s="322">
        <v>2020.0</v>
      </c>
      <c r="BN49" s="322">
        <v>2021.0</v>
      </c>
    </row>
    <row r="50">
      <c r="A50" s="321" t="s">
        <v>74</v>
      </c>
      <c r="B50" s="321" t="s">
        <v>391</v>
      </c>
      <c r="C50" s="321" t="s">
        <v>413</v>
      </c>
      <c r="D50" s="321" t="s">
        <v>414</v>
      </c>
      <c r="F50" s="322">
        <v>14.1397</v>
      </c>
      <c r="G50" s="322">
        <v>14.69512</v>
      </c>
      <c r="H50" s="322">
        <v>15.2813</v>
      </c>
      <c r="I50" s="322">
        <v>15.89659</v>
      </c>
      <c r="J50" s="322">
        <v>16.54638</v>
      </c>
      <c r="K50" s="322">
        <v>17.22354</v>
      </c>
      <c r="L50" s="322">
        <v>17.92365</v>
      </c>
      <c r="M50" s="322">
        <v>18.64897</v>
      </c>
      <c r="N50" s="322">
        <v>19.3969</v>
      </c>
      <c r="O50" s="322">
        <v>20.15864</v>
      </c>
      <c r="P50" s="322">
        <v>20.90603</v>
      </c>
      <c r="Q50" s="322">
        <v>21.6518</v>
      </c>
      <c r="R50" s="322">
        <v>22.4205</v>
      </c>
      <c r="S50" s="322">
        <v>23.19983</v>
      </c>
      <c r="T50" s="322">
        <v>23.98691</v>
      </c>
      <c r="U50" s="322">
        <v>24.77821</v>
      </c>
      <c r="V50" s="322">
        <v>25.61294</v>
      </c>
      <c r="W50" s="322">
        <v>26.50916</v>
      </c>
      <c r="X50" s="322">
        <v>27.44599</v>
      </c>
      <c r="Y50" s="322">
        <v>28.44137</v>
      </c>
      <c r="Z50" s="322">
        <v>29.49356</v>
      </c>
      <c r="AA50" s="322">
        <v>30.59263</v>
      </c>
      <c r="AB50" s="322">
        <v>31.74871</v>
      </c>
      <c r="AC50" s="322">
        <v>32.95002</v>
      </c>
      <c r="AD50" s="322">
        <v>34.17817</v>
      </c>
      <c r="AE50" s="322">
        <v>35.42341</v>
      </c>
      <c r="AF50" s="322">
        <v>36.69061</v>
      </c>
      <c r="AG50" s="322">
        <v>37.9979</v>
      </c>
      <c r="AH50" s="322">
        <v>39.3362</v>
      </c>
      <c r="AI50" s="322">
        <v>40.69696</v>
      </c>
      <c r="AJ50" s="322">
        <v>42.02522</v>
      </c>
      <c r="AK50" s="322">
        <v>43.32102</v>
      </c>
      <c r="AL50" s="322">
        <v>44.61438</v>
      </c>
      <c r="AM50" s="322">
        <v>45.91795</v>
      </c>
      <c r="AN50" s="322">
        <v>47.22625</v>
      </c>
      <c r="AO50" s="322">
        <v>48.52187</v>
      </c>
      <c r="AP50" s="322">
        <v>49.83706</v>
      </c>
      <c r="AQ50" s="322">
        <v>51.19544</v>
      </c>
      <c r="AR50" s="322">
        <v>52.64984</v>
      </c>
      <c r="AS50" s="322">
        <v>54.20741</v>
      </c>
      <c r="AT50" s="322">
        <v>55.87438</v>
      </c>
      <c r="AU50" s="322">
        <v>57.59536</v>
      </c>
      <c r="AV50" s="322">
        <v>59.33008</v>
      </c>
      <c r="AW50" s="322">
        <v>61.13054</v>
      </c>
      <c r="AX50" s="322">
        <v>62.97749</v>
      </c>
      <c r="AY50" s="322">
        <v>64.87903</v>
      </c>
      <c r="AZ50" s="322">
        <v>66.83205</v>
      </c>
      <c r="BA50" s="322">
        <v>68.85282</v>
      </c>
      <c r="BB50" s="322">
        <v>70.92182</v>
      </c>
      <c r="BC50" s="322">
        <v>72.94847</v>
      </c>
      <c r="BD50" s="322">
        <v>74.91152</v>
      </c>
      <c r="BE50" s="322">
        <v>76.82786</v>
      </c>
      <c r="BF50" s="322">
        <v>78.70184</v>
      </c>
      <c r="BG50" s="322">
        <v>80.52828</v>
      </c>
      <c r="BH50" s="322">
        <v>82.31979</v>
      </c>
      <c r="BI50" s="322">
        <v>84.1527</v>
      </c>
      <c r="BJ50" s="322">
        <v>86.00368</v>
      </c>
      <c r="BK50" s="322">
        <v>87.7698</v>
      </c>
      <c r="BL50" s="322">
        <v>89.52358</v>
      </c>
      <c r="BM50" s="322">
        <v>91.34094</v>
      </c>
      <c r="BN50" s="322">
        <v>93.13282</v>
      </c>
    </row>
    <row r="51">
      <c r="A51" s="321" t="s">
        <v>76</v>
      </c>
      <c r="B51" s="321" t="s">
        <v>393</v>
      </c>
      <c r="C51" s="321" t="s">
        <v>413</v>
      </c>
      <c r="D51" s="321" t="s">
        <v>414</v>
      </c>
      <c r="F51" s="322">
        <v>8.796664</v>
      </c>
      <c r="G51" s="322">
        <v>8.978326</v>
      </c>
      <c r="H51" s="322">
        <v>9.16835</v>
      </c>
      <c r="I51" s="322">
        <v>9.36397</v>
      </c>
      <c r="J51" s="322">
        <v>9.568089</v>
      </c>
      <c r="K51" s="322">
        <v>9.778533</v>
      </c>
      <c r="L51" s="322">
        <v>9.994495</v>
      </c>
      <c r="M51" s="322">
        <v>10.21838</v>
      </c>
      <c r="N51" s="322">
        <v>10.45033</v>
      </c>
      <c r="O51" s="322">
        <v>10.69671</v>
      </c>
      <c r="P51" s="322">
        <v>10.9653</v>
      </c>
      <c r="Q51" s="322">
        <v>11.26756</v>
      </c>
      <c r="R51" s="322">
        <v>11.60211</v>
      </c>
      <c r="S51" s="322">
        <v>11.95888</v>
      </c>
      <c r="T51" s="322">
        <v>12.33975</v>
      </c>
      <c r="U51" s="322">
        <v>12.74093</v>
      </c>
      <c r="V51" s="322">
        <v>13.17884</v>
      </c>
      <c r="W51" s="322">
        <v>13.65895</v>
      </c>
      <c r="X51" s="322">
        <v>14.15072</v>
      </c>
      <c r="Y51" s="322">
        <v>14.51409</v>
      </c>
      <c r="Z51" s="322">
        <v>14.80202</v>
      </c>
      <c r="AA51" s="322">
        <v>15.13496</v>
      </c>
      <c r="AB51" s="322">
        <v>15.46749</v>
      </c>
      <c r="AC51" s="322">
        <v>15.8018</v>
      </c>
      <c r="AD51" s="322">
        <v>16.1246</v>
      </c>
      <c r="AE51" s="322">
        <v>16.41674</v>
      </c>
      <c r="AF51" s="322">
        <v>16.48668</v>
      </c>
      <c r="AG51" s="322">
        <v>16.47648</v>
      </c>
      <c r="AH51" s="322">
        <v>16.64285</v>
      </c>
      <c r="AI51" s="322">
        <v>16.91734</v>
      </c>
      <c r="AJ51" s="322">
        <v>17.24507</v>
      </c>
      <c r="AK51" s="322">
        <v>17.57023</v>
      </c>
      <c r="AL51" s="322">
        <v>18.06538</v>
      </c>
      <c r="AM51" s="322">
        <v>18.96395</v>
      </c>
      <c r="AN51" s="322">
        <v>19.83116</v>
      </c>
      <c r="AO51" s="322">
        <v>20.44756</v>
      </c>
      <c r="AP51" s="322">
        <v>21.00985</v>
      </c>
      <c r="AQ51" s="322">
        <v>21.52038</v>
      </c>
      <c r="AR51" s="322">
        <v>22.04773</v>
      </c>
      <c r="AS51" s="322">
        <v>22.59532</v>
      </c>
      <c r="AT51" s="322">
        <v>23.17037</v>
      </c>
      <c r="AU51" s="322">
        <v>23.77343</v>
      </c>
      <c r="AV51" s="322">
        <v>24.39883</v>
      </c>
      <c r="AW51" s="322">
        <v>25.04439</v>
      </c>
      <c r="AX51" s="322">
        <v>25.70146</v>
      </c>
      <c r="AY51" s="322">
        <v>26.36891</v>
      </c>
      <c r="AZ51" s="322">
        <v>27.06136</v>
      </c>
      <c r="BA51" s="322">
        <v>27.77992</v>
      </c>
      <c r="BB51" s="322">
        <v>28.53158</v>
      </c>
      <c r="BC51" s="322">
        <v>29.3417</v>
      </c>
      <c r="BD51" s="322">
        <v>30.21494</v>
      </c>
      <c r="BE51" s="322">
        <v>31.13967</v>
      </c>
      <c r="BF51" s="322">
        <v>32.11136</v>
      </c>
      <c r="BG51" s="322">
        <v>33.11211</v>
      </c>
      <c r="BH51" s="322">
        <v>34.13521</v>
      </c>
      <c r="BI51" s="322">
        <v>35.22024</v>
      </c>
      <c r="BJ51" s="322">
        <v>36.33033</v>
      </c>
      <c r="BK51" s="322">
        <v>37.41687</v>
      </c>
      <c r="BL51" s="322">
        <v>38.51267</v>
      </c>
      <c r="BM51" s="322">
        <v>39.6478</v>
      </c>
      <c r="BN51" s="322">
        <v>40.7908</v>
      </c>
    </row>
    <row r="52">
      <c r="A52" s="321" t="s">
        <v>75</v>
      </c>
      <c r="B52" s="321" t="s">
        <v>394</v>
      </c>
      <c r="C52" s="321" t="s">
        <v>413</v>
      </c>
      <c r="D52" s="321" t="s">
        <v>414</v>
      </c>
      <c r="F52" s="322">
        <v>39.3317</v>
      </c>
      <c r="G52" s="322">
        <v>40.29651</v>
      </c>
      <c r="H52" s="322">
        <v>41.29856</v>
      </c>
      <c r="I52" s="322">
        <v>42.32458</v>
      </c>
      <c r="J52" s="322">
        <v>43.37184</v>
      </c>
      <c r="K52" s="322">
        <v>44.45019</v>
      </c>
      <c r="L52" s="322">
        <v>45.56387</v>
      </c>
      <c r="M52" s="322">
        <v>46.70588</v>
      </c>
      <c r="N52" s="322">
        <v>47.86658</v>
      </c>
      <c r="O52" s="322">
        <v>49.0575</v>
      </c>
      <c r="P52" s="322">
        <v>50.30208</v>
      </c>
      <c r="Q52" s="322">
        <v>51.61199</v>
      </c>
      <c r="R52" s="322">
        <v>52.99363</v>
      </c>
      <c r="S52" s="322">
        <v>54.45693</v>
      </c>
      <c r="T52" s="322">
        <v>56.01363</v>
      </c>
      <c r="U52" s="322">
        <v>57.68165</v>
      </c>
      <c r="V52" s="322">
        <v>59.52176</v>
      </c>
      <c r="W52" s="322">
        <v>61.61232</v>
      </c>
      <c r="X52" s="322">
        <v>63.9493</v>
      </c>
      <c r="Y52" s="322">
        <v>66.47612</v>
      </c>
      <c r="Z52" s="322">
        <v>69.15455</v>
      </c>
      <c r="AA52" s="322">
        <v>71.95956</v>
      </c>
      <c r="AB52" s="322">
        <v>74.86548</v>
      </c>
      <c r="AC52" s="322">
        <v>77.84262</v>
      </c>
      <c r="AD52" s="322">
        <v>80.87694</v>
      </c>
      <c r="AE52" s="322">
        <v>83.8971</v>
      </c>
      <c r="AF52" s="322">
        <v>87.99314</v>
      </c>
      <c r="AG52" s="322">
        <v>92.85937</v>
      </c>
      <c r="AH52" s="322">
        <v>97.31539</v>
      </c>
      <c r="AI52" s="322">
        <v>101.1844</v>
      </c>
      <c r="AJ52" s="322">
        <v>104.2807</v>
      </c>
      <c r="AK52" s="322">
        <v>107.2913</v>
      </c>
      <c r="AL52" s="322">
        <v>108.7954</v>
      </c>
      <c r="AM52" s="322">
        <v>107.465</v>
      </c>
      <c r="AN52" s="322">
        <v>107.2636</v>
      </c>
      <c r="AO52" s="322">
        <v>109.3607</v>
      </c>
      <c r="AP52" s="322">
        <v>111.5049</v>
      </c>
      <c r="AQ52" s="322">
        <v>113.836</v>
      </c>
      <c r="AR52" s="322">
        <v>116.3975</v>
      </c>
      <c r="AS52" s="322">
        <v>119.1068</v>
      </c>
      <c r="AT52" s="322">
        <v>121.9646</v>
      </c>
      <c r="AU52" s="322">
        <v>124.9947</v>
      </c>
      <c r="AV52" s="322">
        <v>128.2135</v>
      </c>
      <c r="AW52" s="322">
        <v>131.6434</v>
      </c>
      <c r="AX52" s="322">
        <v>135.2954</v>
      </c>
      <c r="AY52" s="322">
        <v>139.142</v>
      </c>
      <c r="AZ52" s="322">
        <v>143.1424</v>
      </c>
      <c r="BA52" s="322">
        <v>147.321</v>
      </c>
      <c r="BB52" s="322">
        <v>151.6645</v>
      </c>
      <c r="BC52" s="322">
        <v>156.1139</v>
      </c>
      <c r="BD52" s="322">
        <v>160.6501</v>
      </c>
      <c r="BE52" s="322">
        <v>165.2657</v>
      </c>
      <c r="BF52" s="322">
        <v>169.97</v>
      </c>
      <c r="BG52" s="322">
        <v>174.7769</v>
      </c>
      <c r="BH52" s="322">
        <v>179.6663</v>
      </c>
      <c r="BI52" s="322">
        <v>184.6163</v>
      </c>
      <c r="BJ52" s="322">
        <v>189.6602</v>
      </c>
      <c r="BK52" s="322">
        <v>194.8227</v>
      </c>
      <c r="BL52" s="322">
        <v>200.1202</v>
      </c>
      <c r="BM52" s="322">
        <v>205.5267</v>
      </c>
      <c r="BN52" s="322">
        <v>210.9646</v>
      </c>
    </row>
    <row r="53">
      <c r="A53" s="321" t="s">
        <v>77</v>
      </c>
      <c r="B53" s="321" t="s">
        <v>395</v>
      </c>
      <c r="C53" s="321" t="s">
        <v>413</v>
      </c>
      <c r="D53" s="321" t="s">
        <v>414</v>
      </c>
      <c r="F53" s="322">
        <v>123.4963</v>
      </c>
      <c r="G53" s="322">
        <v>126.5555</v>
      </c>
      <c r="H53" s="322">
        <v>129.36</v>
      </c>
      <c r="I53" s="322">
        <v>132.2919</v>
      </c>
      <c r="J53" s="322">
        <v>135.737</v>
      </c>
      <c r="K53" s="322">
        <v>139.6036</v>
      </c>
      <c r="L53" s="322">
        <v>143.8776</v>
      </c>
      <c r="M53" s="322">
        <v>148.4398</v>
      </c>
      <c r="N53" s="322">
        <v>153.1366</v>
      </c>
      <c r="O53" s="322">
        <v>157.9395</v>
      </c>
      <c r="P53" s="322">
        <v>162.7646</v>
      </c>
      <c r="Q53" s="322">
        <v>167.636</v>
      </c>
      <c r="R53" s="322">
        <v>172.6585</v>
      </c>
      <c r="S53" s="322">
        <v>177.8017</v>
      </c>
      <c r="T53" s="322">
        <v>183.0465</v>
      </c>
      <c r="U53" s="322">
        <v>188.4154</v>
      </c>
      <c r="V53" s="322">
        <v>193.8894</v>
      </c>
      <c r="W53" s="322">
        <v>199.5117</v>
      </c>
      <c r="X53" s="322">
        <v>205.6901</v>
      </c>
      <c r="Y53" s="322">
        <v>212.709</v>
      </c>
      <c r="Z53" s="322">
        <v>220.5904</v>
      </c>
      <c r="AA53" s="322">
        <v>229.1407</v>
      </c>
      <c r="AB53" s="322">
        <v>237.511</v>
      </c>
      <c r="AC53" s="322">
        <v>245.5099</v>
      </c>
      <c r="AD53" s="322">
        <v>254.0232</v>
      </c>
      <c r="AE53" s="322">
        <v>263.3889</v>
      </c>
      <c r="AF53" s="322">
        <v>273.0373</v>
      </c>
      <c r="AG53" s="322">
        <v>281.8798</v>
      </c>
      <c r="AH53" s="322">
        <v>289.5004</v>
      </c>
      <c r="AI53" s="322">
        <v>296.7151</v>
      </c>
      <c r="AJ53" s="322">
        <v>303.4325</v>
      </c>
      <c r="AK53" s="322">
        <v>310.3854</v>
      </c>
      <c r="AL53" s="322">
        <v>320.4191</v>
      </c>
      <c r="AM53" s="322">
        <v>272.909</v>
      </c>
      <c r="AN53" s="322">
        <v>230.5187</v>
      </c>
      <c r="AO53" s="322">
        <v>272.2136</v>
      </c>
      <c r="AP53" s="322">
        <v>310.7715</v>
      </c>
      <c r="AQ53" s="322">
        <v>320.8206</v>
      </c>
      <c r="AR53" s="322">
        <v>324.6691</v>
      </c>
      <c r="AS53" s="322">
        <v>328.7389</v>
      </c>
      <c r="AT53" s="322">
        <v>333.358</v>
      </c>
      <c r="AU53" s="322">
        <v>339.3719</v>
      </c>
      <c r="AV53" s="322">
        <v>347.3041</v>
      </c>
      <c r="AW53" s="322">
        <v>356.3783</v>
      </c>
      <c r="AX53" s="322">
        <v>365.8816</v>
      </c>
      <c r="AY53" s="322">
        <v>375.7627</v>
      </c>
      <c r="AZ53" s="322">
        <v>386.0222</v>
      </c>
      <c r="BA53" s="322">
        <v>396.5138</v>
      </c>
      <c r="BB53" s="322">
        <v>407.1235</v>
      </c>
      <c r="BC53" s="322">
        <v>417.8772</v>
      </c>
      <c r="BD53" s="322">
        <v>428.7366</v>
      </c>
      <c r="BE53" s="322">
        <v>439.4136</v>
      </c>
      <c r="BF53" s="322">
        <v>449.9939</v>
      </c>
      <c r="BG53" s="322">
        <v>460.8209</v>
      </c>
      <c r="BH53" s="322">
        <v>471.9481</v>
      </c>
      <c r="BI53" s="322">
        <v>483.6197</v>
      </c>
      <c r="BJ53" s="322">
        <v>495.7576</v>
      </c>
      <c r="BK53" s="322">
        <v>507.9776</v>
      </c>
      <c r="BL53" s="322">
        <v>520.2687</v>
      </c>
      <c r="BM53" s="322">
        <v>532.8886</v>
      </c>
      <c r="BN53" s="322">
        <v>545.6785</v>
      </c>
    </row>
    <row r="54">
      <c r="A54" s="321" t="s">
        <v>78</v>
      </c>
      <c r="B54" s="321" t="s">
        <v>396</v>
      </c>
      <c r="C54" s="321" t="s">
        <v>413</v>
      </c>
      <c r="D54" s="321" t="s">
        <v>414</v>
      </c>
      <c r="F54" s="322">
        <v>39.22947</v>
      </c>
      <c r="G54" s="322">
        <v>40.3825</v>
      </c>
      <c r="H54" s="322">
        <v>41.59458</v>
      </c>
      <c r="I54" s="322">
        <v>42.8645</v>
      </c>
      <c r="J54" s="322">
        <v>44.18726</v>
      </c>
      <c r="K54" s="322">
        <v>45.567</v>
      </c>
      <c r="L54" s="322">
        <v>47.01182</v>
      </c>
      <c r="M54" s="322">
        <v>48.52795</v>
      </c>
      <c r="N54" s="322">
        <v>50.08021</v>
      </c>
      <c r="O54" s="322">
        <v>51.63511</v>
      </c>
      <c r="P54" s="322">
        <v>53.13217</v>
      </c>
      <c r="Q54" s="322">
        <v>54.47957</v>
      </c>
      <c r="R54" s="322">
        <v>55.78349</v>
      </c>
      <c r="S54" s="322">
        <v>57.19772</v>
      </c>
      <c r="T54" s="322">
        <v>58.71057</v>
      </c>
      <c r="U54" s="322">
        <v>60.2834</v>
      </c>
      <c r="V54" s="322">
        <v>61.90507</v>
      </c>
      <c r="W54" s="322">
        <v>63.57039</v>
      </c>
      <c r="X54" s="322">
        <v>65.11942</v>
      </c>
      <c r="Y54" s="322">
        <v>66.48329</v>
      </c>
      <c r="Z54" s="322">
        <v>67.88228</v>
      </c>
      <c r="AA54" s="322">
        <v>69.46625</v>
      </c>
      <c r="AB54" s="322">
        <v>71.21231</v>
      </c>
      <c r="AC54" s="322">
        <v>73.15922</v>
      </c>
      <c r="AD54" s="322">
        <v>75.26608</v>
      </c>
      <c r="AE54" s="322">
        <v>77.50767</v>
      </c>
      <c r="AF54" s="322">
        <v>79.94703</v>
      </c>
      <c r="AG54" s="322">
        <v>82.52501</v>
      </c>
      <c r="AH54" s="322">
        <v>85.22368</v>
      </c>
      <c r="AI54" s="322">
        <v>88.01677</v>
      </c>
      <c r="AJ54" s="322">
        <v>90.94607</v>
      </c>
      <c r="AK54" s="322">
        <v>94.09922</v>
      </c>
      <c r="AL54" s="322">
        <v>97.40733</v>
      </c>
      <c r="AM54" s="322">
        <v>100.7208</v>
      </c>
      <c r="AN54" s="322">
        <v>103.5025</v>
      </c>
      <c r="AO54" s="322">
        <v>106.3489</v>
      </c>
      <c r="AP54" s="322">
        <v>109.4887</v>
      </c>
      <c r="AQ54" s="322">
        <v>112.7954</v>
      </c>
      <c r="AR54" s="322">
        <v>116.5069</v>
      </c>
      <c r="AS54" s="322">
        <v>120.2177</v>
      </c>
      <c r="AT54" s="322">
        <v>123.9344</v>
      </c>
      <c r="AU54" s="322">
        <v>127.8469</v>
      </c>
      <c r="AV54" s="322">
        <v>131.899</v>
      </c>
      <c r="AW54" s="322">
        <v>135.8595</v>
      </c>
      <c r="AX54" s="322">
        <v>139.8658</v>
      </c>
      <c r="AY54" s="322">
        <v>144.0029</v>
      </c>
      <c r="AZ54" s="322">
        <v>148.2899</v>
      </c>
      <c r="BA54" s="322">
        <v>152.6944</v>
      </c>
      <c r="BB54" s="322">
        <v>157.212</v>
      </c>
      <c r="BC54" s="322">
        <v>161.2893</v>
      </c>
      <c r="BD54" s="322">
        <v>166.047</v>
      </c>
      <c r="BE54" s="322">
        <v>170.9221</v>
      </c>
      <c r="BF54" s="322">
        <v>175.9105</v>
      </c>
      <c r="BG54" s="322">
        <v>181.2115</v>
      </c>
      <c r="BH54" s="322">
        <v>186.9008</v>
      </c>
      <c r="BI54" s="322">
        <v>193.2391</v>
      </c>
      <c r="BJ54" s="322">
        <v>200.1151</v>
      </c>
      <c r="BK54" s="322">
        <v>207.0387</v>
      </c>
      <c r="BL54" s="322">
        <v>214.1885</v>
      </c>
      <c r="BM54" s="322">
        <v>221.4473</v>
      </c>
      <c r="BN54" s="322">
        <v>228.6743</v>
      </c>
    </row>
    <row r="55" ht="12.75" customHeight="1"/>
    <row r="56">
      <c r="A56" s="50" t="s">
        <v>415</v>
      </c>
      <c r="B56" s="79"/>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c r="BK56" s="52"/>
      <c r="BL56" s="52"/>
      <c r="BM56" s="52"/>
      <c r="BN56" s="52"/>
      <c r="BO56" s="52"/>
      <c r="BP56" s="52"/>
      <c r="BQ56" s="52"/>
      <c r="BR56" s="52"/>
      <c r="BS56" s="52"/>
      <c r="BT56" s="52"/>
    </row>
    <row r="57" ht="12.75" customHeight="1">
      <c r="A57" s="198" t="s">
        <v>416</v>
      </c>
    </row>
    <row r="58" ht="12.75" customHeight="1">
      <c r="A58" s="53" t="s">
        <v>417</v>
      </c>
      <c r="B58" s="53" t="s">
        <v>418</v>
      </c>
    </row>
    <row r="59" ht="12.75" customHeight="1">
      <c r="A59" s="53" t="s">
        <v>419</v>
      </c>
      <c r="B59" s="87">
        <v>0.98</v>
      </c>
    </row>
    <row r="60" ht="12.75" customHeight="1">
      <c r="A60" s="53" t="s">
        <v>74</v>
      </c>
      <c r="B60" s="87">
        <v>0.7</v>
      </c>
    </row>
    <row r="61" ht="12.75" customHeight="1">
      <c r="A61" s="53" t="s">
        <v>75</v>
      </c>
      <c r="B61" s="87">
        <v>0.23</v>
      </c>
    </row>
    <row r="62" ht="12.75" customHeight="1">
      <c r="A62" s="53" t="s">
        <v>76</v>
      </c>
      <c r="B62" s="87">
        <v>0.2</v>
      </c>
    </row>
    <row r="63" ht="12.75" customHeight="1">
      <c r="A63" s="321" t="s">
        <v>77</v>
      </c>
      <c r="B63" s="87">
        <v>0.55</v>
      </c>
    </row>
    <row r="64" ht="12.75" customHeight="1">
      <c r="A64" s="321" t="s">
        <v>78</v>
      </c>
      <c r="B64" s="87">
        <v>0.53</v>
      </c>
    </row>
    <row r="65" ht="12.75" customHeight="1"/>
    <row r="66">
      <c r="A66" s="50" t="s">
        <v>420</v>
      </c>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2"/>
      <c r="BP66" s="52"/>
      <c r="BQ66" s="52"/>
      <c r="BR66" s="52"/>
      <c r="BS66" s="52"/>
      <c r="BT66" s="52"/>
    </row>
    <row r="67">
      <c r="A67" s="332" t="s">
        <v>421</v>
      </c>
    </row>
    <row r="68">
      <c r="A68" s="321" t="s">
        <v>422</v>
      </c>
      <c r="B68" s="321"/>
      <c r="C68" s="321"/>
      <c r="D68" s="321"/>
      <c r="E68" s="321"/>
      <c r="F68" s="321"/>
      <c r="G68" s="321"/>
      <c r="H68" s="321"/>
      <c r="I68" s="321"/>
      <c r="J68" s="321"/>
      <c r="K68" s="321"/>
      <c r="L68" s="321"/>
      <c r="M68" s="321"/>
      <c r="N68" s="321"/>
      <c r="O68" s="321"/>
      <c r="P68" s="321"/>
      <c r="Q68" s="321"/>
      <c r="R68" s="333"/>
      <c r="S68" s="321"/>
      <c r="T68" s="321"/>
      <c r="U68" s="321"/>
      <c r="V68" s="321"/>
      <c r="W68" s="321"/>
      <c r="X68" s="321"/>
      <c r="Y68" s="321"/>
      <c r="Z68" s="321"/>
      <c r="AA68" s="321"/>
      <c r="AB68" s="321"/>
      <c r="AC68" s="321"/>
      <c r="AD68" s="321"/>
      <c r="AE68" s="321"/>
      <c r="AF68" s="321"/>
      <c r="AG68" s="321"/>
      <c r="AH68" s="321"/>
    </row>
    <row r="69">
      <c r="A69" s="321" t="s">
        <v>423</v>
      </c>
      <c r="B69" s="321" t="s">
        <v>424</v>
      </c>
      <c r="C69" s="321" t="s">
        <v>425</v>
      </c>
      <c r="D69" s="321" t="s">
        <v>426</v>
      </c>
      <c r="E69" s="321" t="s">
        <v>427</v>
      </c>
      <c r="F69" s="321" t="s">
        <v>428</v>
      </c>
      <c r="G69" s="321" t="s">
        <v>429</v>
      </c>
      <c r="H69" s="321" t="s">
        <v>430</v>
      </c>
      <c r="I69" s="321" t="s">
        <v>431</v>
      </c>
      <c r="J69" s="321" t="s">
        <v>432</v>
      </c>
      <c r="K69" s="321" t="s">
        <v>433</v>
      </c>
      <c r="L69" s="321" t="s">
        <v>434</v>
      </c>
      <c r="M69" s="321" t="s">
        <v>435</v>
      </c>
      <c r="N69" s="321" t="s">
        <v>436</v>
      </c>
      <c r="O69" s="321" t="s">
        <v>437</v>
      </c>
      <c r="P69" s="321" t="s">
        <v>438</v>
      </c>
      <c r="Q69" s="321" t="s">
        <v>439</v>
      </c>
      <c r="R69" s="321" t="s">
        <v>440</v>
      </c>
      <c r="S69" s="321" t="s">
        <v>441</v>
      </c>
      <c r="T69" s="321" t="s">
        <v>442</v>
      </c>
      <c r="U69" s="321" t="s">
        <v>443</v>
      </c>
      <c r="V69" s="321" t="s">
        <v>444</v>
      </c>
      <c r="W69" s="321" t="s">
        <v>445</v>
      </c>
      <c r="X69" s="321" t="s">
        <v>446</v>
      </c>
      <c r="Y69" s="321" t="s">
        <v>447</v>
      </c>
      <c r="Z69" s="321" t="s">
        <v>448</v>
      </c>
      <c r="AA69" s="321" t="s">
        <v>449</v>
      </c>
      <c r="AB69" s="321" t="s">
        <v>450</v>
      </c>
      <c r="AC69" s="321" t="s">
        <v>451</v>
      </c>
      <c r="AD69" s="321" t="s">
        <v>452</v>
      </c>
      <c r="AE69" s="321" t="s">
        <v>453</v>
      </c>
      <c r="AF69" s="321" t="s">
        <v>454</v>
      </c>
      <c r="AG69" s="321" t="s">
        <v>455</v>
      </c>
      <c r="AH69" s="321" t="s">
        <v>456</v>
      </c>
      <c r="AI69" s="321" t="s">
        <v>457</v>
      </c>
      <c r="AJ69" s="321" t="s">
        <v>458</v>
      </c>
      <c r="AK69" s="321" t="s">
        <v>459</v>
      </c>
      <c r="AL69" s="321" t="s">
        <v>460</v>
      </c>
      <c r="AM69" s="321" t="s">
        <v>461</v>
      </c>
      <c r="AN69" s="321" t="s">
        <v>462</v>
      </c>
      <c r="AO69" s="321" t="s">
        <v>463</v>
      </c>
      <c r="AP69" s="321" t="s">
        <v>464</v>
      </c>
    </row>
    <row r="70">
      <c r="A70" s="321" t="s">
        <v>465</v>
      </c>
      <c r="B70" s="321" t="s">
        <v>466</v>
      </c>
      <c r="C70" s="321" t="s">
        <v>467</v>
      </c>
      <c r="D70" s="321" t="s">
        <v>468</v>
      </c>
      <c r="E70" s="322">
        <v>2018.0</v>
      </c>
      <c r="F70" s="321" t="s">
        <v>469</v>
      </c>
      <c r="G70" s="321" t="s">
        <v>470</v>
      </c>
      <c r="H70" s="321" t="s">
        <v>469</v>
      </c>
      <c r="I70" s="322">
        <v>2018.17</v>
      </c>
      <c r="J70" s="321" t="s">
        <v>471</v>
      </c>
      <c r="K70" s="322">
        <v>2.0</v>
      </c>
      <c r="L70" s="322">
        <v>2018.0</v>
      </c>
      <c r="M70" s="322">
        <v>2.15</v>
      </c>
      <c r="N70" s="322">
        <v>0.31122</v>
      </c>
      <c r="O70" s="322">
        <v>0.119329</v>
      </c>
      <c r="P70" s="322">
        <v>0.06256</v>
      </c>
      <c r="Q70" s="322">
        <v>0.180669</v>
      </c>
      <c r="R70" s="334">
        <v>5.482073</v>
      </c>
      <c r="S70" s="335">
        <v>3.420502</v>
      </c>
      <c r="T70" s="322">
        <v>0.47789</v>
      </c>
      <c r="U70" s="322">
        <v>0.512721</v>
      </c>
      <c r="V70" s="322">
        <v>0.470982</v>
      </c>
      <c r="W70" s="322">
        <v>0.013295</v>
      </c>
      <c r="X70" s="322">
        <v>0.024281</v>
      </c>
      <c r="Y70" s="322">
        <v>0.033329</v>
      </c>
      <c r="Z70" s="322">
        <v>0.043429</v>
      </c>
      <c r="AA70" s="322">
        <v>0.055843</v>
      </c>
      <c r="AB70" s="322">
        <v>0.069814</v>
      </c>
      <c r="AC70" s="322">
        <v>0.088688</v>
      </c>
      <c r="AD70" s="322">
        <v>0.115687</v>
      </c>
      <c r="AE70" s="322">
        <v>0.15939</v>
      </c>
      <c r="AF70" s="322">
        <v>0.396244</v>
      </c>
      <c r="AG70" s="322">
        <v>1.231041</v>
      </c>
      <c r="AH70" s="322">
        <v>107.27</v>
      </c>
      <c r="AI70" s="322">
        <v>3.1457142E7</v>
      </c>
      <c r="AJ70" s="322">
        <v>2777.843</v>
      </c>
      <c r="AK70" s="322">
        <v>1495.341</v>
      </c>
      <c r="AL70" s="336" t="b">
        <v>0</v>
      </c>
      <c r="AM70" s="321" t="s">
        <v>472</v>
      </c>
      <c r="AN70" s="321" t="s">
        <v>473</v>
      </c>
      <c r="AO70" s="322">
        <v>2.860251</v>
      </c>
      <c r="AP70" s="322">
        <v>0.422226</v>
      </c>
    </row>
    <row r="71">
      <c r="A71" s="321" t="s">
        <v>465</v>
      </c>
      <c r="B71" s="321" t="s">
        <v>466</v>
      </c>
      <c r="C71" s="321" t="s">
        <v>334</v>
      </c>
      <c r="D71" s="321" t="s">
        <v>474</v>
      </c>
      <c r="E71" s="322">
        <v>2020.0</v>
      </c>
      <c r="F71" s="321" t="s">
        <v>469</v>
      </c>
      <c r="G71" s="321" t="s">
        <v>475</v>
      </c>
      <c r="H71" s="321" t="s">
        <v>469</v>
      </c>
      <c r="I71" s="322">
        <v>2020.15</v>
      </c>
      <c r="J71" s="321" t="s">
        <v>471</v>
      </c>
      <c r="K71" s="322">
        <v>2.0</v>
      </c>
      <c r="L71" s="322">
        <v>2020.0</v>
      </c>
      <c r="M71" s="322">
        <v>2.15</v>
      </c>
      <c r="N71" s="322">
        <v>0.620658</v>
      </c>
      <c r="O71" s="322">
        <v>0.234904</v>
      </c>
      <c r="P71" s="322">
        <v>0.115332</v>
      </c>
      <c r="Q71" s="322">
        <v>0.335573</v>
      </c>
      <c r="R71" s="334">
        <v>2.341324</v>
      </c>
      <c r="S71" s="335">
        <v>1.795875</v>
      </c>
      <c r="T71" s="322">
        <v>0.232365</v>
      </c>
      <c r="U71" s="322">
        <v>0.374565</v>
      </c>
      <c r="V71" s="322">
        <v>0.310079</v>
      </c>
      <c r="W71" s="322">
        <v>0.028756</v>
      </c>
      <c r="X71" s="322">
        <v>0.041799</v>
      </c>
      <c r="Y71" s="322">
        <v>0.050866</v>
      </c>
      <c r="Z71" s="322">
        <v>0.060824</v>
      </c>
      <c r="AA71" s="322">
        <v>0.071024</v>
      </c>
      <c r="AB71" s="322">
        <v>0.082381</v>
      </c>
      <c r="AC71" s="322">
        <v>0.096826</v>
      </c>
      <c r="AD71" s="322">
        <v>0.11716</v>
      </c>
      <c r="AE71" s="322">
        <v>0.151718</v>
      </c>
      <c r="AF71" s="322">
        <v>0.298645</v>
      </c>
      <c r="AG71" s="322">
        <v>1.048899</v>
      </c>
      <c r="AH71" s="322">
        <v>654.4216</v>
      </c>
      <c r="AI71" s="322">
        <v>1.2269875E7</v>
      </c>
      <c r="AJ71" s="322">
        <v>263.361</v>
      </c>
      <c r="AK71" s="322">
        <v>201.9599</v>
      </c>
      <c r="AL71" s="336" t="b">
        <v>0</v>
      </c>
      <c r="AM71" s="321" t="s">
        <v>472</v>
      </c>
      <c r="AN71" s="321" t="s">
        <v>473</v>
      </c>
      <c r="AO71" s="322">
        <v>2.15</v>
      </c>
      <c r="AP71" s="322">
        <v>0.620658</v>
      </c>
    </row>
    <row r="72">
      <c r="A72" s="321" t="s">
        <v>465</v>
      </c>
      <c r="B72" s="321" t="s">
        <v>466</v>
      </c>
      <c r="C72" s="321" t="s">
        <v>476</v>
      </c>
      <c r="D72" s="321" t="s">
        <v>477</v>
      </c>
      <c r="E72" s="322">
        <v>2015.0</v>
      </c>
      <c r="F72" s="321" t="s">
        <v>469</v>
      </c>
      <c r="G72" s="321" t="s">
        <v>478</v>
      </c>
      <c r="H72" s="321" t="s">
        <v>469</v>
      </c>
      <c r="I72" s="322">
        <v>2015.0</v>
      </c>
      <c r="J72" s="321" t="s">
        <v>471</v>
      </c>
      <c r="K72" s="322">
        <v>1.0</v>
      </c>
      <c r="L72" s="321" t="s">
        <v>479</v>
      </c>
      <c r="M72" s="322">
        <v>2.15</v>
      </c>
      <c r="N72" s="322">
        <v>0.507093</v>
      </c>
      <c r="O72" s="322">
        <v>0.229842</v>
      </c>
      <c r="P72" s="322">
        <v>0.146344</v>
      </c>
      <c r="Q72" s="322">
        <v>0.417392</v>
      </c>
      <c r="R72" s="334">
        <v>3.003847</v>
      </c>
      <c r="S72" s="335">
        <v>2.123896</v>
      </c>
      <c r="T72" s="322">
        <v>0.446035</v>
      </c>
      <c r="U72" s="322">
        <v>0.477559</v>
      </c>
      <c r="V72" s="322">
        <v>0.383718</v>
      </c>
      <c r="W72" s="322">
        <v>0.010034</v>
      </c>
      <c r="X72" s="322">
        <v>0.022383</v>
      </c>
      <c r="Y72" s="322">
        <v>0.042682</v>
      </c>
      <c r="Z72" s="322">
        <v>0.053662</v>
      </c>
      <c r="AA72" s="322">
        <v>0.064635</v>
      </c>
      <c r="AB72" s="322">
        <v>0.076902</v>
      </c>
      <c r="AC72" s="322">
        <v>0.093287</v>
      </c>
      <c r="AD72" s="322">
        <v>0.115063</v>
      </c>
      <c r="AE72" s="322">
        <v>0.14511</v>
      </c>
      <c r="AF72" s="322">
        <v>0.37624</v>
      </c>
      <c r="AG72" s="322">
        <v>0.990478</v>
      </c>
      <c r="AH72" s="322">
        <v>219.4763</v>
      </c>
      <c r="AI72" s="337">
        <v>1.0932783E7</v>
      </c>
      <c r="AJ72" s="322">
        <v>1041.653</v>
      </c>
      <c r="AK72" s="322">
        <v>783.0327</v>
      </c>
      <c r="AL72" s="336" t="b">
        <v>0</v>
      </c>
      <c r="AM72" s="321" t="s">
        <v>472</v>
      </c>
      <c r="AN72" s="321" t="s">
        <v>473</v>
      </c>
      <c r="AO72" s="322">
        <v>2.211948</v>
      </c>
      <c r="AP72" s="322">
        <v>0.523161</v>
      </c>
    </row>
    <row r="73">
      <c r="A73" s="321" t="s">
        <v>465</v>
      </c>
      <c r="B73" s="321" t="s">
        <v>466</v>
      </c>
      <c r="C73" s="321" t="s">
        <v>480</v>
      </c>
      <c r="D73" s="321" t="s">
        <v>481</v>
      </c>
      <c r="E73" s="322">
        <v>2018.0</v>
      </c>
      <c r="F73" s="321" t="s">
        <v>469</v>
      </c>
      <c r="G73" s="321" t="s">
        <v>482</v>
      </c>
      <c r="H73" s="321" t="s">
        <v>469</v>
      </c>
      <c r="I73" s="322">
        <v>2018.5</v>
      </c>
      <c r="J73" s="321" t="s">
        <v>471</v>
      </c>
      <c r="K73" s="322">
        <v>4.0</v>
      </c>
      <c r="L73" s="321" t="s">
        <v>483</v>
      </c>
      <c r="M73" s="322">
        <v>2.15</v>
      </c>
      <c r="N73" s="322">
        <v>0.312038</v>
      </c>
      <c r="O73" s="322">
        <v>0.084133</v>
      </c>
      <c r="P73" s="322">
        <v>0.031886</v>
      </c>
      <c r="Q73" s="322">
        <v>0.108093</v>
      </c>
      <c r="R73" s="334">
        <v>4.284381</v>
      </c>
      <c r="S73" s="335">
        <v>2.883932</v>
      </c>
      <c r="T73" s="322">
        <v>0.304067</v>
      </c>
      <c r="U73" s="322">
        <v>0.430167</v>
      </c>
      <c r="V73" s="322">
        <v>0.364042</v>
      </c>
      <c r="W73" s="322">
        <v>0.026191</v>
      </c>
      <c r="X73" s="322">
        <v>0.037193</v>
      </c>
      <c r="Y73" s="322">
        <v>0.04502</v>
      </c>
      <c r="Z73" s="322">
        <v>0.053109</v>
      </c>
      <c r="AA73" s="322">
        <v>0.062153</v>
      </c>
      <c r="AB73" s="322">
        <v>0.073366</v>
      </c>
      <c r="AC73" s="322">
        <v>0.088897</v>
      </c>
      <c r="AD73" s="322">
        <v>0.110656</v>
      </c>
      <c r="AE73" s="322">
        <v>0.150026</v>
      </c>
      <c r="AF73" s="322">
        <v>0.353389</v>
      </c>
      <c r="AG73" s="322">
        <v>1.03546</v>
      </c>
      <c r="AH73" s="322">
        <v>199.7414</v>
      </c>
      <c r="AI73" s="322">
        <v>2.0672181E7</v>
      </c>
      <c r="AJ73" s="322">
        <v>696.0446</v>
      </c>
      <c r="AK73" s="322">
        <v>458.5837</v>
      </c>
      <c r="AL73" s="336" t="b">
        <v>0</v>
      </c>
      <c r="AM73" s="321" t="s">
        <v>472</v>
      </c>
      <c r="AN73" s="321" t="s">
        <v>473</v>
      </c>
      <c r="AO73" s="322">
        <v>2.591966</v>
      </c>
      <c r="AP73" s="322">
        <v>0.431955</v>
      </c>
    </row>
    <row r="74">
      <c r="A74" s="321" t="s">
        <v>465</v>
      </c>
      <c r="B74" s="321" t="s">
        <v>466</v>
      </c>
      <c r="C74" s="321" t="s">
        <v>484</v>
      </c>
      <c r="D74" s="321" t="s">
        <v>485</v>
      </c>
      <c r="E74" s="322">
        <v>2015.0</v>
      </c>
      <c r="F74" s="321" t="s">
        <v>469</v>
      </c>
      <c r="G74" s="321" t="s">
        <v>486</v>
      </c>
      <c r="H74" s="321" t="s">
        <v>469</v>
      </c>
      <c r="I74" s="322">
        <v>2015.85</v>
      </c>
      <c r="J74" s="321" t="s">
        <v>471</v>
      </c>
      <c r="K74" s="322">
        <v>1.0</v>
      </c>
      <c r="L74" s="321" t="s">
        <v>487</v>
      </c>
      <c r="M74" s="322">
        <v>2.15</v>
      </c>
      <c r="N74" s="322">
        <v>0.154262</v>
      </c>
      <c r="O74" s="322">
        <v>0.041234</v>
      </c>
      <c r="P74" s="322">
        <v>0.016528</v>
      </c>
      <c r="Q74" s="322">
        <v>0.054412</v>
      </c>
      <c r="R74" s="334">
        <v>8.821087</v>
      </c>
      <c r="S74" s="335">
        <v>4.842955</v>
      </c>
      <c r="T74" s="322">
        <v>0.497053</v>
      </c>
      <c r="U74" s="322">
        <v>0.53325</v>
      </c>
      <c r="V74" s="322">
        <v>0.54851</v>
      </c>
      <c r="W74" s="322">
        <v>0.015319</v>
      </c>
      <c r="X74" s="322">
        <v>0.024151</v>
      </c>
      <c r="Y74" s="322">
        <v>0.03097</v>
      </c>
      <c r="Z74" s="322">
        <v>0.03904</v>
      </c>
      <c r="AA74" s="322">
        <v>0.04861</v>
      </c>
      <c r="AB74" s="322">
        <v>0.062274</v>
      </c>
      <c r="AC74" s="322">
        <v>0.081599</v>
      </c>
      <c r="AD74" s="322">
        <v>0.113067</v>
      </c>
      <c r="AE74" s="322">
        <v>0.17021</v>
      </c>
      <c r="AF74" s="322">
        <v>0.41476</v>
      </c>
      <c r="AG74" s="322">
        <v>0.964001</v>
      </c>
      <c r="AH74" s="322">
        <v>5.008663</v>
      </c>
      <c r="AI74" s="322">
        <v>2345329.0</v>
      </c>
      <c r="AJ74" s="322">
        <v>5869.738</v>
      </c>
      <c r="AK74" s="322">
        <v>2699.948</v>
      </c>
      <c r="AL74" s="336" t="b">
        <v>0</v>
      </c>
      <c r="AM74" s="321" t="s">
        <v>472</v>
      </c>
      <c r="AN74" s="321" t="s">
        <v>473</v>
      </c>
      <c r="AO74" s="322">
        <v>3.571477</v>
      </c>
      <c r="AP74" s="322">
        <v>0.368493</v>
      </c>
    </row>
    <row r="75">
      <c r="A75" s="321" t="s">
        <v>465</v>
      </c>
      <c r="B75" s="321" t="s">
        <v>466</v>
      </c>
      <c r="C75" s="338" t="s">
        <v>488</v>
      </c>
      <c r="D75" s="321" t="s">
        <v>489</v>
      </c>
      <c r="E75" s="322">
        <v>2021.0</v>
      </c>
      <c r="F75" s="321" t="s">
        <v>469</v>
      </c>
      <c r="G75" s="321" t="s">
        <v>482</v>
      </c>
      <c r="H75" s="321" t="s">
        <v>469</v>
      </c>
      <c r="I75" s="322">
        <v>2021.0</v>
      </c>
      <c r="J75" s="321" t="s">
        <v>471</v>
      </c>
      <c r="K75" s="322">
        <v>2.0</v>
      </c>
      <c r="L75" s="322">
        <v>2021.0</v>
      </c>
      <c r="M75" s="322">
        <v>2.15</v>
      </c>
      <c r="N75" s="322">
        <v>0.656665</v>
      </c>
      <c r="O75" s="322">
        <v>0.29749</v>
      </c>
      <c r="P75" s="322">
        <v>0.167422</v>
      </c>
      <c r="Q75" s="322">
        <v>0.461982</v>
      </c>
      <c r="R75" s="334">
        <v>2.240665</v>
      </c>
      <c r="S75" s="335">
        <v>1.566593</v>
      </c>
      <c r="T75" s="322">
        <v>0.314402</v>
      </c>
      <c r="U75" s="322">
        <v>0.430464</v>
      </c>
      <c r="V75" s="322">
        <v>0.390684</v>
      </c>
      <c r="W75" s="322">
        <v>0.021304</v>
      </c>
      <c r="X75" s="322">
        <v>0.03424</v>
      </c>
      <c r="Y75" s="322">
        <v>0.043906</v>
      </c>
      <c r="Z75" s="322">
        <v>0.053206</v>
      </c>
      <c r="AA75" s="322">
        <v>0.063852</v>
      </c>
      <c r="AB75" s="322">
        <v>0.077039</v>
      </c>
      <c r="AC75" s="322">
        <v>0.094644</v>
      </c>
      <c r="AD75" s="322">
        <v>0.119419</v>
      </c>
      <c r="AE75" s="322">
        <v>0.160944</v>
      </c>
      <c r="AF75" s="322">
        <v>0.331444</v>
      </c>
      <c r="AG75" s="322">
        <v>1.126138</v>
      </c>
      <c r="AH75" s="322">
        <v>306.8083</v>
      </c>
      <c r="AI75" s="322">
        <v>5457154.0</v>
      </c>
      <c r="AJ75" s="322">
        <v>370.9804</v>
      </c>
      <c r="AK75" s="322">
        <v>437.9715</v>
      </c>
      <c r="AL75" s="336" t="b">
        <v>0</v>
      </c>
      <c r="AM75" s="321" t="s">
        <v>472</v>
      </c>
      <c r="AN75" s="321" t="s">
        <v>473</v>
      </c>
      <c r="AO75" s="322">
        <v>2.15</v>
      </c>
      <c r="AP75" s="322">
        <v>0.656665</v>
      </c>
    </row>
    <row r="76">
      <c r="A76" s="321" t="s">
        <v>465</v>
      </c>
      <c r="B76" s="321" t="s">
        <v>466</v>
      </c>
      <c r="C76" s="339" t="s">
        <v>490</v>
      </c>
      <c r="D76" s="321" t="s">
        <v>491</v>
      </c>
      <c r="E76" s="322">
        <v>2021.0</v>
      </c>
      <c r="F76" s="321" t="s">
        <v>469</v>
      </c>
      <c r="G76" s="321" t="s">
        <v>482</v>
      </c>
      <c r="H76" s="321" t="s">
        <v>469</v>
      </c>
      <c r="I76" s="322">
        <v>2021.75</v>
      </c>
      <c r="J76" s="321" t="s">
        <v>471</v>
      </c>
      <c r="K76" s="322">
        <v>3.0</v>
      </c>
      <c r="L76" s="321" t="s">
        <v>483</v>
      </c>
      <c r="M76" s="322">
        <v>2.15</v>
      </c>
      <c r="N76" s="322">
        <v>0.097332</v>
      </c>
      <c r="O76" s="322">
        <v>0.018889</v>
      </c>
      <c r="P76" s="322">
        <v>0.005797</v>
      </c>
      <c r="Q76" s="322">
        <v>0.022968</v>
      </c>
      <c r="R76" s="334">
        <v>5.538418</v>
      </c>
      <c r="S76" s="335">
        <v>4.336595</v>
      </c>
      <c r="T76" s="322">
        <v>0.202706</v>
      </c>
      <c r="U76" s="322">
        <v>0.352754</v>
      </c>
      <c r="V76" s="322">
        <v>0.301685</v>
      </c>
      <c r="W76" s="322">
        <v>0.031491</v>
      </c>
      <c r="X76" s="322">
        <v>0.044063</v>
      </c>
      <c r="Y76" s="322">
        <v>0.053562</v>
      </c>
      <c r="Z76" s="322">
        <v>0.062767</v>
      </c>
      <c r="AA76" s="322">
        <v>0.0727</v>
      </c>
      <c r="AB76" s="322">
        <v>0.083995</v>
      </c>
      <c r="AC76" s="322">
        <v>0.098293</v>
      </c>
      <c r="AD76" s="322">
        <v>0.119711</v>
      </c>
      <c r="AE76" s="322">
        <v>0.15501</v>
      </c>
      <c r="AF76" s="322">
        <v>0.278409</v>
      </c>
      <c r="AG76" s="322">
        <v>1.072458</v>
      </c>
      <c r="AH76" s="322">
        <v>247.1344</v>
      </c>
      <c r="AI76" s="322">
        <v>2.7989969E7</v>
      </c>
      <c r="AJ76" s="322">
        <v>2333.353</v>
      </c>
      <c r="AK76" s="322">
        <v>1457.768</v>
      </c>
      <c r="AL76" s="336" t="b">
        <v>0</v>
      </c>
      <c r="AM76" s="321" t="s">
        <v>472</v>
      </c>
      <c r="AN76" s="321" t="s">
        <v>473</v>
      </c>
      <c r="AO76" s="322">
        <v>3.318298</v>
      </c>
      <c r="AP76" s="322">
        <v>0.31851</v>
      </c>
    </row>
    <row r="77">
      <c r="A77" s="321" t="s">
        <v>465</v>
      </c>
      <c r="B77" s="321" t="s">
        <v>466</v>
      </c>
      <c r="C77" s="321" t="s">
        <v>492</v>
      </c>
      <c r="D77" s="321" t="s">
        <v>493</v>
      </c>
      <c r="E77" s="322">
        <v>2021.0</v>
      </c>
      <c r="F77" s="321" t="s">
        <v>469</v>
      </c>
      <c r="G77" s="321" t="s">
        <v>494</v>
      </c>
      <c r="H77" s="321" t="s">
        <v>469</v>
      </c>
      <c r="I77" s="322">
        <v>2021.67</v>
      </c>
      <c r="J77" s="321" t="s">
        <v>471</v>
      </c>
      <c r="K77" s="322">
        <v>2.0</v>
      </c>
      <c r="L77" s="322">
        <v>2021.0</v>
      </c>
      <c r="M77" s="322">
        <v>2.15</v>
      </c>
      <c r="N77" s="322">
        <v>0.229922</v>
      </c>
      <c r="O77" s="322">
        <v>0.065891</v>
      </c>
      <c r="P77" s="322">
        <v>0.027072</v>
      </c>
      <c r="Q77" s="322">
        <v>0.087333</v>
      </c>
      <c r="R77" s="334">
        <v>5.373378</v>
      </c>
      <c r="S77" s="335">
        <v>3.908571</v>
      </c>
      <c r="T77" s="322">
        <v>0.303051</v>
      </c>
      <c r="U77" s="322">
        <v>0.421761</v>
      </c>
      <c r="V77" s="322">
        <v>0.405063</v>
      </c>
      <c r="W77" s="322">
        <v>0.021264</v>
      </c>
      <c r="X77" s="322">
        <v>0.032777</v>
      </c>
      <c r="Y77" s="322">
        <v>0.042216</v>
      </c>
      <c r="Z77" s="322">
        <v>0.053284</v>
      </c>
      <c r="AA77" s="322">
        <v>0.065948</v>
      </c>
      <c r="AB77" s="322">
        <v>0.080976</v>
      </c>
      <c r="AC77" s="322">
        <v>0.099446</v>
      </c>
      <c r="AD77" s="322">
        <v>0.12513</v>
      </c>
      <c r="AE77" s="322">
        <v>0.167465</v>
      </c>
      <c r="AF77" s="322">
        <v>0.311494</v>
      </c>
      <c r="AG77" s="322">
        <v>1.092621</v>
      </c>
      <c r="AH77" s="322">
        <v>236.9115</v>
      </c>
      <c r="AI77" s="322">
        <v>2.7678286E7</v>
      </c>
      <c r="AJ77" s="322">
        <v>1428.563</v>
      </c>
      <c r="AK77" s="322">
        <v>1064.669</v>
      </c>
      <c r="AL77" s="336" t="b">
        <v>0</v>
      </c>
      <c r="AM77" s="321" t="s">
        <v>472</v>
      </c>
      <c r="AN77" s="321" t="s">
        <v>473</v>
      </c>
      <c r="AO77" s="322">
        <v>3.104286</v>
      </c>
      <c r="AP77" s="322">
        <v>0.384243</v>
      </c>
    </row>
    <row r="78">
      <c r="A78" s="321" t="s">
        <v>465</v>
      </c>
      <c r="B78" s="321" t="s">
        <v>466</v>
      </c>
      <c r="C78" s="339" t="s">
        <v>335</v>
      </c>
      <c r="D78" s="321" t="s">
        <v>495</v>
      </c>
      <c r="E78" s="322">
        <v>2020.0</v>
      </c>
      <c r="F78" s="321" t="s">
        <v>469</v>
      </c>
      <c r="G78" s="321" t="s">
        <v>496</v>
      </c>
      <c r="H78" s="321" t="s">
        <v>469</v>
      </c>
      <c r="I78" s="322">
        <v>2020.0</v>
      </c>
      <c r="J78" s="321" t="s">
        <v>471</v>
      </c>
      <c r="K78" s="322">
        <v>1.0</v>
      </c>
      <c r="L78" s="322">
        <v>2020.0</v>
      </c>
      <c r="M78" s="322">
        <v>2.15</v>
      </c>
      <c r="N78" s="322">
        <v>0.78942</v>
      </c>
      <c r="O78" s="322">
        <v>0.402777</v>
      </c>
      <c r="P78" s="322">
        <v>0.245831</v>
      </c>
      <c r="Q78" s="322">
        <v>0.662191</v>
      </c>
      <c r="R78" s="334">
        <v>1.747741</v>
      </c>
      <c r="S78" s="335">
        <v>1.179713</v>
      </c>
      <c r="T78" s="322">
        <v>0.341571</v>
      </c>
      <c r="U78" s="322">
        <v>0.447496</v>
      </c>
      <c r="V78" s="322">
        <v>0.376242</v>
      </c>
      <c r="W78" s="322">
        <v>0.020734</v>
      </c>
      <c r="X78" s="322">
        <v>0.033608</v>
      </c>
      <c r="Y78" s="322">
        <v>0.043297</v>
      </c>
      <c r="Z78" s="322">
        <v>0.052728</v>
      </c>
      <c r="AA78" s="322">
        <v>0.062418</v>
      </c>
      <c r="AB78" s="322">
        <v>0.074259</v>
      </c>
      <c r="AC78" s="322">
        <v>0.089523</v>
      </c>
      <c r="AD78" s="322">
        <v>0.112269</v>
      </c>
      <c r="AE78" s="322">
        <v>0.153316</v>
      </c>
      <c r="AF78" s="322">
        <v>0.357849</v>
      </c>
      <c r="AG78" s="322">
        <v>1.507206</v>
      </c>
      <c r="AH78" s="322">
        <v>630.6055</v>
      </c>
      <c r="AI78" s="322">
        <v>9.2853164E7</v>
      </c>
      <c r="AJ78" s="322">
        <v>487.4331</v>
      </c>
      <c r="AK78" s="322">
        <v>347.364</v>
      </c>
      <c r="AL78" s="336" t="b">
        <v>0</v>
      </c>
      <c r="AM78" s="321" t="s">
        <v>472</v>
      </c>
      <c r="AN78" s="321" t="s">
        <v>473</v>
      </c>
      <c r="AO78" s="322">
        <v>2.15</v>
      </c>
      <c r="AP78" s="322">
        <v>0.78942</v>
      </c>
    </row>
    <row r="79">
      <c r="A79" s="321" t="s">
        <v>465</v>
      </c>
      <c r="B79" s="321" t="s">
        <v>466</v>
      </c>
      <c r="C79" s="339" t="s">
        <v>497</v>
      </c>
      <c r="D79" s="321" t="s">
        <v>498</v>
      </c>
      <c r="E79" s="322">
        <v>2011.0</v>
      </c>
      <c r="F79" s="321" t="s">
        <v>469</v>
      </c>
      <c r="G79" s="321" t="s">
        <v>499</v>
      </c>
      <c r="H79" s="321" t="s">
        <v>469</v>
      </c>
      <c r="I79" s="322">
        <v>2011.67</v>
      </c>
      <c r="J79" s="321" t="s">
        <v>471</v>
      </c>
      <c r="K79" s="322">
        <v>0.0</v>
      </c>
      <c r="L79" s="321" t="s">
        <v>500</v>
      </c>
      <c r="M79" s="322">
        <v>2.15</v>
      </c>
      <c r="N79" s="322">
        <v>0.353575</v>
      </c>
      <c r="O79" s="322">
        <v>0.137718</v>
      </c>
      <c r="P79" s="322">
        <v>0.070961</v>
      </c>
      <c r="Q79" s="322">
        <v>0.203308</v>
      </c>
      <c r="R79" s="334">
        <v>4.591497</v>
      </c>
      <c r="S79" s="335">
        <v>2.98038</v>
      </c>
      <c r="T79" s="322">
        <v>0.422273</v>
      </c>
      <c r="U79" s="322">
        <v>0.489387</v>
      </c>
      <c r="V79" s="322">
        <v>0.444321</v>
      </c>
      <c r="W79" s="322">
        <v>0.015604</v>
      </c>
      <c r="X79" s="322">
        <v>0.026352</v>
      </c>
      <c r="Y79" s="322">
        <v>0.035724</v>
      </c>
      <c r="Z79" s="322">
        <v>0.046536</v>
      </c>
      <c r="AA79" s="322">
        <v>0.059015</v>
      </c>
      <c r="AB79" s="322">
        <v>0.07269</v>
      </c>
      <c r="AC79" s="322">
        <v>0.090121</v>
      </c>
      <c r="AD79" s="322">
        <v>0.1166</v>
      </c>
      <c r="AE79" s="322">
        <v>0.158064</v>
      </c>
      <c r="AF79" s="322">
        <v>0.379293</v>
      </c>
      <c r="AG79" s="322">
        <v>0.871689</v>
      </c>
      <c r="AH79" s="322">
        <v>285.9693</v>
      </c>
      <c r="AI79" s="322">
        <v>4670673.0</v>
      </c>
      <c r="AJ79" s="322">
        <v>2320.34</v>
      </c>
      <c r="AK79" s="322">
        <v>834.1598</v>
      </c>
      <c r="AL79" s="336" t="b">
        <v>0</v>
      </c>
      <c r="AM79" s="321" t="s">
        <v>472</v>
      </c>
      <c r="AN79" s="321" t="s">
        <v>473</v>
      </c>
      <c r="AO79" s="322">
        <v>2.64019</v>
      </c>
      <c r="AP79" s="322">
        <v>0.436663</v>
      </c>
    </row>
    <row r="80">
      <c r="A80" s="321" t="s">
        <v>465</v>
      </c>
      <c r="B80" s="321" t="s">
        <v>466</v>
      </c>
      <c r="C80" s="321" t="s">
        <v>501</v>
      </c>
      <c r="D80" s="321" t="s">
        <v>502</v>
      </c>
      <c r="E80" s="322">
        <v>2014.0</v>
      </c>
      <c r="F80" s="321" t="s">
        <v>469</v>
      </c>
      <c r="G80" s="321" t="s">
        <v>503</v>
      </c>
      <c r="H80" s="321" t="s">
        <v>469</v>
      </c>
      <c r="I80" s="322">
        <v>2014.0</v>
      </c>
      <c r="J80" s="321" t="s">
        <v>471</v>
      </c>
      <c r="K80" s="322">
        <v>1.0</v>
      </c>
      <c r="L80" s="322">
        <v>2014.0</v>
      </c>
      <c r="M80" s="322">
        <v>2.15</v>
      </c>
      <c r="N80" s="322">
        <v>0.186437</v>
      </c>
      <c r="O80" s="322">
        <v>0.066578</v>
      </c>
      <c r="P80" s="322">
        <v>0.031926</v>
      </c>
      <c r="Q80" s="322">
        <v>0.094843</v>
      </c>
      <c r="R80" s="334">
        <v>6.423948</v>
      </c>
      <c r="S80" s="335">
        <v>4.389313</v>
      </c>
      <c r="T80" s="322">
        <v>0.364196</v>
      </c>
      <c r="U80" s="322">
        <v>0.453346</v>
      </c>
      <c r="V80" s="322">
        <v>0.441439</v>
      </c>
      <c r="W80" s="322">
        <v>0.016096</v>
      </c>
      <c r="X80" s="322">
        <v>0.028641</v>
      </c>
      <c r="Y80" s="322">
        <v>0.039645</v>
      </c>
      <c r="Z80" s="322">
        <v>0.051156</v>
      </c>
      <c r="AA80" s="322">
        <v>0.062486</v>
      </c>
      <c r="AB80" s="322">
        <v>0.076621</v>
      </c>
      <c r="AC80" s="322">
        <v>0.098235</v>
      </c>
      <c r="AD80" s="322">
        <v>0.123582</v>
      </c>
      <c r="AE80" s="322">
        <v>0.166871</v>
      </c>
      <c r="AF80" s="322">
        <v>0.336667</v>
      </c>
      <c r="AG80" s="322">
        <v>0.981893</v>
      </c>
      <c r="AH80" s="322">
        <v>213.5182</v>
      </c>
      <c r="AI80" s="322">
        <v>714612.0</v>
      </c>
      <c r="AJ80" s="322">
        <v>1336.49</v>
      </c>
      <c r="AK80" s="322">
        <v>1252.45</v>
      </c>
      <c r="AL80" s="336" t="b">
        <v>0</v>
      </c>
      <c r="AM80" s="321" t="s">
        <v>472</v>
      </c>
      <c r="AN80" s="321" t="s">
        <v>473</v>
      </c>
      <c r="AO80" s="322">
        <v>3.344657</v>
      </c>
      <c r="AP80" s="322">
        <v>0.358765</v>
      </c>
    </row>
    <row r="81">
      <c r="A81" s="321" t="s">
        <v>465</v>
      </c>
      <c r="B81" s="321" t="s">
        <v>466</v>
      </c>
      <c r="C81" s="321" t="s">
        <v>504</v>
      </c>
      <c r="D81" s="321" t="s">
        <v>505</v>
      </c>
      <c r="E81" s="322">
        <v>2015.0</v>
      </c>
      <c r="F81" s="321" t="s">
        <v>469</v>
      </c>
      <c r="G81" s="321" t="s">
        <v>506</v>
      </c>
      <c r="H81" s="321" t="s">
        <v>469</v>
      </c>
      <c r="I81" s="322">
        <v>2015.0</v>
      </c>
      <c r="J81" s="321" t="s">
        <v>471</v>
      </c>
      <c r="K81" s="322">
        <v>2.0</v>
      </c>
      <c r="L81" s="322">
        <v>2015.0</v>
      </c>
      <c r="M81" s="322">
        <v>2.15</v>
      </c>
      <c r="N81" s="322">
        <v>0.045642</v>
      </c>
      <c r="O81" s="322">
        <v>0.009667</v>
      </c>
      <c r="P81" s="322">
        <v>0.003249</v>
      </c>
      <c r="Q81" s="322">
        <v>0.012024</v>
      </c>
      <c r="R81" s="334">
        <v>9.503321</v>
      </c>
      <c r="S81" s="335">
        <v>6.727809</v>
      </c>
      <c r="T81" s="322">
        <v>0.301912</v>
      </c>
      <c r="U81" s="322">
        <v>0.423811</v>
      </c>
      <c r="V81" s="322">
        <v>0.393748</v>
      </c>
      <c r="W81" s="322">
        <v>0.022175</v>
      </c>
      <c r="X81" s="322">
        <v>0.034399</v>
      </c>
      <c r="Y81" s="322">
        <v>0.04362</v>
      </c>
      <c r="Z81" s="322">
        <v>0.053644</v>
      </c>
      <c r="AA81" s="322">
        <v>0.064786</v>
      </c>
      <c r="AB81" s="322">
        <v>0.078247</v>
      </c>
      <c r="AC81" s="322">
        <v>0.095383</v>
      </c>
      <c r="AD81" s="322">
        <v>0.120567</v>
      </c>
      <c r="AE81" s="322">
        <v>0.164157</v>
      </c>
      <c r="AF81" s="322">
        <v>0.323022</v>
      </c>
      <c r="AG81" s="322">
        <v>1.006385</v>
      </c>
      <c r="AH81" s="322">
        <v>47.61211</v>
      </c>
      <c r="AI81" s="322">
        <v>552166.0</v>
      </c>
      <c r="AJ81" s="322">
        <v>3169.079</v>
      </c>
      <c r="AK81" s="322">
        <v>1976.598</v>
      </c>
      <c r="AL81" s="336" t="b">
        <v>0</v>
      </c>
      <c r="AM81" s="321" t="s">
        <v>472</v>
      </c>
      <c r="AN81" s="321" t="s">
        <v>473</v>
      </c>
      <c r="AO81" s="322">
        <v>4.513905</v>
      </c>
      <c r="AP81" s="322">
        <v>0.29072</v>
      </c>
    </row>
    <row r="82">
      <c r="A82" s="321" t="s">
        <v>465</v>
      </c>
      <c r="B82" s="321" t="s">
        <v>466</v>
      </c>
      <c r="C82" s="321" t="s">
        <v>336</v>
      </c>
      <c r="D82" s="321" t="s">
        <v>507</v>
      </c>
      <c r="E82" s="322">
        <v>2015.0</v>
      </c>
      <c r="F82" s="321" t="s">
        <v>469</v>
      </c>
      <c r="G82" s="321" t="s">
        <v>508</v>
      </c>
      <c r="H82" s="321" t="s">
        <v>469</v>
      </c>
      <c r="I82" s="322">
        <v>2015.5</v>
      </c>
      <c r="J82" s="321" t="s">
        <v>471</v>
      </c>
      <c r="K82" s="322">
        <v>1.0</v>
      </c>
      <c r="L82" s="321" t="s">
        <v>509</v>
      </c>
      <c r="M82" s="322">
        <v>2.15</v>
      </c>
      <c r="N82" s="322">
        <v>0.269846</v>
      </c>
      <c r="O82" s="322">
        <v>0.076032</v>
      </c>
      <c r="P82" s="322">
        <v>0.031594</v>
      </c>
      <c r="Q82" s="322">
        <v>0.101029</v>
      </c>
      <c r="R82" s="334">
        <v>3.738986</v>
      </c>
      <c r="S82" s="335">
        <v>3.061885</v>
      </c>
      <c r="T82" s="322">
        <v>0.20627</v>
      </c>
      <c r="U82" s="322">
        <v>0.349931</v>
      </c>
      <c r="V82" s="322">
        <v>0.265602</v>
      </c>
      <c r="W82" s="322">
        <v>0.02889</v>
      </c>
      <c r="X82" s="322">
        <v>0.044562</v>
      </c>
      <c r="Y82" s="322">
        <v>0.055718</v>
      </c>
      <c r="Z82" s="322">
        <v>0.065207</v>
      </c>
      <c r="AA82" s="322">
        <v>0.0763</v>
      </c>
      <c r="AB82" s="322">
        <v>0.087166</v>
      </c>
      <c r="AC82" s="322">
        <v>0.097857</v>
      </c>
      <c r="AD82" s="322">
        <v>0.114191</v>
      </c>
      <c r="AE82" s="322">
        <v>0.145463</v>
      </c>
      <c r="AF82" s="322">
        <v>0.284648</v>
      </c>
      <c r="AG82" s="322">
        <v>0.863294</v>
      </c>
      <c r="AH82" s="322">
        <v>8.496417</v>
      </c>
      <c r="AI82" s="337">
        <v>1.04E8</v>
      </c>
      <c r="AJ82" s="322">
        <v>650.0305</v>
      </c>
      <c r="AK82" s="322">
        <v>451.299</v>
      </c>
      <c r="AL82" s="336" t="b">
        <v>0</v>
      </c>
      <c r="AM82" s="321" t="s">
        <v>472</v>
      </c>
      <c r="AN82" s="321" t="s">
        <v>473</v>
      </c>
      <c r="AO82" s="322">
        <v>2.680942</v>
      </c>
      <c r="AP82" s="322">
        <v>0.410176</v>
      </c>
    </row>
    <row r="83">
      <c r="A83" s="321" t="s">
        <v>465</v>
      </c>
      <c r="B83" s="321" t="s">
        <v>466</v>
      </c>
      <c r="C83" s="321" t="s">
        <v>510</v>
      </c>
      <c r="D83" s="321" t="s">
        <v>511</v>
      </c>
      <c r="E83" s="322">
        <v>2017.0</v>
      </c>
      <c r="F83" s="321" t="s">
        <v>469</v>
      </c>
      <c r="G83" s="321" t="s">
        <v>512</v>
      </c>
      <c r="H83" s="321" t="s">
        <v>469</v>
      </c>
      <c r="I83" s="322">
        <v>2017.0</v>
      </c>
      <c r="J83" s="321" t="s">
        <v>471</v>
      </c>
      <c r="K83" s="322">
        <v>1.0</v>
      </c>
      <c r="L83" s="322">
        <v>2017.0</v>
      </c>
      <c r="M83" s="322">
        <v>2.15</v>
      </c>
      <c r="N83" s="322">
        <v>0.024686</v>
      </c>
      <c r="O83" s="322">
        <v>0.005801</v>
      </c>
      <c r="P83" s="322">
        <v>0.002337</v>
      </c>
      <c r="Q83" s="322">
        <v>0.007778</v>
      </c>
      <c r="R83" s="334">
        <v>12.33692</v>
      </c>
      <c r="S83" s="335">
        <v>9.673192</v>
      </c>
      <c r="T83" s="322">
        <v>0.250646</v>
      </c>
      <c r="U83" s="322">
        <v>0.380244</v>
      </c>
      <c r="V83" s="322">
        <v>0.351412</v>
      </c>
      <c r="W83" s="322">
        <v>0.022405</v>
      </c>
      <c r="X83" s="322">
        <v>0.038054</v>
      </c>
      <c r="Y83" s="322">
        <v>0.048519</v>
      </c>
      <c r="Z83" s="322">
        <v>0.059957</v>
      </c>
      <c r="AA83" s="322">
        <v>0.072078</v>
      </c>
      <c r="AB83" s="322">
        <v>0.08532</v>
      </c>
      <c r="AC83" s="322">
        <v>0.103324</v>
      </c>
      <c r="AD83" s="322">
        <v>0.126731</v>
      </c>
      <c r="AE83" s="322">
        <v>0.166351</v>
      </c>
      <c r="AF83" s="322">
        <v>0.27726</v>
      </c>
      <c r="AG83" s="322">
        <v>1.0</v>
      </c>
      <c r="AH83" s="322">
        <v>319.1603</v>
      </c>
      <c r="AI83" s="322">
        <v>2140215.0</v>
      </c>
      <c r="AJ83" s="322">
        <v>6893.384</v>
      </c>
      <c r="AK83" s="322">
        <v>2612.306</v>
      </c>
      <c r="AL83" s="336" t="b">
        <v>0</v>
      </c>
      <c r="AM83" s="321" t="s">
        <v>472</v>
      </c>
      <c r="AN83" s="321" t="s">
        <v>473</v>
      </c>
      <c r="AO83" s="322">
        <v>5.986596</v>
      </c>
      <c r="AP83" s="322">
        <v>0.249855</v>
      </c>
    </row>
    <row r="84">
      <c r="A84" s="321" t="s">
        <v>465</v>
      </c>
      <c r="B84" s="321" t="s">
        <v>466</v>
      </c>
      <c r="C84" s="321" t="s">
        <v>513</v>
      </c>
      <c r="D84" s="321" t="s">
        <v>514</v>
      </c>
      <c r="E84" s="322">
        <v>2016.0</v>
      </c>
      <c r="F84" s="321" t="s">
        <v>469</v>
      </c>
      <c r="G84" s="321" t="s">
        <v>515</v>
      </c>
      <c r="H84" s="321" t="s">
        <v>469</v>
      </c>
      <c r="I84" s="322">
        <v>2016.75</v>
      </c>
      <c r="J84" s="321" t="s">
        <v>471</v>
      </c>
      <c r="K84" s="322">
        <v>1.0</v>
      </c>
      <c r="L84" s="321" t="s">
        <v>516</v>
      </c>
      <c r="M84" s="322">
        <v>2.15</v>
      </c>
      <c r="N84" s="322">
        <v>0.252086</v>
      </c>
      <c r="O84" s="322">
        <v>0.093357</v>
      </c>
      <c r="P84" s="322">
        <v>0.048814</v>
      </c>
      <c r="Q84" s="322">
        <v>0.142737</v>
      </c>
      <c r="R84" s="334">
        <v>5.089204</v>
      </c>
      <c r="S84" s="335">
        <v>3.737927</v>
      </c>
      <c r="T84" s="322">
        <v>0.344042</v>
      </c>
      <c r="U84" s="322">
        <v>0.435209</v>
      </c>
      <c r="V84" s="322">
        <v>0.395128</v>
      </c>
      <c r="W84" s="322">
        <v>0.016053</v>
      </c>
      <c r="X84" s="322">
        <v>0.030642</v>
      </c>
      <c r="Y84" s="322">
        <v>0.042013</v>
      </c>
      <c r="Z84" s="322">
        <v>0.054235</v>
      </c>
      <c r="AA84" s="322">
        <v>0.066901</v>
      </c>
      <c r="AB84" s="322">
        <v>0.08107</v>
      </c>
      <c r="AC84" s="322">
        <v>0.098654</v>
      </c>
      <c r="AD84" s="322">
        <v>0.124348</v>
      </c>
      <c r="AE84" s="322">
        <v>0.163972</v>
      </c>
      <c r="AF84" s="322">
        <v>0.322112</v>
      </c>
      <c r="AG84" s="322">
        <v>0.972476</v>
      </c>
      <c r="AH84" s="322">
        <v>1.750992</v>
      </c>
      <c r="AI84" s="322">
        <v>3.0055272E7</v>
      </c>
      <c r="AJ84" s="322">
        <v>1728.097</v>
      </c>
      <c r="AK84" s="322">
        <v>1207.382</v>
      </c>
      <c r="AL84" s="336" t="b">
        <v>0</v>
      </c>
      <c r="AM84" s="321" t="s">
        <v>472</v>
      </c>
      <c r="AN84" s="321" t="s">
        <v>473</v>
      </c>
      <c r="AO84" s="322">
        <v>3.018964</v>
      </c>
      <c r="AP84" s="322">
        <v>0.390661</v>
      </c>
    </row>
    <row r="85">
      <c r="A85" s="321" t="s">
        <v>465</v>
      </c>
      <c r="B85" s="321" t="s">
        <v>466</v>
      </c>
      <c r="C85" s="321" t="s">
        <v>517</v>
      </c>
      <c r="D85" s="321" t="s">
        <v>518</v>
      </c>
      <c r="E85" s="322">
        <v>2018.0</v>
      </c>
      <c r="F85" s="321" t="s">
        <v>469</v>
      </c>
      <c r="G85" s="321" t="s">
        <v>482</v>
      </c>
      <c r="H85" s="321" t="s">
        <v>469</v>
      </c>
      <c r="I85" s="322">
        <v>2018.5</v>
      </c>
      <c r="J85" s="321" t="s">
        <v>471</v>
      </c>
      <c r="K85" s="322">
        <v>4.0</v>
      </c>
      <c r="L85" s="322">
        <v>2018.0</v>
      </c>
      <c r="M85" s="322">
        <v>2.15</v>
      </c>
      <c r="N85" s="322">
        <v>0.138201</v>
      </c>
      <c r="O85" s="322">
        <v>0.030877</v>
      </c>
      <c r="P85" s="322">
        <v>0.010417</v>
      </c>
      <c r="Q85" s="322">
        <v>0.03865</v>
      </c>
      <c r="R85" s="334">
        <v>4.398115</v>
      </c>
      <c r="S85" s="335">
        <v>3.803789</v>
      </c>
      <c r="T85" s="322">
        <v>0.144345</v>
      </c>
      <c r="U85" s="322">
        <v>0.29592</v>
      </c>
      <c r="V85" s="322">
        <v>0.256603</v>
      </c>
      <c r="W85" s="322">
        <v>0.034766</v>
      </c>
      <c r="X85" s="322">
        <v>0.0502</v>
      </c>
      <c r="Y85" s="322">
        <v>0.060307</v>
      </c>
      <c r="Z85" s="322">
        <v>0.070232</v>
      </c>
      <c r="AA85" s="322">
        <v>0.081058</v>
      </c>
      <c r="AB85" s="322">
        <v>0.092325</v>
      </c>
      <c r="AC85" s="322">
        <v>0.105911</v>
      </c>
      <c r="AD85" s="322">
        <v>0.123491</v>
      </c>
      <c r="AE85" s="322">
        <v>0.150856</v>
      </c>
      <c r="AF85" s="322">
        <v>0.230854</v>
      </c>
      <c r="AG85" s="322">
        <v>1.15028</v>
      </c>
      <c r="AH85" s="322">
        <v>3446.932</v>
      </c>
      <c r="AI85" s="322">
        <v>1.2716202E7</v>
      </c>
      <c r="AJ85" s="322">
        <v>910.6526</v>
      </c>
      <c r="AK85" s="322">
        <v>671.557</v>
      </c>
      <c r="AL85" s="336" t="b">
        <v>0</v>
      </c>
      <c r="AM85" s="321" t="s">
        <v>472</v>
      </c>
      <c r="AN85" s="321" t="s">
        <v>473</v>
      </c>
      <c r="AO85" s="322">
        <v>3.051895</v>
      </c>
      <c r="AP85" s="322">
        <v>0.340482</v>
      </c>
    </row>
    <row r="86">
      <c r="A86" s="321" t="s">
        <v>465</v>
      </c>
      <c r="B86" s="321" t="s">
        <v>466</v>
      </c>
      <c r="C86" s="321" t="s">
        <v>519</v>
      </c>
      <c r="D86" s="321" t="s">
        <v>520</v>
      </c>
      <c r="E86" s="322">
        <v>2020.0</v>
      </c>
      <c r="F86" s="321" t="s">
        <v>469</v>
      </c>
      <c r="G86" s="321" t="s">
        <v>521</v>
      </c>
      <c r="H86" s="321" t="s">
        <v>469</v>
      </c>
      <c r="I86" s="322">
        <v>2020.08</v>
      </c>
      <c r="J86" s="321" t="s">
        <v>471</v>
      </c>
      <c r="K86" s="322">
        <v>3.0</v>
      </c>
      <c r="L86" s="321" t="s">
        <v>522</v>
      </c>
      <c r="M86" s="322">
        <v>2.15</v>
      </c>
      <c r="N86" s="322">
        <v>0.172421</v>
      </c>
      <c r="O86" s="322">
        <v>0.045247</v>
      </c>
      <c r="P86" s="322">
        <v>0.017693</v>
      </c>
      <c r="Q86" s="322">
        <v>0.058966</v>
      </c>
      <c r="R86" s="334">
        <v>5.084616</v>
      </c>
      <c r="S86" s="335">
        <v>3.819652</v>
      </c>
      <c r="T86" s="322">
        <v>0.253372</v>
      </c>
      <c r="U86" s="322">
        <v>0.387572</v>
      </c>
      <c r="V86" s="322">
        <v>0.329004</v>
      </c>
      <c r="W86" s="322">
        <v>0.025926</v>
      </c>
      <c r="X86" s="322">
        <v>0.039858</v>
      </c>
      <c r="Y86" s="322">
        <v>0.049572</v>
      </c>
      <c r="Z86" s="322">
        <v>0.059365</v>
      </c>
      <c r="AA86" s="322">
        <v>0.069774</v>
      </c>
      <c r="AB86" s="322">
        <v>0.082103</v>
      </c>
      <c r="AC86" s="322">
        <v>0.097213</v>
      </c>
      <c r="AD86" s="322">
        <v>0.11935</v>
      </c>
      <c r="AE86" s="322">
        <v>0.150996</v>
      </c>
      <c r="AF86" s="322">
        <v>0.305844</v>
      </c>
      <c r="AG86" s="322">
        <v>1.21581</v>
      </c>
      <c r="AH86" s="322">
        <v>15.11425</v>
      </c>
      <c r="AI86" s="322">
        <v>2579269.0</v>
      </c>
      <c r="AJ86" s="322">
        <v>655.5761</v>
      </c>
      <c r="AK86" s="322">
        <v>544.2245</v>
      </c>
      <c r="AL86" s="336" t="b">
        <v>0</v>
      </c>
      <c r="AM86" s="321" t="s">
        <v>472</v>
      </c>
      <c r="AN86" s="321" t="s">
        <v>473</v>
      </c>
      <c r="AO86" s="322">
        <v>3.059826</v>
      </c>
      <c r="AP86" s="322">
        <v>0.358722</v>
      </c>
    </row>
    <row r="87">
      <c r="A87" s="321" t="s">
        <v>465</v>
      </c>
      <c r="B87" s="321" t="s">
        <v>466</v>
      </c>
      <c r="C87" s="321" t="s">
        <v>523</v>
      </c>
      <c r="D87" s="321" t="s">
        <v>524</v>
      </c>
      <c r="E87" s="322">
        <v>2021.0</v>
      </c>
      <c r="F87" s="321" t="s">
        <v>469</v>
      </c>
      <c r="G87" s="321" t="s">
        <v>482</v>
      </c>
      <c r="H87" s="321" t="s">
        <v>469</v>
      </c>
      <c r="I87" s="322">
        <v>2021.75</v>
      </c>
      <c r="J87" s="321" t="s">
        <v>471</v>
      </c>
      <c r="K87" s="322">
        <v>4.0</v>
      </c>
      <c r="L87" s="321" t="s">
        <v>483</v>
      </c>
      <c r="M87" s="322">
        <v>2.15</v>
      </c>
      <c r="N87" s="322">
        <v>0.259629</v>
      </c>
      <c r="O87" s="322">
        <v>0.059465</v>
      </c>
      <c r="P87" s="322">
        <v>0.019461</v>
      </c>
      <c r="Q87" s="322">
        <v>0.07312</v>
      </c>
      <c r="R87" s="334">
        <v>3.88736</v>
      </c>
      <c r="S87" s="335">
        <v>3.11205</v>
      </c>
      <c r="T87" s="322">
        <v>0.180648</v>
      </c>
      <c r="U87" s="322">
        <v>0.334351</v>
      </c>
      <c r="V87" s="322">
        <v>0.297682</v>
      </c>
      <c r="W87" s="322">
        <v>0.033921</v>
      </c>
      <c r="X87" s="322">
        <v>0.045411</v>
      </c>
      <c r="Y87" s="322">
        <v>0.054573</v>
      </c>
      <c r="Z87" s="322">
        <v>0.064602</v>
      </c>
      <c r="AA87" s="322">
        <v>0.074746</v>
      </c>
      <c r="AB87" s="322">
        <v>0.086774</v>
      </c>
      <c r="AC87" s="322">
        <v>0.102218</v>
      </c>
      <c r="AD87" s="322">
        <v>0.121437</v>
      </c>
      <c r="AE87" s="322">
        <v>0.155047</v>
      </c>
      <c r="AF87" s="322">
        <v>0.26127</v>
      </c>
      <c r="AG87" s="322">
        <v>1.072176</v>
      </c>
      <c r="AH87" s="322">
        <v>232.1995</v>
      </c>
      <c r="AI87" s="322">
        <v>2094355.0</v>
      </c>
      <c r="AJ87" s="322">
        <v>613.8981</v>
      </c>
      <c r="AK87" s="324"/>
      <c r="AL87" s="336" t="b">
        <v>0</v>
      </c>
      <c r="AM87" s="321" t="s">
        <v>472</v>
      </c>
      <c r="AN87" s="321" t="s">
        <v>473</v>
      </c>
      <c r="AO87" s="322">
        <v>2.706025</v>
      </c>
      <c r="AP87" s="322">
        <v>0.398611</v>
      </c>
    </row>
    <row r="88">
      <c r="A88" s="321" t="s">
        <v>465</v>
      </c>
      <c r="B88" s="321" t="s">
        <v>466</v>
      </c>
      <c r="C88" s="321" t="s">
        <v>74</v>
      </c>
      <c r="D88" s="321" t="s">
        <v>391</v>
      </c>
      <c r="E88" s="322">
        <v>2015.0</v>
      </c>
      <c r="F88" s="321" t="s">
        <v>469</v>
      </c>
      <c r="G88" s="321" t="s">
        <v>525</v>
      </c>
      <c r="H88" s="321" t="s">
        <v>469</v>
      </c>
      <c r="I88" s="322">
        <v>2015.67</v>
      </c>
      <c r="J88" s="321" t="s">
        <v>471</v>
      </c>
      <c r="K88" s="322">
        <v>3.0</v>
      </c>
      <c r="L88" s="321" t="s">
        <v>526</v>
      </c>
      <c r="M88" s="322">
        <v>2.15</v>
      </c>
      <c r="N88" s="322">
        <v>0.293651</v>
      </c>
      <c r="O88" s="322">
        <v>0.086358</v>
      </c>
      <c r="P88" s="322">
        <v>0.036862</v>
      </c>
      <c r="Q88" s="322">
        <v>0.117344</v>
      </c>
      <c r="R88" s="334">
        <v>4.246111</v>
      </c>
      <c r="S88" s="335">
        <v>3.098574</v>
      </c>
      <c r="T88" s="322">
        <v>0.279793</v>
      </c>
      <c r="U88" s="322">
        <v>0.407758</v>
      </c>
      <c r="V88" s="322">
        <v>0.359405</v>
      </c>
      <c r="W88" s="322">
        <v>0.024129</v>
      </c>
      <c r="X88" s="322">
        <v>0.037395</v>
      </c>
      <c r="Y88" s="322">
        <v>0.046667</v>
      </c>
      <c r="Z88" s="322">
        <v>0.055847</v>
      </c>
      <c r="AA88" s="322">
        <v>0.066524</v>
      </c>
      <c r="AB88" s="322">
        <v>0.079468</v>
      </c>
      <c r="AC88" s="322">
        <v>0.095219</v>
      </c>
      <c r="AD88" s="322">
        <v>0.119513</v>
      </c>
      <c r="AE88" s="322">
        <v>0.159622</v>
      </c>
      <c r="AF88" s="322">
        <v>0.315615</v>
      </c>
      <c r="AG88" s="322">
        <v>0.907895</v>
      </c>
      <c r="AH88" s="322">
        <v>41.63478</v>
      </c>
      <c r="AI88" s="322">
        <v>4.755042E7</v>
      </c>
      <c r="AJ88" s="322">
        <v>1496.654</v>
      </c>
      <c r="AK88" s="322">
        <v>1130.224</v>
      </c>
      <c r="AL88" s="336" t="b">
        <v>0</v>
      </c>
      <c r="AM88" s="321" t="s">
        <v>472</v>
      </c>
      <c r="AN88" s="321" t="s">
        <v>473</v>
      </c>
      <c r="AO88" s="322">
        <v>2.699287</v>
      </c>
      <c r="AP88" s="322">
        <v>0.424459</v>
      </c>
    </row>
    <row r="89">
      <c r="A89" s="321" t="s">
        <v>465</v>
      </c>
      <c r="B89" s="321" t="s">
        <v>466</v>
      </c>
      <c r="C89" s="321" t="s">
        <v>527</v>
      </c>
      <c r="D89" s="321" t="s">
        <v>528</v>
      </c>
      <c r="E89" s="322">
        <v>2016.0</v>
      </c>
      <c r="F89" s="321" t="s">
        <v>469</v>
      </c>
      <c r="G89" s="321" t="s">
        <v>529</v>
      </c>
      <c r="H89" s="321" t="s">
        <v>469</v>
      </c>
      <c r="I89" s="322">
        <v>2016.0</v>
      </c>
      <c r="J89" s="321" t="s">
        <v>471</v>
      </c>
      <c r="K89" s="322">
        <v>1.0</v>
      </c>
      <c r="L89" s="321" t="s">
        <v>530</v>
      </c>
      <c r="M89" s="322">
        <v>2.15</v>
      </c>
      <c r="N89" s="322">
        <v>0.276177</v>
      </c>
      <c r="O89" s="322">
        <v>0.074764</v>
      </c>
      <c r="P89" s="322">
        <v>0.029057</v>
      </c>
      <c r="Q89" s="322">
        <v>0.097023</v>
      </c>
      <c r="R89" s="334">
        <v>3.883072</v>
      </c>
      <c r="S89" s="335">
        <v>3.095039</v>
      </c>
      <c r="T89" s="322">
        <v>0.206166</v>
      </c>
      <c r="U89" s="322">
        <v>0.352655</v>
      </c>
      <c r="V89" s="322">
        <v>0.30879</v>
      </c>
      <c r="W89" s="322">
        <v>0.029401</v>
      </c>
      <c r="X89" s="322">
        <v>0.042691</v>
      </c>
      <c r="Y89" s="322">
        <v>0.052907</v>
      </c>
      <c r="Z89" s="322">
        <v>0.063045</v>
      </c>
      <c r="AA89" s="322">
        <v>0.074134</v>
      </c>
      <c r="AB89" s="322">
        <v>0.086261</v>
      </c>
      <c r="AC89" s="322">
        <v>0.101024</v>
      </c>
      <c r="AD89" s="322">
        <v>0.122362</v>
      </c>
      <c r="AE89" s="322">
        <v>0.157208</v>
      </c>
      <c r="AF89" s="322">
        <v>0.270968</v>
      </c>
      <c r="AG89" s="322">
        <v>0.889524</v>
      </c>
      <c r="AH89" s="322">
        <v>47.99602</v>
      </c>
      <c r="AI89" s="322">
        <v>4706097.0</v>
      </c>
      <c r="AJ89" s="322">
        <v>675.0596</v>
      </c>
      <c r="AK89" s="324"/>
      <c r="AL89" s="336" t="b">
        <v>0</v>
      </c>
      <c r="AM89" s="321" t="s">
        <v>472</v>
      </c>
      <c r="AN89" s="321" t="s">
        <v>473</v>
      </c>
      <c r="AO89" s="322">
        <v>2.697519</v>
      </c>
      <c r="AP89" s="322">
        <v>0.407823</v>
      </c>
    </row>
    <row r="90">
      <c r="A90" s="321" t="s">
        <v>465</v>
      </c>
      <c r="B90" s="321" t="s">
        <v>466</v>
      </c>
      <c r="C90" s="321" t="s">
        <v>337</v>
      </c>
      <c r="D90" s="321" t="s">
        <v>531</v>
      </c>
      <c r="E90" s="322">
        <v>2017.0</v>
      </c>
      <c r="F90" s="321" t="s">
        <v>469</v>
      </c>
      <c r="G90" s="321" t="s">
        <v>532</v>
      </c>
      <c r="H90" s="321" t="s">
        <v>469</v>
      </c>
      <c r="I90" s="322">
        <v>2017.14</v>
      </c>
      <c r="J90" s="321" t="s">
        <v>471</v>
      </c>
      <c r="K90" s="322">
        <v>3.0</v>
      </c>
      <c r="L90" s="322">
        <v>2017.0</v>
      </c>
      <c r="M90" s="322">
        <v>2.15</v>
      </c>
      <c r="N90" s="322">
        <v>0.323999</v>
      </c>
      <c r="O90" s="322">
        <v>0.116292</v>
      </c>
      <c r="P90" s="322">
        <v>0.057461</v>
      </c>
      <c r="Q90" s="322">
        <v>0.168624</v>
      </c>
      <c r="R90" s="334">
        <v>4.643397</v>
      </c>
      <c r="S90" s="335">
        <v>3.237574</v>
      </c>
      <c r="T90" s="322">
        <v>0.354801</v>
      </c>
      <c r="U90" s="322">
        <v>0.448797</v>
      </c>
      <c r="V90" s="322">
        <v>0.448337</v>
      </c>
      <c r="W90" s="322">
        <v>0.017199</v>
      </c>
      <c r="X90" s="322">
        <v>0.029157</v>
      </c>
      <c r="Y90" s="322">
        <v>0.039011</v>
      </c>
      <c r="Z90" s="322">
        <v>0.049513</v>
      </c>
      <c r="AA90" s="322">
        <v>0.062699</v>
      </c>
      <c r="AB90" s="322">
        <v>0.079147</v>
      </c>
      <c r="AC90" s="322">
        <v>0.099884</v>
      </c>
      <c r="AD90" s="322">
        <v>0.125866</v>
      </c>
      <c r="AE90" s="322">
        <v>0.168542</v>
      </c>
      <c r="AF90" s="322">
        <v>0.328983</v>
      </c>
      <c r="AG90" s="322">
        <v>1.005504</v>
      </c>
      <c r="AH90" s="322">
        <v>5.243988</v>
      </c>
      <c r="AI90" s="322">
        <v>2174453.0</v>
      </c>
      <c r="AJ90" s="322">
        <v>1090.99</v>
      </c>
      <c r="AK90" s="322">
        <v>872.4615</v>
      </c>
      <c r="AL90" s="336" t="b">
        <v>0</v>
      </c>
      <c r="AM90" s="321" t="s">
        <v>472</v>
      </c>
      <c r="AN90" s="321" t="s">
        <v>473</v>
      </c>
      <c r="AO90" s="322">
        <v>2.768787</v>
      </c>
      <c r="AP90" s="322">
        <v>0.430573</v>
      </c>
    </row>
    <row r="91">
      <c r="A91" s="321" t="s">
        <v>465</v>
      </c>
      <c r="B91" s="321" t="s">
        <v>466</v>
      </c>
      <c r="C91" s="321" t="s">
        <v>338</v>
      </c>
      <c r="D91" s="321" t="s">
        <v>533</v>
      </c>
      <c r="E91" s="322">
        <v>2012.0</v>
      </c>
      <c r="F91" s="321" t="s">
        <v>469</v>
      </c>
      <c r="G91" s="321" t="s">
        <v>534</v>
      </c>
      <c r="H91" s="321" t="s">
        <v>469</v>
      </c>
      <c r="I91" s="322">
        <v>2012.73</v>
      </c>
      <c r="J91" s="321" t="s">
        <v>471</v>
      </c>
      <c r="K91" s="322">
        <v>3.0</v>
      </c>
      <c r="L91" s="321" t="s">
        <v>535</v>
      </c>
      <c r="M91" s="322">
        <v>2.15</v>
      </c>
      <c r="N91" s="322">
        <v>0.807301</v>
      </c>
      <c r="O91" s="322">
        <v>0.425858</v>
      </c>
      <c r="P91" s="322">
        <v>0.26362</v>
      </c>
      <c r="Q91" s="322">
        <v>0.706863</v>
      </c>
      <c r="R91" s="334">
        <v>1.590663</v>
      </c>
      <c r="S91" s="335">
        <v>1.118724</v>
      </c>
      <c r="T91" s="322">
        <v>0.307928</v>
      </c>
      <c r="U91" s="322">
        <v>0.426482</v>
      </c>
      <c r="V91" s="322">
        <v>0.366345</v>
      </c>
      <c r="W91" s="322">
        <v>0.021563</v>
      </c>
      <c r="X91" s="322">
        <v>0.035692</v>
      </c>
      <c r="Y91" s="322">
        <v>0.04557</v>
      </c>
      <c r="Z91" s="322">
        <v>0.054698</v>
      </c>
      <c r="AA91" s="322">
        <v>0.064833</v>
      </c>
      <c r="AB91" s="322">
        <v>0.076525</v>
      </c>
      <c r="AC91" s="322">
        <v>0.091669</v>
      </c>
      <c r="AD91" s="322">
        <v>0.115269</v>
      </c>
      <c r="AE91" s="322">
        <v>0.159315</v>
      </c>
      <c r="AF91" s="322">
        <v>0.334865</v>
      </c>
      <c r="AG91" s="322">
        <v>0.750794</v>
      </c>
      <c r="AH91" s="322">
        <v>962.9596</v>
      </c>
      <c r="AI91" s="322">
        <v>2.3420178E7</v>
      </c>
      <c r="AJ91" s="322">
        <v>452.205</v>
      </c>
      <c r="AK91" s="322">
        <v>337.5683</v>
      </c>
      <c r="AL91" s="336" t="b">
        <v>0</v>
      </c>
      <c r="AM91" s="321" t="s">
        <v>472</v>
      </c>
      <c r="AN91" s="321" t="s">
        <v>473</v>
      </c>
      <c r="AO91" s="322">
        <v>2.15</v>
      </c>
      <c r="AP91" s="322">
        <v>0.807301</v>
      </c>
    </row>
    <row r="92">
      <c r="A92" s="321" t="s">
        <v>465</v>
      </c>
      <c r="B92" s="321" t="s">
        <v>466</v>
      </c>
      <c r="C92" s="321" t="s">
        <v>536</v>
      </c>
      <c r="D92" s="321" t="s">
        <v>537</v>
      </c>
      <c r="E92" s="322">
        <v>2021.0</v>
      </c>
      <c r="F92" s="321" t="s">
        <v>469</v>
      </c>
      <c r="G92" s="321" t="s">
        <v>482</v>
      </c>
      <c r="H92" s="321" t="s">
        <v>469</v>
      </c>
      <c r="I92" s="322">
        <v>2021.57</v>
      </c>
      <c r="J92" s="321" t="s">
        <v>471</v>
      </c>
      <c r="K92" s="322">
        <v>3.0</v>
      </c>
      <c r="L92" s="321" t="s">
        <v>483</v>
      </c>
      <c r="M92" s="322">
        <v>2.15</v>
      </c>
      <c r="N92" s="322">
        <v>0.208493</v>
      </c>
      <c r="O92" s="322">
        <v>0.045273</v>
      </c>
      <c r="P92" s="322">
        <v>0.014389</v>
      </c>
      <c r="Q92" s="322">
        <v>0.055269</v>
      </c>
      <c r="R92" s="334">
        <v>4.359942</v>
      </c>
      <c r="S92" s="335">
        <v>3.34881</v>
      </c>
      <c r="T92" s="322">
        <v>0.205207</v>
      </c>
      <c r="U92" s="322">
        <v>0.356536</v>
      </c>
      <c r="V92" s="322">
        <v>0.308612</v>
      </c>
      <c r="W92" s="322">
        <v>0.032295</v>
      </c>
      <c r="X92" s="322">
        <v>0.044036</v>
      </c>
      <c r="Y92" s="322">
        <v>0.053391</v>
      </c>
      <c r="Z92" s="322">
        <v>0.061701</v>
      </c>
      <c r="AA92" s="322">
        <v>0.071097</v>
      </c>
      <c r="AB92" s="322">
        <v>0.082521</v>
      </c>
      <c r="AC92" s="322">
        <v>0.097339</v>
      </c>
      <c r="AD92" s="322">
        <v>0.118847</v>
      </c>
      <c r="AE92" s="322">
        <v>0.155399</v>
      </c>
      <c r="AF92" s="322">
        <v>0.283376</v>
      </c>
      <c r="AG92" s="322">
        <v>1.065448</v>
      </c>
      <c r="AH92" s="322">
        <v>205.2734</v>
      </c>
      <c r="AI92" s="322">
        <v>2.2297489E7</v>
      </c>
      <c r="AJ92" s="322">
        <v>744.7604</v>
      </c>
      <c r="AK92" s="322">
        <v>576.3102</v>
      </c>
      <c r="AL92" s="336" t="b">
        <v>0</v>
      </c>
      <c r="AM92" s="321" t="s">
        <v>472</v>
      </c>
      <c r="AN92" s="321" t="s">
        <v>473</v>
      </c>
      <c r="AO92" s="322">
        <v>2.824405</v>
      </c>
      <c r="AP92" s="322">
        <v>0.385491</v>
      </c>
    </row>
    <row r="93">
      <c r="A93" s="321" t="s">
        <v>465</v>
      </c>
      <c r="B93" s="321" t="s">
        <v>466</v>
      </c>
      <c r="C93" s="321" t="s">
        <v>76</v>
      </c>
      <c r="D93" s="321" t="s">
        <v>393</v>
      </c>
      <c r="E93" s="322">
        <v>2019.0</v>
      </c>
      <c r="F93" s="321" t="s">
        <v>469</v>
      </c>
      <c r="G93" s="321" t="s">
        <v>538</v>
      </c>
      <c r="H93" s="321" t="s">
        <v>469</v>
      </c>
      <c r="I93" s="322">
        <v>2019.92</v>
      </c>
      <c r="J93" s="321" t="s">
        <v>471</v>
      </c>
      <c r="K93" s="322">
        <v>0.0</v>
      </c>
      <c r="L93" s="321" t="s">
        <v>539</v>
      </c>
      <c r="M93" s="322">
        <v>2.15</v>
      </c>
      <c r="N93" s="322">
        <v>0.745284</v>
      </c>
      <c r="O93" s="322">
        <v>0.376378</v>
      </c>
      <c r="P93" s="322">
        <v>0.231485</v>
      </c>
      <c r="Q93" s="322">
        <v>0.635327</v>
      </c>
      <c r="R93" s="334">
        <v>2.096122</v>
      </c>
      <c r="S93" s="335">
        <v>1.293979</v>
      </c>
      <c r="T93" s="322">
        <v>0.451608</v>
      </c>
      <c r="U93" s="322">
        <v>0.50454</v>
      </c>
      <c r="V93" s="322">
        <v>0.415777</v>
      </c>
      <c r="W93" s="322">
        <v>0.015912</v>
      </c>
      <c r="X93" s="322">
        <v>0.028574</v>
      </c>
      <c r="Y93" s="322">
        <v>0.037169</v>
      </c>
      <c r="Z93" s="322">
        <v>0.045919</v>
      </c>
      <c r="AA93" s="322">
        <v>0.055998</v>
      </c>
      <c r="AB93" s="322">
        <v>0.067931</v>
      </c>
      <c r="AC93" s="322">
        <v>0.08284</v>
      </c>
      <c r="AD93" s="322">
        <v>0.104722</v>
      </c>
      <c r="AE93" s="322">
        <v>0.1489</v>
      </c>
      <c r="AF93" s="322">
        <v>0.412034</v>
      </c>
      <c r="AG93" s="322">
        <v>1.102476</v>
      </c>
      <c r="AH93" s="322">
        <v>21.98802</v>
      </c>
      <c r="AI93" s="322">
        <v>3.1106827E7</v>
      </c>
      <c r="AJ93" s="322">
        <v>608.9636</v>
      </c>
      <c r="AK93" s="324"/>
      <c r="AL93" s="336" t="b">
        <v>0</v>
      </c>
      <c r="AM93" s="321" t="s">
        <v>472</v>
      </c>
      <c r="AN93" s="321" t="s">
        <v>473</v>
      </c>
      <c r="AO93" s="322">
        <v>2.15</v>
      </c>
      <c r="AP93" s="322">
        <v>0.745284</v>
      </c>
    </row>
    <row r="94">
      <c r="A94" s="321" t="s">
        <v>465</v>
      </c>
      <c r="B94" s="321" t="s">
        <v>466</v>
      </c>
      <c r="C94" s="321" t="s">
        <v>540</v>
      </c>
      <c r="D94" s="321" t="s">
        <v>541</v>
      </c>
      <c r="E94" s="322">
        <v>2019.0</v>
      </c>
      <c r="F94" s="321" t="s">
        <v>469</v>
      </c>
      <c r="G94" s="321" t="s">
        <v>542</v>
      </c>
      <c r="H94" s="321" t="s">
        <v>469</v>
      </c>
      <c r="I94" s="322">
        <v>2019.6</v>
      </c>
      <c r="J94" s="321" t="s">
        <v>471</v>
      </c>
      <c r="K94" s="322">
        <v>3.0</v>
      </c>
      <c r="L94" s="321" t="s">
        <v>543</v>
      </c>
      <c r="M94" s="322">
        <v>2.15</v>
      </c>
      <c r="N94" s="322">
        <v>0.053547</v>
      </c>
      <c r="O94" s="322">
        <v>0.013716</v>
      </c>
      <c r="P94" s="322">
        <v>0.005584</v>
      </c>
      <c r="Q94" s="322">
        <v>0.018153</v>
      </c>
      <c r="R94" s="334">
        <v>6.275556</v>
      </c>
      <c r="S94" s="335">
        <v>5.2767</v>
      </c>
      <c r="T94" s="322">
        <v>0.171692</v>
      </c>
      <c r="U94" s="322">
        <v>0.319968</v>
      </c>
      <c r="V94" s="322">
        <v>0.278616</v>
      </c>
      <c r="W94" s="322">
        <v>0.031322</v>
      </c>
      <c r="X94" s="322">
        <v>0.047159</v>
      </c>
      <c r="Y94" s="322">
        <v>0.057447</v>
      </c>
      <c r="Z94" s="322">
        <v>0.067558</v>
      </c>
      <c r="AA94" s="322">
        <v>0.078012</v>
      </c>
      <c r="AB94" s="322">
        <v>0.090089</v>
      </c>
      <c r="AC94" s="322">
        <v>0.104424</v>
      </c>
      <c r="AD94" s="322">
        <v>0.124159</v>
      </c>
      <c r="AE94" s="322">
        <v>0.153946</v>
      </c>
      <c r="AF94" s="322">
        <v>0.245883</v>
      </c>
      <c r="AG94" s="322">
        <v>1.073854</v>
      </c>
      <c r="AH94" s="322">
        <v>124.4526</v>
      </c>
      <c r="AI94" s="322">
        <v>4452702.0</v>
      </c>
      <c r="AJ94" s="322">
        <v>1635.84</v>
      </c>
      <c r="AK94" s="322">
        <v>1025.453</v>
      </c>
      <c r="AL94" s="336" t="b">
        <v>0</v>
      </c>
      <c r="AM94" s="321" t="s">
        <v>472</v>
      </c>
      <c r="AN94" s="321" t="s">
        <v>473</v>
      </c>
      <c r="AO94" s="322">
        <v>3.78835</v>
      </c>
      <c r="AP94" s="322">
        <v>0.279043</v>
      </c>
    </row>
    <row r="95">
      <c r="A95" s="321" t="s">
        <v>465</v>
      </c>
      <c r="B95" s="321" t="s">
        <v>466</v>
      </c>
      <c r="C95" s="321" t="s">
        <v>544</v>
      </c>
      <c r="D95" s="321" t="s">
        <v>545</v>
      </c>
      <c r="E95" s="322">
        <v>2017.0</v>
      </c>
      <c r="F95" s="321" t="s">
        <v>469</v>
      </c>
      <c r="G95" s="321" t="s">
        <v>546</v>
      </c>
      <c r="H95" s="321" t="s">
        <v>469</v>
      </c>
      <c r="I95" s="322">
        <v>2017.0</v>
      </c>
      <c r="J95" s="321" t="s">
        <v>471</v>
      </c>
      <c r="K95" s="322">
        <v>0.0</v>
      </c>
      <c r="L95" s="321" t="s">
        <v>547</v>
      </c>
      <c r="M95" s="322">
        <v>2.15</v>
      </c>
      <c r="N95" s="322">
        <v>0.001253</v>
      </c>
      <c r="O95" s="337">
        <v>1.48E-4</v>
      </c>
      <c r="P95" s="337">
        <v>2.86E-5</v>
      </c>
      <c r="Q95" s="337">
        <v>1.65E-4</v>
      </c>
      <c r="R95" s="334">
        <v>16.50926</v>
      </c>
      <c r="S95" s="335">
        <v>12.73115</v>
      </c>
      <c r="T95" s="322">
        <v>0.226615</v>
      </c>
      <c r="U95" s="322">
        <v>0.367612</v>
      </c>
      <c r="V95" s="322">
        <v>0.290585</v>
      </c>
      <c r="W95" s="322">
        <v>0.029136</v>
      </c>
      <c r="X95" s="322">
        <v>0.043074</v>
      </c>
      <c r="Y95" s="322">
        <v>0.053298</v>
      </c>
      <c r="Z95" s="322">
        <v>0.062602</v>
      </c>
      <c r="AA95" s="322">
        <v>0.072064</v>
      </c>
      <c r="AB95" s="322">
        <v>0.082863</v>
      </c>
      <c r="AC95" s="322">
        <v>0.096271</v>
      </c>
      <c r="AD95" s="322">
        <v>0.114313</v>
      </c>
      <c r="AE95" s="322">
        <v>0.147697</v>
      </c>
      <c r="AF95" s="322">
        <v>0.298682</v>
      </c>
      <c r="AG95" s="322">
        <v>1.0</v>
      </c>
      <c r="AH95" s="322">
        <v>18.00942</v>
      </c>
      <c r="AI95" s="322">
        <v>1264887.0</v>
      </c>
      <c r="AJ95" s="322">
        <v>10247.7</v>
      </c>
      <c r="AK95" s="322">
        <v>7321.506</v>
      </c>
      <c r="AL95" s="336" t="b">
        <v>0</v>
      </c>
      <c r="AM95" s="321" t="s">
        <v>472</v>
      </c>
      <c r="AN95" s="321" t="s">
        <v>473</v>
      </c>
      <c r="AO95" s="322">
        <v>7.515577</v>
      </c>
      <c r="AP95" s="322">
        <v>0.171468</v>
      </c>
    </row>
    <row r="96">
      <c r="A96" s="321" t="s">
        <v>465</v>
      </c>
      <c r="B96" s="321" t="s">
        <v>466</v>
      </c>
      <c r="C96" s="321" t="s">
        <v>75</v>
      </c>
      <c r="D96" s="321" t="s">
        <v>394</v>
      </c>
      <c r="E96" s="322">
        <v>2019.0</v>
      </c>
      <c r="F96" s="321" t="s">
        <v>469</v>
      </c>
      <c r="G96" s="321" t="s">
        <v>548</v>
      </c>
      <c r="H96" s="321" t="s">
        <v>469</v>
      </c>
      <c r="I96" s="322">
        <v>2019.31</v>
      </c>
      <c r="J96" s="321" t="s">
        <v>471</v>
      </c>
      <c r="K96" s="322">
        <v>1.0</v>
      </c>
      <c r="L96" s="321" t="s">
        <v>549</v>
      </c>
      <c r="M96" s="322">
        <v>2.15</v>
      </c>
      <c r="N96" s="322">
        <v>0.700606</v>
      </c>
      <c r="O96" s="322">
        <v>0.293136</v>
      </c>
      <c r="P96" s="322">
        <v>0.152665</v>
      </c>
      <c r="Q96" s="322">
        <v>0.430292</v>
      </c>
      <c r="R96" s="334">
        <v>2.069363</v>
      </c>
      <c r="S96" s="335">
        <v>1.533903</v>
      </c>
      <c r="T96" s="322">
        <v>0.244964</v>
      </c>
      <c r="U96" s="322">
        <v>0.385432</v>
      </c>
      <c r="V96" s="322">
        <v>0.320792</v>
      </c>
      <c r="W96" s="322">
        <v>0.028504</v>
      </c>
      <c r="X96" s="322">
        <v>0.040992</v>
      </c>
      <c r="Y96" s="322">
        <v>0.050191</v>
      </c>
      <c r="Z96" s="322">
        <v>0.059323</v>
      </c>
      <c r="AA96" s="322">
        <v>0.068845</v>
      </c>
      <c r="AB96" s="322">
        <v>0.080383</v>
      </c>
      <c r="AC96" s="322">
        <v>0.094481</v>
      </c>
      <c r="AD96" s="322">
        <v>0.115452</v>
      </c>
      <c r="AE96" s="322">
        <v>0.152065</v>
      </c>
      <c r="AF96" s="322">
        <v>0.309764</v>
      </c>
      <c r="AG96" s="322">
        <v>1.262426</v>
      </c>
      <c r="AH96" s="322">
        <v>241.9305</v>
      </c>
      <c r="AI96" s="322">
        <v>1.9025351E7</v>
      </c>
      <c r="AJ96" s="322">
        <v>573.4001</v>
      </c>
      <c r="AK96" s="324"/>
      <c r="AL96" s="336" t="b">
        <v>0</v>
      </c>
      <c r="AM96" s="321" t="s">
        <v>472</v>
      </c>
      <c r="AN96" s="321" t="s">
        <v>473</v>
      </c>
      <c r="AO96" s="322">
        <v>2.15</v>
      </c>
      <c r="AP96" s="322">
        <v>0.700606</v>
      </c>
    </row>
    <row r="97">
      <c r="A97" s="321" t="s">
        <v>465</v>
      </c>
      <c r="B97" s="321" t="s">
        <v>466</v>
      </c>
      <c r="C97" s="321" t="s">
        <v>550</v>
      </c>
      <c r="D97" s="321" t="s">
        <v>551</v>
      </c>
      <c r="E97" s="322">
        <v>2015.0</v>
      </c>
      <c r="F97" s="321" t="s">
        <v>469</v>
      </c>
      <c r="G97" s="321" t="s">
        <v>552</v>
      </c>
      <c r="H97" s="321" t="s">
        <v>469</v>
      </c>
      <c r="I97" s="322">
        <v>2015.27</v>
      </c>
      <c r="J97" s="321" t="s">
        <v>471</v>
      </c>
      <c r="K97" s="322">
        <v>1.0</v>
      </c>
      <c r="L97" s="321" t="s">
        <v>553</v>
      </c>
      <c r="M97" s="322">
        <v>2.15</v>
      </c>
      <c r="N97" s="322">
        <v>0.15617</v>
      </c>
      <c r="O97" s="322">
        <v>0.054375</v>
      </c>
      <c r="P97" s="322">
        <v>0.026096</v>
      </c>
      <c r="Q97" s="322">
        <v>0.077156</v>
      </c>
      <c r="R97" s="334">
        <v>11.65441</v>
      </c>
      <c r="S97" s="335">
        <v>5.684174</v>
      </c>
      <c r="T97" s="322">
        <v>0.642663</v>
      </c>
      <c r="U97" s="322">
        <v>0.590666</v>
      </c>
      <c r="V97" s="322">
        <v>0.624969</v>
      </c>
      <c r="W97" s="322">
        <v>0.009642</v>
      </c>
      <c r="X97" s="322">
        <v>0.017908</v>
      </c>
      <c r="Y97" s="322">
        <v>0.025025</v>
      </c>
      <c r="Z97" s="322">
        <v>0.033142</v>
      </c>
      <c r="AA97" s="322">
        <v>0.042754</v>
      </c>
      <c r="AB97" s="322">
        <v>0.055624</v>
      </c>
      <c r="AC97" s="322">
        <v>0.074254</v>
      </c>
      <c r="AD97" s="322">
        <v>0.104298</v>
      </c>
      <c r="AE97" s="322">
        <v>0.164853</v>
      </c>
      <c r="AF97" s="322">
        <v>0.472501</v>
      </c>
      <c r="AG97" s="322">
        <v>0.898743</v>
      </c>
      <c r="AH97" s="322">
        <v>6.898255</v>
      </c>
      <c r="AI97" s="322">
        <v>2293679.0</v>
      </c>
      <c r="AJ97" s="322">
        <v>4965.673</v>
      </c>
      <c r="AK97" s="322">
        <v>3412.02</v>
      </c>
      <c r="AL97" s="336" t="b">
        <v>0</v>
      </c>
      <c r="AM97" s="321" t="s">
        <v>472</v>
      </c>
      <c r="AN97" s="321" t="s">
        <v>473</v>
      </c>
      <c r="AO97" s="322">
        <v>3.992087</v>
      </c>
      <c r="AP97" s="322">
        <v>0.362359</v>
      </c>
    </row>
    <row r="98">
      <c r="A98" s="321" t="s">
        <v>465</v>
      </c>
      <c r="B98" s="321" t="s">
        <v>466</v>
      </c>
      <c r="C98" s="321" t="s">
        <v>554</v>
      </c>
      <c r="D98" s="321" t="s">
        <v>555</v>
      </c>
      <c r="E98" s="322">
        <v>2021.0</v>
      </c>
      <c r="F98" s="321" t="s">
        <v>469</v>
      </c>
      <c r="G98" s="321" t="s">
        <v>482</v>
      </c>
      <c r="H98" s="321" t="s">
        <v>469</v>
      </c>
      <c r="I98" s="322">
        <v>2021.5</v>
      </c>
      <c r="J98" s="321" t="s">
        <v>471</v>
      </c>
      <c r="K98" s="322">
        <v>5.0</v>
      </c>
      <c r="L98" s="321" t="s">
        <v>483</v>
      </c>
      <c r="M98" s="322">
        <v>2.15</v>
      </c>
      <c r="N98" s="322">
        <v>0.506138</v>
      </c>
      <c r="O98" s="322">
        <v>0.142683</v>
      </c>
      <c r="P98" s="322">
        <v>0.054336</v>
      </c>
      <c r="Q98" s="322">
        <v>0.183102</v>
      </c>
      <c r="R98" s="334">
        <v>2.689935</v>
      </c>
      <c r="S98" s="335">
        <v>2.131838</v>
      </c>
      <c r="T98" s="322">
        <v>0.176247</v>
      </c>
      <c r="U98" s="322">
        <v>0.328626</v>
      </c>
      <c r="V98" s="322">
        <v>0.252983</v>
      </c>
      <c r="W98" s="322">
        <v>0.037765</v>
      </c>
      <c r="X98" s="322">
        <v>0.04962</v>
      </c>
      <c r="Y98" s="322">
        <v>0.057773</v>
      </c>
      <c r="Z98" s="322">
        <v>0.065805</v>
      </c>
      <c r="AA98" s="322">
        <v>0.07465</v>
      </c>
      <c r="AB98" s="322">
        <v>0.083935</v>
      </c>
      <c r="AC98" s="322">
        <v>0.095375</v>
      </c>
      <c r="AD98" s="322">
        <v>0.112819</v>
      </c>
      <c r="AE98" s="322">
        <v>0.144168</v>
      </c>
      <c r="AF98" s="322">
        <v>0.27809</v>
      </c>
      <c r="AG98" s="322">
        <v>1.078229</v>
      </c>
      <c r="AH98" s="322">
        <v>245.1597</v>
      </c>
      <c r="AI98" s="322">
        <v>2.573035E7</v>
      </c>
      <c r="AJ98" s="322">
        <v>507.7103</v>
      </c>
      <c r="AK98" s="322">
        <v>368.327</v>
      </c>
      <c r="AL98" s="336" t="b">
        <v>0</v>
      </c>
      <c r="AM98" s="321" t="s">
        <v>472</v>
      </c>
      <c r="AN98" s="321" t="s">
        <v>473</v>
      </c>
      <c r="AO98" s="322">
        <v>2.215919</v>
      </c>
      <c r="AP98" s="322">
        <v>0.536161</v>
      </c>
    </row>
    <row r="99">
      <c r="A99" s="321" t="s">
        <v>465</v>
      </c>
      <c r="B99" s="321" t="s">
        <v>466</v>
      </c>
      <c r="C99" s="321" t="s">
        <v>556</v>
      </c>
      <c r="D99" s="321" t="s">
        <v>557</v>
      </c>
      <c r="E99" s="322">
        <v>2018.0</v>
      </c>
      <c r="F99" s="321" t="s">
        <v>469</v>
      </c>
      <c r="G99" s="321" t="s">
        <v>558</v>
      </c>
      <c r="H99" s="321" t="s">
        <v>469</v>
      </c>
      <c r="I99" s="322">
        <v>2018.75</v>
      </c>
      <c r="J99" s="321" t="s">
        <v>471</v>
      </c>
      <c r="K99" s="322">
        <v>5.0</v>
      </c>
      <c r="L99" s="322">
        <v>2018.0</v>
      </c>
      <c r="M99" s="322">
        <v>2.15</v>
      </c>
      <c r="N99" s="322">
        <v>0.308633</v>
      </c>
      <c r="O99" s="322">
        <v>0.089797</v>
      </c>
      <c r="P99" s="322">
        <v>0.036547</v>
      </c>
      <c r="Q99" s="322">
        <v>0.118601</v>
      </c>
      <c r="R99" s="334">
        <v>3.65593</v>
      </c>
      <c r="S99" s="335">
        <v>2.95327</v>
      </c>
      <c r="T99" s="322">
        <v>0.205496</v>
      </c>
      <c r="U99" s="322">
        <v>0.351277</v>
      </c>
      <c r="V99" s="322">
        <v>0.310844</v>
      </c>
      <c r="W99" s="322">
        <v>0.028844</v>
      </c>
      <c r="X99" s="322">
        <v>0.04223</v>
      </c>
      <c r="Y99" s="322">
        <v>0.052601</v>
      </c>
      <c r="Z99" s="322">
        <v>0.063297</v>
      </c>
      <c r="AA99" s="322">
        <v>0.074635</v>
      </c>
      <c r="AB99" s="322">
        <v>0.087468</v>
      </c>
      <c r="AC99" s="322">
        <v>0.102795</v>
      </c>
      <c r="AD99" s="322">
        <v>0.124163</v>
      </c>
      <c r="AE99" s="322">
        <v>0.156537</v>
      </c>
      <c r="AF99" s="322">
        <v>0.267432</v>
      </c>
      <c r="AG99" s="322">
        <v>1.209062</v>
      </c>
      <c r="AH99" s="322">
        <v>123.6724</v>
      </c>
      <c r="AI99" s="337">
        <v>2.02E8</v>
      </c>
      <c r="AJ99" s="322">
        <v>2512.08</v>
      </c>
      <c r="AK99" s="324"/>
      <c r="AL99" s="336" t="b">
        <v>0</v>
      </c>
      <c r="AM99" s="321" t="s">
        <v>472</v>
      </c>
      <c r="AN99" s="321" t="s">
        <v>473</v>
      </c>
      <c r="AO99" s="322">
        <v>2.626635</v>
      </c>
      <c r="AP99" s="322">
        <v>0.426578</v>
      </c>
    </row>
    <row r="100">
      <c r="A100" s="321" t="s">
        <v>465</v>
      </c>
      <c r="B100" s="321" t="s">
        <v>466</v>
      </c>
      <c r="C100" s="321" t="s">
        <v>77</v>
      </c>
      <c r="D100" s="321" t="s">
        <v>395</v>
      </c>
      <c r="E100" s="322">
        <v>2016.0</v>
      </c>
      <c r="F100" s="321" t="s">
        <v>469</v>
      </c>
      <c r="G100" s="321" t="s">
        <v>559</v>
      </c>
      <c r="H100" s="321" t="s">
        <v>469</v>
      </c>
      <c r="I100" s="322">
        <v>2016.77</v>
      </c>
      <c r="J100" s="321" t="s">
        <v>471</v>
      </c>
      <c r="K100" s="322">
        <v>1.0</v>
      </c>
      <c r="L100" s="321" t="s">
        <v>560</v>
      </c>
      <c r="M100" s="322">
        <v>2.15</v>
      </c>
      <c r="N100" s="322">
        <v>0.520054</v>
      </c>
      <c r="O100" s="322">
        <v>0.183482</v>
      </c>
      <c r="P100" s="322">
        <v>0.08625</v>
      </c>
      <c r="Q100" s="322">
        <v>0.257086</v>
      </c>
      <c r="R100" s="334">
        <v>3.086796</v>
      </c>
      <c r="S100" s="335">
        <v>2.073805</v>
      </c>
      <c r="T100" s="322">
        <v>0.318572</v>
      </c>
      <c r="U100" s="322">
        <v>0.4371</v>
      </c>
      <c r="V100" s="322">
        <v>0.361875</v>
      </c>
      <c r="W100" s="322">
        <v>0.024358</v>
      </c>
      <c r="X100" s="322">
        <v>0.035878</v>
      </c>
      <c r="Y100" s="322">
        <v>0.044749</v>
      </c>
      <c r="Z100" s="322">
        <v>0.05335</v>
      </c>
      <c r="AA100" s="322">
        <v>0.062369</v>
      </c>
      <c r="AB100" s="322">
        <v>0.073249</v>
      </c>
      <c r="AC100" s="322">
        <v>0.087893</v>
      </c>
      <c r="AD100" s="322">
        <v>0.109909</v>
      </c>
      <c r="AE100" s="322">
        <v>0.151901</v>
      </c>
      <c r="AF100" s="322">
        <v>0.356344</v>
      </c>
      <c r="AG100" s="322">
        <v>0.976775</v>
      </c>
      <c r="AH100" s="322">
        <v>293.705</v>
      </c>
      <c r="AI100" s="322">
        <v>1.2161468E7</v>
      </c>
      <c r="AJ100" s="322">
        <v>758.937</v>
      </c>
      <c r="AK100" s="322">
        <v>601.9675</v>
      </c>
      <c r="AL100" s="336" t="b">
        <v>0</v>
      </c>
      <c r="AM100" s="321" t="s">
        <v>472</v>
      </c>
      <c r="AN100" s="321" t="s">
        <v>473</v>
      </c>
      <c r="AO100" s="322">
        <v>2.186902</v>
      </c>
      <c r="AP100" s="322">
        <v>0.530063</v>
      </c>
    </row>
    <row r="101">
      <c r="A101" s="321" t="s">
        <v>465</v>
      </c>
      <c r="B101" s="321" t="s">
        <v>466</v>
      </c>
      <c r="C101" s="321" t="s">
        <v>561</v>
      </c>
      <c r="D101" s="321" t="s">
        <v>562</v>
      </c>
      <c r="E101" s="322">
        <v>2014.0</v>
      </c>
      <c r="F101" s="321" t="s">
        <v>469</v>
      </c>
      <c r="G101" s="321" t="s">
        <v>563</v>
      </c>
      <c r="H101" s="321" t="s">
        <v>469</v>
      </c>
      <c r="I101" s="322">
        <v>2014.0</v>
      </c>
      <c r="J101" s="321" t="s">
        <v>471</v>
      </c>
      <c r="K101" s="322">
        <v>1.0</v>
      </c>
      <c r="L101" s="322">
        <v>2014.0</v>
      </c>
      <c r="M101" s="322">
        <v>2.15</v>
      </c>
      <c r="N101" s="322">
        <v>0.152631</v>
      </c>
      <c r="O101" s="322">
        <v>0.036132</v>
      </c>
      <c r="P101" s="322">
        <v>0.012896</v>
      </c>
      <c r="Q101" s="322">
        <v>0.045994</v>
      </c>
      <c r="R101" s="334">
        <v>4.563742</v>
      </c>
      <c r="S101" s="335">
        <v>3.661623</v>
      </c>
      <c r="T101" s="322">
        <v>0.197039</v>
      </c>
      <c r="U101" s="322">
        <v>0.342432</v>
      </c>
      <c r="V101" s="322">
        <v>0.27548</v>
      </c>
      <c r="W101" s="322">
        <v>0.031741</v>
      </c>
      <c r="X101" s="322">
        <v>0.046535</v>
      </c>
      <c r="Y101" s="322">
        <v>0.055996</v>
      </c>
      <c r="Z101" s="322">
        <v>0.064665</v>
      </c>
      <c r="AA101" s="322">
        <v>0.074631</v>
      </c>
      <c r="AB101" s="322">
        <v>0.086334</v>
      </c>
      <c r="AC101" s="322">
        <v>0.099626</v>
      </c>
      <c r="AD101" s="322">
        <v>0.116737</v>
      </c>
      <c r="AE101" s="322">
        <v>0.145962</v>
      </c>
      <c r="AF101" s="322">
        <v>0.277774</v>
      </c>
      <c r="AG101" s="322">
        <v>0.591487</v>
      </c>
      <c r="AH101" s="322">
        <v>6.464017</v>
      </c>
      <c r="AI101" s="322">
        <v>3.7003245E7</v>
      </c>
      <c r="AJ101" s="322">
        <v>2253.633</v>
      </c>
      <c r="AK101" s="322">
        <v>1882.143</v>
      </c>
      <c r="AL101" s="336" t="b">
        <v>0</v>
      </c>
      <c r="AM101" s="321" t="s">
        <v>472</v>
      </c>
      <c r="AN101" s="321" t="s">
        <v>473</v>
      </c>
      <c r="AO101" s="322">
        <v>2.980812</v>
      </c>
      <c r="AP101" s="322">
        <v>0.359166</v>
      </c>
    </row>
    <row r="102">
      <c r="A102" s="321" t="s">
        <v>465</v>
      </c>
      <c r="B102" s="321" t="s">
        <v>466</v>
      </c>
      <c r="C102" s="321" t="s">
        <v>564</v>
      </c>
      <c r="D102" s="321" t="s">
        <v>565</v>
      </c>
      <c r="E102" s="322">
        <v>2021.0</v>
      </c>
      <c r="F102" s="321" t="s">
        <v>469</v>
      </c>
      <c r="G102" s="321" t="s">
        <v>482</v>
      </c>
      <c r="H102" s="321" t="s">
        <v>469</v>
      </c>
      <c r="I102" s="322">
        <v>2021.71</v>
      </c>
      <c r="J102" s="321" t="s">
        <v>471</v>
      </c>
      <c r="K102" s="322">
        <v>4.0</v>
      </c>
      <c r="L102" s="321" t="s">
        <v>483</v>
      </c>
      <c r="M102" s="322">
        <v>2.15</v>
      </c>
      <c r="N102" s="322">
        <v>0.099268</v>
      </c>
      <c r="O102" s="322">
        <v>0.01886</v>
      </c>
      <c r="P102" s="322">
        <v>0.005772</v>
      </c>
      <c r="Q102" s="322">
        <v>0.022883</v>
      </c>
      <c r="R102" s="334">
        <v>5.774327</v>
      </c>
      <c r="S102" s="335">
        <v>4.464661</v>
      </c>
      <c r="T102" s="322">
        <v>0.214701</v>
      </c>
      <c r="U102" s="322">
        <v>0.361577</v>
      </c>
      <c r="V102" s="322">
        <v>0.303626</v>
      </c>
      <c r="W102" s="322">
        <v>0.030212</v>
      </c>
      <c r="X102" s="322">
        <v>0.042782</v>
      </c>
      <c r="Y102" s="322">
        <v>0.05304</v>
      </c>
      <c r="Z102" s="322">
        <v>0.062168</v>
      </c>
      <c r="AA102" s="322">
        <v>0.072383</v>
      </c>
      <c r="AB102" s="322">
        <v>0.083614</v>
      </c>
      <c r="AC102" s="322">
        <v>0.098079</v>
      </c>
      <c r="AD102" s="322">
        <v>0.118095</v>
      </c>
      <c r="AE102" s="322">
        <v>0.151231</v>
      </c>
      <c r="AF102" s="322">
        <v>0.288395</v>
      </c>
      <c r="AG102" s="322">
        <v>1.097094</v>
      </c>
      <c r="AH102" s="322">
        <v>238.5777</v>
      </c>
      <c r="AI102" s="322">
        <v>1.7188928E7</v>
      </c>
      <c r="AJ102" s="322">
        <v>1443.326</v>
      </c>
      <c r="AK102" s="322">
        <v>968.7303</v>
      </c>
      <c r="AL102" s="336" t="b">
        <v>0</v>
      </c>
      <c r="AM102" s="321" t="s">
        <v>472</v>
      </c>
      <c r="AN102" s="321" t="s">
        <v>473</v>
      </c>
      <c r="AO102" s="322">
        <v>3.38233</v>
      </c>
      <c r="AP102" s="322">
        <v>0.314656</v>
      </c>
    </row>
    <row r="103">
      <c r="A103" s="321" t="s">
        <v>465</v>
      </c>
      <c r="B103" s="321" t="s">
        <v>466</v>
      </c>
      <c r="C103" s="321" t="s">
        <v>566</v>
      </c>
      <c r="D103" s="321" t="s">
        <v>567</v>
      </c>
      <c r="E103" s="322">
        <v>2018.0</v>
      </c>
      <c r="F103" s="321" t="s">
        <v>469</v>
      </c>
      <c r="G103" s="321" t="s">
        <v>568</v>
      </c>
      <c r="H103" s="321" t="s">
        <v>469</v>
      </c>
      <c r="I103" s="322">
        <v>2018.0</v>
      </c>
      <c r="J103" s="321" t="s">
        <v>471</v>
      </c>
      <c r="K103" s="322">
        <v>1.0</v>
      </c>
      <c r="L103" s="321" t="s">
        <v>569</v>
      </c>
      <c r="M103" s="322">
        <v>2.15</v>
      </c>
      <c r="N103" s="322">
        <v>0.26062</v>
      </c>
      <c r="O103" s="322">
        <v>0.060404</v>
      </c>
      <c r="P103" s="322">
        <v>0.020104</v>
      </c>
      <c r="Q103" s="322">
        <v>0.074661</v>
      </c>
      <c r="R103" s="334">
        <v>3.885995</v>
      </c>
      <c r="S103" s="335">
        <v>2.95935</v>
      </c>
      <c r="T103" s="322">
        <v>0.208216</v>
      </c>
      <c r="U103" s="322">
        <v>0.356902</v>
      </c>
      <c r="V103" s="322">
        <v>0.288003</v>
      </c>
      <c r="W103" s="322">
        <v>0.033522</v>
      </c>
      <c r="X103" s="322">
        <v>0.045459</v>
      </c>
      <c r="Y103" s="322">
        <v>0.054191</v>
      </c>
      <c r="Z103" s="322">
        <v>0.062503</v>
      </c>
      <c r="AA103" s="322">
        <v>0.071065</v>
      </c>
      <c r="AB103" s="322">
        <v>0.081637</v>
      </c>
      <c r="AC103" s="322">
        <v>0.095304</v>
      </c>
      <c r="AD103" s="322">
        <v>0.114473</v>
      </c>
      <c r="AE103" s="322">
        <v>0.14786</v>
      </c>
      <c r="AF103" s="322">
        <v>0.293987</v>
      </c>
      <c r="AG103" s="322">
        <v>1.160295</v>
      </c>
      <c r="AH103" s="322">
        <v>2128.519</v>
      </c>
      <c r="AI103" s="322">
        <v>7861281.0</v>
      </c>
      <c r="AJ103" s="322">
        <v>617.5295</v>
      </c>
      <c r="AK103" s="322">
        <v>568.9407</v>
      </c>
      <c r="AL103" s="336" t="b">
        <v>0</v>
      </c>
      <c r="AM103" s="321" t="s">
        <v>472</v>
      </c>
      <c r="AN103" s="321" t="s">
        <v>473</v>
      </c>
      <c r="AO103" s="322">
        <v>2.629675</v>
      </c>
      <c r="AP103" s="322">
        <v>0.411733</v>
      </c>
    </row>
    <row r="104">
      <c r="A104" s="321" t="s">
        <v>465</v>
      </c>
      <c r="B104" s="321" t="s">
        <v>466</v>
      </c>
      <c r="C104" s="321" t="s">
        <v>570</v>
      </c>
      <c r="D104" s="321" t="s">
        <v>571</v>
      </c>
      <c r="E104" s="322">
        <v>2016.0</v>
      </c>
      <c r="F104" s="321" t="s">
        <v>469</v>
      </c>
      <c r="G104" s="321" t="s">
        <v>572</v>
      </c>
      <c r="H104" s="321" t="s">
        <v>469</v>
      </c>
      <c r="I104" s="322">
        <v>2016.5</v>
      </c>
      <c r="J104" s="321" t="s">
        <v>471</v>
      </c>
      <c r="K104" s="322">
        <v>1.0</v>
      </c>
      <c r="L104" s="322">
        <v>2016.0</v>
      </c>
      <c r="M104" s="322">
        <v>2.15</v>
      </c>
      <c r="N104" s="322">
        <v>0.673273</v>
      </c>
      <c r="O104" s="322">
        <v>0.32024</v>
      </c>
      <c r="P104" s="322">
        <v>0.190897</v>
      </c>
      <c r="Q104" s="322">
        <v>0.52791</v>
      </c>
      <c r="R104" s="334">
        <v>2.15008</v>
      </c>
      <c r="S104" s="335">
        <v>1.520812</v>
      </c>
      <c r="T104" s="322">
        <v>0.346242</v>
      </c>
      <c r="U104" s="322">
        <v>0.441441</v>
      </c>
      <c r="V104" s="322">
        <v>0.405592</v>
      </c>
      <c r="W104" s="322">
        <v>0.017112</v>
      </c>
      <c r="X104" s="322">
        <v>0.03107</v>
      </c>
      <c r="Y104" s="322">
        <v>0.042256</v>
      </c>
      <c r="Z104" s="322">
        <v>0.053268</v>
      </c>
      <c r="AA104" s="322">
        <v>0.063998</v>
      </c>
      <c r="AB104" s="322">
        <v>0.077962</v>
      </c>
      <c r="AC104" s="322">
        <v>0.095284</v>
      </c>
      <c r="AD104" s="322">
        <v>0.123114</v>
      </c>
      <c r="AE104" s="322">
        <v>0.164742</v>
      </c>
      <c r="AF104" s="322">
        <v>0.331193</v>
      </c>
      <c r="AG104" s="322">
        <v>0.07038</v>
      </c>
      <c r="AH104" s="322">
        <v>34.92003</v>
      </c>
      <c r="AI104" s="322">
        <v>1.0862166E7</v>
      </c>
      <c r="AJ104" s="322">
        <v>926.102</v>
      </c>
      <c r="AK104" s="324"/>
      <c r="AL104" s="336" t="b">
        <v>0</v>
      </c>
      <c r="AM104" s="321" t="s">
        <v>573</v>
      </c>
      <c r="AN104" s="321" t="s">
        <v>473</v>
      </c>
      <c r="AO104" s="322">
        <v>2.15</v>
      </c>
      <c r="AP104" s="322">
        <v>0.673273</v>
      </c>
    </row>
    <row r="105">
      <c r="A105" s="321" t="s">
        <v>465</v>
      </c>
      <c r="B105" s="321" t="s">
        <v>466</v>
      </c>
      <c r="C105" s="321" t="s">
        <v>574</v>
      </c>
      <c r="D105" s="321" t="s">
        <v>575</v>
      </c>
      <c r="E105" s="322">
        <v>2017.0</v>
      </c>
      <c r="F105" s="321" t="s">
        <v>469</v>
      </c>
      <c r="G105" s="321" t="s">
        <v>538</v>
      </c>
      <c r="H105" s="321" t="s">
        <v>469</v>
      </c>
      <c r="I105" s="322">
        <v>2017.0</v>
      </c>
      <c r="J105" s="321" t="s">
        <v>471</v>
      </c>
      <c r="K105" s="322">
        <v>2.0</v>
      </c>
      <c r="L105" s="322">
        <v>2017.0</v>
      </c>
      <c r="M105" s="322">
        <v>2.15</v>
      </c>
      <c r="N105" s="322">
        <v>0.157236</v>
      </c>
      <c r="O105" s="322">
        <v>0.038994</v>
      </c>
      <c r="P105" s="322">
        <v>0.015114</v>
      </c>
      <c r="Q105" s="322">
        <v>0.051023</v>
      </c>
      <c r="R105" s="334">
        <v>5.451495</v>
      </c>
      <c r="S105" s="335">
        <v>3.998577</v>
      </c>
      <c r="T105" s="322">
        <v>0.277224</v>
      </c>
      <c r="U105" s="322">
        <v>0.407295</v>
      </c>
      <c r="V105" s="322">
        <v>0.333438</v>
      </c>
      <c r="W105" s="322">
        <v>0.025659</v>
      </c>
      <c r="X105" s="322">
        <v>0.03868</v>
      </c>
      <c r="Y105" s="322">
        <v>0.047479</v>
      </c>
      <c r="Z105" s="322">
        <v>0.056445</v>
      </c>
      <c r="AA105" s="322">
        <v>0.067044</v>
      </c>
      <c r="AB105" s="322">
        <v>0.078797</v>
      </c>
      <c r="AC105" s="322">
        <v>0.093456</v>
      </c>
      <c r="AD105" s="322">
        <v>0.113541</v>
      </c>
      <c r="AE105" s="322">
        <v>0.150794</v>
      </c>
      <c r="AF105" s="322">
        <v>0.328105</v>
      </c>
      <c r="AG105" s="322">
        <v>1000.0</v>
      </c>
      <c r="AH105" s="322">
        <v>11.42892</v>
      </c>
      <c r="AI105" s="322">
        <v>208036.0</v>
      </c>
      <c r="AJ105" s="322">
        <v>1368.545</v>
      </c>
      <c r="AK105" s="324"/>
      <c r="AL105" s="336" t="b">
        <v>0</v>
      </c>
      <c r="AM105" s="321" t="s">
        <v>472</v>
      </c>
      <c r="AN105" s="321" t="s">
        <v>473</v>
      </c>
      <c r="AO105" s="322">
        <v>3.149289</v>
      </c>
      <c r="AP105" s="322">
        <v>0.362356</v>
      </c>
    </row>
    <row r="106">
      <c r="A106" s="321" t="s">
        <v>465</v>
      </c>
      <c r="B106" s="321" t="s">
        <v>466</v>
      </c>
      <c r="C106" s="321" t="s">
        <v>576</v>
      </c>
      <c r="D106" s="321" t="s">
        <v>577</v>
      </c>
      <c r="E106" s="322">
        <v>2016.0</v>
      </c>
      <c r="F106" s="321" t="s">
        <v>469</v>
      </c>
      <c r="G106" s="321" t="s">
        <v>529</v>
      </c>
      <c r="H106" s="321" t="s">
        <v>469</v>
      </c>
      <c r="I106" s="322">
        <v>2016.17</v>
      </c>
      <c r="J106" s="321" t="s">
        <v>471</v>
      </c>
      <c r="K106" s="322">
        <v>1.0</v>
      </c>
      <c r="L106" s="321" t="s">
        <v>560</v>
      </c>
      <c r="M106" s="322">
        <v>2.15</v>
      </c>
      <c r="N106" s="322">
        <v>0.360798</v>
      </c>
      <c r="O106" s="322">
        <v>0.127577</v>
      </c>
      <c r="P106" s="322">
        <v>0.061863</v>
      </c>
      <c r="Q106" s="322">
        <v>0.181786</v>
      </c>
      <c r="R106" s="334">
        <v>5.632314</v>
      </c>
      <c r="S106" s="335">
        <v>2.95373</v>
      </c>
      <c r="T106" s="322">
        <v>0.521872</v>
      </c>
      <c r="U106" s="322">
        <v>0.545798</v>
      </c>
      <c r="V106" s="322">
        <v>0.574485</v>
      </c>
      <c r="W106" s="322">
        <v>0.014067</v>
      </c>
      <c r="X106" s="322">
        <v>0.022923</v>
      </c>
      <c r="Y106" s="322">
        <v>0.030128</v>
      </c>
      <c r="Z106" s="322">
        <v>0.037619</v>
      </c>
      <c r="AA106" s="322">
        <v>0.047068</v>
      </c>
      <c r="AB106" s="322">
        <v>0.060068</v>
      </c>
      <c r="AC106" s="322">
        <v>0.077798</v>
      </c>
      <c r="AD106" s="322">
        <v>0.107853</v>
      </c>
      <c r="AE106" s="322">
        <v>0.175162</v>
      </c>
      <c r="AF106" s="322">
        <v>0.427313</v>
      </c>
      <c r="AG106" s="322">
        <v>0.951387</v>
      </c>
      <c r="AH106" s="322">
        <v>6.117729</v>
      </c>
      <c r="AI106" s="322">
        <v>1144031.0</v>
      </c>
      <c r="AJ106" s="322">
        <v>3594.167</v>
      </c>
      <c r="AK106" s="322">
        <v>2326.617</v>
      </c>
      <c r="AL106" s="336" t="b">
        <v>0</v>
      </c>
      <c r="AM106" s="321" t="s">
        <v>472</v>
      </c>
      <c r="AN106" s="321" t="s">
        <v>473</v>
      </c>
      <c r="AO106" s="322">
        <v>2.626865</v>
      </c>
      <c r="AP106" s="322">
        <v>0.445975</v>
      </c>
    </row>
    <row r="107">
      <c r="A107" s="321" t="s">
        <v>465</v>
      </c>
      <c r="B107" s="321" t="s">
        <v>466</v>
      </c>
      <c r="C107" s="321" t="s">
        <v>578</v>
      </c>
      <c r="D107" s="321" t="s">
        <v>579</v>
      </c>
      <c r="E107" s="322">
        <v>2018.0</v>
      </c>
      <c r="F107" s="321" t="s">
        <v>469</v>
      </c>
      <c r="G107" s="321" t="s">
        <v>546</v>
      </c>
      <c r="H107" s="321" t="s">
        <v>469</v>
      </c>
      <c r="I107" s="322">
        <v>2018.08</v>
      </c>
      <c r="J107" s="321" t="s">
        <v>580</v>
      </c>
      <c r="K107" s="322">
        <v>2.0</v>
      </c>
      <c r="L107" s="321" t="s">
        <v>581</v>
      </c>
      <c r="M107" s="322">
        <v>2.15</v>
      </c>
      <c r="N107" s="322">
        <v>0.00511</v>
      </c>
      <c r="O107" s="322">
        <v>0.00113</v>
      </c>
      <c r="P107" s="337">
        <v>3.38E-4</v>
      </c>
      <c r="Q107" s="322">
        <v>0.001351</v>
      </c>
      <c r="R107" s="334">
        <v>22.25156</v>
      </c>
      <c r="S107" s="335">
        <v>19.49796</v>
      </c>
      <c r="T107" s="322">
        <v>0.184474</v>
      </c>
      <c r="U107" s="322">
        <v>0.321253</v>
      </c>
      <c r="V107" s="322">
        <v>0.281675</v>
      </c>
      <c r="W107" s="322">
        <v>0.025766</v>
      </c>
      <c r="X107" s="322">
        <v>0.044641</v>
      </c>
      <c r="Y107" s="322">
        <v>0.057429</v>
      </c>
      <c r="Z107" s="322">
        <v>0.068978</v>
      </c>
      <c r="AA107" s="322">
        <v>0.081124</v>
      </c>
      <c r="AB107" s="322">
        <v>0.095003</v>
      </c>
      <c r="AC107" s="322">
        <v>0.10976</v>
      </c>
      <c r="AD107" s="322">
        <v>0.126285</v>
      </c>
      <c r="AE107" s="322">
        <v>0.151529</v>
      </c>
      <c r="AF107" s="322">
        <v>0.239485</v>
      </c>
      <c r="AG107" s="322">
        <v>1.03875</v>
      </c>
      <c r="AH107" s="322">
        <v>9.027125</v>
      </c>
      <c r="AI107" s="322">
        <v>96831.04</v>
      </c>
      <c r="AJ107" s="322">
        <v>16110.99</v>
      </c>
      <c r="AK107" s="322">
        <v>5448.093</v>
      </c>
      <c r="AL107" s="336" t="b">
        <v>0</v>
      </c>
      <c r="AM107" s="321" t="s">
        <v>472</v>
      </c>
      <c r="AN107" s="321" t="s">
        <v>473</v>
      </c>
      <c r="AO107" s="322">
        <v>10.89898</v>
      </c>
      <c r="AP107" s="322">
        <v>0.174178</v>
      </c>
    </row>
    <row r="108">
      <c r="A108" s="321" t="s">
        <v>465</v>
      </c>
      <c r="B108" s="321" t="s">
        <v>466</v>
      </c>
      <c r="C108" s="321" t="s">
        <v>582</v>
      </c>
      <c r="D108" s="321" t="s">
        <v>583</v>
      </c>
      <c r="E108" s="322">
        <v>2022.0</v>
      </c>
      <c r="F108" s="321" t="s">
        <v>469</v>
      </c>
      <c r="G108" s="321" t="s">
        <v>482</v>
      </c>
      <c r="H108" s="321" t="s">
        <v>469</v>
      </c>
      <c r="I108" s="322">
        <v>2022.0</v>
      </c>
      <c r="J108" s="321" t="s">
        <v>471</v>
      </c>
      <c r="K108" s="322">
        <v>1.0</v>
      </c>
      <c r="L108" s="321" t="s">
        <v>584</v>
      </c>
      <c r="M108" s="322">
        <v>2.15</v>
      </c>
      <c r="N108" s="322">
        <v>0.308452</v>
      </c>
      <c r="O108" s="322">
        <v>0.084654</v>
      </c>
      <c r="P108" s="322">
        <v>0.033921</v>
      </c>
      <c r="Q108" s="322">
        <v>0.112019</v>
      </c>
      <c r="R108" s="334">
        <v>3.884317</v>
      </c>
      <c r="S108" s="335">
        <v>3.106669</v>
      </c>
      <c r="T108" s="322">
        <v>0.232331</v>
      </c>
      <c r="U108" s="322">
        <v>0.373577</v>
      </c>
      <c r="V108" s="322">
        <v>0.300917</v>
      </c>
      <c r="W108" s="322">
        <v>0.02806</v>
      </c>
      <c r="X108" s="322">
        <v>0.040829</v>
      </c>
      <c r="Y108" s="322">
        <v>0.050338</v>
      </c>
      <c r="Z108" s="322">
        <v>0.059533</v>
      </c>
      <c r="AA108" s="322">
        <v>0.074286</v>
      </c>
      <c r="AB108" s="322">
        <v>0.084714</v>
      </c>
      <c r="AC108" s="322">
        <v>0.097338</v>
      </c>
      <c r="AD108" s="322">
        <v>0.116069</v>
      </c>
      <c r="AE108" s="322">
        <v>0.153204</v>
      </c>
      <c r="AF108" s="322">
        <v>0.29563</v>
      </c>
      <c r="AG108" s="322">
        <v>1.07593</v>
      </c>
      <c r="AH108" s="322">
        <v>237.6564</v>
      </c>
      <c r="AI108" s="322">
        <v>1.7723315E7</v>
      </c>
      <c r="AJ108" s="322">
        <v>590.3052</v>
      </c>
      <c r="AK108" s="322">
        <v>465.8088</v>
      </c>
      <c r="AL108" s="336" t="b">
        <v>0</v>
      </c>
      <c r="AM108" s="321" t="s">
        <v>472</v>
      </c>
      <c r="AN108" s="321" t="s">
        <v>473</v>
      </c>
      <c r="AO108" s="322">
        <v>2.703334</v>
      </c>
      <c r="AP108" s="322">
        <v>0.413657</v>
      </c>
    </row>
    <row r="109">
      <c r="A109" s="321" t="s">
        <v>465</v>
      </c>
      <c r="B109" s="321" t="s">
        <v>466</v>
      </c>
      <c r="C109" s="321" t="s">
        <v>585</v>
      </c>
      <c r="D109" s="321" t="s">
        <v>586</v>
      </c>
      <c r="E109" s="322">
        <v>2021.0</v>
      </c>
      <c r="F109" s="321" t="s">
        <v>469</v>
      </c>
      <c r="G109" s="321" t="s">
        <v>482</v>
      </c>
      <c r="H109" s="321" t="s">
        <v>469</v>
      </c>
      <c r="I109" s="322">
        <v>2021.63</v>
      </c>
      <c r="J109" s="321" t="s">
        <v>471</v>
      </c>
      <c r="K109" s="322">
        <v>1.0</v>
      </c>
      <c r="L109" s="321" t="s">
        <v>483</v>
      </c>
      <c r="M109" s="322">
        <v>2.15</v>
      </c>
      <c r="N109" s="322">
        <v>0.265918</v>
      </c>
      <c r="O109" s="322">
        <v>0.071442</v>
      </c>
      <c r="P109" s="322">
        <v>0.027475</v>
      </c>
      <c r="Q109" s="322">
        <v>0.09237</v>
      </c>
      <c r="R109" s="334">
        <v>4.182062</v>
      </c>
      <c r="S109" s="335">
        <v>3.201139</v>
      </c>
      <c r="T109" s="322">
        <v>0.236974</v>
      </c>
      <c r="U109" s="322">
        <v>0.37858</v>
      </c>
      <c r="V109" s="322">
        <v>0.322527</v>
      </c>
      <c r="W109" s="322">
        <v>0.027849</v>
      </c>
      <c r="X109" s="322">
        <v>0.040258</v>
      </c>
      <c r="Y109" s="322">
        <v>0.049995</v>
      </c>
      <c r="Z109" s="322">
        <v>0.059948</v>
      </c>
      <c r="AA109" s="322">
        <v>0.071047</v>
      </c>
      <c r="AB109" s="322">
        <v>0.082673</v>
      </c>
      <c r="AC109" s="322">
        <v>0.097159</v>
      </c>
      <c r="AD109" s="322">
        <v>0.118587</v>
      </c>
      <c r="AE109" s="322">
        <v>0.156086</v>
      </c>
      <c r="AF109" s="322">
        <v>0.296399</v>
      </c>
      <c r="AG109" s="322">
        <v>1.090815</v>
      </c>
      <c r="AH109" s="322">
        <v>246.5965</v>
      </c>
      <c r="AI109" s="322">
        <v>8773267.0</v>
      </c>
      <c r="AJ109" s="322">
        <v>859.1973</v>
      </c>
      <c r="AK109" s="322">
        <v>676.7247</v>
      </c>
      <c r="AL109" s="336" t="b">
        <v>0</v>
      </c>
      <c r="AM109" s="321" t="s">
        <v>472</v>
      </c>
      <c r="AN109" s="321" t="s">
        <v>473</v>
      </c>
      <c r="AO109" s="322">
        <v>2.750569</v>
      </c>
      <c r="AP109" s="322">
        <v>0.404553</v>
      </c>
    </row>
    <row r="110">
      <c r="A110" s="321" t="s">
        <v>465</v>
      </c>
      <c r="B110" s="321" t="s">
        <v>466</v>
      </c>
      <c r="C110" s="321" t="s">
        <v>339</v>
      </c>
      <c r="D110" s="321" t="s">
        <v>587</v>
      </c>
      <c r="E110" s="322">
        <v>2018.0</v>
      </c>
      <c r="F110" s="321" t="s">
        <v>469</v>
      </c>
      <c r="G110" s="321" t="s">
        <v>546</v>
      </c>
      <c r="H110" s="321" t="s">
        <v>469</v>
      </c>
      <c r="I110" s="322">
        <v>2017.92</v>
      </c>
      <c r="J110" s="321" t="s">
        <v>471</v>
      </c>
      <c r="K110" s="322">
        <v>1.0</v>
      </c>
      <c r="L110" s="321" t="s">
        <v>588</v>
      </c>
      <c r="M110" s="322">
        <v>2.15</v>
      </c>
      <c r="N110" s="322">
        <v>0.449493</v>
      </c>
      <c r="O110" s="322">
        <v>0.136233</v>
      </c>
      <c r="P110" s="322">
        <v>0.056094</v>
      </c>
      <c r="Q110" s="322">
        <v>0.180119</v>
      </c>
      <c r="R110" s="334">
        <v>3.29475</v>
      </c>
      <c r="S110" s="335">
        <v>2.330755</v>
      </c>
      <c r="T110" s="322">
        <v>0.270383</v>
      </c>
      <c r="U110" s="322">
        <v>0.404912</v>
      </c>
      <c r="V110" s="322">
        <v>0.33329</v>
      </c>
      <c r="W110" s="322">
        <v>0.028751</v>
      </c>
      <c r="X110" s="322">
        <v>0.039956</v>
      </c>
      <c r="Y110" s="322">
        <v>0.048269</v>
      </c>
      <c r="Z110" s="322">
        <v>0.056333</v>
      </c>
      <c r="AA110" s="322">
        <v>0.065329</v>
      </c>
      <c r="AB110" s="322">
        <v>0.076319</v>
      </c>
      <c r="AC110" s="322">
        <v>0.091178</v>
      </c>
      <c r="AD110" s="322">
        <v>0.113001</v>
      </c>
      <c r="AE110" s="322">
        <v>0.149656</v>
      </c>
      <c r="AF110" s="322">
        <v>0.331208</v>
      </c>
      <c r="AG110" s="322">
        <v>1.032149</v>
      </c>
      <c r="AH110" s="322">
        <v>754.6215</v>
      </c>
      <c r="AI110" s="322">
        <v>5.794457E7</v>
      </c>
      <c r="AJ110" s="322">
        <v>1012.499</v>
      </c>
      <c r="AK110" s="322">
        <v>601.222</v>
      </c>
      <c r="AL110" s="336" t="b">
        <v>0</v>
      </c>
      <c r="AM110" s="321" t="s">
        <v>472</v>
      </c>
      <c r="AN110" s="321" t="s">
        <v>473</v>
      </c>
      <c r="AO110" s="322">
        <v>2.315378</v>
      </c>
      <c r="AP110" s="322">
        <v>0.496468</v>
      </c>
    </row>
    <row r="111">
      <c r="A111" s="321" t="s">
        <v>465</v>
      </c>
      <c r="B111" s="321" t="s">
        <v>466</v>
      </c>
      <c r="C111" s="321" t="s">
        <v>78</v>
      </c>
      <c r="D111" s="321" t="s">
        <v>396</v>
      </c>
      <c r="E111" s="322">
        <v>2016.0</v>
      </c>
      <c r="F111" s="321" t="s">
        <v>469</v>
      </c>
      <c r="G111" s="321" t="s">
        <v>589</v>
      </c>
      <c r="H111" s="321" t="s">
        <v>469</v>
      </c>
      <c r="I111" s="322">
        <v>2016.5</v>
      </c>
      <c r="J111" s="321" t="s">
        <v>471</v>
      </c>
      <c r="K111" s="322">
        <v>2.0</v>
      </c>
      <c r="L111" s="321" t="s">
        <v>590</v>
      </c>
      <c r="M111" s="322">
        <v>2.15</v>
      </c>
      <c r="N111" s="322">
        <v>0.428616</v>
      </c>
      <c r="O111" s="322">
        <v>0.13788</v>
      </c>
      <c r="P111" s="322">
        <v>0.060037</v>
      </c>
      <c r="Q111" s="322">
        <v>0.186401</v>
      </c>
      <c r="R111" s="334">
        <v>3.536634</v>
      </c>
      <c r="S111" s="335">
        <v>2.43913</v>
      </c>
      <c r="T111" s="322">
        <v>0.302166</v>
      </c>
      <c r="U111" s="322">
        <v>0.427537</v>
      </c>
      <c r="V111" s="322">
        <v>0.36715</v>
      </c>
      <c r="W111" s="322">
        <v>0.025248</v>
      </c>
      <c r="X111" s="322">
        <v>0.036226</v>
      </c>
      <c r="Y111" s="322">
        <v>0.044835</v>
      </c>
      <c r="Z111" s="322">
        <v>0.053429</v>
      </c>
      <c r="AA111" s="322">
        <v>0.063192</v>
      </c>
      <c r="AB111" s="322">
        <v>0.074963</v>
      </c>
      <c r="AC111" s="322">
        <v>0.090468</v>
      </c>
      <c r="AD111" s="322">
        <v>0.113515</v>
      </c>
      <c r="AE111" s="322">
        <v>0.156016</v>
      </c>
      <c r="AF111" s="322">
        <v>0.34211</v>
      </c>
      <c r="AG111" s="322">
        <v>0.975241</v>
      </c>
      <c r="AH111" s="322">
        <v>1221.088</v>
      </c>
      <c r="AI111" s="322">
        <v>3.9437692E7</v>
      </c>
      <c r="AJ111" s="322">
        <v>873.9911</v>
      </c>
      <c r="AK111" s="322">
        <v>638.7473</v>
      </c>
      <c r="AL111" s="336" t="b">
        <v>0</v>
      </c>
      <c r="AM111" s="321" t="s">
        <v>472</v>
      </c>
      <c r="AN111" s="321" t="s">
        <v>473</v>
      </c>
      <c r="AO111" s="322">
        <v>2.369565</v>
      </c>
      <c r="AP111" s="322">
        <v>0.485602</v>
      </c>
    </row>
    <row r="112">
      <c r="A112" s="321" t="s">
        <v>465</v>
      </c>
      <c r="B112" s="321" t="s">
        <v>466</v>
      </c>
      <c r="C112" s="321" t="s">
        <v>591</v>
      </c>
      <c r="D112" s="321" t="s">
        <v>592</v>
      </c>
      <c r="E112" s="322">
        <v>2014.0</v>
      </c>
      <c r="F112" s="321" t="s">
        <v>469</v>
      </c>
      <c r="G112" s="321" t="s">
        <v>593</v>
      </c>
      <c r="H112" s="321" t="s">
        <v>469</v>
      </c>
      <c r="I112" s="322">
        <v>2014.83</v>
      </c>
      <c r="J112" s="321" t="s">
        <v>471</v>
      </c>
      <c r="K112" s="322">
        <v>3.0</v>
      </c>
      <c r="L112" s="321" t="s">
        <v>594</v>
      </c>
      <c r="M112" s="322">
        <v>2.15</v>
      </c>
      <c r="N112" s="322">
        <v>0.204926</v>
      </c>
      <c r="O112" s="322">
        <v>0.068713</v>
      </c>
      <c r="P112" s="322">
        <v>0.032544</v>
      </c>
      <c r="Q112" s="322">
        <v>0.09718</v>
      </c>
      <c r="R112" s="334">
        <v>11.94306</v>
      </c>
      <c r="S112" s="335">
        <v>4.753422</v>
      </c>
      <c r="T112" s="322">
        <v>0.750349</v>
      </c>
      <c r="U112" s="322">
        <v>0.630261</v>
      </c>
      <c r="V112" s="322">
        <v>0.78768</v>
      </c>
      <c r="W112" s="322">
        <v>0.008572</v>
      </c>
      <c r="X112" s="322">
        <v>0.015071</v>
      </c>
      <c r="Y112" s="322">
        <v>0.020742</v>
      </c>
      <c r="Z112" s="322">
        <v>0.027092</v>
      </c>
      <c r="AA112" s="322">
        <v>0.035043</v>
      </c>
      <c r="AB112" s="322">
        <v>0.046496</v>
      </c>
      <c r="AC112" s="322">
        <v>0.065332</v>
      </c>
      <c r="AD112" s="322">
        <v>0.099568</v>
      </c>
      <c r="AE112" s="322">
        <v>0.177095</v>
      </c>
      <c r="AF112" s="322">
        <v>0.50499</v>
      </c>
      <c r="AG112" s="322">
        <v>0.893796</v>
      </c>
      <c r="AH112" s="322">
        <v>6.549363</v>
      </c>
      <c r="AI112" s="322">
        <v>5.5681522E7</v>
      </c>
      <c r="AJ112" s="322">
        <v>6252.318</v>
      </c>
      <c r="AK112" s="322">
        <v>3948.972</v>
      </c>
      <c r="AL112" s="336" t="b">
        <v>0</v>
      </c>
      <c r="AM112" s="321" t="s">
        <v>472</v>
      </c>
      <c r="AN112" s="321" t="s">
        <v>473</v>
      </c>
      <c r="AO112" s="322">
        <v>3.526711</v>
      </c>
      <c r="AP112" s="322">
        <v>0.385672</v>
      </c>
    </row>
    <row r="113">
      <c r="A113" s="321" t="s">
        <v>465</v>
      </c>
      <c r="B113" s="321" t="s">
        <v>466</v>
      </c>
      <c r="C113" s="321" t="s">
        <v>340</v>
      </c>
      <c r="D113" s="321" t="s">
        <v>595</v>
      </c>
      <c r="E113" s="322">
        <v>2015.0</v>
      </c>
      <c r="F113" s="321" t="s">
        <v>469</v>
      </c>
      <c r="G113" s="321" t="s">
        <v>596</v>
      </c>
      <c r="H113" s="321" t="s">
        <v>469</v>
      </c>
      <c r="I113" s="322">
        <v>2015.0</v>
      </c>
      <c r="J113" s="321" t="s">
        <v>471</v>
      </c>
      <c r="K113" s="322">
        <v>4.0</v>
      </c>
      <c r="L113" s="321" t="s">
        <v>597</v>
      </c>
      <c r="M113" s="322">
        <v>2.15</v>
      </c>
      <c r="N113" s="322">
        <v>0.607931</v>
      </c>
      <c r="O113" s="322">
        <v>0.318913</v>
      </c>
      <c r="P113" s="322">
        <v>0.203755</v>
      </c>
      <c r="Q113" s="322">
        <v>0.55222</v>
      </c>
      <c r="R113" s="334">
        <v>2.974416</v>
      </c>
      <c r="S113" s="335">
        <v>1.608135</v>
      </c>
      <c r="T113" s="322">
        <v>0.573705</v>
      </c>
      <c r="U113" s="322">
        <v>0.559366</v>
      </c>
      <c r="V113" s="322">
        <v>0.583935</v>
      </c>
      <c r="W113" s="322">
        <v>0.010955</v>
      </c>
      <c r="X113" s="322">
        <v>0.019803</v>
      </c>
      <c r="Y113" s="322">
        <v>0.027443</v>
      </c>
      <c r="Z113" s="322">
        <v>0.035858</v>
      </c>
      <c r="AA113" s="322">
        <v>0.047451</v>
      </c>
      <c r="AB113" s="322">
        <v>0.061739</v>
      </c>
      <c r="AC113" s="322">
        <v>0.082244</v>
      </c>
      <c r="AD113" s="322">
        <v>0.111624</v>
      </c>
      <c r="AE113" s="322">
        <v>0.168343</v>
      </c>
      <c r="AF113" s="322">
        <v>0.43454</v>
      </c>
      <c r="AG113" s="322">
        <v>0.796036</v>
      </c>
      <c r="AH113" s="322">
        <v>4.223818</v>
      </c>
      <c r="AI113" s="322">
        <v>1.624823E7</v>
      </c>
      <c r="AJ113" s="322">
        <v>1307.91</v>
      </c>
      <c r="AK113" s="322">
        <v>662.4129</v>
      </c>
      <c r="AL113" s="336" t="b">
        <v>0</v>
      </c>
      <c r="AM113" s="321" t="s">
        <v>472</v>
      </c>
      <c r="AN113" s="321" t="s">
        <v>473</v>
      </c>
      <c r="AO113" s="322">
        <v>2.15</v>
      </c>
      <c r="AP113" s="322">
        <v>0.607931</v>
      </c>
    </row>
    <row r="114">
      <c r="A114" s="321" t="s">
        <v>465</v>
      </c>
      <c r="B114" s="321" t="s">
        <v>466</v>
      </c>
      <c r="C114" s="321" t="s">
        <v>341</v>
      </c>
      <c r="D114" s="321" t="s">
        <v>598</v>
      </c>
      <c r="E114" s="322">
        <v>2017.0</v>
      </c>
      <c r="F114" s="321" t="s">
        <v>469</v>
      </c>
      <c r="G114" s="321" t="s">
        <v>599</v>
      </c>
      <c r="H114" s="321" t="s">
        <v>469</v>
      </c>
      <c r="I114" s="322">
        <v>2017.0</v>
      </c>
      <c r="J114" s="321" t="s">
        <v>471</v>
      </c>
      <c r="K114" s="322">
        <v>0.0</v>
      </c>
      <c r="L114" s="321" t="s">
        <v>600</v>
      </c>
      <c r="M114" s="322">
        <v>2.15</v>
      </c>
      <c r="N114" s="322">
        <v>0.34206</v>
      </c>
      <c r="O114" s="322">
        <v>0.093824</v>
      </c>
      <c r="P114" s="322">
        <v>0.034974</v>
      </c>
      <c r="Q114" s="322">
        <v>0.119365</v>
      </c>
      <c r="R114" s="334">
        <v>4.409205</v>
      </c>
      <c r="S114" s="335">
        <v>2.874558</v>
      </c>
      <c r="T114" s="322">
        <v>0.322848</v>
      </c>
      <c r="U114" s="322">
        <v>0.443371</v>
      </c>
      <c r="V114" s="322">
        <v>0.416694</v>
      </c>
      <c r="W114" s="322">
        <v>0.025378</v>
      </c>
      <c r="X114" s="322">
        <v>0.034265</v>
      </c>
      <c r="Y114" s="322">
        <v>0.04161</v>
      </c>
      <c r="Z114" s="322">
        <v>0.049602</v>
      </c>
      <c r="AA114" s="322">
        <v>0.059552</v>
      </c>
      <c r="AB114" s="322">
        <v>0.07216</v>
      </c>
      <c r="AC114" s="322">
        <v>0.089793</v>
      </c>
      <c r="AD114" s="322">
        <v>0.116523</v>
      </c>
      <c r="AE114" s="322">
        <v>0.163039</v>
      </c>
      <c r="AF114" s="322">
        <v>0.348078</v>
      </c>
      <c r="AG114" s="322">
        <v>1.0</v>
      </c>
      <c r="AH114" s="322">
        <v>0.485028</v>
      </c>
      <c r="AI114" s="322">
        <v>1.4751101E7</v>
      </c>
      <c r="AJ114" s="322">
        <v>1421.241</v>
      </c>
      <c r="AK114" s="322">
        <v>1099.361</v>
      </c>
      <c r="AL114" s="336" t="b">
        <v>0</v>
      </c>
      <c r="AM114" s="321" t="s">
        <v>472</v>
      </c>
      <c r="AN114" s="321" t="s">
        <v>473</v>
      </c>
      <c r="AO114" s="322">
        <v>2.587279</v>
      </c>
      <c r="AP114" s="322">
        <v>0.440398</v>
      </c>
    </row>
    <row r="116">
      <c r="A116" s="50" t="s">
        <v>601</v>
      </c>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c r="BC116" s="52"/>
      <c r="BD116" s="52"/>
      <c r="BE116" s="52"/>
      <c r="BF116" s="52"/>
      <c r="BG116" s="52"/>
      <c r="BH116" s="52"/>
      <c r="BI116" s="52"/>
      <c r="BJ116" s="52"/>
      <c r="BK116" s="52"/>
      <c r="BL116" s="52"/>
      <c r="BM116" s="52"/>
      <c r="BN116" s="52"/>
      <c r="BO116" s="52"/>
      <c r="BP116" s="52"/>
      <c r="BQ116" s="52"/>
      <c r="BR116" s="52"/>
      <c r="BS116" s="52"/>
      <c r="BT116" s="52"/>
    </row>
    <row r="117">
      <c r="A117" s="331" t="s">
        <v>602</v>
      </c>
      <c r="B117" s="340"/>
      <c r="C117" s="340"/>
      <c r="E117" s="340"/>
      <c r="H117" s="322"/>
      <c r="I117" s="322"/>
      <c r="J117" s="322"/>
      <c r="K117" s="322"/>
      <c r="L117" s="322"/>
      <c r="M117" s="322"/>
      <c r="N117" s="322"/>
      <c r="O117" s="322"/>
      <c r="P117" s="322"/>
      <c r="Q117" s="322"/>
      <c r="R117" s="322"/>
      <c r="S117" s="322"/>
      <c r="T117" s="322"/>
      <c r="U117" s="322"/>
      <c r="V117" s="322"/>
      <c r="W117" s="322"/>
      <c r="X117" s="322"/>
      <c r="Y117" s="322"/>
      <c r="Z117" s="322"/>
      <c r="AA117" s="322"/>
      <c r="AB117" s="322"/>
      <c r="AC117" s="322"/>
      <c r="AD117" s="322"/>
      <c r="AE117" s="322"/>
      <c r="AF117" s="322"/>
      <c r="AG117" s="322"/>
      <c r="AH117" s="322"/>
      <c r="AI117" s="322"/>
      <c r="AJ117" s="322"/>
      <c r="AK117" s="322"/>
      <c r="AL117" s="322"/>
      <c r="AM117" s="322"/>
      <c r="AN117" s="322"/>
      <c r="AO117" s="322"/>
      <c r="AP117" s="322"/>
      <c r="AQ117" s="322"/>
      <c r="AR117" s="322"/>
      <c r="AS117" s="322"/>
      <c r="AT117" s="322"/>
      <c r="AU117" s="322"/>
      <c r="AV117" s="322"/>
      <c r="AW117" s="322"/>
      <c r="AX117" s="322"/>
      <c r="AY117" s="322"/>
      <c r="AZ117" s="322"/>
      <c r="BA117" s="322"/>
      <c r="BB117" s="322"/>
      <c r="BC117" s="322"/>
      <c r="BD117" s="322"/>
      <c r="BE117" s="322"/>
      <c r="BF117" s="322"/>
      <c r="BG117" s="322"/>
      <c r="BH117" s="322"/>
      <c r="BI117" s="322"/>
      <c r="BJ117" s="322"/>
      <c r="BK117" s="322"/>
      <c r="BL117" s="322"/>
      <c r="BM117" s="322"/>
      <c r="BN117" s="322"/>
      <c r="BO117" s="322"/>
    </row>
    <row r="118">
      <c r="A118" s="321" t="s">
        <v>387</v>
      </c>
      <c r="B118" s="340" t="s">
        <v>603</v>
      </c>
      <c r="C118" s="340" t="s">
        <v>604</v>
      </c>
      <c r="E118" s="340"/>
      <c r="H118" s="322"/>
      <c r="I118" s="322"/>
      <c r="J118" s="322"/>
      <c r="K118" s="322"/>
      <c r="L118" s="322"/>
      <c r="M118" s="322"/>
      <c r="N118" s="322"/>
      <c r="O118" s="322"/>
      <c r="P118" s="322"/>
      <c r="Q118" s="322"/>
      <c r="R118" s="322"/>
      <c r="S118" s="322"/>
      <c r="T118" s="322"/>
      <c r="U118" s="322"/>
      <c r="V118" s="322"/>
      <c r="W118" s="322"/>
      <c r="X118" s="322"/>
      <c r="Y118" s="322"/>
      <c r="Z118" s="322"/>
      <c r="AA118" s="322"/>
      <c r="AB118" s="322"/>
      <c r="AC118" s="322"/>
      <c r="AD118" s="322"/>
      <c r="AE118" s="322"/>
      <c r="AF118" s="322"/>
      <c r="AG118" s="322"/>
      <c r="AH118" s="322"/>
      <c r="AI118" s="322"/>
      <c r="AJ118" s="322"/>
      <c r="AK118" s="322"/>
      <c r="AL118" s="322"/>
      <c r="AM118" s="322"/>
      <c r="AN118" s="322"/>
      <c r="AO118" s="322"/>
      <c r="AP118" s="322"/>
      <c r="AQ118" s="322"/>
      <c r="AR118" s="322"/>
      <c r="AS118" s="322"/>
      <c r="AT118" s="322"/>
      <c r="AU118" s="322"/>
      <c r="AV118" s="322"/>
      <c r="AW118" s="322"/>
      <c r="AX118" s="322"/>
      <c r="AY118" s="322"/>
      <c r="AZ118" s="322"/>
      <c r="BA118" s="322"/>
      <c r="BB118" s="322"/>
      <c r="BC118" s="322"/>
      <c r="BD118" s="322"/>
      <c r="BE118" s="322"/>
      <c r="BF118" s="322"/>
      <c r="BG118" s="322"/>
      <c r="BH118" s="322"/>
      <c r="BI118" s="322"/>
      <c r="BJ118" s="322"/>
      <c r="BK118" s="322"/>
      <c r="BL118" s="322"/>
      <c r="BM118" s="322"/>
      <c r="BN118" s="322"/>
      <c r="BO118" s="322"/>
    </row>
    <row r="119">
      <c r="A119" s="321" t="s">
        <v>467</v>
      </c>
      <c r="B119" s="341">
        <v>8040.544</v>
      </c>
      <c r="C119" s="342">
        <v>0.1492004</v>
      </c>
      <c r="D119" s="185">
        <f t="shared" ref="D119:D271" si="1">C119/100</f>
        <v>0.001492004</v>
      </c>
      <c r="E119" s="321"/>
      <c r="H119" s="324"/>
      <c r="I119" s="324"/>
      <c r="J119" s="324"/>
      <c r="K119" s="324"/>
      <c r="L119" s="324"/>
      <c r="M119" s="324"/>
      <c r="N119" s="324"/>
      <c r="O119" s="324"/>
      <c r="P119" s="324"/>
      <c r="Q119" s="324"/>
      <c r="R119" s="324"/>
      <c r="S119" s="324"/>
      <c r="T119" s="324"/>
      <c r="U119" s="324"/>
      <c r="V119" s="324"/>
      <c r="W119" s="324"/>
      <c r="X119" s="324"/>
      <c r="Y119" s="324"/>
      <c r="Z119" s="324"/>
      <c r="AA119" s="324"/>
      <c r="AB119" s="324"/>
      <c r="AC119" s="324"/>
      <c r="AD119" s="324"/>
      <c r="AE119" s="324"/>
      <c r="AF119" s="324"/>
      <c r="AG119" s="324"/>
      <c r="AH119" s="324"/>
      <c r="AI119" s="324"/>
      <c r="AJ119" s="324"/>
      <c r="AK119" s="324"/>
      <c r="AL119" s="324"/>
      <c r="AM119" s="324"/>
      <c r="AN119" s="322"/>
      <c r="AO119" s="322"/>
      <c r="AP119" s="322"/>
      <c r="AQ119" s="322"/>
      <c r="AR119" s="322"/>
      <c r="AS119" s="322"/>
      <c r="AT119" s="322"/>
      <c r="AU119" s="322"/>
      <c r="AV119" s="322"/>
      <c r="AW119" s="322"/>
      <c r="AX119" s="322"/>
      <c r="AY119" s="322"/>
      <c r="AZ119" s="322"/>
      <c r="BA119" s="322"/>
      <c r="BB119" s="322"/>
      <c r="BC119" s="322"/>
      <c r="BD119" s="322"/>
      <c r="BE119" s="322"/>
      <c r="BF119" s="322"/>
      <c r="BG119" s="322"/>
      <c r="BH119" s="322"/>
      <c r="BI119" s="322"/>
      <c r="BJ119" s="322"/>
      <c r="BK119" s="322"/>
      <c r="BL119" s="322"/>
      <c r="BM119" s="322"/>
      <c r="BN119" s="322"/>
      <c r="BO119" s="322"/>
    </row>
    <row r="120">
      <c r="A120" s="321" t="s">
        <v>605</v>
      </c>
      <c r="B120" s="341">
        <v>21395.33</v>
      </c>
      <c r="C120" s="342">
        <v>0.1826698</v>
      </c>
      <c r="D120" s="185">
        <f t="shared" si="1"/>
        <v>0.001826698</v>
      </c>
      <c r="E120" s="321"/>
      <c r="H120" s="324"/>
      <c r="I120" s="324"/>
      <c r="J120" s="324"/>
      <c r="K120" s="324"/>
      <c r="L120" s="324"/>
      <c r="M120" s="324"/>
      <c r="N120" s="324"/>
      <c r="O120" s="324"/>
      <c r="P120" s="324"/>
      <c r="Q120" s="324"/>
      <c r="R120" s="324"/>
      <c r="S120" s="324"/>
      <c r="T120" s="324"/>
      <c r="U120" s="324"/>
      <c r="V120" s="324"/>
      <c r="W120" s="324"/>
      <c r="X120" s="324"/>
      <c r="Y120" s="324"/>
      <c r="Z120" s="324"/>
      <c r="AA120" s="324"/>
      <c r="AB120" s="324"/>
      <c r="AC120" s="324"/>
      <c r="AD120" s="324"/>
      <c r="AE120" s="324"/>
      <c r="AF120" s="324"/>
      <c r="AG120" s="324"/>
      <c r="AH120" s="324"/>
      <c r="AI120" s="324"/>
      <c r="AJ120" s="324"/>
      <c r="AK120" s="324"/>
      <c r="AL120" s="324"/>
      <c r="AM120" s="324"/>
      <c r="AN120" s="324"/>
      <c r="AO120" s="322"/>
      <c r="AP120" s="322"/>
      <c r="AQ120" s="322"/>
      <c r="AR120" s="322"/>
      <c r="AS120" s="322"/>
      <c r="AT120" s="322"/>
      <c r="AU120" s="322"/>
      <c r="AV120" s="322"/>
      <c r="AW120" s="322"/>
      <c r="AX120" s="322"/>
      <c r="AY120" s="322"/>
      <c r="AZ120" s="322"/>
      <c r="BA120" s="322"/>
      <c r="BB120" s="322"/>
      <c r="BC120" s="322"/>
      <c r="BD120" s="322"/>
      <c r="BE120" s="322"/>
      <c r="BF120" s="322"/>
      <c r="BG120" s="322"/>
      <c r="BH120" s="322"/>
      <c r="BI120" s="322"/>
      <c r="BJ120" s="322"/>
      <c r="BK120" s="322"/>
      <c r="BL120" s="322"/>
      <c r="BM120" s="322"/>
      <c r="BN120" s="322"/>
      <c r="BO120" s="322"/>
    </row>
    <row r="121">
      <c r="A121" s="321" t="s">
        <v>606</v>
      </c>
      <c r="B121" s="341">
        <v>71587.48</v>
      </c>
      <c r="C121" s="342">
        <v>0.00484409</v>
      </c>
      <c r="D121" s="185">
        <f t="shared" si="1"/>
        <v>0.0000484409</v>
      </c>
      <c r="E121" s="321"/>
      <c r="H121" s="324"/>
      <c r="I121" s="324"/>
      <c r="J121" s="324"/>
      <c r="K121" s="324"/>
      <c r="L121" s="324"/>
      <c r="M121" s="324"/>
      <c r="N121" s="324"/>
      <c r="O121" s="324"/>
      <c r="P121" s="324"/>
      <c r="Q121" s="324"/>
      <c r="R121" s="324"/>
      <c r="S121" s="324"/>
      <c r="T121" s="324"/>
      <c r="U121" s="324"/>
      <c r="V121" s="324"/>
      <c r="W121" s="324"/>
      <c r="X121" s="324"/>
      <c r="Y121" s="324"/>
      <c r="Z121" s="324"/>
      <c r="AA121" s="324"/>
      <c r="AB121" s="324"/>
      <c r="AC121" s="324"/>
      <c r="AD121" s="324"/>
      <c r="AE121" s="324"/>
      <c r="AF121" s="324"/>
      <c r="AG121" s="324"/>
      <c r="AH121" s="324"/>
      <c r="AI121" s="324"/>
      <c r="AJ121" s="324"/>
      <c r="AK121" s="324"/>
      <c r="AL121" s="324"/>
      <c r="AM121" s="324"/>
      <c r="AN121" s="324"/>
      <c r="AO121" s="324"/>
      <c r="AP121" s="324"/>
      <c r="AQ121" s="324"/>
      <c r="AR121" s="324"/>
      <c r="AS121" s="322"/>
      <c r="AT121" s="322"/>
      <c r="AU121" s="322"/>
      <c r="AV121" s="322"/>
      <c r="AW121" s="322"/>
      <c r="AX121" s="322"/>
      <c r="AY121" s="322"/>
      <c r="AZ121" s="322"/>
      <c r="BA121" s="322"/>
      <c r="BB121" s="322"/>
      <c r="BC121" s="322"/>
      <c r="BD121" s="322"/>
      <c r="BE121" s="322"/>
      <c r="BF121" s="322"/>
      <c r="BG121" s="322"/>
      <c r="BH121" s="322"/>
      <c r="BI121" s="322"/>
      <c r="BJ121" s="322"/>
      <c r="BK121" s="322"/>
      <c r="BL121" s="322"/>
      <c r="BM121" s="322"/>
      <c r="BN121" s="322"/>
      <c r="BO121" s="322"/>
    </row>
    <row r="122">
      <c r="A122" s="321" t="s">
        <v>607</v>
      </c>
      <c r="B122" s="341">
        <v>29362.69</v>
      </c>
      <c r="C122" s="342">
        <v>0.060595090000000004</v>
      </c>
      <c r="D122" s="185">
        <f t="shared" si="1"/>
        <v>0.0006059509</v>
      </c>
      <c r="E122" s="321"/>
      <c r="H122" s="324"/>
      <c r="I122" s="324"/>
      <c r="J122" s="322"/>
      <c r="K122" s="322"/>
      <c r="L122" s="322"/>
      <c r="M122" s="322"/>
      <c r="N122" s="322"/>
      <c r="O122" s="322"/>
      <c r="P122" s="322"/>
      <c r="Q122" s="322"/>
      <c r="R122" s="322"/>
      <c r="S122" s="322"/>
      <c r="T122" s="322"/>
      <c r="U122" s="322"/>
      <c r="V122" s="322"/>
      <c r="W122" s="322"/>
      <c r="X122" s="322"/>
      <c r="Y122" s="322"/>
      <c r="Z122" s="322"/>
      <c r="AA122" s="322"/>
      <c r="AB122" s="322"/>
      <c r="AC122" s="322"/>
      <c r="AD122" s="322"/>
      <c r="AE122" s="322"/>
      <c r="AF122" s="322"/>
      <c r="AG122" s="322"/>
      <c r="AH122" s="322"/>
      <c r="AI122" s="322"/>
      <c r="AJ122" s="322"/>
      <c r="AK122" s="322"/>
      <c r="AL122" s="322"/>
      <c r="AM122" s="322"/>
      <c r="AN122" s="322"/>
      <c r="AO122" s="322"/>
      <c r="AP122" s="322"/>
      <c r="AQ122" s="322"/>
      <c r="AR122" s="322"/>
      <c r="AS122" s="322"/>
      <c r="AT122" s="322"/>
      <c r="AU122" s="322"/>
      <c r="AV122" s="322"/>
      <c r="AW122" s="322"/>
      <c r="AX122" s="322"/>
      <c r="AY122" s="322"/>
      <c r="AZ122" s="322"/>
      <c r="BA122" s="322"/>
      <c r="BB122" s="322"/>
      <c r="BC122" s="322"/>
      <c r="BD122" s="322"/>
      <c r="BE122" s="322"/>
      <c r="BF122" s="322"/>
      <c r="BG122" s="322"/>
      <c r="BH122" s="322"/>
      <c r="BI122" s="322"/>
      <c r="BJ122" s="322"/>
      <c r="BK122" s="322"/>
      <c r="BL122" s="322"/>
      <c r="BM122" s="322"/>
      <c r="BN122" s="322"/>
      <c r="BO122" s="322"/>
    </row>
    <row r="123">
      <c r="A123" s="321" t="s">
        <v>608</v>
      </c>
      <c r="B123" s="341">
        <v>23054.6</v>
      </c>
      <c r="C123" s="342">
        <v>0.0839559</v>
      </c>
      <c r="D123" s="185">
        <f t="shared" si="1"/>
        <v>0.000839559</v>
      </c>
      <c r="E123" s="321"/>
      <c r="H123" s="324"/>
      <c r="I123" s="324"/>
      <c r="J123" s="324"/>
      <c r="K123" s="324"/>
      <c r="L123" s="324"/>
      <c r="M123" s="324"/>
      <c r="N123" s="324"/>
      <c r="O123" s="324"/>
      <c r="P123" s="324"/>
      <c r="Q123" s="324"/>
      <c r="R123" s="324"/>
      <c r="S123" s="324"/>
      <c r="T123" s="324"/>
      <c r="U123" s="324"/>
      <c r="V123" s="324"/>
      <c r="W123" s="324"/>
      <c r="X123" s="324"/>
      <c r="Y123" s="324"/>
      <c r="Z123" s="324"/>
      <c r="AA123" s="324"/>
      <c r="AB123" s="324"/>
      <c r="AC123" s="324"/>
      <c r="AD123" s="324"/>
      <c r="AE123" s="324"/>
      <c r="AF123" s="324"/>
      <c r="AG123" s="324"/>
      <c r="AH123" s="324"/>
      <c r="AI123" s="324"/>
      <c r="AJ123" s="324"/>
      <c r="AK123" s="324"/>
      <c r="AL123" s="324"/>
      <c r="AM123" s="324"/>
      <c r="AN123" s="324"/>
      <c r="AO123" s="324"/>
      <c r="AP123" s="324"/>
      <c r="AQ123" s="324"/>
      <c r="AR123" s="324"/>
      <c r="AS123" s="324"/>
      <c r="AT123" s="324"/>
      <c r="AU123" s="324"/>
      <c r="AV123" s="324"/>
      <c r="AW123" s="324"/>
      <c r="AX123" s="324"/>
      <c r="AY123" s="324"/>
      <c r="AZ123" s="324"/>
      <c r="BA123" s="324"/>
      <c r="BB123" s="324"/>
      <c r="BC123" s="324"/>
      <c r="BD123" s="324"/>
      <c r="BE123" s="322"/>
      <c r="BF123" s="322"/>
      <c r="BG123" s="322"/>
      <c r="BH123" s="322"/>
      <c r="BI123" s="322"/>
      <c r="BJ123" s="322"/>
      <c r="BK123" s="322"/>
      <c r="BL123" s="322"/>
      <c r="BM123" s="322"/>
      <c r="BN123" s="322"/>
      <c r="BO123" s="322"/>
    </row>
    <row r="124">
      <c r="A124" s="321" t="s">
        <v>609</v>
      </c>
      <c r="B124" s="341">
        <v>31802.38</v>
      </c>
      <c r="C124" s="342">
        <v>0.01914441</v>
      </c>
      <c r="D124" s="185">
        <f t="shared" si="1"/>
        <v>0.0001914441</v>
      </c>
      <c r="E124" s="321"/>
      <c r="H124" s="324"/>
      <c r="I124" s="324"/>
      <c r="J124" s="324"/>
      <c r="K124" s="324"/>
      <c r="L124" s="324"/>
      <c r="M124" s="324"/>
      <c r="N124" s="324"/>
      <c r="O124" s="324"/>
      <c r="P124" s="324"/>
      <c r="Q124" s="324"/>
      <c r="R124" s="324"/>
      <c r="S124" s="324"/>
      <c r="T124" s="324"/>
      <c r="U124" s="324"/>
      <c r="V124" s="322"/>
      <c r="W124" s="322"/>
      <c r="X124" s="322"/>
      <c r="Y124" s="322"/>
      <c r="Z124" s="322"/>
      <c r="AA124" s="322"/>
      <c r="AB124" s="322"/>
      <c r="AC124" s="322"/>
      <c r="AD124" s="322"/>
      <c r="AE124" s="322"/>
      <c r="AF124" s="322"/>
      <c r="AG124" s="322"/>
      <c r="AH124" s="322"/>
      <c r="AI124" s="322"/>
      <c r="AJ124" s="322"/>
      <c r="AK124" s="322"/>
      <c r="AL124" s="322"/>
      <c r="AM124" s="322"/>
      <c r="AN124" s="322"/>
      <c r="AO124" s="322"/>
      <c r="AP124" s="322"/>
      <c r="AQ124" s="322"/>
      <c r="AR124" s="322"/>
      <c r="AS124" s="322"/>
      <c r="AT124" s="322"/>
      <c r="AU124" s="322"/>
      <c r="AV124" s="322"/>
      <c r="AW124" s="322"/>
      <c r="AX124" s="322"/>
      <c r="AY124" s="322"/>
      <c r="AZ124" s="322"/>
      <c r="BA124" s="322"/>
      <c r="BB124" s="322"/>
      <c r="BC124" s="322"/>
      <c r="BD124" s="322"/>
      <c r="BE124" s="322"/>
      <c r="BF124" s="322"/>
      <c r="BG124" s="322"/>
      <c r="BH124" s="322"/>
      <c r="BI124" s="322"/>
      <c r="BJ124" s="322"/>
      <c r="BK124" s="322"/>
      <c r="BL124" s="322"/>
      <c r="BM124" s="322"/>
      <c r="BN124" s="322"/>
      <c r="BO124" s="322"/>
    </row>
    <row r="125">
      <c r="A125" s="321" t="s">
        <v>610</v>
      </c>
      <c r="B125" s="341">
        <v>69114.74</v>
      </c>
      <c r="C125" s="342">
        <v>0.02383388</v>
      </c>
      <c r="D125" s="185">
        <f t="shared" si="1"/>
        <v>0.0002383388</v>
      </c>
      <c r="E125" s="321"/>
      <c r="H125" s="324"/>
      <c r="I125" s="324"/>
      <c r="J125" s="324"/>
      <c r="K125" s="324"/>
      <c r="L125" s="324"/>
      <c r="M125" s="324"/>
      <c r="N125" s="324"/>
      <c r="O125" s="324"/>
      <c r="P125" s="324"/>
      <c r="Q125" s="324"/>
      <c r="R125" s="324"/>
      <c r="S125" s="324"/>
      <c r="T125" s="324"/>
      <c r="U125" s="324"/>
      <c r="V125" s="324"/>
      <c r="W125" s="324"/>
      <c r="X125" s="324"/>
      <c r="Y125" s="324"/>
      <c r="Z125" s="324"/>
      <c r="AA125" s="324"/>
      <c r="AB125" s="324"/>
      <c r="AC125" s="324"/>
      <c r="AD125" s="324"/>
      <c r="AE125" s="324"/>
      <c r="AF125" s="324"/>
      <c r="AG125" s="324"/>
      <c r="AH125" s="324"/>
      <c r="AI125" s="322"/>
      <c r="AJ125" s="322"/>
      <c r="AK125" s="322"/>
      <c r="AL125" s="322"/>
      <c r="AM125" s="322"/>
      <c r="AN125" s="322"/>
      <c r="AO125" s="322"/>
      <c r="AP125" s="322"/>
      <c r="AQ125" s="322"/>
      <c r="AR125" s="322"/>
      <c r="AS125" s="322"/>
      <c r="AT125" s="322"/>
      <c r="AU125" s="322"/>
      <c r="AV125" s="322"/>
      <c r="AW125" s="322"/>
      <c r="AX125" s="322"/>
      <c r="AY125" s="322"/>
      <c r="AZ125" s="322"/>
      <c r="BA125" s="322"/>
      <c r="BB125" s="322"/>
      <c r="BC125" s="322"/>
      <c r="BD125" s="322"/>
      <c r="BE125" s="322"/>
      <c r="BF125" s="322"/>
      <c r="BG125" s="322"/>
      <c r="BH125" s="322"/>
      <c r="BI125" s="322"/>
      <c r="BJ125" s="322"/>
      <c r="BK125" s="322"/>
      <c r="BL125" s="322"/>
      <c r="BM125" s="322"/>
      <c r="BN125" s="322"/>
      <c r="BO125" s="322"/>
    </row>
    <row r="126">
      <c r="A126" s="321" t="s">
        <v>611</v>
      </c>
      <c r="B126" s="341">
        <v>73751.35</v>
      </c>
      <c r="C126" s="342">
        <v>0.01340265</v>
      </c>
      <c r="D126" s="185">
        <f t="shared" si="1"/>
        <v>0.0001340265</v>
      </c>
      <c r="E126" s="321"/>
      <c r="H126" s="324"/>
      <c r="I126" s="324"/>
      <c r="J126" s="324"/>
      <c r="K126" s="324"/>
      <c r="L126" s="324"/>
      <c r="M126" s="324"/>
      <c r="N126" s="324"/>
      <c r="O126" s="324"/>
      <c r="P126" s="324"/>
      <c r="Q126" s="324"/>
      <c r="R126" s="324"/>
      <c r="S126" s="324"/>
      <c r="T126" s="324"/>
      <c r="U126" s="322"/>
      <c r="V126" s="322"/>
      <c r="W126" s="322"/>
      <c r="X126" s="322"/>
      <c r="Y126" s="322"/>
      <c r="Z126" s="322"/>
      <c r="AA126" s="322"/>
      <c r="AB126" s="322"/>
      <c r="AC126" s="322"/>
      <c r="AD126" s="322"/>
      <c r="AE126" s="322"/>
      <c r="AF126" s="322"/>
      <c r="AG126" s="322"/>
      <c r="AH126" s="322"/>
      <c r="AI126" s="322"/>
      <c r="AJ126" s="322"/>
      <c r="AK126" s="322"/>
      <c r="AL126" s="322"/>
      <c r="AM126" s="322"/>
      <c r="AN126" s="322"/>
      <c r="AO126" s="322"/>
      <c r="AP126" s="322"/>
      <c r="AQ126" s="322"/>
      <c r="AR126" s="322"/>
      <c r="AS126" s="322"/>
      <c r="AT126" s="322"/>
      <c r="AU126" s="322"/>
      <c r="AV126" s="322"/>
      <c r="AW126" s="322"/>
      <c r="AX126" s="322"/>
      <c r="AY126" s="322"/>
      <c r="AZ126" s="322"/>
      <c r="BA126" s="322"/>
      <c r="BB126" s="322"/>
      <c r="BC126" s="322"/>
      <c r="BD126" s="322"/>
      <c r="BE126" s="322"/>
      <c r="BF126" s="322"/>
      <c r="BG126" s="322"/>
      <c r="BH126" s="322"/>
      <c r="BI126" s="322"/>
      <c r="BJ126" s="322"/>
      <c r="BK126" s="322"/>
      <c r="BL126" s="322"/>
      <c r="BM126" s="322"/>
      <c r="BN126" s="322"/>
      <c r="BO126" s="322"/>
    </row>
    <row r="127">
      <c r="A127" s="321" t="s">
        <v>612</v>
      </c>
      <c r="B127" s="341">
        <v>23685.54</v>
      </c>
      <c r="C127" s="342">
        <v>0.055408900000000004</v>
      </c>
      <c r="D127" s="185">
        <f t="shared" si="1"/>
        <v>0.000554089</v>
      </c>
      <c r="E127" s="321"/>
      <c r="H127" s="324"/>
      <c r="I127" s="324"/>
      <c r="J127" s="324"/>
      <c r="K127" s="324"/>
      <c r="L127" s="324"/>
      <c r="M127" s="324"/>
      <c r="N127" s="324"/>
      <c r="O127" s="324"/>
      <c r="P127" s="324"/>
      <c r="Q127" s="324"/>
      <c r="R127" s="324"/>
      <c r="S127" s="324"/>
      <c r="T127" s="324"/>
      <c r="U127" s="324"/>
      <c r="V127" s="324"/>
      <c r="W127" s="324"/>
      <c r="X127" s="324"/>
      <c r="Y127" s="324"/>
      <c r="Z127" s="324"/>
      <c r="AA127" s="324"/>
      <c r="AB127" s="324"/>
      <c r="AC127" s="324"/>
      <c r="AD127" s="324"/>
      <c r="AE127" s="324"/>
      <c r="AF127" s="324"/>
      <c r="AG127" s="324"/>
      <c r="AH127" s="324"/>
      <c r="AI127" s="322"/>
      <c r="AJ127" s="322"/>
      <c r="AK127" s="322"/>
      <c r="AL127" s="322"/>
      <c r="AM127" s="322"/>
      <c r="AN127" s="322"/>
      <c r="AO127" s="322"/>
      <c r="AP127" s="322"/>
      <c r="AQ127" s="322"/>
      <c r="AR127" s="322"/>
      <c r="AS127" s="322"/>
      <c r="AT127" s="322"/>
      <c r="AU127" s="322"/>
      <c r="AV127" s="322"/>
      <c r="AW127" s="322"/>
      <c r="AX127" s="322"/>
      <c r="AY127" s="322"/>
      <c r="AZ127" s="322"/>
      <c r="BA127" s="322"/>
      <c r="BB127" s="322"/>
      <c r="BC127" s="322"/>
      <c r="BD127" s="322"/>
      <c r="BE127" s="322"/>
      <c r="BF127" s="322"/>
      <c r="BG127" s="322"/>
      <c r="BH127" s="322"/>
      <c r="BI127" s="322"/>
      <c r="BJ127" s="322"/>
      <c r="BK127" s="322"/>
      <c r="BL127" s="322"/>
      <c r="BM127" s="322"/>
      <c r="BN127" s="322"/>
      <c r="BO127" s="322"/>
    </row>
    <row r="128">
      <c r="A128" s="321" t="s">
        <v>334</v>
      </c>
      <c r="B128" s="341">
        <v>950.8798</v>
      </c>
      <c r="C128" s="342">
        <v>0.2521939</v>
      </c>
      <c r="D128" s="185">
        <f t="shared" si="1"/>
        <v>0.002521939</v>
      </c>
      <c r="E128" s="321"/>
      <c r="H128" s="324"/>
      <c r="I128" s="324"/>
      <c r="J128" s="324"/>
      <c r="K128" s="324"/>
      <c r="L128" s="324"/>
      <c r="M128" s="324"/>
      <c r="N128" s="324"/>
      <c r="O128" s="322"/>
      <c r="P128" s="322"/>
      <c r="Q128" s="322"/>
      <c r="R128" s="322"/>
      <c r="S128" s="322"/>
      <c r="T128" s="322"/>
      <c r="U128" s="322"/>
      <c r="V128" s="322"/>
      <c r="W128" s="322"/>
      <c r="X128" s="322"/>
      <c r="Y128" s="322"/>
      <c r="Z128" s="322"/>
      <c r="AA128" s="322"/>
      <c r="AB128" s="322"/>
      <c r="AC128" s="322"/>
      <c r="AD128" s="322"/>
      <c r="AE128" s="322"/>
      <c r="AF128" s="322"/>
      <c r="AG128" s="322"/>
      <c r="AH128" s="322"/>
      <c r="AI128" s="322"/>
      <c r="AJ128" s="322"/>
      <c r="AK128" s="322"/>
      <c r="AL128" s="322"/>
      <c r="AM128" s="322"/>
      <c r="AN128" s="322"/>
      <c r="AO128" s="322"/>
      <c r="AP128" s="322"/>
      <c r="AQ128" s="322"/>
      <c r="AR128" s="322"/>
      <c r="AS128" s="322"/>
      <c r="AT128" s="322"/>
      <c r="AU128" s="322"/>
      <c r="AV128" s="322"/>
      <c r="AW128" s="322"/>
      <c r="AX128" s="322"/>
      <c r="AY128" s="322"/>
      <c r="AZ128" s="322"/>
      <c r="BA128" s="322"/>
      <c r="BB128" s="322"/>
      <c r="BC128" s="322"/>
      <c r="BD128" s="322"/>
      <c r="BE128" s="322"/>
      <c r="BF128" s="322"/>
      <c r="BG128" s="322"/>
      <c r="BH128" s="322"/>
      <c r="BI128" s="322"/>
      <c r="BJ128" s="322"/>
      <c r="BK128" s="322"/>
      <c r="BL128" s="322"/>
      <c r="BM128" s="322"/>
      <c r="BN128" s="322"/>
      <c r="BO128" s="322"/>
    </row>
    <row r="129">
      <c r="A129" s="321" t="s">
        <v>613</v>
      </c>
      <c r="B129" s="341">
        <v>70455.96</v>
      </c>
      <c r="C129" s="342">
        <v>0.00773834</v>
      </c>
      <c r="D129" s="185">
        <f t="shared" si="1"/>
        <v>0.0000773834</v>
      </c>
      <c r="E129" s="321"/>
      <c r="H129" s="324"/>
      <c r="I129" s="324"/>
      <c r="J129" s="324"/>
      <c r="K129" s="324"/>
      <c r="L129" s="324"/>
      <c r="M129" s="324"/>
      <c r="N129" s="324"/>
      <c r="O129" s="324"/>
      <c r="P129" s="324"/>
      <c r="Q129" s="324"/>
      <c r="R129" s="324"/>
      <c r="S129" s="324"/>
      <c r="T129" s="324"/>
      <c r="U129" s="324"/>
      <c r="V129" s="324"/>
      <c r="W129" s="324"/>
      <c r="X129" s="324"/>
      <c r="Y129" s="324"/>
      <c r="Z129" s="324"/>
      <c r="AA129" s="324"/>
      <c r="AB129" s="324"/>
      <c r="AC129" s="324"/>
      <c r="AD129" s="324"/>
      <c r="AE129" s="324"/>
      <c r="AF129" s="324"/>
      <c r="AG129" s="324"/>
      <c r="AH129" s="324"/>
      <c r="AI129" s="324"/>
      <c r="AJ129" s="324"/>
      <c r="AK129" s="324"/>
      <c r="AL129" s="324"/>
      <c r="AM129" s="324"/>
      <c r="AN129" s="322"/>
      <c r="AO129" s="322"/>
      <c r="AP129" s="322"/>
      <c r="AQ129" s="322"/>
      <c r="AR129" s="322"/>
      <c r="AS129" s="322"/>
      <c r="AT129" s="322"/>
      <c r="AU129" s="322"/>
      <c r="AV129" s="322"/>
      <c r="AW129" s="322"/>
      <c r="AX129" s="322"/>
      <c r="AY129" s="322"/>
      <c r="AZ129" s="322"/>
      <c r="BA129" s="322"/>
      <c r="BB129" s="322"/>
      <c r="BC129" s="322"/>
      <c r="BD129" s="322"/>
      <c r="BE129" s="322"/>
      <c r="BF129" s="322"/>
      <c r="BG129" s="322"/>
      <c r="BH129" s="322"/>
      <c r="BI129" s="322"/>
      <c r="BJ129" s="322"/>
      <c r="BK129" s="322"/>
      <c r="BL129" s="322"/>
      <c r="BM129" s="322"/>
      <c r="BN129" s="322"/>
      <c r="BO129" s="322"/>
    </row>
    <row r="130">
      <c r="A130" s="321" t="s">
        <v>476</v>
      </c>
      <c r="B130" s="341">
        <v>4248.311</v>
      </c>
      <c r="C130" s="342">
        <v>0.2540203</v>
      </c>
      <c r="D130" s="185">
        <f t="shared" si="1"/>
        <v>0.002540203</v>
      </c>
      <c r="E130" s="321"/>
      <c r="H130" s="322"/>
      <c r="I130" s="322"/>
      <c r="J130" s="322"/>
      <c r="K130" s="322"/>
      <c r="L130" s="322"/>
      <c r="M130" s="322"/>
      <c r="N130" s="322"/>
      <c r="O130" s="322"/>
      <c r="P130" s="322"/>
      <c r="Q130" s="322"/>
      <c r="R130" s="322"/>
      <c r="S130" s="322"/>
      <c r="T130" s="322"/>
      <c r="U130" s="322"/>
      <c r="V130" s="322"/>
      <c r="W130" s="322"/>
      <c r="X130" s="322"/>
      <c r="Y130" s="322"/>
      <c r="Z130" s="322"/>
      <c r="AA130" s="322"/>
      <c r="AB130" s="322"/>
      <c r="AC130" s="322"/>
      <c r="AD130" s="322"/>
      <c r="AE130" s="322"/>
      <c r="AF130" s="322"/>
      <c r="AG130" s="322"/>
      <c r="AH130" s="322"/>
      <c r="AI130" s="322"/>
      <c r="AJ130" s="322"/>
      <c r="AK130" s="322"/>
      <c r="AL130" s="322"/>
      <c r="AM130" s="322"/>
      <c r="AN130" s="322"/>
      <c r="AO130" s="322"/>
      <c r="AP130" s="322"/>
      <c r="AQ130" s="322"/>
      <c r="AR130" s="322"/>
      <c r="AS130" s="322"/>
      <c r="AT130" s="322"/>
      <c r="AU130" s="322"/>
      <c r="AV130" s="322"/>
      <c r="AW130" s="322"/>
      <c r="AX130" s="322"/>
      <c r="AY130" s="322"/>
      <c r="AZ130" s="322"/>
      <c r="BA130" s="322"/>
      <c r="BB130" s="322"/>
      <c r="BC130" s="322"/>
      <c r="BD130" s="322"/>
      <c r="BE130" s="322"/>
      <c r="BF130" s="322"/>
      <c r="BG130" s="322"/>
      <c r="BH130" s="322"/>
      <c r="BI130" s="322"/>
      <c r="BJ130" s="322"/>
      <c r="BK130" s="322"/>
      <c r="BL130" s="322"/>
      <c r="BM130" s="322"/>
      <c r="BN130" s="322"/>
      <c r="BO130" s="322"/>
    </row>
    <row r="131">
      <c r="A131" s="321" t="s">
        <v>480</v>
      </c>
      <c r="B131" s="341">
        <v>2726.942</v>
      </c>
      <c r="C131" s="342">
        <v>0.1633446</v>
      </c>
      <c r="D131" s="185">
        <f t="shared" si="1"/>
        <v>0.001633446</v>
      </c>
      <c r="E131" s="321"/>
      <c r="H131" s="322"/>
      <c r="I131" s="322"/>
      <c r="J131" s="322"/>
      <c r="K131" s="322"/>
      <c r="L131" s="322"/>
      <c r="M131" s="322"/>
      <c r="N131" s="322"/>
      <c r="O131" s="322"/>
      <c r="P131" s="322"/>
      <c r="Q131" s="322"/>
      <c r="R131" s="322"/>
      <c r="S131" s="322"/>
      <c r="T131" s="322"/>
      <c r="U131" s="322"/>
      <c r="V131" s="322"/>
      <c r="W131" s="322"/>
      <c r="X131" s="322"/>
      <c r="Y131" s="322"/>
      <c r="Z131" s="322"/>
      <c r="AA131" s="322"/>
      <c r="AB131" s="322"/>
      <c r="AC131" s="322"/>
      <c r="AD131" s="322"/>
      <c r="AE131" s="322"/>
      <c r="AF131" s="322"/>
      <c r="AG131" s="322"/>
      <c r="AH131" s="322"/>
      <c r="AI131" s="322"/>
      <c r="AJ131" s="322"/>
      <c r="AK131" s="322"/>
      <c r="AL131" s="322"/>
      <c r="AM131" s="322"/>
      <c r="AN131" s="322"/>
      <c r="AO131" s="322"/>
      <c r="AP131" s="322"/>
      <c r="AQ131" s="322"/>
      <c r="AR131" s="322"/>
      <c r="AS131" s="322"/>
      <c r="AT131" s="322"/>
      <c r="AU131" s="322"/>
      <c r="AV131" s="322"/>
      <c r="AW131" s="322"/>
      <c r="AX131" s="322"/>
      <c r="AY131" s="322"/>
      <c r="AZ131" s="322"/>
      <c r="BA131" s="322"/>
      <c r="BB131" s="322"/>
      <c r="BC131" s="322"/>
      <c r="BD131" s="322"/>
      <c r="BE131" s="322"/>
      <c r="BF131" s="322"/>
      <c r="BG131" s="322"/>
      <c r="BH131" s="322"/>
      <c r="BI131" s="322"/>
      <c r="BJ131" s="322"/>
      <c r="BK131" s="322"/>
      <c r="BL131" s="322"/>
      <c r="BM131" s="322"/>
      <c r="BN131" s="322"/>
      <c r="BO131" s="322"/>
    </row>
    <row r="132">
      <c r="A132" s="321" t="s">
        <v>614</v>
      </c>
      <c r="B132" s="341">
        <v>9065.699</v>
      </c>
      <c r="C132" s="342">
        <v>0.1100369</v>
      </c>
      <c r="D132" s="185">
        <f t="shared" si="1"/>
        <v>0.001100369</v>
      </c>
      <c r="E132" s="321"/>
      <c r="H132" s="322"/>
      <c r="I132" s="322"/>
      <c r="J132" s="322"/>
      <c r="K132" s="322"/>
      <c r="L132" s="322"/>
      <c r="M132" s="322"/>
      <c r="N132" s="322"/>
      <c r="O132" s="322"/>
      <c r="P132" s="322"/>
      <c r="Q132" s="322"/>
      <c r="R132" s="322"/>
      <c r="S132" s="322"/>
      <c r="T132" s="322"/>
      <c r="U132" s="322"/>
      <c r="V132" s="322"/>
      <c r="W132" s="322"/>
      <c r="X132" s="322"/>
      <c r="Y132" s="322"/>
      <c r="Z132" s="322"/>
      <c r="AA132" s="322"/>
      <c r="AB132" s="322"/>
      <c r="AC132" s="322"/>
      <c r="AD132" s="322"/>
      <c r="AE132" s="322"/>
      <c r="AF132" s="322"/>
      <c r="AG132" s="322"/>
      <c r="AH132" s="322"/>
      <c r="AI132" s="322"/>
      <c r="AJ132" s="322"/>
      <c r="AK132" s="322"/>
      <c r="AL132" s="322"/>
      <c r="AM132" s="322"/>
      <c r="AN132" s="322"/>
      <c r="AO132" s="322"/>
      <c r="AP132" s="322"/>
      <c r="AQ132" s="322"/>
      <c r="AR132" s="322"/>
      <c r="AS132" s="322"/>
      <c r="AT132" s="322"/>
      <c r="AU132" s="322"/>
      <c r="AV132" s="322"/>
      <c r="AW132" s="322"/>
      <c r="AX132" s="322"/>
      <c r="AY132" s="322"/>
      <c r="AZ132" s="322"/>
      <c r="BA132" s="322"/>
      <c r="BB132" s="322"/>
      <c r="BC132" s="322"/>
      <c r="BD132" s="322"/>
      <c r="BE132" s="322"/>
      <c r="BF132" s="322"/>
      <c r="BG132" s="322"/>
      <c r="BH132" s="322"/>
      <c r="BI132" s="322"/>
      <c r="BJ132" s="322"/>
      <c r="BK132" s="322"/>
      <c r="BL132" s="322"/>
      <c r="BM132" s="322"/>
      <c r="BN132" s="322"/>
      <c r="BO132" s="322"/>
    </row>
    <row r="133">
      <c r="A133" s="321" t="s">
        <v>615</v>
      </c>
      <c r="B133" s="341">
        <v>38689.55</v>
      </c>
      <c r="C133" s="342">
        <v>0.03031947</v>
      </c>
      <c r="D133" s="185">
        <f t="shared" si="1"/>
        <v>0.0003031947</v>
      </c>
      <c r="E133" s="321"/>
      <c r="H133" s="324"/>
      <c r="I133" s="324"/>
      <c r="J133" s="324"/>
      <c r="K133" s="324"/>
      <c r="L133" s="324"/>
      <c r="M133" s="324"/>
      <c r="N133" s="324"/>
      <c r="O133" s="324"/>
      <c r="P133" s="324"/>
      <c r="Q133" s="324"/>
      <c r="R133" s="324"/>
      <c r="S133" s="324"/>
      <c r="T133" s="324"/>
      <c r="U133" s="324"/>
      <c r="V133" s="324"/>
      <c r="W133" s="324"/>
      <c r="X133" s="324"/>
      <c r="Y133" s="322"/>
      <c r="Z133" s="322"/>
      <c r="AA133" s="322"/>
      <c r="AB133" s="322"/>
      <c r="AC133" s="322"/>
      <c r="AD133" s="322"/>
      <c r="AE133" s="322"/>
      <c r="AF133" s="322"/>
      <c r="AG133" s="322"/>
      <c r="AH133" s="322"/>
      <c r="AI133" s="322"/>
      <c r="AJ133" s="322"/>
      <c r="AK133" s="322"/>
      <c r="AL133" s="322"/>
      <c r="AM133" s="322"/>
      <c r="AN133" s="322"/>
      <c r="AO133" s="322"/>
      <c r="AP133" s="322"/>
      <c r="AQ133" s="322"/>
      <c r="AR133" s="322"/>
      <c r="AS133" s="322"/>
      <c r="AT133" s="322"/>
      <c r="AU133" s="322"/>
      <c r="AV133" s="322"/>
      <c r="AW133" s="322"/>
      <c r="AX133" s="322"/>
      <c r="AY133" s="322"/>
      <c r="AZ133" s="322"/>
      <c r="BA133" s="322"/>
      <c r="BB133" s="322"/>
      <c r="BC133" s="322"/>
      <c r="BD133" s="322"/>
      <c r="BE133" s="322"/>
      <c r="BF133" s="322"/>
      <c r="BG133" s="322"/>
      <c r="BH133" s="322"/>
      <c r="BI133" s="322"/>
      <c r="BJ133" s="322"/>
      <c r="BK133" s="322"/>
      <c r="BL133" s="322"/>
      <c r="BM133" s="322"/>
      <c r="BN133" s="322"/>
      <c r="BO133" s="322"/>
    </row>
    <row r="134">
      <c r="A134" s="321" t="s">
        <v>616</v>
      </c>
      <c r="B134" s="341">
        <v>63847.83</v>
      </c>
      <c r="C134" s="342">
        <v>0.00268881</v>
      </c>
      <c r="D134" s="185">
        <f t="shared" si="1"/>
        <v>0.0000268881</v>
      </c>
      <c r="E134" s="321"/>
      <c r="H134" s="324"/>
      <c r="I134" s="324"/>
      <c r="J134" s="324"/>
      <c r="K134" s="324"/>
      <c r="L134" s="324"/>
      <c r="M134" s="324"/>
      <c r="N134" s="324"/>
      <c r="O134" s="324"/>
      <c r="P134" s="324"/>
      <c r="Q134" s="324"/>
      <c r="R134" s="324"/>
      <c r="S134" s="324"/>
      <c r="T134" s="324"/>
      <c r="U134" s="324"/>
      <c r="V134" s="324"/>
      <c r="W134" s="324"/>
      <c r="X134" s="324"/>
      <c r="Y134" s="322"/>
      <c r="Z134" s="322"/>
      <c r="AA134" s="322"/>
      <c r="AB134" s="322"/>
      <c r="AC134" s="322"/>
      <c r="AD134" s="322"/>
      <c r="AE134" s="322"/>
      <c r="AF134" s="322"/>
      <c r="AG134" s="322"/>
      <c r="AH134" s="322"/>
      <c r="AI134" s="322"/>
      <c r="AJ134" s="322"/>
      <c r="AK134" s="322"/>
      <c r="AL134" s="322"/>
      <c r="AM134" s="322"/>
      <c r="AN134" s="322"/>
      <c r="AO134" s="324"/>
      <c r="AP134" s="324"/>
      <c r="AQ134" s="324"/>
      <c r="AR134" s="324"/>
      <c r="AS134" s="324"/>
      <c r="AT134" s="324"/>
      <c r="AU134" s="324"/>
      <c r="AV134" s="324"/>
      <c r="AW134" s="324"/>
      <c r="AX134" s="324"/>
      <c r="AY134" s="322"/>
      <c r="AZ134" s="322"/>
      <c r="BA134" s="322"/>
      <c r="BB134" s="322"/>
      <c r="BC134" s="322"/>
      <c r="BD134" s="322"/>
      <c r="BE134" s="322"/>
      <c r="BF134" s="322"/>
      <c r="BG134" s="322"/>
      <c r="BH134" s="322"/>
      <c r="BI134" s="322"/>
      <c r="BJ134" s="322"/>
      <c r="BK134" s="322"/>
      <c r="BL134" s="322"/>
      <c r="BM134" s="322"/>
      <c r="BN134" s="322"/>
      <c r="BO134" s="322"/>
    </row>
    <row r="135">
      <c r="A135" s="321" t="s">
        <v>617</v>
      </c>
      <c r="B135" s="341">
        <v>35554.8</v>
      </c>
      <c r="C135" s="342">
        <v>0.00448443</v>
      </c>
      <c r="D135" s="185">
        <f t="shared" si="1"/>
        <v>0.0000448443</v>
      </c>
      <c r="E135" s="321"/>
      <c r="H135" s="324"/>
      <c r="I135" s="324"/>
      <c r="J135" s="324"/>
      <c r="K135" s="324"/>
      <c r="L135" s="324"/>
      <c r="M135" s="324"/>
      <c r="N135" s="324"/>
      <c r="O135" s="324"/>
      <c r="P135" s="324"/>
      <c r="Q135" s="324"/>
      <c r="R135" s="324"/>
      <c r="S135" s="324"/>
      <c r="T135" s="324"/>
      <c r="U135" s="324"/>
      <c r="V135" s="324"/>
      <c r="W135" s="324"/>
      <c r="X135" s="324"/>
      <c r="Y135" s="324"/>
      <c r="Z135" s="324"/>
      <c r="AA135" s="324"/>
      <c r="AB135" s="324"/>
      <c r="AC135" s="322"/>
      <c r="AD135" s="322"/>
      <c r="AE135" s="322"/>
      <c r="AF135" s="322"/>
      <c r="AG135" s="324"/>
      <c r="AH135" s="322"/>
      <c r="AI135" s="322"/>
      <c r="AJ135" s="322"/>
      <c r="AK135" s="322"/>
      <c r="AL135" s="322"/>
      <c r="AM135" s="322"/>
      <c r="AN135" s="322"/>
      <c r="AO135" s="322"/>
      <c r="AP135" s="322"/>
      <c r="AQ135" s="322"/>
      <c r="AR135" s="322"/>
      <c r="AS135" s="322"/>
      <c r="AT135" s="322"/>
      <c r="AU135" s="322"/>
      <c r="AV135" s="322"/>
      <c r="AW135" s="322"/>
      <c r="AX135" s="322"/>
      <c r="AY135" s="322"/>
      <c r="AZ135" s="322"/>
      <c r="BA135" s="322"/>
      <c r="BB135" s="322"/>
      <c r="BC135" s="322"/>
      <c r="BD135" s="322"/>
      <c r="BE135" s="322"/>
      <c r="BF135" s="322"/>
      <c r="BG135" s="322"/>
      <c r="BH135" s="322"/>
      <c r="BI135" s="322"/>
      <c r="BJ135" s="322"/>
      <c r="BK135" s="322"/>
      <c r="BL135" s="322"/>
      <c r="BM135" s="322"/>
      <c r="BN135" s="322"/>
      <c r="BO135" s="322"/>
    </row>
    <row r="136">
      <c r="A136" s="321" t="s">
        <v>618</v>
      </c>
      <c r="B136" s="341">
        <v>22845.52</v>
      </c>
      <c r="C136" s="342">
        <v>0.04344848</v>
      </c>
      <c r="D136" s="185">
        <f t="shared" si="1"/>
        <v>0.0004344848</v>
      </c>
      <c r="E136" s="321"/>
      <c r="H136" s="324"/>
      <c r="I136" s="324"/>
      <c r="J136" s="324"/>
      <c r="K136" s="324"/>
      <c r="L136" s="324"/>
      <c r="M136" s="324"/>
      <c r="N136" s="324"/>
      <c r="O136" s="324"/>
      <c r="P136" s="324"/>
      <c r="Q136" s="324"/>
      <c r="R136" s="324"/>
      <c r="S136" s="324"/>
      <c r="T136" s="324"/>
      <c r="U136" s="324"/>
      <c r="V136" s="324"/>
      <c r="W136" s="324"/>
      <c r="X136" s="324"/>
      <c r="Y136" s="324"/>
      <c r="Z136" s="324"/>
      <c r="AA136" s="324"/>
      <c r="AB136" s="324"/>
      <c r="AC136" s="324"/>
      <c r="AD136" s="324"/>
      <c r="AE136" s="324"/>
      <c r="AF136" s="324"/>
      <c r="AG136" s="324"/>
      <c r="AH136" s="324"/>
      <c r="AI136" s="324"/>
      <c r="AJ136" s="324"/>
      <c r="AK136" s="324"/>
      <c r="AL136" s="324"/>
      <c r="AM136" s="322"/>
      <c r="AN136" s="322"/>
      <c r="AO136" s="322"/>
      <c r="AP136" s="322"/>
      <c r="AQ136" s="322"/>
      <c r="AR136" s="322"/>
      <c r="AS136" s="322"/>
      <c r="AT136" s="322"/>
      <c r="AU136" s="322"/>
      <c r="AV136" s="322"/>
      <c r="AW136" s="322"/>
      <c r="AX136" s="322"/>
      <c r="AY136" s="322"/>
      <c r="AZ136" s="322"/>
      <c r="BA136" s="322"/>
      <c r="BB136" s="322"/>
      <c r="BC136" s="322"/>
      <c r="BD136" s="322"/>
      <c r="BE136" s="322"/>
      <c r="BF136" s="322"/>
      <c r="BG136" s="322"/>
      <c r="BH136" s="322"/>
      <c r="BI136" s="322"/>
      <c r="BJ136" s="322"/>
      <c r="BK136" s="322"/>
      <c r="BL136" s="322"/>
      <c r="BM136" s="322"/>
      <c r="BN136" s="322"/>
      <c r="BO136" s="322"/>
    </row>
    <row r="137">
      <c r="A137" s="321" t="s">
        <v>619</v>
      </c>
      <c r="B137" s="341">
        <v>30751.5</v>
      </c>
      <c r="C137" s="342">
        <v>0.07250383</v>
      </c>
      <c r="D137" s="185">
        <f t="shared" si="1"/>
        <v>0.0007250383</v>
      </c>
      <c r="E137" s="321"/>
      <c r="H137" s="324"/>
      <c r="I137" s="324"/>
      <c r="J137" s="324"/>
      <c r="K137" s="324"/>
      <c r="L137" s="324"/>
      <c r="M137" s="324"/>
      <c r="N137" s="324"/>
      <c r="O137" s="324"/>
      <c r="P137" s="324"/>
      <c r="Q137" s="324"/>
      <c r="R137" s="324"/>
      <c r="S137" s="324"/>
      <c r="T137" s="324"/>
      <c r="U137" s="324"/>
      <c r="V137" s="324"/>
      <c r="W137" s="324"/>
      <c r="X137" s="324"/>
      <c r="Y137" s="324"/>
      <c r="Z137" s="324"/>
      <c r="AA137" s="324"/>
      <c r="AB137" s="324"/>
      <c r="AC137" s="324"/>
      <c r="AD137" s="324"/>
      <c r="AE137" s="324"/>
      <c r="AF137" s="324"/>
      <c r="AG137" s="324"/>
      <c r="AH137" s="324"/>
      <c r="AI137" s="322"/>
      <c r="AJ137" s="322"/>
      <c r="AK137" s="322"/>
      <c r="AL137" s="322"/>
      <c r="AM137" s="322"/>
      <c r="AN137" s="322"/>
      <c r="AO137" s="322"/>
      <c r="AP137" s="322"/>
      <c r="AQ137" s="322"/>
      <c r="AR137" s="322"/>
      <c r="AS137" s="322"/>
      <c r="AT137" s="322"/>
      <c r="AU137" s="322"/>
      <c r="AV137" s="322"/>
      <c r="AW137" s="322"/>
      <c r="AX137" s="322"/>
      <c r="AY137" s="322"/>
      <c r="AZ137" s="322"/>
      <c r="BA137" s="322"/>
      <c r="BB137" s="322"/>
      <c r="BC137" s="322"/>
      <c r="BD137" s="322"/>
      <c r="BE137" s="322"/>
      <c r="BF137" s="322"/>
      <c r="BG137" s="322"/>
      <c r="BH137" s="322"/>
      <c r="BI137" s="322"/>
      <c r="BJ137" s="322"/>
      <c r="BK137" s="322"/>
      <c r="BL137" s="322"/>
      <c r="BM137" s="322"/>
      <c r="BN137" s="322"/>
      <c r="BO137" s="322"/>
    </row>
    <row r="138">
      <c r="A138" s="321" t="s">
        <v>620</v>
      </c>
      <c r="B138" s="341">
        <v>14195.31</v>
      </c>
      <c r="C138" s="342">
        <v>0.09005028</v>
      </c>
      <c r="D138" s="185">
        <f t="shared" si="1"/>
        <v>0.0009005028</v>
      </c>
      <c r="E138" s="321"/>
      <c r="H138" s="324"/>
      <c r="I138" s="324"/>
      <c r="J138" s="324"/>
      <c r="K138" s="324"/>
      <c r="L138" s="324"/>
      <c r="M138" s="324"/>
      <c r="N138" s="324"/>
      <c r="O138" s="324"/>
      <c r="P138" s="324"/>
      <c r="Q138" s="324"/>
      <c r="R138" s="324"/>
      <c r="S138" s="324"/>
      <c r="T138" s="324"/>
      <c r="U138" s="324"/>
      <c r="V138" s="324"/>
      <c r="W138" s="322"/>
      <c r="X138" s="322"/>
      <c r="Y138" s="322"/>
      <c r="Z138" s="322"/>
      <c r="AA138" s="322"/>
      <c r="AB138" s="322"/>
      <c r="AC138" s="322"/>
      <c r="AD138" s="322"/>
      <c r="AE138" s="322"/>
      <c r="AF138" s="322"/>
      <c r="AG138" s="322"/>
      <c r="AH138" s="322"/>
      <c r="AI138" s="322"/>
      <c r="AJ138" s="322"/>
      <c r="AK138" s="322"/>
      <c r="AL138" s="322"/>
      <c r="AM138" s="322"/>
      <c r="AN138" s="322"/>
      <c r="AO138" s="322"/>
      <c r="AP138" s="322"/>
      <c r="AQ138" s="322"/>
      <c r="AR138" s="322"/>
      <c r="AS138" s="322"/>
      <c r="AT138" s="322"/>
      <c r="AU138" s="322"/>
      <c r="AV138" s="322"/>
      <c r="AW138" s="322"/>
      <c r="AX138" s="322"/>
      <c r="AY138" s="322"/>
      <c r="AZ138" s="322"/>
      <c r="BA138" s="322"/>
      <c r="BB138" s="322"/>
      <c r="BC138" s="322"/>
      <c r="BD138" s="322"/>
      <c r="BE138" s="322"/>
      <c r="BF138" s="322"/>
      <c r="BG138" s="322"/>
      <c r="BH138" s="322"/>
      <c r="BI138" s="322"/>
      <c r="BJ138" s="322"/>
      <c r="BK138" s="322"/>
      <c r="BL138" s="322"/>
      <c r="BM138" s="322"/>
      <c r="BN138" s="322"/>
      <c r="BO138" s="322"/>
    </row>
    <row r="139">
      <c r="A139" s="321" t="s">
        <v>621</v>
      </c>
      <c r="B139" s="341">
        <v>10727.0</v>
      </c>
      <c r="C139" s="342">
        <v>0.1253401</v>
      </c>
      <c r="D139" s="185">
        <f t="shared" si="1"/>
        <v>0.001253401</v>
      </c>
      <c r="E139" s="321"/>
      <c r="H139" s="324"/>
      <c r="I139" s="324"/>
      <c r="J139" s="324"/>
      <c r="K139" s="324"/>
      <c r="L139" s="324"/>
      <c r="M139" s="324"/>
      <c r="N139" s="324"/>
      <c r="O139" s="322"/>
      <c r="P139" s="322"/>
      <c r="Q139" s="322"/>
      <c r="R139" s="322"/>
      <c r="S139" s="322"/>
      <c r="T139" s="322"/>
      <c r="U139" s="322"/>
      <c r="V139" s="322"/>
      <c r="W139" s="322"/>
      <c r="X139" s="322"/>
      <c r="Y139" s="322"/>
      <c r="Z139" s="322"/>
      <c r="AA139" s="322"/>
      <c r="AB139" s="322"/>
      <c r="AC139" s="322"/>
      <c r="AD139" s="322"/>
      <c r="AE139" s="322"/>
      <c r="AF139" s="322"/>
      <c r="AG139" s="322"/>
      <c r="AH139" s="322"/>
      <c r="AI139" s="322"/>
      <c r="AJ139" s="322"/>
      <c r="AK139" s="322"/>
      <c r="AL139" s="322"/>
      <c r="AM139" s="322"/>
      <c r="AN139" s="322"/>
      <c r="AO139" s="322"/>
      <c r="AP139" s="322"/>
      <c r="AQ139" s="322"/>
      <c r="AR139" s="322"/>
      <c r="AS139" s="322"/>
      <c r="AT139" s="322"/>
      <c r="AU139" s="322"/>
      <c r="AV139" s="322"/>
      <c r="AW139" s="322"/>
      <c r="AX139" s="322"/>
      <c r="AY139" s="322"/>
      <c r="AZ139" s="322"/>
      <c r="BA139" s="322"/>
      <c r="BB139" s="322"/>
      <c r="BC139" s="322"/>
      <c r="BD139" s="322"/>
      <c r="BE139" s="322"/>
      <c r="BF139" s="322"/>
      <c r="BG139" s="322"/>
      <c r="BH139" s="322"/>
      <c r="BI139" s="322"/>
      <c r="BJ139" s="322"/>
      <c r="BK139" s="322"/>
      <c r="BL139" s="322"/>
      <c r="BM139" s="322"/>
      <c r="BN139" s="322"/>
      <c r="BO139" s="322"/>
    </row>
    <row r="140">
      <c r="A140" s="321" t="s">
        <v>622</v>
      </c>
      <c r="B140" s="341">
        <v>20584.42</v>
      </c>
      <c r="C140" s="342">
        <v>0.06241385</v>
      </c>
      <c r="D140" s="185">
        <f t="shared" si="1"/>
        <v>0.0006241385</v>
      </c>
      <c r="E140" s="321"/>
      <c r="H140" s="322"/>
      <c r="I140" s="322"/>
      <c r="J140" s="322"/>
      <c r="K140" s="322"/>
      <c r="L140" s="322"/>
      <c r="M140" s="322"/>
      <c r="N140" s="322"/>
      <c r="O140" s="322"/>
      <c r="P140" s="322"/>
      <c r="Q140" s="322"/>
      <c r="R140" s="322"/>
      <c r="S140" s="322"/>
      <c r="T140" s="322"/>
      <c r="U140" s="322"/>
      <c r="V140" s="322"/>
      <c r="W140" s="322"/>
      <c r="X140" s="322"/>
      <c r="Y140" s="322"/>
      <c r="Z140" s="322"/>
      <c r="AA140" s="322"/>
      <c r="AB140" s="322"/>
      <c r="AC140" s="322"/>
      <c r="AD140" s="322"/>
      <c r="AE140" s="322"/>
      <c r="AF140" s="322"/>
      <c r="AG140" s="322"/>
      <c r="AH140" s="322"/>
      <c r="AI140" s="322"/>
      <c r="AJ140" s="322"/>
      <c r="AK140" s="322"/>
      <c r="AL140" s="322"/>
      <c r="AM140" s="322"/>
      <c r="AN140" s="322"/>
      <c r="AO140" s="322"/>
      <c r="AP140" s="322"/>
      <c r="AQ140" s="322"/>
      <c r="AR140" s="322"/>
      <c r="AS140" s="322"/>
      <c r="AT140" s="322"/>
      <c r="AU140" s="322"/>
      <c r="AV140" s="322"/>
      <c r="AW140" s="322"/>
      <c r="AX140" s="322"/>
      <c r="AY140" s="322"/>
      <c r="AZ140" s="322"/>
      <c r="BA140" s="322"/>
      <c r="BB140" s="322"/>
      <c r="BC140" s="322"/>
      <c r="BD140" s="322"/>
      <c r="BE140" s="322"/>
      <c r="BF140" s="322"/>
      <c r="BG140" s="322"/>
      <c r="BH140" s="322"/>
      <c r="BI140" s="322"/>
      <c r="BJ140" s="322"/>
      <c r="BK140" s="322"/>
      <c r="BL140" s="322"/>
      <c r="BM140" s="322"/>
      <c r="BN140" s="322"/>
      <c r="BO140" s="322"/>
    </row>
    <row r="141">
      <c r="A141" s="321" t="s">
        <v>623</v>
      </c>
      <c r="B141" s="341">
        <v>19357.17</v>
      </c>
      <c r="C141" s="342">
        <v>0.01391594</v>
      </c>
      <c r="D141" s="185">
        <f t="shared" si="1"/>
        <v>0.0001391594</v>
      </c>
      <c r="E141" s="321"/>
      <c r="H141" s="324"/>
      <c r="I141" s="324"/>
      <c r="J141" s="324"/>
      <c r="K141" s="324"/>
      <c r="L141" s="324"/>
      <c r="M141" s="324"/>
      <c r="N141" s="324"/>
      <c r="O141" s="324"/>
      <c r="P141" s="324"/>
      <c r="Q141" s="324"/>
      <c r="R141" s="324"/>
      <c r="S141" s="324"/>
      <c r="T141" s="322"/>
      <c r="U141" s="322"/>
      <c r="V141" s="322"/>
      <c r="W141" s="322"/>
      <c r="X141" s="322"/>
      <c r="Y141" s="322"/>
      <c r="Z141" s="322"/>
      <c r="AA141" s="322"/>
      <c r="AB141" s="322"/>
      <c r="AC141" s="322"/>
      <c r="AD141" s="322"/>
      <c r="AE141" s="322"/>
      <c r="AF141" s="322"/>
      <c r="AG141" s="322"/>
      <c r="AH141" s="322"/>
      <c r="AI141" s="322"/>
      <c r="AJ141" s="322"/>
      <c r="AK141" s="322"/>
      <c r="AL141" s="322"/>
      <c r="AM141" s="322"/>
      <c r="AN141" s="322"/>
      <c r="AO141" s="322"/>
      <c r="AP141" s="322"/>
      <c r="AQ141" s="322"/>
      <c r="AR141" s="322"/>
      <c r="AS141" s="322"/>
      <c r="AT141" s="322"/>
      <c r="AU141" s="322"/>
      <c r="AV141" s="322"/>
      <c r="AW141" s="322"/>
      <c r="AX141" s="322"/>
      <c r="AY141" s="322"/>
      <c r="AZ141" s="322"/>
      <c r="BA141" s="322"/>
      <c r="BB141" s="322"/>
      <c r="BC141" s="322"/>
      <c r="BD141" s="322"/>
      <c r="BE141" s="322"/>
      <c r="BF141" s="322"/>
      <c r="BG141" s="322"/>
      <c r="BH141" s="322"/>
      <c r="BI141" s="322"/>
      <c r="BJ141" s="322"/>
      <c r="BK141" s="322"/>
      <c r="BL141" s="322"/>
      <c r="BM141" s="322"/>
      <c r="BN141" s="322"/>
      <c r="BO141" s="322"/>
    </row>
    <row r="142">
      <c r="A142" s="321" t="s">
        <v>624</v>
      </c>
      <c r="B142" s="341">
        <v>86445.66</v>
      </c>
      <c r="C142" s="342">
        <v>0.01194946</v>
      </c>
      <c r="D142" s="185">
        <f t="shared" si="1"/>
        <v>0.0001194946</v>
      </c>
      <c r="E142" s="321"/>
      <c r="H142" s="324"/>
      <c r="I142" s="324"/>
      <c r="J142" s="324"/>
      <c r="K142" s="324"/>
      <c r="L142" s="324"/>
      <c r="M142" s="324"/>
      <c r="N142" s="324"/>
      <c r="O142" s="324"/>
      <c r="P142" s="324"/>
      <c r="Q142" s="324"/>
      <c r="R142" s="324"/>
      <c r="S142" s="322"/>
      <c r="T142" s="322"/>
      <c r="U142" s="322"/>
      <c r="V142" s="322"/>
      <c r="W142" s="322"/>
      <c r="X142" s="322"/>
      <c r="Y142" s="322"/>
      <c r="Z142" s="322"/>
      <c r="AA142" s="322"/>
      <c r="AB142" s="322"/>
      <c r="AC142" s="322"/>
      <c r="AD142" s="322"/>
      <c r="AE142" s="322"/>
      <c r="AF142" s="322"/>
      <c r="AG142" s="322"/>
      <c r="AH142" s="322"/>
      <c r="AI142" s="322"/>
      <c r="AJ142" s="322"/>
      <c r="AK142" s="322"/>
      <c r="AL142" s="322"/>
      <c r="AM142" s="322"/>
      <c r="AN142" s="322"/>
      <c r="AO142" s="322"/>
      <c r="AP142" s="322"/>
      <c r="AQ142" s="322"/>
      <c r="AR142" s="322"/>
      <c r="AS142" s="322"/>
      <c r="AT142" s="322"/>
      <c r="AU142" s="322"/>
      <c r="AV142" s="322"/>
      <c r="AW142" s="322"/>
      <c r="AX142" s="322"/>
      <c r="AY142" s="322"/>
      <c r="AZ142" s="322"/>
      <c r="BA142" s="322"/>
      <c r="BB142" s="322"/>
      <c r="BC142" s="322"/>
      <c r="BD142" s="322"/>
      <c r="BE142" s="322"/>
      <c r="BF142" s="322"/>
      <c r="BG142" s="322"/>
      <c r="BH142" s="322"/>
      <c r="BI142" s="322"/>
      <c r="BJ142" s="322"/>
      <c r="BK142" s="322"/>
      <c r="BL142" s="322"/>
      <c r="BM142" s="322"/>
      <c r="BN142" s="322"/>
      <c r="BO142" s="322"/>
    </row>
    <row r="143">
      <c r="A143" s="321" t="s">
        <v>484</v>
      </c>
      <c r="B143" s="341">
        <v>19383.17</v>
      </c>
      <c r="C143" s="342">
        <v>0.01581287</v>
      </c>
      <c r="D143" s="185">
        <f t="shared" si="1"/>
        <v>0.0001581287</v>
      </c>
      <c r="E143" s="321"/>
      <c r="H143" s="322"/>
      <c r="I143" s="322"/>
      <c r="J143" s="322"/>
      <c r="K143" s="322"/>
      <c r="L143" s="322"/>
      <c r="M143" s="322"/>
      <c r="N143" s="322"/>
      <c r="O143" s="322"/>
      <c r="P143" s="322"/>
      <c r="Q143" s="322"/>
      <c r="R143" s="322"/>
      <c r="S143" s="322"/>
      <c r="T143" s="322"/>
      <c r="U143" s="322"/>
      <c r="V143" s="322"/>
      <c r="W143" s="322"/>
      <c r="X143" s="322"/>
      <c r="Y143" s="322"/>
      <c r="Z143" s="322"/>
      <c r="AA143" s="322"/>
      <c r="AB143" s="322"/>
      <c r="AC143" s="322"/>
      <c r="AD143" s="322"/>
      <c r="AE143" s="322"/>
      <c r="AF143" s="322"/>
      <c r="AG143" s="322"/>
      <c r="AH143" s="322"/>
      <c r="AI143" s="322"/>
      <c r="AJ143" s="322"/>
      <c r="AK143" s="322"/>
      <c r="AL143" s="322"/>
      <c r="AM143" s="322"/>
      <c r="AN143" s="322"/>
      <c r="AO143" s="322"/>
      <c r="AP143" s="322"/>
      <c r="AQ143" s="322"/>
      <c r="AR143" s="322"/>
      <c r="AS143" s="322"/>
      <c r="AT143" s="322"/>
      <c r="AU143" s="322"/>
      <c r="AV143" s="322"/>
      <c r="AW143" s="322"/>
      <c r="AX143" s="322"/>
      <c r="AY143" s="322"/>
      <c r="AZ143" s="322"/>
      <c r="BA143" s="322"/>
      <c r="BB143" s="322"/>
      <c r="BC143" s="322"/>
      <c r="BD143" s="322"/>
      <c r="BE143" s="322"/>
      <c r="BF143" s="322"/>
      <c r="BG143" s="322"/>
      <c r="BH143" s="322"/>
      <c r="BI143" s="322"/>
      <c r="BJ143" s="322"/>
      <c r="BK143" s="322"/>
      <c r="BL143" s="322"/>
      <c r="BM143" s="322"/>
      <c r="BN143" s="322"/>
      <c r="BO143" s="322"/>
    </row>
    <row r="144">
      <c r="A144" s="321" t="s">
        <v>488</v>
      </c>
      <c r="B144" s="341">
        <v>1129.98</v>
      </c>
      <c r="C144" s="342">
        <v>0.2861106</v>
      </c>
      <c r="D144" s="185">
        <f t="shared" si="1"/>
        <v>0.002861106</v>
      </c>
      <c r="E144" s="321"/>
      <c r="H144" s="324"/>
      <c r="I144" s="324"/>
      <c r="J144" s="324"/>
      <c r="K144" s="324"/>
      <c r="L144" s="324"/>
      <c r="M144" s="324"/>
      <c r="N144" s="324"/>
      <c r="O144" s="324"/>
      <c r="P144" s="324"/>
      <c r="Q144" s="324"/>
      <c r="R144" s="324"/>
      <c r="S144" s="324"/>
      <c r="T144" s="324"/>
      <c r="U144" s="324"/>
      <c r="V144" s="324"/>
      <c r="W144" s="324"/>
      <c r="X144" s="324"/>
      <c r="Y144" s="324"/>
      <c r="Z144" s="324"/>
      <c r="AA144" s="324"/>
      <c r="AB144" s="324"/>
      <c r="AC144" s="324"/>
      <c r="AD144" s="324"/>
      <c r="AE144" s="324"/>
      <c r="AF144" s="324"/>
      <c r="AG144" s="324"/>
      <c r="AH144" s="324"/>
      <c r="AI144" s="324"/>
      <c r="AJ144" s="324"/>
      <c r="AK144" s="324"/>
      <c r="AL144" s="324"/>
      <c r="AM144" s="324"/>
      <c r="AN144" s="324"/>
      <c r="AO144" s="324"/>
      <c r="AP144" s="324"/>
      <c r="AQ144" s="324"/>
      <c r="AR144" s="324"/>
      <c r="AS144" s="324"/>
      <c r="AT144" s="324"/>
      <c r="AU144" s="324"/>
      <c r="AV144" s="324"/>
      <c r="AW144" s="324"/>
      <c r="AX144" s="324"/>
      <c r="AY144" s="324"/>
      <c r="AZ144" s="324"/>
      <c r="BA144" s="324"/>
      <c r="BB144" s="322"/>
      <c r="BC144" s="322"/>
      <c r="BD144" s="322"/>
      <c r="BE144" s="322"/>
      <c r="BF144" s="322"/>
      <c r="BG144" s="322"/>
      <c r="BH144" s="322"/>
      <c r="BI144" s="322"/>
      <c r="BJ144" s="322"/>
      <c r="BK144" s="322"/>
      <c r="BL144" s="322"/>
      <c r="BM144" s="322"/>
      <c r="BN144" s="322"/>
      <c r="BO144" s="322"/>
    </row>
    <row r="145">
      <c r="A145" s="321" t="s">
        <v>625</v>
      </c>
      <c r="B145" s="341">
        <v>92980.4</v>
      </c>
      <c r="C145" s="342">
        <v>0.006292020000000001</v>
      </c>
      <c r="D145" s="185">
        <f t="shared" si="1"/>
        <v>0.0000629202</v>
      </c>
      <c r="E145" s="321"/>
      <c r="H145" s="324"/>
      <c r="I145" s="324"/>
      <c r="J145" s="324"/>
      <c r="K145" s="324"/>
      <c r="L145" s="324"/>
      <c r="M145" s="324"/>
      <c r="N145" s="324"/>
      <c r="O145" s="324"/>
      <c r="P145" s="324"/>
      <c r="Q145" s="324"/>
      <c r="R145" s="324"/>
      <c r="S145" s="324"/>
      <c r="T145" s="324"/>
      <c r="U145" s="324"/>
      <c r="V145" s="324"/>
      <c r="W145" s="324"/>
      <c r="X145" s="324"/>
      <c r="Y145" s="324"/>
      <c r="Z145" s="324"/>
      <c r="AA145" s="324"/>
      <c r="AB145" s="324"/>
      <c r="AC145" s="324"/>
      <c r="AD145" s="324"/>
      <c r="AE145" s="324"/>
      <c r="AF145" s="324"/>
      <c r="AG145" s="324"/>
      <c r="AH145" s="324"/>
      <c r="AI145" s="322"/>
      <c r="AJ145" s="322"/>
      <c r="AK145" s="322"/>
      <c r="AL145" s="322"/>
      <c r="AM145" s="322"/>
      <c r="AN145" s="322"/>
      <c r="AO145" s="322"/>
      <c r="AP145" s="322"/>
      <c r="AQ145" s="322"/>
      <c r="AR145" s="322"/>
      <c r="AS145" s="322"/>
      <c r="AT145" s="322"/>
      <c r="AU145" s="322"/>
      <c r="AV145" s="322"/>
      <c r="AW145" s="322"/>
      <c r="AX145" s="322"/>
      <c r="AY145" s="322"/>
      <c r="AZ145" s="322"/>
      <c r="BA145" s="322"/>
      <c r="BB145" s="322"/>
      <c r="BC145" s="322"/>
      <c r="BD145" s="322"/>
      <c r="BE145" s="322"/>
      <c r="BF145" s="322"/>
      <c r="BG145" s="322"/>
      <c r="BH145" s="322"/>
      <c r="BI145" s="322"/>
      <c r="BJ145" s="322"/>
      <c r="BK145" s="322"/>
      <c r="BL145" s="322"/>
      <c r="BM145" s="322"/>
      <c r="BN145" s="322"/>
      <c r="BO145" s="322"/>
    </row>
    <row r="146">
      <c r="A146" s="321" t="s">
        <v>626</v>
      </c>
      <c r="B146" s="341">
        <v>33284.49</v>
      </c>
      <c r="C146" s="342">
        <v>0.03520273</v>
      </c>
      <c r="D146" s="185">
        <f t="shared" si="1"/>
        <v>0.0003520273</v>
      </c>
      <c r="E146" s="321"/>
      <c r="H146" s="322"/>
      <c r="I146" s="322"/>
      <c r="J146" s="322"/>
      <c r="K146" s="322"/>
      <c r="L146" s="322"/>
      <c r="M146" s="322"/>
      <c r="N146" s="322"/>
      <c r="O146" s="322"/>
      <c r="P146" s="322"/>
      <c r="Q146" s="322"/>
      <c r="R146" s="322"/>
      <c r="S146" s="322"/>
      <c r="T146" s="322"/>
      <c r="U146" s="322"/>
      <c r="V146" s="322"/>
      <c r="W146" s="322"/>
      <c r="X146" s="322"/>
      <c r="Y146" s="322"/>
      <c r="Z146" s="322"/>
      <c r="AA146" s="322"/>
      <c r="AB146" s="322"/>
      <c r="AC146" s="322"/>
      <c r="AD146" s="322"/>
      <c r="AE146" s="322"/>
      <c r="AF146" s="322"/>
      <c r="AG146" s="322"/>
      <c r="AH146" s="322"/>
      <c r="AI146" s="322"/>
      <c r="AJ146" s="322"/>
      <c r="AK146" s="322"/>
      <c r="AL146" s="322"/>
      <c r="AM146" s="322"/>
      <c r="AN146" s="322"/>
      <c r="AO146" s="322"/>
      <c r="AP146" s="322"/>
      <c r="AQ146" s="322"/>
      <c r="AR146" s="322"/>
      <c r="AS146" s="322"/>
      <c r="AT146" s="322"/>
      <c r="AU146" s="322"/>
      <c r="AV146" s="322"/>
      <c r="AW146" s="322"/>
      <c r="AX146" s="322"/>
      <c r="AY146" s="322"/>
      <c r="AZ146" s="322"/>
      <c r="BA146" s="322"/>
      <c r="BB146" s="322"/>
      <c r="BC146" s="322"/>
      <c r="BD146" s="322"/>
      <c r="BE146" s="322"/>
      <c r="BF146" s="322"/>
      <c r="BG146" s="322"/>
      <c r="BH146" s="322"/>
      <c r="BI146" s="322"/>
      <c r="BJ146" s="322"/>
      <c r="BK146" s="322"/>
      <c r="BL146" s="322"/>
      <c r="BM146" s="322"/>
      <c r="BN146" s="322"/>
      <c r="BO146" s="322"/>
    </row>
    <row r="147">
      <c r="A147" s="321" t="s">
        <v>627</v>
      </c>
      <c r="B147" s="341">
        <v>24557.64</v>
      </c>
      <c r="C147" s="342">
        <v>0.07120124</v>
      </c>
      <c r="D147" s="185">
        <f t="shared" si="1"/>
        <v>0.0007120124</v>
      </c>
      <c r="E147" s="321"/>
      <c r="H147" s="322"/>
      <c r="I147" s="322"/>
      <c r="J147" s="322"/>
      <c r="K147" s="322"/>
      <c r="L147" s="322"/>
      <c r="M147" s="322"/>
      <c r="N147" s="322"/>
      <c r="O147" s="322"/>
      <c r="P147" s="322"/>
      <c r="Q147" s="322"/>
      <c r="R147" s="322"/>
      <c r="S147" s="322"/>
      <c r="T147" s="322"/>
      <c r="U147" s="322"/>
      <c r="V147" s="322"/>
      <c r="W147" s="322"/>
      <c r="X147" s="322"/>
      <c r="Y147" s="322"/>
      <c r="Z147" s="322"/>
      <c r="AA147" s="322"/>
      <c r="AB147" s="322"/>
      <c r="AC147" s="322"/>
      <c r="AD147" s="322"/>
      <c r="AE147" s="322"/>
      <c r="AF147" s="322"/>
      <c r="AG147" s="322"/>
      <c r="AH147" s="322"/>
      <c r="AI147" s="322"/>
      <c r="AJ147" s="322"/>
      <c r="AK147" s="322"/>
      <c r="AL147" s="322"/>
      <c r="AM147" s="322"/>
      <c r="AN147" s="322"/>
      <c r="AO147" s="322"/>
      <c r="AP147" s="322"/>
      <c r="AQ147" s="322"/>
      <c r="AR147" s="322"/>
      <c r="AS147" s="322"/>
      <c r="AT147" s="322"/>
      <c r="AU147" s="322"/>
      <c r="AV147" s="322"/>
      <c r="AW147" s="322"/>
      <c r="AX147" s="322"/>
      <c r="AY147" s="322"/>
      <c r="AZ147" s="322"/>
      <c r="BA147" s="322"/>
      <c r="BB147" s="322"/>
      <c r="BC147" s="322"/>
      <c r="BD147" s="322"/>
      <c r="BE147" s="322"/>
      <c r="BF147" s="322"/>
      <c r="BG147" s="322"/>
      <c r="BH147" s="322"/>
      <c r="BI147" s="322"/>
      <c r="BJ147" s="322"/>
      <c r="BK147" s="322"/>
      <c r="BL147" s="322"/>
      <c r="BM147" s="322"/>
      <c r="BN147" s="322"/>
      <c r="BO147" s="322"/>
    </row>
    <row r="148">
      <c r="A148" s="321" t="s">
        <v>628</v>
      </c>
      <c r="B148" s="341">
        <v>7790.856</v>
      </c>
      <c r="C148" s="342">
        <v>0.1437166</v>
      </c>
      <c r="D148" s="185">
        <f t="shared" si="1"/>
        <v>0.001437166</v>
      </c>
      <c r="E148" s="321"/>
      <c r="H148" s="322"/>
      <c r="I148" s="322"/>
      <c r="J148" s="322"/>
      <c r="K148" s="322"/>
      <c r="L148" s="322"/>
      <c r="M148" s="322"/>
      <c r="N148" s="322"/>
      <c r="O148" s="322"/>
      <c r="P148" s="322"/>
      <c r="Q148" s="322"/>
      <c r="R148" s="322"/>
      <c r="S148" s="322"/>
      <c r="T148" s="322"/>
      <c r="U148" s="322"/>
      <c r="V148" s="322"/>
      <c r="W148" s="322"/>
      <c r="X148" s="322"/>
      <c r="Y148" s="322"/>
      <c r="Z148" s="322"/>
      <c r="AA148" s="322"/>
      <c r="AB148" s="322"/>
      <c r="AC148" s="322"/>
      <c r="AD148" s="322"/>
      <c r="AE148" s="322"/>
      <c r="AF148" s="322"/>
      <c r="AG148" s="322"/>
      <c r="AH148" s="322"/>
      <c r="AI148" s="322"/>
      <c r="AJ148" s="322"/>
      <c r="AK148" s="322"/>
      <c r="AL148" s="322"/>
      <c r="AM148" s="322"/>
      <c r="AN148" s="322"/>
      <c r="AO148" s="322"/>
      <c r="AP148" s="322"/>
      <c r="AQ148" s="322"/>
      <c r="AR148" s="322"/>
      <c r="AS148" s="322"/>
      <c r="AT148" s="322"/>
      <c r="AU148" s="322"/>
      <c r="AV148" s="322"/>
      <c r="AW148" s="322"/>
      <c r="AX148" s="322"/>
      <c r="AY148" s="322"/>
      <c r="AZ148" s="322"/>
      <c r="BA148" s="322"/>
      <c r="BB148" s="322"/>
      <c r="BC148" s="322"/>
      <c r="BD148" s="322"/>
      <c r="BE148" s="322"/>
      <c r="BF148" s="322"/>
      <c r="BG148" s="322"/>
      <c r="BH148" s="322"/>
      <c r="BI148" s="322"/>
      <c r="BJ148" s="322"/>
      <c r="BK148" s="322"/>
      <c r="BL148" s="322"/>
      <c r="BM148" s="322"/>
      <c r="BN148" s="322"/>
      <c r="BO148" s="322"/>
    </row>
    <row r="149">
      <c r="A149" s="321" t="s">
        <v>492</v>
      </c>
      <c r="B149" s="341">
        <v>5380.159</v>
      </c>
      <c r="C149" s="342">
        <v>0.1670289</v>
      </c>
      <c r="D149" s="185">
        <f t="shared" si="1"/>
        <v>0.001670289</v>
      </c>
      <c r="E149" s="321"/>
      <c r="H149" s="324"/>
      <c r="I149" s="324"/>
      <c r="J149" s="322"/>
      <c r="K149" s="322"/>
      <c r="L149" s="322"/>
      <c r="M149" s="322"/>
      <c r="N149" s="322"/>
      <c r="O149" s="322"/>
      <c r="P149" s="322"/>
      <c r="Q149" s="322"/>
      <c r="R149" s="322"/>
      <c r="S149" s="322"/>
      <c r="T149" s="322"/>
      <c r="U149" s="322"/>
      <c r="V149" s="322"/>
      <c r="W149" s="322"/>
      <c r="X149" s="322"/>
      <c r="Y149" s="322"/>
      <c r="Z149" s="322"/>
      <c r="AA149" s="322"/>
      <c r="AB149" s="322"/>
      <c r="AC149" s="322"/>
      <c r="AD149" s="322"/>
      <c r="AE149" s="322"/>
      <c r="AF149" s="322"/>
      <c r="AG149" s="322"/>
      <c r="AH149" s="322"/>
      <c r="AI149" s="322"/>
      <c r="AJ149" s="322"/>
      <c r="AK149" s="322"/>
      <c r="AL149" s="322"/>
      <c r="AM149" s="322"/>
      <c r="AN149" s="322"/>
      <c r="AO149" s="322"/>
      <c r="AP149" s="322"/>
      <c r="AQ149" s="322"/>
      <c r="AR149" s="322"/>
      <c r="AS149" s="322"/>
      <c r="AT149" s="322"/>
      <c r="AU149" s="322"/>
      <c r="AV149" s="322"/>
      <c r="AW149" s="322"/>
      <c r="AX149" s="322"/>
      <c r="AY149" s="322"/>
      <c r="AZ149" s="322"/>
      <c r="BA149" s="322"/>
      <c r="BB149" s="322"/>
      <c r="BC149" s="322"/>
      <c r="BD149" s="322"/>
      <c r="BE149" s="322"/>
      <c r="BF149" s="322"/>
      <c r="BG149" s="322"/>
      <c r="BH149" s="322"/>
      <c r="BI149" s="322"/>
      <c r="BJ149" s="322"/>
      <c r="BK149" s="322"/>
      <c r="BL149" s="322"/>
      <c r="BM149" s="322"/>
      <c r="BN149" s="322"/>
      <c r="BO149" s="322"/>
    </row>
    <row r="150">
      <c r="A150" s="321" t="s">
        <v>629</v>
      </c>
      <c r="B150" s="341">
        <v>1670.847</v>
      </c>
      <c r="C150" s="342">
        <v>0.173893</v>
      </c>
      <c r="D150" s="185">
        <f t="shared" si="1"/>
        <v>0.00173893</v>
      </c>
      <c r="E150" s="321"/>
      <c r="H150" s="324"/>
      <c r="I150" s="324"/>
      <c r="J150" s="324"/>
      <c r="K150" s="324"/>
      <c r="L150" s="324"/>
      <c r="M150" s="324"/>
      <c r="N150" s="324"/>
      <c r="O150" s="324"/>
      <c r="P150" s="324"/>
      <c r="Q150" s="324"/>
      <c r="R150" s="324"/>
      <c r="S150" s="324"/>
      <c r="T150" s="324"/>
      <c r="U150" s="324"/>
      <c r="V150" s="324"/>
      <c r="W150" s="324"/>
      <c r="X150" s="324"/>
      <c r="Y150" s="324"/>
      <c r="Z150" s="324"/>
      <c r="AA150" s="324"/>
      <c r="AB150" s="324"/>
      <c r="AC150" s="324"/>
      <c r="AD150" s="324"/>
      <c r="AE150" s="324"/>
      <c r="AF150" s="324"/>
      <c r="AG150" s="324"/>
      <c r="AH150" s="324"/>
      <c r="AI150" s="324"/>
      <c r="AJ150" s="324"/>
      <c r="AK150" s="324"/>
      <c r="AL150" s="324"/>
      <c r="AM150" s="322"/>
      <c r="AN150" s="322"/>
      <c r="AO150" s="322"/>
      <c r="AP150" s="322"/>
      <c r="AQ150" s="322"/>
      <c r="AR150" s="322"/>
      <c r="AS150" s="322"/>
      <c r="AT150" s="322"/>
      <c r="AU150" s="322"/>
      <c r="AV150" s="322"/>
      <c r="AW150" s="322"/>
      <c r="AX150" s="322"/>
      <c r="AY150" s="322"/>
      <c r="AZ150" s="322"/>
      <c r="BA150" s="322"/>
      <c r="BB150" s="322"/>
      <c r="BC150" s="322"/>
      <c r="BD150" s="322"/>
      <c r="BE150" s="322"/>
      <c r="BF150" s="322"/>
      <c r="BG150" s="322"/>
      <c r="BH150" s="322"/>
      <c r="BI150" s="322"/>
      <c r="BJ150" s="322"/>
      <c r="BK150" s="322"/>
      <c r="BL150" s="322"/>
      <c r="BM150" s="322"/>
      <c r="BN150" s="322"/>
      <c r="BO150" s="322"/>
    </row>
    <row r="151">
      <c r="A151" s="321" t="s">
        <v>630</v>
      </c>
      <c r="B151" s="341">
        <v>6932.938</v>
      </c>
      <c r="C151" s="342">
        <v>0.08952116</v>
      </c>
      <c r="D151" s="185">
        <f t="shared" si="1"/>
        <v>0.0008952116</v>
      </c>
      <c r="E151" s="321"/>
      <c r="H151" s="322"/>
      <c r="I151" s="322"/>
      <c r="J151" s="322"/>
      <c r="K151" s="322"/>
      <c r="L151" s="322"/>
      <c r="M151" s="322"/>
      <c r="N151" s="322"/>
      <c r="O151" s="322"/>
      <c r="P151" s="322"/>
      <c r="Q151" s="322"/>
      <c r="R151" s="322"/>
      <c r="S151" s="322"/>
      <c r="T151" s="322"/>
      <c r="U151" s="322"/>
      <c r="V151" s="322"/>
      <c r="W151" s="322"/>
      <c r="X151" s="322"/>
      <c r="Y151" s="322"/>
      <c r="Z151" s="322"/>
      <c r="AA151" s="322"/>
      <c r="AB151" s="322"/>
      <c r="AC151" s="322"/>
      <c r="AD151" s="322"/>
      <c r="AE151" s="322"/>
      <c r="AF151" s="322"/>
      <c r="AG151" s="322"/>
      <c r="AH151" s="322"/>
      <c r="AI151" s="322"/>
      <c r="AJ151" s="322"/>
      <c r="AK151" s="322"/>
      <c r="AL151" s="322"/>
      <c r="AM151" s="322"/>
      <c r="AN151" s="322"/>
      <c r="AO151" s="322"/>
      <c r="AP151" s="322"/>
      <c r="AQ151" s="322"/>
      <c r="AR151" s="322"/>
      <c r="AS151" s="322"/>
      <c r="AT151" s="322"/>
      <c r="AU151" s="322"/>
      <c r="AV151" s="322"/>
      <c r="AW151" s="322"/>
      <c r="AX151" s="322"/>
      <c r="AY151" s="322"/>
      <c r="AZ151" s="322"/>
      <c r="BA151" s="322"/>
      <c r="BB151" s="322"/>
      <c r="BC151" s="322"/>
      <c r="BD151" s="322"/>
      <c r="BE151" s="322"/>
      <c r="BF151" s="322"/>
      <c r="BG151" s="322"/>
      <c r="BH151" s="322"/>
      <c r="BI151" s="322"/>
      <c r="BJ151" s="322"/>
      <c r="BK151" s="322"/>
      <c r="BL151" s="322"/>
      <c r="BM151" s="322"/>
      <c r="BN151" s="322"/>
      <c r="BO151" s="322"/>
    </row>
    <row r="152">
      <c r="A152" s="321" t="s">
        <v>631</v>
      </c>
      <c r="B152" s="341">
        <v>21548.01</v>
      </c>
      <c r="C152" s="342">
        <v>0.08734953000000001</v>
      </c>
      <c r="D152" s="185">
        <f t="shared" si="1"/>
        <v>0.0008734953</v>
      </c>
      <c r="E152" s="321"/>
      <c r="H152" s="324"/>
      <c r="I152" s="324"/>
      <c r="J152" s="322"/>
      <c r="K152" s="322"/>
      <c r="L152" s="322"/>
      <c r="M152" s="322"/>
      <c r="N152" s="322"/>
      <c r="O152" s="322"/>
      <c r="P152" s="322"/>
      <c r="Q152" s="322"/>
      <c r="R152" s="322"/>
      <c r="S152" s="322"/>
      <c r="T152" s="322"/>
      <c r="U152" s="322"/>
      <c r="V152" s="322"/>
      <c r="W152" s="322"/>
      <c r="X152" s="322"/>
      <c r="Y152" s="322"/>
      <c r="Z152" s="322"/>
      <c r="AA152" s="322"/>
      <c r="AB152" s="322"/>
      <c r="AC152" s="322"/>
      <c r="AD152" s="322"/>
      <c r="AE152" s="322"/>
      <c r="AF152" s="322"/>
      <c r="AG152" s="322"/>
      <c r="AH152" s="322"/>
      <c r="AI152" s="322"/>
      <c r="AJ152" s="322"/>
      <c r="AK152" s="322"/>
      <c r="AL152" s="322"/>
      <c r="AM152" s="322"/>
      <c r="AN152" s="322"/>
      <c r="AO152" s="322"/>
      <c r="AP152" s="322"/>
      <c r="AQ152" s="322"/>
      <c r="AR152" s="322"/>
      <c r="AS152" s="322"/>
      <c r="AT152" s="322"/>
      <c r="AU152" s="322"/>
      <c r="AV152" s="322"/>
      <c r="AW152" s="322"/>
      <c r="AX152" s="322"/>
      <c r="AY152" s="322"/>
      <c r="AZ152" s="322"/>
      <c r="BA152" s="322"/>
      <c r="BB152" s="322"/>
      <c r="BC152" s="322"/>
      <c r="BD152" s="322"/>
      <c r="BE152" s="322"/>
      <c r="BF152" s="322"/>
      <c r="BG152" s="322"/>
      <c r="BH152" s="322"/>
      <c r="BI152" s="322"/>
      <c r="BJ152" s="322"/>
      <c r="BK152" s="322"/>
      <c r="BL152" s="322"/>
      <c r="BM152" s="322"/>
      <c r="BN152" s="322"/>
      <c r="BO152" s="322"/>
    </row>
    <row r="153">
      <c r="A153" s="321" t="s">
        <v>501</v>
      </c>
      <c r="B153" s="341">
        <v>3854.789</v>
      </c>
      <c r="C153" s="342">
        <v>0.37185270000000004</v>
      </c>
      <c r="D153" s="185">
        <f t="shared" si="1"/>
        <v>0.003718527</v>
      </c>
      <c r="E153" s="321"/>
      <c r="H153" s="324"/>
      <c r="I153" s="324"/>
      <c r="J153" s="324"/>
      <c r="K153" s="324"/>
      <c r="L153" s="324"/>
      <c r="M153" s="324"/>
      <c r="N153" s="324"/>
      <c r="O153" s="324"/>
      <c r="P153" s="324"/>
      <c r="Q153" s="324"/>
      <c r="R153" s="324"/>
      <c r="S153" s="324"/>
      <c r="T153" s="324"/>
      <c r="U153" s="324"/>
      <c r="V153" s="324"/>
      <c r="W153" s="324"/>
      <c r="X153" s="324"/>
      <c r="Y153" s="322"/>
      <c r="Z153" s="322"/>
      <c r="AA153" s="322"/>
      <c r="AB153" s="322"/>
      <c r="AC153" s="322"/>
      <c r="AD153" s="322"/>
      <c r="AE153" s="322"/>
      <c r="AF153" s="322"/>
      <c r="AG153" s="322"/>
      <c r="AH153" s="322"/>
      <c r="AI153" s="322"/>
      <c r="AJ153" s="322"/>
      <c r="AK153" s="322"/>
      <c r="AL153" s="322"/>
      <c r="AM153" s="322"/>
      <c r="AN153" s="322"/>
      <c r="AO153" s="322"/>
      <c r="AP153" s="322"/>
      <c r="AQ153" s="322"/>
      <c r="AR153" s="322"/>
      <c r="AS153" s="322"/>
      <c r="AT153" s="322"/>
      <c r="AU153" s="322"/>
      <c r="AV153" s="322"/>
      <c r="AW153" s="322"/>
      <c r="AX153" s="322"/>
      <c r="AY153" s="322"/>
      <c r="AZ153" s="322"/>
      <c r="BA153" s="322"/>
      <c r="BB153" s="322"/>
      <c r="BC153" s="322"/>
      <c r="BD153" s="322"/>
      <c r="BE153" s="322"/>
      <c r="BF153" s="322"/>
      <c r="BG153" s="322"/>
      <c r="BH153" s="322"/>
      <c r="BI153" s="322"/>
      <c r="BJ153" s="322"/>
      <c r="BK153" s="322"/>
      <c r="BL153" s="322"/>
      <c r="BM153" s="322"/>
      <c r="BN153" s="322"/>
      <c r="BO153" s="322"/>
    </row>
    <row r="154">
      <c r="A154" s="321" t="s">
        <v>504</v>
      </c>
      <c r="B154" s="341">
        <v>9086.234</v>
      </c>
      <c r="C154" s="342">
        <v>0.04452563</v>
      </c>
      <c r="D154" s="185">
        <f t="shared" si="1"/>
        <v>0.0004452563</v>
      </c>
      <c r="E154" s="321"/>
      <c r="H154" s="324"/>
      <c r="I154" s="324"/>
      <c r="J154" s="324"/>
      <c r="K154" s="324"/>
      <c r="L154" s="324"/>
      <c r="M154" s="324"/>
      <c r="N154" s="324"/>
      <c r="O154" s="324"/>
      <c r="P154" s="324"/>
      <c r="Q154" s="324"/>
      <c r="R154" s="324"/>
      <c r="S154" s="324"/>
      <c r="T154" s="324"/>
      <c r="U154" s="324"/>
      <c r="V154" s="324"/>
      <c r="W154" s="324"/>
      <c r="X154" s="324"/>
      <c r="Y154" s="322"/>
      <c r="Z154" s="322"/>
      <c r="AA154" s="322"/>
      <c r="AB154" s="322"/>
      <c r="AC154" s="322"/>
      <c r="AD154" s="322"/>
      <c r="AE154" s="322"/>
      <c r="AF154" s="322"/>
      <c r="AG154" s="322"/>
      <c r="AH154" s="322"/>
      <c r="AI154" s="322"/>
      <c r="AJ154" s="322"/>
      <c r="AK154" s="322"/>
      <c r="AL154" s="322"/>
      <c r="AM154" s="322"/>
      <c r="AN154" s="322"/>
      <c r="AO154" s="322"/>
      <c r="AP154" s="322"/>
      <c r="AQ154" s="322"/>
      <c r="AR154" s="322"/>
      <c r="AS154" s="322"/>
      <c r="AT154" s="322"/>
      <c r="AU154" s="322"/>
      <c r="AV154" s="322"/>
      <c r="AW154" s="322"/>
      <c r="AX154" s="322"/>
      <c r="AY154" s="322"/>
      <c r="AZ154" s="322"/>
      <c r="BA154" s="322"/>
      <c r="BB154" s="322"/>
      <c r="BC154" s="322"/>
      <c r="BD154" s="322"/>
      <c r="BE154" s="322"/>
      <c r="BF154" s="322"/>
      <c r="BG154" s="322"/>
      <c r="BH154" s="322"/>
      <c r="BI154" s="322"/>
      <c r="BJ154" s="322"/>
      <c r="BK154" s="322"/>
      <c r="BL154" s="322"/>
      <c r="BM154" s="322"/>
      <c r="BN154" s="322"/>
      <c r="BO154" s="322"/>
    </row>
    <row r="155">
      <c r="A155" s="321" t="s">
        <v>632</v>
      </c>
      <c r="B155" s="341">
        <v>27952.48</v>
      </c>
      <c r="C155" s="342">
        <v>0.03800477</v>
      </c>
      <c r="D155" s="185">
        <f t="shared" si="1"/>
        <v>0.0003800477</v>
      </c>
      <c r="E155" s="321"/>
      <c r="H155" s="322"/>
      <c r="I155" s="322"/>
      <c r="J155" s="322"/>
      <c r="K155" s="322"/>
      <c r="L155" s="322"/>
      <c r="M155" s="322"/>
      <c r="N155" s="322"/>
      <c r="O155" s="322"/>
      <c r="P155" s="322"/>
      <c r="Q155" s="322"/>
      <c r="R155" s="322"/>
      <c r="S155" s="322"/>
      <c r="T155" s="322"/>
      <c r="U155" s="322"/>
      <c r="V155" s="322"/>
      <c r="W155" s="322"/>
      <c r="X155" s="322"/>
      <c r="Y155" s="322"/>
      <c r="Z155" s="322"/>
      <c r="AA155" s="322"/>
      <c r="AB155" s="322"/>
      <c r="AC155" s="322"/>
      <c r="AD155" s="322"/>
      <c r="AE155" s="322"/>
      <c r="AF155" s="322"/>
      <c r="AG155" s="322"/>
      <c r="AH155" s="322"/>
      <c r="AI155" s="322"/>
      <c r="AJ155" s="322"/>
      <c r="AK155" s="322"/>
      <c r="AL155" s="322"/>
      <c r="AM155" s="322"/>
      <c r="AN155" s="322"/>
      <c r="AO155" s="322"/>
      <c r="AP155" s="322"/>
      <c r="AQ155" s="322"/>
      <c r="AR155" s="322"/>
      <c r="AS155" s="322"/>
      <c r="AT155" s="322"/>
      <c r="AU155" s="322"/>
      <c r="AV155" s="322"/>
      <c r="AW155" s="322"/>
      <c r="AX155" s="322"/>
      <c r="AY155" s="322"/>
      <c r="AZ155" s="322"/>
      <c r="BA155" s="322"/>
      <c r="BB155" s="322"/>
      <c r="BC155" s="322"/>
      <c r="BD155" s="322"/>
      <c r="BE155" s="322"/>
      <c r="BF155" s="322"/>
      <c r="BG155" s="322"/>
      <c r="BH155" s="322"/>
      <c r="BI155" s="322"/>
      <c r="BJ155" s="322"/>
      <c r="BK155" s="322"/>
      <c r="BL155" s="322"/>
      <c r="BM155" s="322"/>
      <c r="BN155" s="322"/>
      <c r="BO155" s="322"/>
    </row>
    <row r="156">
      <c r="A156" s="321" t="s">
        <v>633</v>
      </c>
      <c r="B156" s="341">
        <v>57100.46</v>
      </c>
      <c r="C156" s="342">
        <v>0.01584481</v>
      </c>
      <c r="D156" s="185">
        <f t="shared" si="1"/>
        <v>0.0001584481</v>
      </c>
      <c r="E156" s="321"/>
      <c r="H156" s="324"/>
      <c r="I156" s="324"/>
      <c r="J156" s="324"/>
      <c r="K156" s="324"/>
      <c r="L156" s="324"/>
      <c r="M156" s="324"/>
      <c r="N156" s="324"/>
      <c r="O156" s="324"/>
      <c r="P156" s="324"/>
      <c r="Q156" s="324"/>
      <c r="R156" s="324"/>
      <c r="S156" s="324"/>
      <c r="T156" s="322"/>
      <c r="U156" s="322"/>
      <c r="V156" s="322"/>
      <c r="W156" s="322"/>
      <c r="X156" s="322"/>
      <c r="Y156" s="322"/>
      <c r="Z156" s="322"/>
      <c r="AA156" s="322"/>
      <c r="AB156" s="322"/>
      <c r="AC156" s="322"/>
      <c r="AD156" s="322"/>
      <c r="AE156" s="322"/>
      <c r="AF156" s="322"/>
      <c r="AG156" s="322"/>
      <c r="AH156" s="322"/>
      <c r="AI156" s="322"/>
      <c r="AJ156" s="322"/>
      <c r="AK156" s="322"/>
      <c r="AL156" s="322"/>
      <c r="AM156" s="322"/>
      <c r="AN156" s="322"/>
      <c r="AO156" s="322"/>
      <c r="AP156" s="322"/>
      <c r="AQ156" s="322"/>
      <c r="AR156" s="322"/>
      <c r="AS156" s="322"/>
      <c r="AT156" s="322"/>
      <c r="AU156" s="322"/>
      <c r="AV156" s="322"/>
      <c r="AW156" s="322"/>
      <c r="AX156" s="322"/>
      <c r="AY156" s="322"/>
      <c r="AZ156" s="322"/>
      <c r="BA156" s="322"/>
      <c r="BB156" s="322"/>
      <c r="BC156" s="322"/>
      <c r="BD156" s="322"/>
      <c r="BE156" s="322"/>
      <c r="BF156" s="322"/>
      <c r="BG156" s="322"/>
      <c r="BH156" s="322"/>
      <c r="BI156" s="322"/>
      <c r="BJ156" s="322"/>
      <c r="BK156" s="322"/>
      <c r="BL156" s="322"/>
      <c r="BM156" s="322"/>
      <c r="BN156" s="322"/>
      <c r="BO156" s="322"/>
    </row>
    <row r="157">
      <c r="A157" s="321" t="s">
        <v>634</v>
      </c>
      <c r="B157" s="341">
        <v>53816.8</v>
      </c>
      <c r="C157" s="342">
        <v>0.01607342</v>
      </c>
      <c r="D157" s="185">
        <f t="shared" si="1"/>
        <v>0.0001607342</v>
      </c>
      <c r="E157" s="321"/>
      <c r="H157" s="324"/>
      <c r="I157" s="324"/>
      <c r="J157" s="324"/>
      <c r="K157" s="324"/>
      <c r="L157" s="324"/>
      <c r="M157" s="324"/>
      <c r="N157" s="324"/>
      <c r="O157" s="324"/>
      <c r="P157" s="324"/>
      <c r="Q157" s="324"/>
      <c r="R157" s="324"/>
      <c r="S157" s="324"/>
      <c r="T157" s="324"/>
      <c r="U157" s="324"/>
      <c r="V157" s="324"/>
      <c r="W157" s="324"/>
      <c r="X157" s="324"/>
      <c r="Y157" s="324"/>
      <c r="Z157" s="324"/>
      <c r="AA157" s="324"/>
      <c r="AB157" s="324"/>
      <c r="AC157" s="324"/>
      <c r="AD157" s="324"/>
      <c r="AE157" s="324"/>
      <c r="AF157" s="324"/>
      <c r="AG157" s="324"/>
      <c r="AH157" s="324"/>
      <c r="AI157" s="324"/>
      <c r="AJ157" s="324"/>
      <c r="AK157" s="324"/>
      <c r="AL157" s="322"/>
      <c r="AM157" s="322"/>
      <c r="AN157" s="322"/>
      <c r="AO157" s="322"/>
      <c r="AP157" s="322"/>
      <c r="AQ157" s="322"/>
      <c r="AR157" s="322"/>
      <c r="AS157" s="322"/>
      <c r="AT157" s="322"/>
      <c r="AU157" s="322"/>
      <c r="AV157" s="322"/>
      <c r="AW157" s="322"/>
      <c r="AX157" s="322"/>
      <c r="AY157" s="322"/>
      <c r="AZ157" s="322"/>
      <c r="BA157" s="322"/>
      <c r="BB157" s="322"/>
      <c r="BC157" s="322"/>
      <c r="BD157" s="322"/>
      <c r="BE157" s="322"/>
      <c r="BF157" s="322"/>
      <c r="BG157" s="322"/>
      <c r="BH157" s="322"/>
      <c r="BI157" s="322"/>
      <c r="BJ157" s="322"/>
      <c r="BK157" s="322"/>
      <c r="BL157" s="322"/>
      <c r="BM157" s="322"/>
      <c r="BN157" s="322"/>
      <c r="BO157" s="322"/>
    </row>
    <row r="158">
      <c r="A158" s="321" t="s">
        <v>635</v>
      </c>
      <c r="B158" s="341">
        <v>69338.29</v>
      </c>
      <c r="C158" s="342">
        <v>0.00723243</v>
      </c>
      <c r="D158" s="185">
        <f t="shared" si="1"/>
        <v>0.0000723243</v>
      </c>
      <c r="E158" s="321"/>
      <c r="H158" s="324"/>
      <c r="I158" s="324"/>
      <c r="J158" s="324"/>
      <c r="K158" s="324"/>
      <c r="L158" s="324"/>
      <c r="M158" s="324"/>
      <c r="N158" s="324"/>
      <c r="O158" s="324"/>
      <c r="P158" s="324"/>
      <c r="Q158" s="324"/>
      <c r="R158" s="324"/>
      <c r="S158" s="324"/>
      <c r="T158" s="324"/>
      <c r="U158" s="324"/>
      <c r="V158" s="324"/>
      <c r="W158" s="324"/>
      <c r="X158" s="324"/>
      <c r="Y158" s="324"/>
      <c r="Z158" s="324"/>
      <c r="AA158" s="324"/>
      <c r="AB158" s="324"/>
      <c r="AC158" s="324"/>
      <c r="AD158" s="324"/>
      <c r="AE158" s="324"/>
      <c r="AF158" s="324"/>
      <c r="AG158" s="324"/>
      <c r="AH158" s="324"/>
      <c r="AI158" s="324"/>
      <c r="AJ158" s="322"/>
      <c r="AK158" s="322"/>
      <c r="AL158" s="322"/>
      <c r="AM158" s="322"/>
      <c r="AN158" s="322"/>
      <c r="AO158" s="322"/>
      <c r="AP158" s="322"/>
      <c r="AQ158" s="322"/>
      <c r="AR158" s="322"/>
      <c r="AS158" s="322"/>
      <c r="AT158" s="322"/>
      <c r="AU158" s="322"/>
      <c r="AV158" s="322"/>
      <c r="AW158" s="322"/>
      <c r="AX158" s="322"/>
      <c r="AY158" s="322"/>
      <c r="AZ158" s="322"/>
      <c r="BA158" s="322"/>
      <c r="BB158" s="322"/>
      <c r="BC158" s="322"/>
      <c r="BD158" s="322"/>
      <c r="BE158" s="322"/>
      <c r="BF158" s="322"/>
      <c r="BG158" s="322"/>
      <c r="BH158" s="322"/>
      <c r="BI158" s="322"/>
      <c r="BJ158" s="322"/>
      <c r="BK158" s="322"/>
      <c r="BL158" s="322"/>
      <c r="BM158" s="322"/>
      <c r="BN158" s="322"/>
      <c r="BO158" s="322"/>
    </row>
    <row r="159">
      <c r="A159" s="321" t="s">
        <v>636</v>
      </c>
      <c r="B159" s="341">
        <v>7204.048</v>
      </c>
      <c r="C159" s="342">
        <v>0.01760046</v>
      </c>
      <c r="D159" s="185">
        <f t="shared" si="1"/>
        <v>0.0001760046</v>
      </c>
      <c r="E159" s="321"/>
      <c r="H159" s="324"/>
      <c r="I159" s="324"/>
      <c r="J159" s="324"/>
      <c r="K159" s="324"/>
      <c r="L159" s="324"/>
      <c r="M159" s="324"/>
      <c r="N159" s="324"/>
      <c r="O159" s="324"/>
      <c r="P159" s="324"/>
      <c r="Q159" s="324"/>
      <c r="R159" s="324"/>
      <c r="S159" s="324"/>
      <c r="T159" s="324"/>
      <c r="U159" s="324"/>
      <c r="V159" s="324"/>
      <c r="W159" s="324"/>
      <c r="X159" s="324"/>
      <c r="Y159" s="324"/>
      <c r="Z159" s="324"/>
      <c r="AA159" s="324"/>
      <c r="AB159" s="324"/>
      <c r="AC159" s="324"/>
      <c r="AD159" s="324"/>
      <c r="AE159" s="324"/>
      <c r="AF159" s="324"/>
      <c r="AG159" s="324"/>
      <c r="AH159" s="324"/>
      <c r="AI159" s="324"/>
      <c r="AJ159" s="324"/>
      <c r="AK159" s="324"/>
      <c r="AL159" s="324"/>
      <c r="AM159" s="324"/>
      <c r="AN159" s="324"/>
      <c r="AO159" s="324"/>
      <c r="AP159" s="324"/>
      <c r="AQ159" s="324"/>
      <c r="AR159" s="324"/>
      <c r="AS159" s="324"/>
      <c r="AT159" s="324"/>
      <c r="AU159" s="324"/>
      <c r="AV159" s="324"/>
      <c r="AW159" s="324"/>
      <c r="AX159" s="324"/>
      <c r="AY159" s="324"/>
      <c r="AZ159" s="324"/>
      <c r="BA159" s="324"/>
      <c r="BB159" s="324"/>
      <c r="BC159" s="324"/>
      <c r="BD159" s="324"/>
      <c r="BE159" s="324"/>
      <c r="BF159" s="322"/>
      <c r="BG159" s="322"/>
      <c r="BH159" s="322"/>
      <c r="BI159" s="322"/>
      <c r="BJ159" s="322"/>
      <c r="BK159" s="322"/>
      <c r="BL159" s="322"/>
      <c r="BM159" s="322"/>
      <c r="BN159" s="322"/>
      <c r="BO159" s="322"/>
    </row>
    <row r="160">
      <c r="A160" s="321" t="s">
        <v>637</v>
      </c>
      <c r="B160" s="341">
        <v>17598.64</v>
      </c>
      <c r="C160" s="342">
        <v>0.1479629</v>
      </c>
      <c r="D160" s="185">
        <f t="shared" si="1"/>
        <v>0.001479629</v>
      </c>
      <c r="E160" s="321"/>
      <c r="H160" s="324"/>
      <c r="I160" s="324"/>
      <c r="J160" s="324"/>
      <c r="K160" s="324"/>
      <c r="L160" s="324"/>
      <c r="M160" s="324"/>
      <c r="N160" s="324"/>
      <c r="O160" s="324"/>
      <c r="P160" s="324"/>
      <c r="Q160" s="324"/>
      <c r="R160" s="324"/>
      <c r="S160" s="324"/>
      <c r="T160" s="324"/>
      <c r="U160" s="324"/>
      <c r="V160" s="322"/>
      <c r="W160" s="322"/>
      <c r="X160" s="322"/>
      <c r="Y160" s="322"/>
      <c r="Z160" s="322"/>
      <c r="AA160" s="322"/>
      <c r="AB160" s="322"/>
      <c r="AC160" s="322"/>
      <c r="AD160" s="322"/>
      <c r="AE160" s="322"/>
      <c r="AF160" s="322"/>
      <c r="AG160" s="322"/>
      <c r="AH160" s="322"/>
      <c r="AI160" s="322"/>
      <c r="AJ160" s="322"/>
      <c r="AK160" s="322"/>
      <c r="AL160" s="322"/>
      <c r="AM160" s="322"/>
      <c r="AN160" s="322"/>
      <c r="AO160" s="322"/>
      <c r="AP160" s="322"/>
      <c r="AQ160" s="322"/>
      <c r="AR160" s="322"/>
      <c r="AS160" s="322"/>
      <c r="AT160" s="322"/>
      <c r="AU160" s="322"/>
      <c r="AV160" s="322"/>
      <c r="AW160" s="322"/>
      <c r="AX160" s="322"/>
      <c r="AY160" s="322"/>
      <c r="AZ160" s="322"/>
      <c r="BA160" s="322"/>
      <c r="BB160" s="322"/>
      <c r="BC160" s="322"/>
      <c r="BD160" s="322"/>
      <c r="BE160" s="322"/>
      <c r="BF160" s="322"/>
      <c r="BG160" s="322"/>
      <c r="BH160" s="322"/>
      <c r="BI160" s="322"/>
      <c r="BJ160" s="322"/>
      <c r="BK160" s="322"/>
      <c r="BL160" s="322"/>
      <c r="BM160" s="322"/>
      <c r="BN160" s="322"/>
      <c r="BO160" s="322"/>
    </row>
    <row r="161">
      <c r="A161" s="321" t="s">
        <v>638</v>
      </c>
      <c r="B161" s="341">
        <v>76687.9</v>
      </c>
      <c r="C161" s="342">
        <v>0.010347440000000001</v>
      </c>
      <c r="D161" s="185">
        <f t="shared" si="1"/>
        <v>0.0001034744</v>
      </c>
      <c r="E161" s="321"/>
      <c r="H161" s="324"/>
      <c r="I161" s="324"/>
      <c r="J161" s="324"/>
      <c r="K161" s="322"/>
      <c r="L161" s="322"/>
      <c r="M161" s="322"/>
      <c r="N161" s="322"/>
      <c r="O161" s="322"/>
      <c r="P161" s="322"/>
      <c r="Q161" s="322"/>
      <c r="R161" s="322"/>
      <c r="S161" s="322"/>
      <c r="T161" s="322"/>
      <c r="U161" s="322"/>
      <c r="V161" s="322"/>
      <c r="W161" s="322"/>
      <c r="X161" s="322"/>
      <c r="Y161" s="322"/>
      <c r="Z161" s="322"/>
      <c r="AA161" s="322"/>
      <c r="AB161" s="322"/>
      <c r="AC161" s="322"/>
      <c r="AD161" s="322"/>
      <c r="AE161" s="322"/>
      <c r="AF161" s="322"/>
      <c r="AG161" s="322"/>
      <c r="AH161" s="322"/>
      <c r="AI161" s="322"/>
      <c r="AJ161" s="322"/>
      <c r="AK161" s="322"/>
      <c r="AL161" s="322"/>
      <c r="AM161" s="322"/>
      <c r="AN161" s="322"/>
      <c r="AO161" s="322"/>
      <c r="AP161" s="322"/>
      <c r="AQ161" s="322"/>
      <c r="AR161" s="322"/>
      <c r="AS161" s="322"/>
      <c r="AT161" s="322"/>
      <c r="AU161" s="322"/>
      <c r="AV161" s="322"/>
      <c r="AW161" s="322"/>
      <c r="AX161" s="322"/>
      <c r="AY161" s="322"/>
      <c r="AZ161" s="322"/>
      <c r="BA161" s="322"/>
      <c r="BB161" s="322"/>
      <c r="BC161" s="322"/>
      <c r="BD161" s="322"/>
      <c r="BE161" s="322"/>
      <c r="BF161" s="322"/>
      <c r="BG161" s="322"/>
      <c r="BH161" s="322"/>
      <c r="BI161" s="322"/>
      <c r="BJ161" s="322"/>
      <c r="BK161" s="322"/>
      <c r="BL161" s="322"/>
      <c r="BM161" s="322"/>
      <c r="BN161" s="322"/>
      <c r="BO161" s="322"/>
    </row>
    <row r="162">
      <c r="A162" s="321" t="s">
        <v>639</v>
      </c>
      <c r="B162" s="341">
        <v>25610.51</v>
      </c>
      <c r="C162" s="342">
        <v>0.06366892</v>
      </c>
      <c r="D162" s="185">
        <f t="shared" si="1"/>
        <v>0.0006366892</v>
      </c>
      <c r="E162" s="321"/>
      <c r="H162" s="324"/>
      <c r="I162" s="324"/>
      <c r="J162" s="322"/>
      <c r="K162" s="322"/>
      <c r="L162" s="322"/>
      <c r="M162" s="322"/>
      <c r="N162" s="322"/>
      <c r="O162" s="322"/>
      <c r="P162" s="322"/>
      <c r="Q162" s="322"/>
      <c r="R162" s="322"/>
      <c r="S162" s="322"/>
      <c r="T162" s="322"/>
      <c r="U162" s="322"/>
      <c r="V162" s="322"/>
      <c r="W162" s="322"/>
      <c r="X162" s="322"/>
      <c r="Y162" s="322"/>
      <c r="Z162" s="322"/>
      <c r="AA162" s="322"/>
      <c r="AB162" s="322"/>
      <c r="AC162" s="322"/>
      <c r="AD162" s="322"/>
      <c r="AE162" s="322"/>
      <c r="AF162" s="322"/>
      <c r="AG162" s="322"/>
      <c r="AH162" s="322"/>
      <c r="AI162" s="322"/>
      <c r="AJ162" s="322"/>
      <c r="AK162" s="322"/>
      <c r="AL162" s="322"/>
      <c r="AM162" s="322"/>
      <c r="AN162" s="322"/>
      <c r="AO162" s="322"/>
      <c r="AP162" s="322"/>
      <c r="AQ162" s="322"/>
      <c r="AR162" s="322"/>
      <c r="AS162" s="322"/>
      <c r="AT162" s="322"/>
      <c r="AU162" s="322"/>
      <c r="AV162" s="322"/>
      <c r="AW162" s="322"/>
      <c r="AX162" s="322"/>
      <c r="AY162" s="322"/>
      <c r="AZ162" s="322"/>
      <c r="BA162" s="322"/>
      <c r="BB162" s="322"/>
      <c r="BC162" s="322"/>
      <c r="BD162" s="322"/>
      <c r="BE162" s="322"/>
      <c r="BF162" s="322"/>
      <c r="BG162" s="322"/>
      <c r="BH162" s="322"/>
      <c r="BI162" s="322"/>
      <c r="BJ162" s="322"/>
      <c r="BK162" s="322"/>
      <c r="BL162" s="322"/>
      <c r="BM162" s="322"/>
      <c r="BN162" s="322"/>
      <c r="BO162" s="322"/>
    </row>
    <row r="163">
      <c r="A163" s="321" t="s">
        <v>640</v>
      </c>
      <c r="B163" s="341">
        <v>17026.96</v>
      </c>
      <c r="C163" s="342">
        <v>0.1315336</v>
      </c>
      <c r="D163" s="185">
        <f t="shared" si="1"/>
        <v>0.001315336</v>
      </c>
      <c r="E163" s="321"/>
      <c r="H163" s="324"/>
      <c r="I163" s="324"/>
      <c r="J163" s="324"/>
      <c r="K163" s="324"/>
      <c r="L163" s="324"/>
      <c r="M163" s="324"/>
      <c r="N163" s="324"/>
      <c r="O163" s="324"/>
      <c r="P163" s="324"/>
      <c r="Q163" s="324"/>
      <c r="R163" s="324"/>
      <c r="S163" s="324"/>
      <c r="T163" s="324"/>
      <c r="U163" s="324"/>
      <c r="V163" s="324"/>
      <c r="W163" s="324"/>
      <c r="X163" s="324"/>
      <c r="Y163" s="324"/>
      <c r="Z163" s="324"/>
      <c r="AA163" s="324"/>
      <c r="AB163" s="324"/>
      <c r="AC163" s="324"/>
      <c r="AD163" s="324"/>
      <c r="AE163" s="324"/>
      <c r="AF163" s="324"/>
      <c r="AG163" s="324"/>
      <c r="AH163" s="324"/>
      <c r="AI163" s="324"/>
      <c r="AJ163" s="324"/>
      <c r="AK163" s="324"/>
      <c r="AL163" s="324"/>
      <c r="AM163" s="324"/>
      <c r="AN163" s="324"/>
      <c r="AO163" s="324"/>
      <c r="AP163" s="324"/>
      <c r="AQ163" s="324"/>
      <c r="AR163" s="322"/>
      <c r="AS163" s="322"/>
      <c r="AT163" s="322"/>
      <c r="AU163" s="322"/>
      <c r="AV163" s="322"/>
      <c r="AW163" s="322"/>
      <c r="AX163" s="322"/>
      <c r="AY163" s="322"/>
      <c r="AZ163" s="322"/>
      <c r="BA163" s="322"/>
      <c r="BB163" s="322"/>
      <c r="BC163" s="322"/>
      <c r="BD163" s="322"/>
      <c r="BE163" s="322"/>
      <c r="BF163" s="322"/>
      <c r="BG163" s="322"/>
      <c r="BH163" s="322"/>
      <c r="BI163" s="322"/>
      <c r="BJ163" s="322"/>
      <c r="BK163" s="322"/>
      <c r="BL163" s="322"/>
      <c r="BM163" s="322"/>
      <c r="BN163" s="322"/>
      <c r="BO163" s="322"/>
    </row>
    <row r="164">
      <c r="A164" s="321" t="s">
        <v>641</v>
      </c>
      <c r="B164" s="341">
        <v>15870.26</v>
      </c>
      <c r="C164" s="342">
        <v>0.07677377</v>
      </c>
      <c r="D164" s="185">
        <f t="shared" si="1"/>
        <v>0.0007677377</v>
      </c>
      <c r="E164" s="321"/>
      <c r="H164" s="322"/>
      <c r="I164" s="322"/>
      <c r="J164" s="322"/>
      <c r="K164" s="322"/>
      <c r="L164" s="322"/>
      <c r="M164" s="322"/>
      <c r="N164" s="322"/>
      <c r="O164" s="322"/>
      <c r="P164" s="322"/>
      <c r="Q164" s="322"/>
      <c r="R164" s="322"/>
      <c r="S164" s="322"/>
      <c r="T164" s="322"/>
      <c r="U164" s="322"/>
      <c r="V164" s="322"/>
      <c r="W164" s="322"/>
      <c r="X164" s="322"/>
      <c r="Y164" s="322"/>
      <c r="Z164" s="322"/>
      <c r="AA164" s="322"/>
      <c r="AB164" s="322"/>
      <c r="AC164" s="322"/>
      <c r="AD164" s="322"/>
      <c r="AE164" s="322"/>
      <c r="AF164" s="322"/>
      <c r="AG164" s="322"/>
      <c r="AH164" s="322"/>
      <c r="AI164" s="322"/>
      <c r="AJ164" s="322"/>
      <c r="AK164" s="322"/>
      <c r="AL164" s="322"/>
      <c r="AM164" s="322"/>
      <c r="AN164" s="322"/>
      <c r="AO164" s="322"/>
      <c r="AP164" s="322"/>
      <c r="AQ164" s="322"/>
      <c r="AR164" s="322"/>
      <c r="AS164" s="322"/>
      <c r="AT164" s="322"/>
      <c r="AU164" s="322"/>
      <c r="AV164" s="322"/>
      <c r="AW164" s="322"/>
      <c r="AX164" s="322"/>
      <c r="AY164" s="322"/>
      <c r="AZ164" s="322"/>
      <c r="BA164" s="322"/>
      <c r="BB164" s="322"/>
      <c r="BC164" s="322"/>
      <c r="BD164" s="322"/>
      <c r="BE164" s="322"/>
      <c r="BF164" s="322"/>
      <c r="BG164" s="322"/>
      <c r="BH164" s="322"/>
      <c r="BI164" s="322"/>
      <c r="BJ164" s="322"/>
      <c r="BK164" s="322"/>
      <c r="BL164" s="322"/>
      <c r="BM164" s="322"/>
      <c r="BN164" s="322"/>
      <c r="BO164" s="322"/>
    </row>
    <row r="165">
      <c r="A165" s="321" t="s">
        <v>642</v>
      </c>
      <c r="B165" s="341">
        <v>18816.51</v>
      </c>
      <c r="C165" s="342">
        <v>0.1060031</v>
      </c>
      <c r="D165" s="185">
        <f t="shared" si="1"/>
        <v>0.001060031</v>
      </c>
      <c r="E165" s="321"/>
      <c r="H165" s="322"/>
      <c r="I165" s="322"/>
      <c r="J165" s="322"/>
      <c r="K165" s="322"/>
      <c r="L165" s="322"/>
      <c r="M165" s="322"/>
      <c r="N165" s="322"/>
      <c r="O165" s="322"/>
      <c r="P165" s="322"/>
      <c r="Q165" s="322"/>
      <c r="R165" s="322"/>
      <c r="S165" s="322"/>
      <c r="T165" s="322"/>
      <c r="U165" s="322"/>
      <c r="V165" s="322"/>
      <c r="W165" s="322"/>
      <c r="X165" s="322"/>
      <c r="Y165" s="322"/>
      <c r="Z165" s="322"/>
      <c r="AA165" s="322"/>
      <c r="AB165" s="322"/>
      <c r="AC165" s="322"/>
      <c r="AD165" s="322"/>
      <c r="AE165" s="322"/>
      <c r="AF165" s="322"/>
      <c r="AG165" s="322"/>
      <c r="AH165" s="322"/>
      <c r="AI165" s="322"/>
      <c r="AJ165" s="322"/>
      <c r="AK165" s="322"/>
      <c r="AL165" s="322"/>
      <c r="AM165" s="322"/>
      <c r="AN165" s="322"/>
      <c r="AO165" s="322"/>
      <c r="AP165" s="322"/>
      <c r="AQ165" s="322"/>
      <c r="AR165" s="322"/>
      <c r="AS165" s="322"/>
      <c r="AT165" s="322"/>
      <c r="AU165" s="322"/>
      <c r="AV165" s="322"/>
      <c r="AW165" s="322"/>
      <c r="AX165" s="322"/>
      <c r="AY165" s="322"/>
      <c r="AZ165" s="322"/>
      <c r="BA165" s="322"/>
      <c r="BB165" s="322"/>
      <c r="BC165" s="322"/>
      <c r="BD165" s="322"/>
      <c r="BE165" s="322"/>
      <c r="BF165" s="322"/>
      <c r="BG165" s="322"/>
      <c r="BH165" s="322"/>
      <c r="BI165" s="322"/>
      <c r="BJ165" s="322"/>
      <c r="BK165" s="322"/>
      <c r="BL165" s="322"/>
      <c r="BM165" s="322"/>
      <c r="BN165" s="322"/>
      <c r="BO165" s="322"/>
    </row>
    <row r="166">
      <c r="A166" s="321" t="s">
        <v>643</v>
      </c>
      <c r="B166" s="341">
        <v>52779.23</v>
      </c>
      <c r="C166" s="342">
        <v>0.02342175</v>
      </c>
      <c r="D166" s="185">
        <f t="shared" si="1"/>
        <v>0.0002342175</v>
      </c>
      <c r="E166" s="321"/>
      <c r="H166" s="324"/>
      <c r="I166" s="324"/>
      <c r="J166" s="324"/>
      <c r="K166" s="324"/>
      <c r="L166" s="324"/>
      <c r="M166" s="324"/>
      <c r="N166" s="324"/>
      <c r="O166" s="324"/>
      <c r="P166" s="324"/>
      <c r="Q166" s="324"/>
      <c r="R166" s="324"/>
      <c r="S166" s="324"/>
      <c r="T166" s="324"/>
      <c r="U166" s="324"/>
      <c r="V166" s="324"/>
      <c r="W166" s="324"/>
      <c r="X166" s="324"/>
      <c r="Y166" s="324"/>
      <c r="Z166" s="324"/>
      <c r="AA166" s="324"/>
      <c r="AB166" s="324"/>
      <c r="AC166" s="324"/>
      <c r="AD166" s="324"/>
      <c r="AE166" s="324"/>
      <c r="AF166" s="324"/>
      <c r="AG166" s="324"/>
      <c r="AH166" s="324"/>
      <c r="AI166" s="324"/>
      <c r="AJ166" s="324"/>
      <c r="AK166" s="324"/>
      <c r="AL166" s="324"/>
      <c r="AM166" s="324"/>
      <c r="AN166" s="322"/>
      <c r="AO166" s="322"/>
      <c r="AP166" s="322"/>
      <c r="AQ166" s="322"/>
      <c r="AR166" s="322"/>
      <c r="AS166" s="322"/>
      <c r="AT166" s="322"/>
      <c r="AU166" s="322"/>
      <c r="AV166" s="322"/>
      <c r="AW166" s="322"/>
      <c r="AX166" s="322"/>
      <c r="AY166" s="322"/>
      <c r="AZ166" s="322"/>
      <c r="BA166" s="322"/>
      <c r="BB166" s="322"/>
      <c r="BC166" s="322"/>
      <c r="BD166" s="322"/>
      <c r="BE166" s="322"/>
      <c r="BF166" s="322"/>
      <c r="BG166" s="322"/>
      <c r="BH166" s="322"/>
      <c r="BI166" s="322"/>
      <c r="BJ166" s="322"/>
      <c r="BK166" s="322"/>
      <c r="BL166" s="322"/>
      <c r="BM166" s="322"/>
      <c r="BN166" s="322"/>
      <c r="BO166" s="322"/>
    </row>
    <row r="167">
      <c r="A167" s="321" t="s">
        <v>644</v>
      </c>
      <c r="B167" s="341">
        <v>48992.14</v>
      </c>
      <c r="C167" s="342">
        <v>0.021724459999999998</v>
      </c>
      <c r="D167" s="185">
        <f t="shared" si="1"/>
        <v>0.0002172446</v>
      </c>
      <c r="E167" s="321"/>
      <c r="H167" s="324"/>
      <c r="I167" s="324"/>
      <c r="J167" s="324"/>
      <c r="K167" s="324"/>
      <c r="L167" s="324"/>
      <c r="M167" s="324"/>
      <c r="N167" s="324"/>
      <c r="O167" s="324"/>
      <c r="P167" s="324"/>
      <c r="Q167" s="324"/>
      <c r="R167" s="324"/>
      <c r="S167" s="324"/>
      <c r="T167" s="324"/>
      <c r="U167" s="324"/>
      <c r="V167" s="324"/>
      <c r="W167" s="324"/>
      <c r="X167" s="324"/>
      <c r="Y167" s="324"/>
      <c r="Z167" s="324"/>
      <c r="AA167" s="324"/>
      <c r="AB167" s="324"/>
      <c r="AC167" s="324"/>
      <c r="AD167" s="324"/>
      <c r="AE167" s="324"/>
      <c r="AF167" s="324"/>
      <c r="AG167" s="324"/>
      <c r="AH167" s="324"/>
      <c r="AI167" s="324"/>
      <c r="AJ167" s="324"/>
      <c r="AK167" s="324"/>
      <c r="AL167" s="324"/>
      <c r="AM167" s="324"/>
      <c r="AN167" s="322"/>
      <c r="AO167" s="322"/>
      <c r="AP167" s="322"/>
      <c r="AQ167" s="322"/>
      <c r="AR167" s="322"/>
      <c r="AS167" s="322"/>
      <c r="AT167" s="322"/>
      <c r="AU167" s="322"/>
      <c r="AV167" s="322"/>
      <c r="AW167" s="322"/>
      <c r="AX167" s="322"/>
      <c r="AY167" s="322"/>
      <c r="AZ167" s="322"/>
      <c r="BA167" s="322"/>
      <c r="BB167" s="322"/>
      <c r="BC167" s="322"/>
      <c r="BD167" s="322"/>
      <c r="BE167" s="322"/>
      <c r="BF167" s="322"/>
      <c r="BG167" s="322"/>
      <c r="BH167" s="322"/>
      <c r="BI167" s="322"/>
      <c r="BJ167" s="322"/>
      <c r="BK167" s="322"/>
      <c r="BL167" s="322"/>
      <c r="BM167" s="322"/>
      <c r="BN167" s="322"/>
      <c r="BO167" s="322"/>
    </row>
    <row r="168">
      <c r="A168" s="321" t="s">
        <v>336</v>
      </c>
      <c r="B168" s="341">
        <v>3109.277</v>
      </c>
      <c r="C168" s="342">
        <v>0.357898</v>
      </c>
      <c r="D168" s="185">
        <f t="shared" si="1"/>
        <v>0.00357898</v>
      </c>
      <c r="E168" s="321"/>
      <c r="H168" s="324"/>
      <c r="I168" s="324"/>
      <c r="J168" s="324"/>
      <c r="K168" s="324"/>
      <c r="L168" s="324"/>
      <c r="M168" s="324"/>
      <c r="N168" s="324"/>
      <c r="O168" s="324"/>
      <c r="P168" s="324"/>
      <c r="Q168" s="324"/>
      <c r="R168" s="324"/>
      <c r="S168" s="324"/>
      <c r="T168" s="324"/>
      <c r="U168" s="324"/>
      <c r="V168" s="324"/>
      <c r="W168" s="324"/>
      <c r="X168" s="324"/>
      <c r="Y168" s="324"/>
      <c r="Z168" s="322"/>
      <c r="AA168" s="322"/>
      <c r="AB168" s="322"/>
      <c r="AC168" s="322"/>
      <c r="AD168" s="322"/>
      <c r="AE168" s="322"/>
      <c r="AF168" s="322"/>
      <c r="AG168" s="322"/>
      <c r="AH168" s="322"/>
      <c r="AI168" s="322"/>
      <c r="AJ168" s="322"/>
      <c r="AK168" s="322"/>
      <c r="AL168" s="322"/>
      <c r="AM168" s="322"/>
      <c r="AN168" s="322"/>
      <c r="AO168" s="322"/>
      <c r="AP168" s="322"/>
      <c r="AQ168" s="322"/>
      <c r="AR168" s="322"/>
      <c r="AS168" s="322"/>
      <c r="AT168" s="322"/>
      <c r="AU168" s="322"/>
      <c r="AV168" s="322"/>
      <c r="AW168" s="322"/>
      <c r="AX168" s="322"/>
      <c r="AY168" s="322"/>
      <c r="AZ168" s="322"/>
      <c r="BA168" s="322"/>
      <c r="BB168" s="322"/>
      <c r="BC168" s="322"/>
      <c r="BD168" s="322"/>
      <c r="BE168" s="322"/>
      <c r="BF168" s="322"/>
      <c r="BG168" s="322"/>
      <c r="BH168" s="322"/>
      <c r="BI168" s="322"/>
      <c r="BJ168" s="322"/>
      <c r="BK168" s="322"/>
      <c r="BL168" s="322"/>
      <c r="BM168" s="322"/>
      <c r="BN168" s="322"/>
      <c r="BO168" s="322"/>
    </row>
    <row r="169">
      <c r="A169" s="321" t="s">
        <v>645</v>
      </c>
      <c r="B169" s="341">
        <v>65060.67</v>
      </c>
      <c r="C169" s="342">
        <v>0.02532553</v>
      </c>
      <c r="D169" s="185">
        <f t="shared" si="1"/>
        <v>0.0002532553</v>
      </c>
      <c r="E169" s="321"/>
      <c r="H169" s="324"/>
      <c r="I169" s="324"/>
      <c r="J169" s="324"/>
      <c r="K169" s="324"/>
      <c r="L169" s="324"/>
      <c r="M169" s="324"/>
      <c r="N169" s="324"/>
      <c r="O169" s="324"/>
      <c r="P169" s="324"/>
      <c r="Q169" s="324"/>
      <c r="R169" s="324"/>
      <c r="S169" s="324"/>
      <c r="T169" s="322"/>
      <c r="U169" s="322"/>
      <c r="V169" s="322"/>
      <c r="W169" s="322"/>
      <c r="X169" s="322"/>
      <c r="Y169" s="322"/>
      <c r="Z169" s="322"/>
      <c r="AA169" s="322"/>
      <c r="AB169" s="322"/>
      <c r="AC169" s="322"/>
      <c r="AD169" s="322"/>
      <c r="AE169" s="322"/>
      <c r="AF169" s="322"/>
      <c r="AG169" s="322"/>
      <c r="AH169" s="322"/>
      <c r="AI169" s="322"/>
      <c r="AJ169" s="322"/>
      <c r="AK169" s="322"/>
      <c r="AL169" s="322"/>
      <c r="AM169" s="322"/>
      <c r="AN169" s="322"/>
      <c r="AO169" s="322"/>
      <c r="AP169" s="322"/>
      <c r="AQ169" s="322"/>
      <c r="AR169" s="322"/>
      <c r="AS169" s="322"/>
      <c r="AT169" s="322"/>
      <c r="AU169" s="322"/>
      <c r="AV169" s="322"/>
      <c r="AW169" s="322"/>
      <c r="AX169" s="322"/>
      <c r="AY169" s="322"/>
      <c r="AZ169" s="322"/>
      <c r="BA169" s="322"/>
      <c r="BB169" s="322"/>
      <c r="BC169" s="322"/>
      <c r="BD169" s="322"/>
      <c r="BE169" s="322"/>
      <c r="BF169" s="322"/>
      <c r="BG169" s="322"/>
      <c r="BH169" s="322"/>
      <c r="BI169" s="322"/>
      <c r="BJ169" s="322"/>
      <c r="BK169" s="322"/>
      <c r="BL169" s="322"/>
      <c r="BM169" s="322"/>
      <c r="BN169" s="322"/>
      <c r="BO169" s="322"/>
    </row>
    <row r="170">
      <c r="A170" s="321" t="s">
        <v>646</v>
      </c>
      <c r="B170" s="341">
        <v>15046.47</v>
      </c>
      <c r="C170" s="342">
        <v>0.08286929999999999</v>
      </c>
      <c r="D170" s="185">
        <f t="shared" si="1"/>
        <v>0.000828693</v>
      </c>
      <c r="E170" s="321"/>
      <c r="H170" s="322"/>
      <c r="I170" s="322"/>
      <c r="J170" s="322"/>
      <c r="K170" s="322"/>
      <c r="L170" s="322"/>
      <c r="M170" s="322"/>
      <c r="N170" s="322"/>
      <c r="O170" s="322"/>
      <c r="P170" s="322"/>
      <c r="Q170" s="322"/>
      <c r="R170" s="322"/>
      <c r="S170" s="322"/>
      <c r="T170" s="322"/>
      <c r="U170" s="322"/>
      <c r="V170" s="322"/>
      <c r="W170" s="322"/>
      <c r="X170" s="322"/>
      <c r="Y170" s="322"/>
      <c r="Z170" s="322"/>
      <c r="AA170" s="322"/>
      <c r="AB170" s="322"/>
      <c r="AC170" s="322"/>
      <c r="AD170" s="322"/>
      <c r="AE170" s="322"/>
      <c r="AF170" s="322"/>
      <c r="AG170" s="322"/>
      <c r="AH170" s="322"/>
      <c r="AI170" s="322"/>
      <c r="AJ170" s="322"/>
      <c r="AK170" s="322"/>
      <c r="AL170" s="322"/>
      <c r="AM170" s="322"/>
      <c r="AN170" s="322"/>
      <c r="AO170" s="322"/>
      <c r="AP170" s="322"/>
      <c r="AQ170" s="322"/>
      <c r="AR170" s="322"/>
      <c r="AS170" s="322"/>
      <c r="AT170" s="322"/>
      <c r="AU170" s="322"/>
      <c r="AV170" s="322"/>
      <c r="AW170" s="322"/>
      <c r="AX170" s="322"/>
      <c r="AY170" s="322"/>
      <c r="AZ170" s="322"/>
      <c r="BA170" s="322"/>
      <c r="BB170" s="322"/>
      <c r="BC170" s="322"/>
      <c r="BD170" s="322"/>
      <c r="BE170" s="322"/>
      <c r="BF170" s="322"/>
      <c r="BG170" s="322"/>
      <c r="BH170" s="322"/>
      <c r="BI170" s="322"/>
      <c r="BJ170" s="322"/>
      <c r="BK170" s="322"/>
      <c r="BL170" s="322"/>
      <c r="BM170" s="322"/>
      <c r="BN170" s="322"/>
      <c r="BO170" s="322"/>
    </row>
    <row r="171">
      <c r="A171" s="321" t="s">
        <v>647</v>
      </c>
      <c r="B171" s="341">
        <v>61156.77</v>
      </c>
      <c r="C171" s="342">
        <v>0.01924155</v>
      </c>
      <c r="D171" s="185">
        <f t="shared" si="1"/>
        <v>0.0001924155</v>
      </c>
      <c r="E171" s="321"/>
      <c r="H171" s="322"/>
      <c r="I171" s="322"/>
      <c r="J171" s="322"/>
      <c r="K171" s="322"/>
      <c r="L171" s="322"/>
      <c r="M171" s="322"/>
      <c r="N171" s="322"/>
      <c r="O171" s="322"/>
      <c r="P171" s="322"/>
      <c r="Q171" s="322"/>
      <c r="R171" s="322"/>
      <c r="S171" s="322"/>
      <c r="T171" s="322"/>
      <c r="U171" s="322"/>
      <c r="V171" s="322"/>
      <c r="W171" s="322"/>
      <c r="X171" s="322"/>
      <c r="Y171" s="322"/>
      <c r="Z171" s="322"/>
      <c r="AA171" s="322"/>
      <c r="AB171" s="322"/>
      <c r="AC171" s="322"/>
      <c r="AD171" s="322"/>
      <c r="AE171" s="322"/>
      <c r="AF171" s="322"/>
      <c r="AG171" s="322"/>
      <c r="AH171" s="322"/>
      <c r="AI171" s="322"/>
      <c r="AJ171" s="322"/>
      <c r="AK171" s="322"/>
      <c r="AL171" s="322"/>
      <c r="AM171" s="322"/>
      <c r="AN171" s="322"/>
      <c r="AO171" s="322"/>
      <c r="AP171" s="322"/>
      <c r="AQ171" s="322"/>
      <c r="AR171" s="322"/>
      <c r="AS171" s="322"/>
      <c r="AT171" s="322"/>
      <c r="AU171" s="322"/>
      <c r="AV171" s="322"/>
      <c r="AW171" s="322"/>
      <c r="AX171" s="322"/>
      <c r="AY171" s="322"/>
      <c r="AZ171" s="322"/>
      <c r="BA171" s="322"/>
      <c r="BB171" s="322"/>
      <c r="BC171" s="322"/>
      <c r="BD171" s="322"/>
      <c r="BE171" s="322"/>
      <c r="BF171" s="322"/>
      <c r="BG171" s="322"/>
      <c r="BH171" s="322"/>
      <c r="BI171" s="322"/>
      <c r="BJ171" s="322"/>
      <c r="BK171" s="322"/>
      <c r="BL171" s="322"/>
      <c r="BM171" s="322"/>
      <c r="BN171" s="322"/>
      <c r="BO171" s="322"/>
    </row>
    <row r="172">
      <c r="A172" s="321" t="s">
        <v>648</v>
      </c>
      <c r="B172" s="341">
        <v>4216.507</v>
      </c>
      <c r="C172" s="342">
        <v>0.2246854</v>
      </c>
      <c r="D172" s="185">
        <f t="shared" si="1"/>
        <v>0.002246854</v>
      </c>
      <c r="E172" s="321"/>
      <c r="H172" s="324"/>
      <c r="I172" s="324"/>
      <c r="J172" s="324"/>
      <c r="K172" s="324"/>
      <c r="L172" s="324"/>
      <c r="M172" s="324"/>
      <c r="N172" s="324"/>
      <c r="O172" s="324"/>
      <c r="P172" s="324"/>
      <c r="Q172" s="324"/>
      <c r="R172" s="324"/>
      <c r="S172" s="324"/>
      <c r="T172" s="324"/>
      <c r="U172" s="324"/>
      <c r="V172" s="324"/>
      <c r="W172" s="324"/>
      <c r="X172" s="324"/>
      <c r="Y172" s="324"/>
      <c r="Z172" s="324"/>
      <c r="AA172" s="324"/>
      <c r="AB172" s="322"/>
      <c r="AC172" s="324"/>
      <c r="AD172" s="324"/>
      <c r="AE172" s="324"/>
      <c r="AF172" s="324"/>
      <c r="AG172" s="324"/>
      <c r="AH172" s="324"/>
      <c r="AI172" s="324"/>
      <c r="AJ172" s="324"/>
      <c r="AK172" s="324"/>
      <c r="AL172" s="324"/>
      <c r="AM172" s="324"/>
      <c r="AN172" s="322"/>
      <c r="AO172" s="322"/>
      <c r="AP172" s="322"/>
      <c r="AQ172" s="322"/>
      <c r="AR172" s="322"/>
      <c r="AS172" s="322"/>
      <c r="AT172" s="322"/>
      <c r="AU172" s="322"/>
      <c r="AV172" s="322"/>
      <c r="AW172" s="322"/>
      <c r="AX172" s="322"/>
      <c r="AY172" s="322"/>
      <c r="AZ172" s="322"/>
      <c r="BA172" s="322"/>
      <c r="BB172" s="322"/>
      <c r="BC172" s="322"/>
      <c r="BD172" s="322"/>
      <c r="BE172" s="322"/>
      <c r="BF172" s="322"/>
      <c r="BG172" s="322"/>
      <c r="BH172" s="322"/>
      <c r="BI172" s="322"/>
      <c r="BJ172" s="322"/>
      <c r="BK172" s="322"/>
      <c r="BL172" s="322"/>
      <c r="BM172" s="322"/>
      <c r="BN172" s="322"/>
      <c r="BO172" s="322"/>
    </row>
    <row r="173">
      <c r="A173" s="321" t="s">
        <v>510</v>
      </c>
      <c r="B173" s="341">
        <v>21946.99</v>
      </c>
      <c r="C173" s="342">
        <v>0.05816179</v>
      </c>
      <c r="D173" s="185">
        <f t="shared" si="1"/>
        <v>0.0005816179</v>
      </c>
      <c r="E173" s="321"/>
      <c r="H173" s="322"/>
      <c r="I173" s="322"/>
      <c r="J173" s="322"/>
      <c r="K173" s="322"/>
      <c r="L173" s="322"/>
      <c r="M173" s="322"/>
      <c r="N173" s="322"/>
      <c r="O173" s="322"/>
      <c r="P173" s="322"/>
      <c r="Q173" s="322"/>
      <c r="R173" s="322"/>
      <c r="S173" s="322"/>
      <c r="T173" s="322"/>
      <c r="U173" s="322"/>
      <c r="V173" s="322"/>
      <c r="W173" s="322"/>
      <c r="X173" s="322"/>
      <c r="Y173" s="322"/>
      <c r="Z173" s="322"/>
      <c r="AA173" s="322"/>
      <c r="AB173" s="322"/>
      <c r="AC173" s="322"/>
      <c r="AD173" s="322"/>
      <c r="AE173" s="322"/>
      <c r="AF173" s="322"/>
      <c r="AG173" s="322"/>
      <c r="AH173" s="322"/>
      <c r="AI173" s="322"/>
      <c r="AJ173" s="322"/>
      <c r="AK173" s="322"/>
      <c r="AL173" s="322"/>
      <c r="AM173" s="322"/>
      <c r="AN173" s="322"/>
      <c r="AO173" s="322"/>
      <c r="AP173" s="322"/>
      <c r="AQ173" s="322"/>
      <c r="AR173" s="322"/>
      <c r="AS173" s="322"/>
      <c r="AT173" s="322"/>
      <c r="AU173" s="322"/>
      <c r="AV173" s="322"/>
      <c r="AW173" s="322"/>
      <c r="AX173" s="322"/>
      <c r="AY173" s="322"/>
      <c r="AZ173" s="322"/>
      <c r="BA173" s="322"/>
      <c r="BB173" s="322"/>
      <c r="BC173" s="322"/>
      <c r="BD173" s="322"/>
      <c r="BE173" s="322"/>
      <c r="BF173" s="322"/>
      <c r="BG173" s="322"/>
      <c r="BH173" s="322"/>
      <c r="BI173" s="322"/>
      <c r="BJ173" s="322"/>
      <c r="BK173" s="322"/>
      <c r="BL173" s="322"/>
      <c r="BM173" s="322"/>
      <c r="BN173" s="322"/>
      <c r="BO173" s="322"/>
    </row>
    <row r="174">
      <c r="A174" s="321" t="s">
        <v>649</v>
      </c>
      <c r="B174" s="341">
        <v>58906.24</v>
      </c>
      <c r="C174" s="342">
        <v>0.00728755</v>
      </c>
      <c r="D174" s="185">
        <f t="shared" si="1"/>
        <v>0.0000728755</v>
      </c>
      <c r="E174" s="321"/>
      <c r="H174" s="324"/>
      <c r="I174" s="324"/>
      <c r="J174" s="324"/>
      <c r="K174" s="324"/>
      <c r="L174" s="324"/>
      <c r="M174" s="324"/>
      <c r="N174" s="324"/>
      <c r="O174" s="324"/>
      <c r="P174" s="324"/>
      <c r="Q174" s="324"/>
      <c r="R174" s="324"/>
      <c r="S174" s="324"/>
      <c r="T174" s="324"/>
      <c r="U174" s="324"/>
      <c r="V174" s="324"/>
      <c r="W174" s="324"/>
      <c r="X174" s="324"/>
      <c r="Y174" s="324"/>
      <c r="Z174" s="324"/>
      <c r="AA174" s="324"/>
      <c r="AB174" s="324"/>
      <c r="AC174" s="324"/>
      <c r="AD174" s="324"/>
      <c r="AE174" s="324"/>
      <c r="AF174" s="324"/>
      <c r="AG174" s="324"/>
      <c r="AH174" s="324"/>
      <c r="AI174" s="322"/>
      <c r="AJ174" s="322"/>
      <c r="AK174" s="322"/>
      <c r="AL174" s="322"/>
      <c r="AM174" s="322"/>
      <c r="AN174" s="322"/>
      <c r="AO174" s="322"/>
      <c r="AP174" s="322"/>
      <c r="AQ174" s="322"/>
      <c r="AR174" s="322"/>
      <c r="AS174" s="322"/>
      <c r="AT174" s="322"/>
      <c r="AU174" s="322"/>
      <c r="AV174" s="322"/>
      <c r="AW174" s="322"/>
      <c r="AX174" s="322"/>
      <c r="AY174" s="322"/>
      <c r="AZ174" s="322"/>
      <c r="BA174" s="322"/>
      <c r="BB174" s="322"/>
      <c r="BC174" s="322"/>
      <c r="BD174" s="322"/>
      <c r="BE174" s="322"/>
      <c r="BF174" s="322"/>
      <c r="BG174" s="322"/>
      <c r="BH174" s="322"/>
      <c r="BI174" s="322"/>
      <c r="BJ174" s="322"/>
      <c r="BK174" s="322"/>
      <c r="BL174" s="322"/>
      <c r="BM174" s="322"/>
      <c r="BN174" s="322"/>
      <c r="BO174" s="322"/>
    </row>
    <row r="175">
      <c r="A175" s="321" t="s">
        <v>650</v>
      </c>
      <c r="B175" s="341">
        <v>24681.25</v>
      </c>
      <c r="C175" s="342">
        <v>0.06006701</v>
      </c>
      <c r="D175" s="185">
        <f t="shared" si="1"/>
        <v>0.0006006701</v>
      </c>
      <c r="E175" s="321"/>
      <c r="H175" s="324"/>
      <c r="I175" s="324"/>
      <c r="J175" s="324"/>
      <c r="K175" s="324"/>
      <c r="L175" s="324"/>
      <c r="M175" s="324"/>
      <c r="N175" s="324"/>
      <c r="O175" s="324"/>
      <c r="P175" s="324"/>
      <c r="Q175" s="324"/>
      <c r="R175" s="324"/>
      <c r="S175" s="324"/>
      <c r="T175" s="324"/>
      <c r="U175" s="324"/>
      <c r="V175" s="324"/>
      <c r="W175" s="324"/>
      <c r="X175" s="324"/>
      <c r="Y175" s="322"/>
      <c r="Z175" s="322"/>
      <c r="AA175" s="322"/>
      <c r="AB175" s="322"/>
      <c r="AC175" s="322"/>
      <c r="AD175" s="322"/>
      <c r="AE175" s="322"/>
      <c r="AF175" s="322"/>
      <c r="AG175" s="322"/>
      <c r="AH175" s="322"/>
      <c r="AI175" s="322"/>
      <c r="AJ175" s="322"/>
      <c r="AK175" s="322"/>
      <c r="AL175" s="324"/>
      <c r="AM175" s="324"/>
      <c r="AN175" s="324"/>
      <c r="AO175" s="322"/>
      <c r="AP175" s="322"/>
      <c r="AQ175" s="322"/>
      <c r="AR175" s="322"/>
      <c r="AS175" s="322"/>
      <c r="AT175" s="322"/>
      <c r="AU175" s="322"/>
      <c r="AV175" s="322"/>
      <c r="AW175" s="322"/>
      <c r="AX175" s="322"/>
      <c r="AY175" s="322"/>
      <c r="AZ175" s="322"/>
      <c r="BA175" s="322"/>
      <c r="BB175" s="322"/>
      <c r="BC175" s="322"/>
      <c r="BD175" s="322"/>
      <c r="BE175" s="322"/>
      <c r="BF175" s="322"/>
      <c r="BG175" s="322"/>
      <c r="BH175" s="322"/>
      <c r="BI175" s="322"/>
      <c r="BJ175" s="322"/>
      <c r="BK175" s="322"/>
      <c r="BL175" s="322"/>
      <c r="BM175" s="322"/>
      <c r="BN175" s="322"/>
      <c r="BO175" s="322"/>
    </row>
    <row r="176">
      <c r="A176" s="321" t="s">
        <v>513</v>
      </c>
      <c r="B176" s="341">
        <v>7466.367</v>
      </c>
      <c r="C176" s="342">
        <v>0.2110265</v>
      </c>
      <c r="D176" s="185">
        <f t="shared" si="1"/>
        <v>0.002110265</v>
      </c>
      <c r="E176" s="321"/>
      <c r="H176" s="322"/>
      <c r="I176" s="322"/>
      <c r="J176" s="322"/>
      <c r="K176" s="322"/>
      <c r="L176" s="322"/>
      <c r="M176" s="322"/>
      <c r="N176" s="322"/>
      <c r="O176" s="322"/>
      <c r="P176" s="322"/>
      <c r="Q176" s="322"/>
      <c r="R176" s="322"/>
      <c r="S176" s="322"/>
      <c r="T176" s="322"/>
      <c r="U176" s="322"/>
      <c r="V176" s="322"/>
      <c r="W176" s="322"/>
      <c r="X176" s="322"/>
      <c r="Y176" s="322"/>
      <c r="Z176" s="322"/>
      <c r="AA176" s="322"/>
      <c r="AB176" s="322"/>
      <c r="AC176" s="322"/>
      <c r="AD176" s="322"/>
      <c r="AE176" s="322"/>
      <c r="AF176" s="322"/>
      <c r="AG176" s="322"/>
      <c r="AH176" s="322"/>
      <c r="AI176" s="322"/>
      <c r="AJ176" s="322"/>
      <c r="AK176" s="322"/>
      <c r="AL176" s="322"/>
      <c r="AM176" s="322"/>
      <c r="AN176" s="322"/>
      <c r="AO176" s="322"/>
      <c r="AP176" s="322"/>
      <c r="AQ176" s="322"/>
      <c r="AR176" s="322"/>
      <c r="AS176" s="322"/>
      <c r="AT176" s="322"/>
      <c r="AU176" s="322"/>
      <c r="AV176" s="322"/>
      <c r="AW176" s="322"/>
      <c r="AX176" s="322"/>
      <c r="AY176" s="322"/>
      <c r="AZ176" s="322"/>
      <c r="BA176" s="322"/>
      <c r="BB176" s="322"/>
      <c r="BC176" s="322"/>
      <c r="BD176" s="322"/>
      <c r="BE176" s="322"/>
      <c r="BF176" s="322"/>
      <c r="BG176" s="322"/>
      <c r="BH176" s="322"/>
      <c r="BI176" s="322"/>
      <c r="BJ176" s="322"/>
      <c r="BK176" s="322"/>
      <c r="BL176" s="322"/>
      <c r="BM176" s="322"/>
      <c r="BN176" s="322"/>
      <c r="BO176" s="322"/>
    </row>
    <row r="177">
      <c r="A177" s="321" t="s">
        <v>517</v>
      </c>
      <c r="B177" s="341">
        <v>4429.344</v>
      </c>
      <c r="C177" s="342">
        <v>0.2819579</v>
      </c>
      <c r="D177" s="185">
        <f t="shared" si="1"/>
        <v>0.002819579</v>
      </c>
      <c r="E177" s="321"/>
      <c r="H177" s="324"/>
      <c r="I177" s="324"/>
      <c r="J177" s="324"/>
      <c r="K177" s="324"/>
      <c r="L177" s="324"/>
      <c r="M177" s="324"/>
      <c r="N177" s="324"/>
      <c r="O177" s="324"/>
      <c r="P177" s="324"/>
      <c r="Q177" s="324"/>
      <c r="R177" s="324"/>
      <c r="S177" s="324"/>
      <c r="T177" s="324"/>
      <c r="U177" s="324"/>
      <c r="V177" s="324"/>
      <c r="W177" s="324"/>
      <c r="X177" s="324"/>
      <c r="Y177" s="324"/>
      <c r="Z177" s="324"/>
      <c r="AA177" s="324"/>
      <c r="AB177" s="324"/>
      <c r="AC177" s="324"/>
      <c r="AD177" s="324"/>
      <c r="AE177" s="322"/>
      <c r="AF177" s="322"/>
      <c r="AG177" s="322"/>
      <c r="AH177" s="322"/>
      <c r="AI177" s="322"/>
      <c r="AJ177" s="322"/>
      <c r="AK177" s="322"/>
      <c r="AL177" s="322"/>
      <c r="AM177" s="322"/>
      <c r="AN177" s="322"/>
      <c r="AO177" s="322"/>
      <c r="AP177" s="322"/>
      <c r="AQ177" s="322"/>
      <c r="AR177" s="322"/>
      <c r="AS177" s="322"/>
      <c r="AT177" s="322"/>
      <c r="AU177" s="322"/>
      <c r="AV177" s="322"/>
      <c r="AW177" s="322"/>
      <c r="AX177" s="322"/>
      <c r="AY177" s="322"/>
      <c r="AZ177" s="322"/>
      <c r="BA177" s="322"/>
      <c r="BB177" s="322"/>
      <c r="BC177" s="322"/>
      <c r="BD177" s="322"/>
      <c r="BE177" s="322"/>
      <c r="BF177" s="322"/>
      <c r="BG177" s="322"/>
      <c r="BH177" s="322"/>
      <c r="BI177" s="322"/>
      <c r="BJ177" s="322"/>
      <c r="BK177" s="322"/>
      <c r="BL177" s="322"/>
      <c r="BM177" s="322"/>
      <c r="BN177" s="322"/>
      <c r="BO177" s="322"/>
    </row>
    <row r="178">
      <c r="A178" s="321" t="s">
        <v>651</v>
      </c>
      <c r="B178" s="341">
        <v>3162.507</v>
      </c>
      <c r="C178" s="342">
        <v>0.24627590000000002</v>
      </c>
      <c r="D178" s="185">
        <f t="shared" si="1"/>
        <v>0.002462759</v>
      </c>
      <c r="E178" s="321"/>
      <c r="H178" s="324"/>
      <c r="I178" s="324"/>
      <c r="J178" s="324"/>
      <c r="K178" s="322"/>
      <c r="L178" s="322"/>
      <c r="M178" s="322"/>
      <c r="N178" s="322"/>
      <c r="O178" s="322"/>
      <c r="P178" s="322"/>
      <c r="Q178" s="322"/>
      <c r="R178" s="322"/>
      <c r="S178" s="322"/>
      <c r="T178" s="322"/>
      <c r="U178" s="322"/>
      <c r="V178" s="322"/>
      <c r="W178" s="322"/>
      <c r="X178" s="322"/>
      <c r="Y178" s="322"/>
      <c r="Z178" s="322"/>
      <c r="AA178" s="322"/>
      <c r="AB178" s="322"/>
      <c r="AC178" s="322"/>
      <c r="AD178" s="322"/>
      <c r="AE178" s="322"/>
      <c r="AF178" s="322"/>
      <c r="AG178" s="322"/>
      <c r="AH178" s="322"/>
      <c r="AI178" s="322"/>
      <c r="AJ178" s="322"/>
      <c r="AK178" s="322"/>
      <c r="AL178" s="322"/>
      <c r="AM178" s="322"/>
      <c r="AN178" s="322"/>
      <c r="AO178" s="322"/>
      <c r="AP178" s="322"/>
      <c r="AQ178" s="322"/>
      <c r="AR178" s="322"/>
      <c r="AS178" s="322"/>
      <c r="AT178" s="322"/>
      <c r="AU178" s="322"/>
      <c r="AV178" s="322"/>
      <c r="AW178" s="322"/>
      <c r="AX178" s="322"/>
      <c r="AY178" s="322"/>
      <c r="AZ178" s="322"/>
      <c r="BA178" s="322"/>
      <c r="BB178" s="322"/>
      <c r="BC178" s="322"/>
      <c r="BD178" s="322"/>
      <c r="BE178" s="322"/>
      <c r="BF178" s="322"/>
      <c r="BG178" s="322"/>
      <c r="BH178" s="322"/>
      <c r="BI178" s="322"/>
      <c r="BJ178" s="322"/>
      <c r="BK178" s="322"/>
      <c r="BL178" s="322"/>
      <c r="BM178" s="322"/>
      <c r="BN178" s="322"/>
      <c r="BO178" s="322"/>
    </row>
    <row r="179">
      <c r="A179" s="321" t="s">
        <v>523</v>
      </c>
      <c r="B179" s="341">
        <v>2630.293</v>
      </c>
      <c r="C179" s="342">
        <v>0.3370828</v>
      </c>
      <c r="D179" s="185">
        <f t="shared" si="1"/>
        <v>0.003370828</v>
      </c>
      <c r="E179" s="321"/>
      <c r="H179" s="324"/>
      <c r="I179" s="324"/>
      <c r="J179" s="324"/>
      <c r="K179" s="324"/>
      <c r="L179" s="324"/>
      <c r="M179" s="324"/>
      <c r="N179" s="324"/>
      <c r="O179" s="322"/>
      <c r="P179" s="322"/>
      <c r="Q179" s="322"/>
      <c r="R179" s="322"/>
      <c r="S179" s="322"/>
      <c r="T179" s="322"/>
      <c r="U179" s="322"/>
      <c r="V179" s="322"/>
      <c r="W179" s="322"/>
      <c r="X179" s="322"/>
      <c r="Y179" s="322"/>
      <c r="Z179" s="322"/>
      <c r="AA179" s="322"/>
      <c r="AB179" s="322"/>
      <c r="AC179" s="322"/>
      <c r="AD179" s="322"/>
      <c r="AE179" s="322"/>
      <c r="AF179" s="322"/>
      <c r="AG179" s="322"/>
      <c r="AH179" s="322"/>
      <c r="AI179" s="322"/>
      <c r="AJ179" s="322"/>
      <c r="AK179" s="322"/>
      <c r="AL179" s="322"/>
      <c r="AM179" s="322"/>
      <c r="AN179" s="322"/>
      <c r="AO179" s="322"/>
      <c r="AP179" s="322"/>
      <c r="AQ179" s="322"/>
      <c r="AR179" s="322"/>
      <c r="AS179" s="322"/>
      <c r="AT179" s="322"/>
      <c r="AU179" s="322"/>
      <c r="AV179" s="322"/>
      <c r="AW179" s="322"/>
      <c r="AX179" s="322"/>
      <c r="AY179" s="322"/>
      <c r="AZ179" s="322"/>
      <c r="BA179" s="322"/>
      <c r="BB179" s="322"/>
      <c r="BC179" s="322"/>
      <c r="BD179" s="322"/>
      <c r="BE179" s="322"/>
      <c r="BF179" s="322"/>
      <c r="BG179" s="322"/>
      <c r="BH179" s="322"/>
      <c r="BI179" s="322"/>
      <c r="BJ179" s="322"/>
      <c r="BK179" s="322"/>
      <c r="BL179" s="322"/>
      <c r="BM179" s="322"/>
      <c r="BN179" s="322"/>
      <c r="BO179" s="322"/>
    </row>
    <row r="180">
      <c r="A180" s="321" t="s">
        <v>652</v>
      </c>
      <c r="B180" s="341">
        <v>18723.65</v>
      </c>
      <c r="C180" s="342">
        <v>0.02884925</v>
      </c>
      <c r="D180" s="185">
        <f t="shared" si="1"/>
        <v>0.0002884925</v>
      </c>
      <c r="E180" s="321"/>
      <c r="H180" s="324"/>
      <c r="I180" s="324"/>
      <c r="J180" s="324"/>
      <c r="K180" s="324"/>
      <c r="L180" s="324"/>
      <c r="M180" s="324"/>
      <c r="N180" s="324"/>
      <c r="O180" s="324"/>
      <c r="P180" s="324"/>
      <c r="Q180" s="324"/>
      <c r="R180" s="324"/>
      <c r="S180" s="324"/>
      <c r="T180" s="324"/>
      <c r="U180" s="324"/>
      <c r="V180" s="324"/>
      <c r="W180" s="324"/>
      <c r="X180" s="324"/>
      <c r="Y180" s="324"/>
      <c r="Z180" s="324"/>
      <c r="AA180" s="324"/>
      <c r="AB180" s="324"/>
      <c r="AC180" s="324"/>
      <c r="AD180" s="324"/>
      <c r="AE180" s="324"/>
      <c r="AF180" s="324"/>
      <c r="AG180" s="324"/>
      <c r="AH180" s="324"/>
      <c r="AI180" s="324"/>
      <c r="AJ180" s="324"/>
      <c r="AK180" s="324"/>
      <c r="AL180" s="324"/>
      <c r="AM180" s="324"/>
      <c r="AN180" s="324"/>
      <c r="AO180" s="324"/>
      <c r="AP180" s="324"/>
      <c r="AQ180" s="324"/>
      <c r="AR180" s="324"/>
      <c r="AS180" s="324"/>
      <c r="AT180" s="324"/>
      <c r="AU180" s="324"/>
      <c r="AV180" s="324"/>
      <c r="AW180" s="324"/>
      <c r="AX180" s="324"/>
      <c r="AY180" s="322"/>
      <c r="AZ180" s="322"/>
      <c r="BA180" s="322"/>
      <c r="BB180" s="322"/>
      <c r="BC180" s="322"/>
      <c r="BD180" s="322"/>
      <c r="BE180" s="322"/>
      <c r="BF180" s="322"/>
      <c r="BG180" s="322"/>
      <c r="BH180" s="322"/>
      <c r="BI180" s="322"/>
      <c r="BJ180" s="322"/>
      <c r="BK180" s="322"/>
      <c r="BL180" s="322"/>
      <c r="BM180" s="322"/>
      <c r="BN180" s="322"/>
      <c r="BO180" s="322"/>
    </row>
    <row r="181">
      <c r="A181" s="321" t="s">
        <v>653</v>
      </c>
      <c r="B181" s="341">
        <v>41186.81</v>
      </c>
      <c r="C181" s="342">
        <v>0.03785124</v>
      </c>
      <c r="D181" s="185">
        <f t="shared" si="1"/>
        <v>0.0003785124</v>
      </c>
      <c r="E181" s="321"/>
      <c r="H181" s="324"/>
      <c r="I181" s="324"/>
      <c r="J181" s="324"/>
      <c r="K181" s="324"/>
      <c r="L181" s="324"/>
      <c r="M181" s="324"/>
      <c r="N181" s="324"/>
      <c r="O181" s="324"/>
      <c r="P181" s="324"/>
      <c r="Q181" s="324"/>
      <c r="R181" s="324"/>
      <c r="S181" s="324"/>
      <c r="T181" s="324"/>
      <c r="U181" s="324"/>
      <c r="V181" s="324"/>
      <c r="W181" s="324"/>
      <c r="X181" s="324"/>
      <c r="Y181" s="324"/>
      <c r="Z181" s="324"/>
      <c r="AA181" s="324"/>
      <c r="AB181" s="324"/>
      <c r="AC181" s="324"/>
      <c r="AD181" s="324"/>
      <c r="AE181" s="324"/>
      <c r="AF181" s="324"/>
      <c r="AG181" s="324"/>
      <c r="AH181" s="324"/>
      <c r="AI181" s="324"/>
      <c r="AJ181" s="324"/>
      <c r="AK181" s="324"/>
      <c r="AL181" s="324"/>
      <c r="AM181" s="324"/>
      <c r="AN181" s="322"/>
      <c r="AO181" s="322"/>
      <c r="AP181" s="322"/>
      <c r="AQ181" s="322"/>
      <c r="AR181" s="322"/>
      <c r="AS181" s="322"/>
      <c r="AT181" s="322"/>
      <c r="AU181" s="322"/>
      <c r="AV181" s="322"/>
      <c r="AW181" s="322"/>
      <c r="AX181" s="322"/>
      <c r="AY181" s="322"/>
      <c r="AZ181" s="322"/>
      <c r="BA181" s="322"/>
      <c r="BB181" s="322"/>
      <c r="BC181" s="322"/>
      <c r="BD181" s="322"/>
      <c r="BE181" s="322"/>
      <c r="BF181" s="322"/>
      <c r="BG181" s="322"/>
      <c r="BH181" s="322"/>
      <c r="BI181" s="322"/>
      <c r="BJ181" s="322"/>
      <c r="BK181" s="322"/>
      <c r="BL181" s="322"/>
      <c r="BM181" s="322"/>
      <c r="BN181" s="322"/>
      <c r="BO181" s="322"/>
    </row>
    <row r="182">
      <c r="A182" s="321" t="s">
        <v>654</v>
      </c>
      <c r="B182" s="341">
        <v>17654.1</v>
      </c>
      <c r="C182" s="342">
        <v>0.03268533</v>
      </c>
      <c r="D182" s="185">
        <f t="shared" si="1"/>
        <v>0.0003268533</v>
      </c>
      <c r="E182" s="321"/>
      <c r="H182" s="324"/>
      <c r="I182" s="324"/>
      <c r="J182" s="324"/>
      <c r="K182" s="324"/>
      <c r="L182" s="324"/>
      <c r="M182" s="324"/>
      <c r="N182" s="324"/>
      <c r="O182" s="324"/>
      <c r="P182" s="324"/>
      <c r="Q182" s="324"/>
      <c r="R182" s="324"/>
      <c r="S182" s="324"/>
      <c r="T182" s="324"/>
      <c r="U182" s="324"/>
      <c r="V182" s="322"/>
      <c r="W182" s="322"/>
      <c r="X182" s="322"/>
      <c r="Y182" s="322"/>
      <c r="Z182" s="322"/>
      <c r="AA182" s="322"/>
      <c r="AB182" s="322"/>
      <c r="AC182" s="322"/>
      <c r="AD182" s="322"/>
      <c r="AE182" s="322"/>
      <c r="AF182" s="322"/>
      <c r="AG182" s="322"/>
      <c r="AH182" s="322"/>
      <c r="AI182" s="322"/>
      <c r="AJ182" s="322"/>
      <c r="AK182" s="322"/>
      <c r="AL182" s="322"/>
      <c r="AM182" s="322"/>
      <c r="AN182" s="322"/>
      <c r="AO182" s="322"/>
      <c r="AP182" s="322"/>
      <c r="AQ182" s="322"/>
      <c r="AR182" s="322"/>
      <c r="AS182" s="322"/>
      <c r="AT182" s="322"/>
      <c r="AU182" s="322"/>
      <c r="AV182" s="322"/>
      <c r="AW182" s="322"/>
      <c r="AX182" s="322"/>
      <c r="AY182" s="322"/>
      <c r="AZ182" s="322"/>
      <c r="BA182" s="322"/>
      <c r="BB182" s="322"/>
      <c r="BC182" s="322"/>
      <c r="BD182" s="322"/>
      <c r="BE182" s="322"/>
      <c r="BF182" s="322"/>
      <c r="BG182" s="322"/>
      <c r="BH182" s="322"/>
      <c r="BI182" s="322"/>
      <c r="BJ182" s="322"/>
      <c r="BK182" s="322"/>
      <c r="BL182" s="322"/>
      <c r="BM182" s="322"/>
      <c r="BN182" s="322"/>
      <c r="BO182" s="322"/>
    </row>
    <row r="183">
      <c r="A183" s="321" t="s">
        <v>655</v>
      </c>
      <c r="B183" s="341">
        <v>14066.51</v>
      </c>
      <c r="C183" s="342">
        <v>0.09249451</v>
      </c>
      <c r="D183" s="185">
        <f t="shared" si="1"/>
        <v>0.0009249451</v>
      </c>
      <c r="E183" s="321"/>
      <c r="H183" s="324"/>
      <c r="I183" s="324"/>
      <c r="J183" s="322"/>
      <c r="K183" s="322"/>
      <c r="L183" s="322"/>
      <c r="M183" s="322"/>
      <c r="N183" s="322"/>
      <c r="O183" s="322"/>
      <c r="P183" s="322"/>
      <c r="Q183" s="322"/>
      <c r="R183" s="322"/>
      <c r="S183" s="322"/>
      <c r="T183" s="322"/>
      <c r="U183" s="322"/>
      <c r="V183" s="322"/>
      <c r="W183" s="322"/>
      <c r="X183" s="322"/>
      <c r="Y183" s="322"/>
      <c r="Z183" s="322"/>
      <c r="AA183" s="322"/>
      <c r="AB183" s="322"/>
      <c r="AC183" s="322"/>
      <c r="AD183" s="322"/>
      <c r="AE183" s="322"/>
      <c r="AF183" s="322"/>
      <c r="AG183" s="322"/>
      <c r="AH183" s="322"/>
      <c r="AI183" s="322"/>
      <c r="AJ183" s="322"/>
      <c r="AK183" s="322"/>
      <c r="AL183" s="322"/>
      <c r="AM183" s="322"/>
      <c r="AN183" s="322"/>
      <c r="AO183" s="322"/>
      <c r="AP183" s="322"/>
      <c r="AQ183" s="322"/>
      <c r="AR183" s="322"/>
      <c r="AS183" s="322"/>
      <c r="AT183" s="322"/>
      <c r="AU183" s="322"/>
      <c r="AV183" s="322"/>
      <c r="AW183" s="322"/>
      <c r="AX183" s="322"/>
      <c r="AY183" s="322"/>
      <c r="AZ183" s="322"/>
      <c r="BA183" s="322"/>
      <c r="BB183" s="322"/>
      <c r="BC183" s="322"/>
      <c r="BD183" s="322"/>
      <c r="BE183" s="322"/>
      <c r="BF183" s="322"/>
      <c r="BG183" s="322"/>
      <c r="BH183" s="322"/>
      <c r="BI183" s="322"/>
      <c r="BJ183" s="322"/>
      <c r="BK183" s="322"/>
      <c r="BL183" s="322"/>
      <c r="BM183" s="322"/>
      <c r="BN183" s="322"/>
      <c r="BO183" s="322"/>
    </row>
    <row r="184" ht="15.75" customHeight="1">
      <c r="A184" s="321" t="s">
        <v>656</v>
      </c>
      <c r="B184" s="341">
        <v>7210.689</v>
      </c>
      <c r="C184" s="342">
        <v>0.1197976</v>
      </c>
      <c r="D184" s="185">
        <f t="shared" si="1"/>
        <v>0.001197976</v>
      </c>
      <c r="E184" s="321"/>
      <c r="H184" s="322"/>
      <c r="I184" s="322"/>
      <c r="J184" s="322"/>
      <c r="K184" s="322"/>
      <c r="L184" s="322"/>
      <c r="M184" s="322"/>
      <c r="N184" s="322"/>
      <c r="O184" s="322"/>
      <c r="P184" s="322"/>
      <c r="Q184" s="322"/>
      <c r="R184" s="322"/>
      <c r="S184" s="322"/>
      <c r="T184" s="322"/>
      <c r="U184" s="322"/>
      <c r="V184" s="322"/>
      <c r="W184" s="322"/>
      <c r="X184" s="322"/>
      <c r="Y184" s="322"/>
      <c r="Z184" s="322"/>
      <c r="AA184" s="322"/>
      <c r="AB184" s="322"/>
      <c r="AC184" s="322"/>
      <c r="AD184" s="322"/>
      <c r="AE184" s="322"/>
      <c r="AF184" s="322"/>
      <c r="AG184" s="322"/>
      <c r="AH184" s="322"/>
      <c r="AI184" s="322"/>
      <c r="AJ184" s="322"/>
      <c r="AK184" s="322"/>
      <c r="AL184" s="322"/>
      <c r="AM184" s="322"/>
      <c r="AN184" s="322"/>
      <c r="AO184" s="322"/>
      <c r="AP184" s="322"/>
      <c r="AQ184" s="322"/>
      <c r="AR184" s="322"/>
      <c r="AS184" s="322"/>
      <c r="AT184" s="322"/>
      <c r="AU184" s="322"/>
      <c r="AV184" s="322"/>
      <c r="AW184" s="322"/>
      <c r="AX184" s="322"/>
      <c r="AY184" s="322"/>
      <c r="AZ184" s="322"/>
      <c r="BA184" s="322"/>
      <c r="BB184" s="322"/>
      <c r="BC184" s="322"/>
      <c r="BD184" s="322"/>
      <c r="BE184" s="322"/>
      <c r="BF184" s="322"/>
      <c r="BG184" s="322"/>
      <c r="BH184" s="322"/>
      <c r="BI184" s="322"/>
      <c r="BJ184" s="322"/>
      <c r="BK184" s="322"/>
      <c r="BL184" s="322"/>
      <c r="BM184" s="322"/>
      <c r="BN184" s="322"/>
      <c r="BO184" s="322"/>
    </row>
    <row r="185">
      <c r="A185" s="321" t="s">
        <v>657</v>
      </c>
      <c r="B185" s="341">
        <v>45909.63</v>
      </c>
      <c r="C185" s="342">
        <v>0.02997147</v>
      </c>
      <c r="D185" s="185">
        <f t="shared" si="1"/>
        <v>0.0002997147</v>
      </c>
      <c r="E185" s="321"/>
      <c r="H185" s="324"/>
      <c r="I185" s="324"/>
      <c r="J185" s="324"/>
      <c r="K185" s="324"/>
      <c r="L185" s="324"/>
      <c r="M185" s="324"/>
      <c r="N185" s="324"/>
      <c r="O185" s="324"/>
      <c r="P185" s="324"/>
      <c r="Q185" s="324"/>
      <c r="R185" s="324"/>
      <c r="S185" s="324"/>
      <c r="T185" s="324"/>
      <c r="U185" s="324"/>
      <c r="V185" s="324"/>
      <c r="W185" s="324"/>
      <c r="X185" s="324"/>
      <c r="Y185" s="324"/>
      <c r="Z185" s="324"/>
      <c r="AA185" s="324"/>
      <c r="AB185" s="324"/>
      <c r="AC185" s="324"/>
      <c r="AD185" s="324"/>
      <c r="AE185" s="324"/>
      <c r="AF185" s="324"/>
      <c r="AG185" s="324"/>
      <c r="AH185" s="324"/>
      <c r="AI185" s="324"/>
      <c r="AJ185" s="324"/>
      <c r="AK185" s="324"/>
      <c r="AL185" s="324"/>
      <c r="AM185" s="324"/>
      <c r="AN185" s="322"/>
      <c r="AO185" s="322"/>
      <c r="AP185" s="322"/>
      <c r="AQ185" s="322"/>
      <c r="AR185" s="322"/>
      <c r="AS185" s="322"/>
      <c r="AT185" s="322"/>
      <c r="AU185" s="322"/>
      <c r="AV185" s="322"/>
      <c r="AW185" s="322"/>
      <c r="AX185" s="322"/>
      <c r="AY185" s="322"/>
      <c r="AZ185" s="322"/>
      <c r="BA185" s="322"/>
      <c r="BB185" s="322"/>
      <c r="BC185" s="322"/>
      <c r="BD185" s="322"/>
      <c r="BE185" s="322"/>
      <c r="BF185" s="322"/>
      <c r="BG185" s="322"/>
      <c r="BH185" s="322"/>
      <c r="BI185" s="322"/>
      <c r="BJ185" s="322"/>
      <c r="BK185" s="322"/>
      <c r="BL185" s="322"/>
      <c r="BM185" s="322"/>
      <c r="BN185" s="322"/>
      <c r="BO185" s="322"/>
    </row>
    <row r="186">
      <c r="A186" s="321" t="s">
        <v>658</v>
      </c>
      <c r="B186" s="341">
        <v>3255.538</v>
      </c>
      <c r="C186" s="342">
        <v>0.1815398</v>
      </c>
      <c r="D186" s="185">
        <f t="shared" si="1"/>
        <v>0.001815398</v>
      </c>
      <c r="E186" s="321"/>
      <c r="H186" s="324"/>
      <c r="I186" s="324"/>
      <c r="J186" s="324"/>
      <c r="K186" s="324"/>
      <c r="L186" s="324"/>
      <c r="M186" s="324"/>
      <c r="N186" s="324"/>
      <c r="O186" s="324"/>
      <c r="P186" s="324"/>
      <c r="Q186" s="324"/>
      <c r="R186" s="324"/>
      <c r="S186" s="324"/>
      <c r="T186" s="324"/>
      <c r="U186" s="324"/>
      <c r="V186" s="324"/>
      <c r="W186" s="324"/>
      <c r="X186" s="324"/>
      <c r="Y186" s="324"/>
      <c r="Z186" s="324"/>
      <c r="AA186" s="324"/>
      <c r="AB186" s="324"/>
      <c r="AC186" s="324"/>
      <c r="AD186" s="324"/>
      <c r="AE186" s="324"/>
      <c r="AF186" s="324"/>
      <c r="AG186" s="322"/>
      <c r="AH186" s="322"/>
      <c r="AI186" s="322"/>
      <c r="AJ186" s="322"/>
      <c r="AK186" s="322"/>
      <c r="AL186" s="322"/>
      <c r="AM186" s="322"/>
      <c r="AN186" s="322"/>
      <c r="AO186" s="322"/>
      <c r="AP186" s="322"/>
      <c r="AQ186" s="322"/>
      <c r="AR186" s="322"/>
      <c r="AS186" s="322"/>
      <c r="AT186" s="322"/>
      <c r="AU186" s="322"/>
      <c r="AV186" s="322"/>
      <c r="AW186" s="322"/>
      <c r="AX186" s="322"/>
      <c r="AY186" s="322"/>
      <c r="AZ186" s="322"/>
      <c r="BA186" s="322"/>
      <c r="BB186" s="322"/>
      <c r="BC186" s="322"/>
      <c r="BD186" s="322"/>
      <c r="BE186" s="322"/>
      <c r="BF186" s="322"/>
      <c r="BG186" s="322"/>
      <c r="BH186" s="322"/>
      <c r="BI186" s="322"/>
      <c r="BJ186" s="322"/>
      <c r="BK186" s="322"/>
      <c r="BL186" s="322"/>
      <c r="BM186" s="322"/>
      <c r="BN186" s="322"/>
      <c r="BO186" s="322"/>
    </row>
    <row r="187">
      <c r="A187" s="321" t="s">
        <v>659</v>
      </c>
      <c r="B187" s="341">
        <v>45942.17</v>
      </c>
      <c r="C187" s="342">
        <v>0.04690144</v>
      </c>
      <c r="D187" s="185">
        <f t="shared" si="1"/>
        <v>0.0004690144</v>
      </c>
      <c r="E187" s="321"/>
      <c r="H187" s="324"/>
      <c r="I187" s="324"/>
      <c r="J187" s="324"/>
      <c r="K187" s="324"/>
      <c r="L187" s="324"/>
      <c r="M187" s="324"/>
      <c r="N187" s="324"/>
      <c r="O187" s="324"/>
      <c r="P187" s="324"/>
      <c r="Q187" s="324"/>
      <c r="R187" s="324"/>
      <c r="S187" s="324"/>
      <c r="T187" s="324"/>
      <c r="U187" s="324"/>
      <c r="V187" s="324"/>
      <c r="W187" s="324"/>
      <c r="X187" s="324"/>
      <c r="Y187" s="324"/>
      <c r="Z187" s="324"/>
      <c r="AA187" s="324"/>
      <c r="AB187" s="324"/>
      <c r="AC187" s="324"/>
      <c r="AD187" s="324"/>
      <c r="AE187" s="324"/>
      <c r="AF187" s="324"/>
      <c r="AG187" s="324"/>
      <c r="AH187" s="324"/>
      <c r="AI187" s="324"/>
      <c r="AJ187" s="324"/>
      <c r="AK187" s="324"/>
      <c r="AL187" s="324"/>
      <c r="AM187" s="324"/>
      <c r="AN187" s="322"/>
      <c r="AO187" s="322"/>
      <c r="AP187" s="322"/>
      <c r="AQ187" s="322"/>
      <c r="AR187" s="322"/>
      <c r="AS187" s="322"/>
      <c r="AT187" s="322"/>
      <c r="AU187" s="322"/>
      <c r="AV187" s="322"/>
      <c r="AW187" s="322"/>
      <c r="AX187" s="322"/>
      <c r="AY187" s="322"/>
      <c r="AZ187" s="322"/>
      <c r="BA187" s="322"/>
      <c r="BB187" s="322"/>
      <c r="BC187" s="322"/>
      <c r="BD187" s="322"/>
      <c r="BE187" s="322"/>
      <c r="BF187" s="322"/>
      <c r="BG187" s="322"/>
      <c r="BH187" s="322"/>
      <c r="BI187" s="322"/>
      <c r="BJ187" s="322"/>
      <c r="BK187" s="322"/>
      <c r="BL187" s="322"/>
      <c r="BM187" s="322"/>
      <c r="BN187" s="322"/>
      <c r="BO187" s="322"/>
    </row>
    <row r="188">
      <c r="A188" s="321" t="s">
        <v>660</v>
      </c>
      <c r="B188" s="341">
        <v>15612.8</v>
      </c>
      <c r="C188" s="342">
        <v>0.12529310000000002</v>
      </c>
      <c r="D188" s="185">
        <f t="shared" si="1"/>
        <v>0.001252931</v>
      </c>
      <c r="E188" s="321"/>
      <c r="H188" s="324"/>
      <c r="I188" s="324"/>
      <c r="J188" s="324"/>
      <c r="K188" s="324"/>
      <c r="L188" s="324"/>
      <c r="M188" s="324"/>
      <c r="N188" s="324"/>
      <c r="O188" s="324"/>
      <c r="P188" s="324"/>
      <c r="Q188" s="324"/>
      <c r="R188" s="324"/>
      <c r="S188" s="324"/>
      <c r="T188" s="324"/>
      <c r="U188" s="324"/>
      <c r="V188" s="324"/>
      <c r="W188" s="324"/>
      <c r="X188" s="324"/>
      <c r="Y188" s="324"/>
      <c r="Z188" s="324"/>
      <c r="AA188" s="324"/>
      <c r="AB188" s="322"/>
      <c r="AC188" s="322"/>
      <c r="AD188" s="322"/>
      <c r="AE188" s="322"/>
      <c r="AF188" s="322"/>
      <c r="AG188" s="322"/>
      <c r="AH188" s="322"/>
      <c r="AI188" s="322"/>
      <c r="AJ188" s="322"/>
      <c r="AK188" s="322"/>
      <c r="AL188" s="322"/>
      <c r="AM188" s="322"/>
      <c r="AN188" s="322"/>
      <c r="AO188" s="322"/>
      <c r="AP188" s="322"/>
      <c r="AQ188" s="322"/>
      <c r="AR188" s="322"/>
      <c r="AS188" s="322"/>
      <c r="AT188" s="322"/>
      <c r="AU188" s="322"/>
      <c r="AV188" s="322"/>
      <c r="AW188" s="322"/>
      <c r="AX188" s="322"/>
      <c r="AY188" s="322"/>
      <c r="AZ188" s="322"/>
      <c r="BA188" s="322"/>
      <c r="BB188" s="322"/>
      <c r="BC188" s="322"/>
      <c r="BD188" s="322"/>
      <c r="BE188" s="322"/>
      <c r="BF188" s="322"/>
      <c r="BG188" s="322"/>
      <c r="BH188" s="322"/>
      <c r="BI188" s="322"/>
      <c r="BJ188" s="322"/>
      <c r="BK188" s="322"/>
      <c r="BL188" s="322"/>
      <c r="BM188" s="322"/>
      <c r="BN188" s="322"/>
      <c r="BO188" s="322"/>
    </row>
    <row r="189">
      <c r="A189" s="321" t="s">
        <v>661</v>
      </c>
      <c r="B189" s="341">
        <v>10175.77</v>
      </c>
      <c r="C189" s="342">
        <v>0.1596601</v>
      </c>
      <c r="D189" s="185">
        <f t="shared" si="1"/>
        <v>0.001596601</v>
      </c>
      <c r="E189" s="321"/>
      <c r="H189" s="322"/>
      <c r="I189" s="322"/>
      <c r="J189" s="322"/>
      <c r="K189" s="322"/>
      <c r="L189" s="322"/>
      <c r="M189" s="322"/>
      <c r="N189" s="322"/>
      <c r="O189" s="322"/>
      <c r="P189" s="322"/>
      <c r="Q189" s="322"/>
      <c r="R189" s="322"/>
      <c r="S189" s="322"/>
      <c r="T189" s="322"/>
      <c r="U189" s="322"/>
      <c r="V189" s="322"/>
      <c r="W189" s="322"/>
      <c r="X189" s="322"/>
      <c r="Y189" s="322"/>
      <c r="Z189" s="322"/>
      <c r="AA189" s="322"/>
      <c r="AB189" s="322"/>
      <c r="AC189" s="322"/>
      <c r="AD189" s="322"/>
      <c r="AE189" s="322"/>
      <c r="AF189" s="322"/>
      <c r="AG189" s="322"/>
      <c r="AH189" s="322"/>
      <c r="AI189" s="322"/>
      <c r="AJ189" s="322"/>
      <c r="AK189" s="322"/>
      <c r="AL189" s="322"/>
      <c r="AM189" s="322"/>
      <c r="AN189" s="322"/>
      <c r="AO189" s="322"/>
      <c r="AP189" s="322"/>
      <c r="AQ189" s="322"/>
      <c r="AR189" s="322"/>
      <c r="AS189" s="322"/>
      <c r="AT189" s="322"/>
      <c r="AU189" s="322"/>
      <c r="AV189" s="322"/>
      <c r="AW189" s="322"/>
      <c r="AX189" s="322"/>
      <c r="AY189" s="322"/>
      <c r="AZ189" s="322"/>
      <c r="BA189" s="322"/>
      <c r="BB189" s="322"/>
      <c r="BC189" s="322"/>
      <c r="BD189" s="322"/>
      <c r="BE189" s="322"/>
      <c r="BF189" s="322"/>
      <c r="BG189" s="322"/>
      <c r="BH189" s="322"/>
      <c r="BI189" s="322"/>
      <c r="BJ189" s="322"/>
      <c r="BK189" s="322"/>
      <c r="BL189" s="322"/>
      <c r="BM189" s="322"/>
      <c r="BN189" s="322"/>
      <c r="BO189" s="322"/>
    </row>
    <row r="190">
      <c r="A190" s="321" t="s">
        <v>662</v>
      </c>
      <c r="B190" s="341">
        <v>127623.4</v>
      </c>
      <c r="C190" s="342">
        <v>0.00877589</v>
      </c>
      <c r="D190" s="185">
        <f t="shared" si="1"/>
        <v>0.0000877589</v>
      </c>
      <c r="E190" s="321"/>
      <c r="H190" s="324"/>
      <c r="I190" s="324"/>
      <c r="J190" s="324"/>
      <c r="K190" s="324"/>
      <c r="L190" s="324"/>
      <c r="M190" s="324"/>
      <c r="N190" s="324"/>
      <c r="O190" s="324"/>
      <c r="P190" s="324"/>
      <c r="Q190" s="324"/>
      <c r="R190" s="324"/>
      <c r="S190" s="324"/>
      <c r="T190" s="324"/>
      <c r="U190" s="324"/>
      <c r="V190" s="324"/>
      <c r="W190" s="324"/>
      <c r="X190" s="324"/>
      <c r="Y190" s="324"/>
      <c r="Z190" s="324"/>
      <c r="AA190" s="324"/>
      <c r="AB190" s="324"/>
      <c r="AC190" s="324"/>
      <c r="AD190" s="324"/>
      <c r="AE190" s="324"/>
      <c r="AF190" s="324"/>
      <c r="AG190" s="324"/>
      <c r="AH190" s="324"/>
      <c r="AI190" s="324"/>
      <c r="AJ190" s="324"/>
      <c r="AK190" s="324"/>
      <c r="AL190" s="324"/>
      <c r="AM190" s="324"/>
      <c r="AN190" s="322"/>
      <c r="AO190" s="322"/>
      <c r="AP190" s="322"/>
      <c r="AQ190" s="322"/>
      <c r="AR190" s="322"/>
      <c r="AS190" s="322"/>
      <c r="AT190" s="322"/>
      <c r="AU190" s="322"/>
      <c r="AV190" s="322"/>
      <c r="AW190" s="322"/>
      <c r="AX190" s="322"/>
      <c r="AY190" s="322"/>
      <c r="AZ190" s="322"/>
      <c r="BA190" s="322"/>
      <c r="BB190" s="322"/>
      <c r="BC190" s="322"/>
      <c r="BD190" s="322"/>
      <c r="BE190" s="322"/>
      <c r="BF190" s="322"/>
      <c r="BG190" s="322"/>
      <c r="BH190" s="322"/>
      <c r="BI190" s="322"/>
      <c r="BJ190" s="322"/>
      <c r="BK190" s="322"/>
      <c r="BL190" s="322"/>
      <c r="BM190" s="322"/>
      <c r="BN190" s="322"/>
      <c r="BO190" s="322"/>
    </row>
    <row r="191">
      <c r="A191" s="321" t="s">
        <v>663</v>
      </c>
      <c r="B191" s="341">
        <v>17921.66</v>
      </c>
      <c r="C191" s="342">
        <v>0.1301394</v>
      </c>
      <c r="D191" s="185">
        <f t="shared" si="1"/>
        <v>0.001301394</v>
      </c>
      <c r="E191" s="321"/>
      <c r="H191" s="322"/>
      <c r="I191" s="322"/>
      <c r="J191" s="322"/>
      <c r="K191" s="322"/>
      <c r="L191" s="322"/>
      <c r="M191" s="322"/>
      <c r="N191" s="322"/>
      <c r="O191" s="322"/>
      <c r="P191" s="322"/>
      <c r="Q191" s="322"/>
      <c r="R191" s="322"/>
      <c r="S191" s="322"/>
      <c r="T191" s="322"/>
      <c r="U191" s="322"/>
      <c r="V191" s="322"/>
      <c r="W191" s="322"/>
      <c r="X191" s="322"/>
      <c r="Y191" s="322"/>
      <c r="Z191" s="322"/>
      <c r="AA191" s="322"/>
      <c r="AB191" s="322"/>
      <c r="AC191" s="322"/>
      <c r="AD191" s="322"/>
      <c r="AE191" s="322"/>
      <c r="AF191" s="322"/>
      <c r="AG191" s="322"/>
      <c r="AH191" s="322"/>
      <c r="AI191" s="322"/>
      <c r="AJ191" s="322"/>
      <c r="AK191" s="322"/>
      <c r="AL191" s="322"/>
      <c r="AM191" s="322"/>
      <c r="AN191" s="322"/>
      <c r="AO191" s="322"/>
      <c r="AP191" s="322"/>
      <c r="AQ191" s="322"/>
      <c r="AR191" s="322"/>
      <c r="AS191" s="322"/>
      <c r="AT191" s="322"/>
      <c r="AU191" s="322"/>
      <c r="AV191" s="322"/>
      <c r="AW191" s="322"/>
      <c r="AX191" s="322"/>
      <c r="AY191" s="322"/>
      <c r="AZ191" s="322"/>
      <c r="BA191" s="322"/>
      <c r="BB191" s="322"/>
      <c r="BC191" s="322"/>
      <c r="BD191" s="322"/>
      <c r="BE191" s="322"/>
      <c r="BF191" s="322"/>
      <c r="BG191" s="322"/>
      <c r="BH191" s="322"/>
      <c r="BI191" s="322"/>
      <c r="BJ191" s="322"/>
      <c r="BK191" s="322"/>
      <c r="BL191" s="322"/>
      <c r="BM191" s="322"/>
      <c r="BN191" s="322"/>
      <c r="BO191" s="322"/>
    </row>
    <row r="192">
      <c r="A192" s="321" t="s">
        <v>664</v>
      </c>
      <c r="B192" s="341">
        <v>13968.57</v>
      </c>
      <c r="C192" s="342">
        <v>0.028043949999999998</v>
      </c>
      <c r="D192" s="185">
        <f t="shared" si="1"/>
        <v>0.0002804395</v>
      </c>
      <c r="E192" s="321"/>
      <c r="H192" s="324"/>
      <c r="I192" s="324"/>
      <c r="J192" s="324"/>
      <c r="K192" s="324"/>
      <c r="L192" s="324"/>
      <c r="M192" s="322"/>
      <c r="N192" s="322"/>
      <c r="O192" s="322"/>
      <c r="P192" s="322"/>
      <c r="Q192" s="322"/>
      <c r="R192" s="322"/>
      <c r="S192" s="322"/>
      <c r="T192" s="322"/>
      <c r="U192" s="322"/>
      <c r="V192" s="322"/>
      <c r="W192" s="322"/>
      <c r="X192" s="322"/>
      <c r="Y192" s="322"/>
      <c r="Z192" s="322"/>
      <c r="AA192" s="322"/>
      <c r="AB192" s="322"/>
      <c r="AC192" s="322"/>
      <c r="AD192" s="322"/>
      <c r="AE192" s="322"/>
      <c r="AF192" s="322"/>
      <c r="AG192" s="322"/>
      <c r="AH192" s="322"/>
      <c r="AI192" s="322"/>
      <c r="AJ192" s="322"/>
      <c r="AK192" s="322"/>
      <c r="AL192" s="322"/>
      <c r="AM192" s="322"/>
      <c r="AN192" s="322"/>
      <c r="AO192" s="322"/>
      <c r="AP192" s="322"/>
      <c r="AQ192" s="322"/>
      <c r="AR192" s="322"/>
      <c r="AS192" s="322"/>
      <c r="AT192" s="322"/>
      <c r="AU192" s="322"/>
      <c r="AV192" s="322"/>
      <c r="AW192" s="322"/>
      <c r="AX192" s="322"/>
      <c r="AY192" s="322"/>
      <c r="AZ192" s="322"/>
      <c r="BA192" s="322"/>
      <c r="BB192" s="322"/>
      <c r="BC192" s="322"/>
      <c r="BD192" s="322"/>
      <c r="BE192" s="322"/>
      <c r="BF192" s="322"/>
      <c r="BG192" s="322"/>
      <c r="BH192" s="322"/>
      <c r="BI192" s="322"/>
      <c r="BJ192" s="322"/>
      <c r="BK192" s="322"/>
      <c r="BL192" s="322"/>
      <c r="BM192" s="322"/>
      <c r="BN192" s="322"/>
      <c r="BO192" s="322"/>
    </row>
    <row r="193">
      <c r="A193" s="321" t="s">
        <v>665</v>
      </c>
      <c r="B193" s="341">
        <v>77567.19</v>
      </c>
      <c r="C193" s="342">
        <v>0.03886859</v>
      </c>
      <c r="D193" s="185">
        <f t="shared" si="1"/>
        <v>0.0003886859</v>
      </c>
      <c r="E193" s="321"/>
      <c r="H193" s="324"/>
      <c r="I193" s="324"/>
      <c r="J193" s="324"/>
      <c r="K193" s="324"/>
      <c r="L193" s="324"/>
      <c r="M193" s="324"/>
      <c r="N193" s="324"/>
      <c r="O193" s="324"/>
      <c r="P193" s="324"/>
      <c r="Q193" s="324"/>
      <c r="R193" s="324"/>
      <c r="S193" s="324"/>
      <c r="T193" s="324"/>
      <c r="U193" s="324"/>
      <c r="V193" s="324"/>
      <c r="W193" s="324"/>
      <c r="X193" s="324"/>
      <c r="Y193" s="324"/>
      <c r="Z193" s="324"/>
      <c r="AA193" s="324"/>
      <c r="AB193" s="324"/>
      <c r="AC193" s="324"/>
      <c r="AD193" s="324"/>
      <c r="AE193" s="324"/>
      <c r="AF193" s="324"/>
      <c r="AG193" s="324"/>
      <c r="AH193" s="324"/>
      <c r="AI193" s="324"/>
      <c r="AJ193" s="324"/>
      <c r="AK193" s="324"/>
      <c r="AL193" s="324"/>
      <c r="AM193" s="324"/>
      <c r="AN193" s="322"/>
      <c r="AO193" s="322"/>
      <c r="AP193" s="322"/>
      <c r="AQ193" s="322"/>
      <c r="AR193" s="322"/>
      <c r="AS193" s="322"/>
      <c r="AT193" s="322"/>
      <c r="AU193" s="322"/>
      <c r="AV193" s="322"/>
      <c r="AW193" s="322"/>
      <c r="AX193" s="322"/>
      <c r="AY193" s="322"/>
      <c r="AZ193" s="322"/>
      <c r="BA193" s="322"/>
      <c r="BB193" s="322"/>
      <c r="BC193" s="322"/>
      <c r="BD193" s="322"/>
      <c r="BE193" s="322"/>
      <c r="BF193" s="322"/>
      <c r="BG193" s="322"/>
      <c r="BH193" s="322"/>
      <c r="BI193" s="322"/>
      <c r="BJ193" s="322"/>
      <c r="BK193" s="322"/>
      <c r="BL193" s="322"/>
      <c r="BM193" s="322"/>
      <c r="BN193" s="322"/>
      <c r="BO193" s="322"/>
    </row>
    <row r="194">
      <c r="A194" s="321" t="s">
        <v>666</v>
      </c>
      <c r="B194" s="341">
        <v>58754.91</v>
      </c>
      <c r="C194" s="342">
        <v>0.01940005</v>
      </c>
      <c r="D194" s="185">
        <f t="shared" si="1"/>
        <v>0.0001940005</v>
      </c>
      <c r="E194" s="321"/>
      <c r="H194" s="324"/>
      <c r="I194" s="324"/>
      <c r="J194" s="324"/>
      <c r="K194" s="324"/>
      <c r="L194" s="324"/>
      <c r="M194" s="324"/>
      <c r="N194" s="324"/>
      <c r="O194" s="324"/>
      <c r="P194" s="324"/>
      <c r="Q194" s="324"/>
      <c r="R194" s="324"/>
      <c r="S194" s="324"/>
      <c r="T194" s="324"/>
      <c r="U194" s="324"/>
      <c r="V194" s="324"/>
      <c r="W194" s="324"/>
      <c r="X194" s="324"/>
      <c r="Y194" s="324"/>
      <c r="Z194" s="324"/>
      <c r="AA194" s="324"/>
      <c r="AB194" s="324"/>
      <c r="AC194" s="324"/>
      <c r="AD194" s="324"/>
      <c r="AE194" s="324"/>
      <c r="AF194" s="324"/>
      <c r="AG194" s="324"/>
      <c r="AH194" s="324"/>
      <c r="AI194" s="322"/>
      <c r="AJ194" s="322"/>
      <c r="AK194" s="322"/>
      <c r="AL194" s="322"/>
      <c r="AM194" s="322"/>
      <c r="AN194" s="322"/>
      <c r="AO194" s="322"/>
      <c r="AP194" s="322"/>
      <c r="AQ194" s="322"/>
      <c r="AR194" s="322"/>
      <c r="AS194" s="322"/>
      <c r="AT194" s="322"/>
      <c r="AU194" s="322"/>
      <c r="AV194" s="322"/>
      <c r="AW194" s="322"/>
      <c r="AX194" s="322"/>
      <c r="AY194" s="322"/>
      <c r="AZ194" s="322"/>
      <c r="BA194" s="322"/>
      <c r="BB194" s="322"/>
      <c r="BC194" s="322"/>
      <c r="BD194" s="322"/>
      <c r="BE194" s="322"/>
      <c r="BF194" s="322"/>
      <c r="BG194" s="322"/>
      <c r="BH194" s="322"/>
      <c r="BI194" s="322"/>
      <c r="BJ194" s="322"/>
      <c r="BK194" s="322"/>
      <c r="BL194" s="322"/>
      <c r="BM194" s="322"/>
      <c r="BN194" s="322"/>
      <c r="BO194" s="322"/>
    </row>
    <row r="195">
      <c r="A195" s="321" t="s">
        <v>667</v>
      </c>
      <c r="B195" s="341">
        <v>11475.01</v>
      </c>
      <c r="C195" s="342">
        <v>0.09023869</v>
      </c>
      <c r="D195" s="185">
        <f t="shared" si="1"/>
        <v>0.0009023869</v>
      </c>
      <c r="E195" s="321"/>
      <c r="H195" s="324"/>
      <c r="I195" s="324"/>
      <c r="J195" s="324"/>
      <c r="K195" s="324"/>
      <c r="L195" s="324"/>
      <c r="M195" s="324"/>
      <c r="N195" s="324"/>
      <c r="O195" s="324"/>
      <c r="P195" s="324"/>
      <c r="Q195" s="324"/>
      <c r="R195" s="324"/>
      <c r="S195" s="324"/>
      <c r="T195" s="324"/>
      <c r="U195" s="324"/>
      <c r="V195" s="324"/>
      <c r="W195" s="324"/>
      <c r="X195" s="324"/>
      <c r="Y195" s="324"/>
      <c r="Z195" s="324"/>
      <c r="AA195" s="324"/>
      <c r="AB195" s="324"/>
      <c r="AC195" s="324"/>
      <c r="AD195" s="324"/>
      <c r="AE195" s="324"/>
      <c r="AF195" s="324"/>
      <c r="AG195" s="324"/>
      <c r="AH195" s="324"/>
      <c r="AI195" s="324"/>
      <c r="AJ195" s="324"/>
      <c r="AK195" s="324"/>
      <c r="AL195" s="322"/>
      <c r="AM195" s="322"/>
      <c r="AN195" s="322"/>
      <c r="AO195" s="322"/>
      <c r="AP195" s="322"/>
      <c r="AQ195" s="322"/>
      <c r="AR195" s="322"/>
      <c r="AS195" s="322"/>
      <c r="AT195" s="322"/>
      <c r="AU195" s="322"/>
      <c r="AV195" s="322"/>
      <c r="AW195" s="322"/>
      <c r="AX195" s="322"/>
      <c r="AY195" s="322"/>
      <c r="AZ195" s="322"/>
      <c r="BA195" s="322"/>
      <c r="BB195" s="322"/>
      <c r="BC195" s="322"/>
      <c r="BD195" s="322"/>
      <c r="BE195" s="322"/>
      <c r="BF195" s="322"/>
      <c r="BG195" s="322"/>
      <c r="BH195" s="322"/>
      <c r="BI195" s="322"/>
      <c r="BJ195" s="322"/>
      <c r="BK195" s="322"/>
      <c r="BL195" s="322"/>
      <c r="BM195" s="322"/>
      <c r="BN195" s="322"/>
      <c r="BO195" s="322"/>
    </row>
    <row r="196">
      <c r="A196" s="321" t="s">
        <v>668</v>
      </c>
      <c r="B196" s="341">
        <v>10451.91</v>
      </c>
      <c r="C196" s="342">
        <v>0.04803825</v>
      </c>
      <c r="D196" s="185">
        <f t="shared" si="1"/>
        <v>0.0004803825</v>
      </c>
      <c r="E196" s="321"/>
      <c r="H196" s="324"/>
      <c r="I196" s="324"/>
      <c r="J196" s="322"/>
      <c r="K196" s="322"/>
      <c r="L196" s="322"/>
      <c r="M196" s="322"/>
      <c r="N196" s="322"/>
      <c r="O196" s="322"/>
      <c r="P196" s="322"/>
      <c r="Q196" s="322"/>
      <c r="R196" s="322"/>
      <c r="S196" s="322"/>
      <c r="T196" s="322"/>
      <c r="U196" s="322"/>
      <c r="V196" s="322"/>
      <c r="W196" s="322"/>
      <c r="X196" s="322"/>
      <c r="Y196" s="322"/>
      <c r="Z196" s="322"/>
      <c r="AA196" s="322"/>
      <c r="AB196" s="322"/>
      <c r="AC196" s="322"/>
      <c r="AD196" s="322"/>
      <c r="AE196" s="322"/>
      <c r="AF196" s="322"/>
      <c r="AG196" s="322"/>
      <c r="AH196" s="322"/>
      <c r="AI196" s="322"/>
      <c r="AJ196" s="322"/>
      <c r="AK196" s="322"/>
      <c r="AL196" s="322"/>
      <c r="AM196" s="322"/>
      <c r="AN196" s="322"/>
      <c r="AO196" s="322"/>
      <c r="AP196" s="322"/>
      <c r="AQ196" s="322"/>
      <c r="AR196" s="322"/>
      <c r="AS196" s="322"/>
      <c r="AT196" s="322"/>
      <c r="AU196" s="322"/>
      <c r="AV196" s="322"/>
      <c r="AW196" s="322"/>
      <c r="AX196" s="322"/>
      <c r="AY196" s="322"/>
      <c r="AZ196" s="322"/>
      <c r="BA196" s="322"/>
      <c r="BB196" s="322"/>
      <c r="BC196" s="322"/>
      <c r="BD196" s="322"/>
      <c r="BE196" s="322"/>
      <c r="BF196" s="322"/>
      <c r="BG196" s="322"/>
      <c r="BH196" s="322"/>
      <c r="BI196" s="322"/>
      <c r="BJ196" s="322"/>
      <c r="BK196" s="322"/>
      <c r="BL196" s="322"/>
      <c r="BM196" s="322"/>
      <c r="BN196" s="322"/>
      <c r="BO196" s="322"/>
    </row>
    <row r="197">
      <c r="A197" s="321" t="s">
        <v>669</v>
      </c>
      <c r="B197" s="341">
        <v>39332.47</v>
      </c>
      <c r="C197" s="342">
        <v>0.04284763</v>
      </c>
      <c r="D197" s="185">
        <f t="shared" si="1"/>
        <v>0.0004284763</v>
      </c>
      <c r="E197" s="321"/>
      <c r="H197" s="324"/>
      <c r="I197" s="324"/>
      <c r="J197" s="324"/>
      <c r="K197" s="324"/>
      <c r="L197" s="324"/>
      <c r="M197" s="324"/>
      <c r="N197" s="324"/>
      <c r="O197" s="324"/>
      <c r="P197" s="324"/>
      <c r="Q197" s="324"/>
      <c r="R197" s="324"/>
      <c r="S197" s="324"/>
      <c r="T197" s="324"/>
      <c r="U197" s="324"/>
      <c r="V197" s="324"/>
      <c r="W197" s="324"/>
      <c r="X197" s="324"/>
      <c r="Y197" s="324"/>
      <c r="Z197" s="324"/>
      <c r="AA197" s="324"/>
      <c r="AB197" s="324"/>
      <c r="AC197" s="324"/>
      <c r="AD197" s="324"/>
      <c r="AE197" s="324"/>
      <c r="AF197" s="324"/>
      <c r="AG197" s="324"/>
      <c r="AH197" s="324"/>
      <c r="AI197" s="324"/>
      <c r="AJ197" s="324"/>
      <c r="AK197" s="322"/>
      <c r="AL197" s="322"/>
      <c r="AM197" s="322"/>
      <c r="AN197" s="322"/>
      <c r="AO197" s="322"/>
      <c r="AP197" s="322"/>
      <c r="AQ197" s="322"/>
      <c r="AR197" s="322"/>
      <c r="AS197" s="322"/>
      <c r="AT197" s="322"/>
      <c r="AU197" s="322"/>
      <c r="AV197" s="322"/>
      <c r="AW197" s="322"/>
      <c r="AX197" s="322"/>
      <c r="AY197" s="322"/>
      <c r="AZ197" s="322"/>
      <c r="BA197" s="322"/>
      <c r="BB197" s="322"/>
      <c r="BC197" s="322"/>
      <c r="BD197" s="322"/>
      <c r="BE197" s="322"/>
      <c r="BF197" s="322"/>
      <c r="BG197" s="322"/>
      <c r="BH197" s="322"/>
      <c r="BI197" s="322"/>
      <c r="BJ197" s="322"/>
      <c r="BK197" s="322"/>
      <c r="BL197" s="322"/>
      <c r="BM197" s="322"/>
      <c r="BN197" s="322"/>
      <c r="BO197" s="322"/>
    </row>
    <row r="198">
      <c r="A198" s="321" t="s">
        <v>74</v>
      </c>
      <c r="B198" s="341">
        <v>6323.534</v>
      </c>
      <c r="C198" s="342">
        <v>0.21301040000000002</v>
      </c>
      <c r="D198" s="185">
        <f t="shared" si="1"/>
        <v>0.002130104</v>
      </c>
      <c r="E198" s="321"/>
      <c r="H198" s="322"/>
      <c r="I198" s="322"/>
      <c r="J198" s="322"/>
      <c r="K198" s="322"/>
      <c r="L198" s="322"/>
      <c r="M198" s="322"/>
      <c r="N198" s="322"/>
      <c r="O198" s="322"/>
      <c r="P198" s="322"/>
      <c r="Q198" s="322"/>
      <c r="R198" s="322"/>
      <c r="S198" s="322"/>
      <c r="T198" s="322"/>
      <c r="U198" s="322"/>
      <c r="V198" s="322"/>
      <c r="W198" s="322"/>
      <c r="X198" s="322"/>
      <c r="Y198" s="322"/>
      <c r="Z198" s="322"/>
      <c r="AA198" s="322"/>
      <c r="AB198" s="322"/>
      <c r="AC198" s="322"/>
      <c r="AD198" s="322"/>
      <c r="AE198" s="322"/>
      <c r="AF198" s="322"/>
      <c r="AG198" s="322"/>
      <c r="AH198" s="322"/>
      <c r="AI198" s="322"/>
      <c r="AJ198" s="322"/>
      <c r="AK198" s="322"/>
      <c r="AL198" s="322"/>
      <c r="AM198" s="322"/>
      <c r="AN198" s="322"/>
      <c r="AO198" s="322"/>
      <c r="AP198" s="322"/>
      <c r="AQ198" s="322"/>
      <c r="AR198" s="322"/>
      <c r="AS198" s="322"/>
      <c r="AT198" s="322"/>
      <c r="AU198" s="322"/>
      <c r="AV198" s="322"/>
      <c r="AW198" s="322"/>
      <c r="AX198" s="322"/>
      <c r="AY198" s="322"/>
      <c r="AZ198" s="322"/>
      <c r="BA198" s="322"/>
      <c r="BB198" s="322"/>
      <c r="BC198" s="322"/>
      <c r="BD198" s="322"/>
      <c r="BE198" s="322"/>
      <c r="BF198" s="322"/>
      <c r="BG198" s="322"/>
      <c r="BH198" s="322"/>
      <c r="BI198" s="322"/>
      <c r="BJ198" s="322"/>
      <c r="BK198" s="322"/>
      <c r="BL198" s="322"/>
      <c r="BM198" s="322"/>
      <c r="BN198" s="322"/>
      <c r="BO198" s="322"/>
    </row>
    <row r="199">
      <c r="A199" s="321" t="s">
        <v>670</v>
      </c>
      <c r="B199" s="341">
        <v>7102.767</v>
      </c>
      <c r="C199" s="342">
        <v>0.09654700999999999</v>
      </c>
      <c r="D199" s="185">
        <f t="shared" si="1"/>
        <v>0.0009654701</v>
      </c>
      <c r="E199" s="321"/>
      <c r="H199" s="324"/>
      <c r="I199" s="324"/>
      <c r="J199" s="324"/>
      <c r="K199" s="324"/>
      <c r="L199" s="324"/>
      <c r="M199" s="324"/>
      <c r="N199" s="324"/>
      <c r="O199" s="324"/>
      <c r="P199" s="324"/>
      <c r="Q199" s="324"/>
      <c r="R199" s="324"/>
      <c r="S199" s="324"/>
      <c r="T199" s="324"/>
      <c r="U199" s="324"/>
      <c r="V199" s="324"/>
      <c r="W199" s="324"/>
      <c r="X199" s="324"/>
      <c r="Y199" s="324"/>
      <c r="Z199" s="324"/>
      <c r="AA199" s="324"/>
      <c r="AB199" s="324"/>
      <c r="AC199" s="324"/>
      <c r="AD199" s="324"/>
      <c r="AE199" s="324"/>
      <c r="AF199" s="324"/>
      <c r="AG199" s="322"/>
      <c r="AH199" s="322"/>
      <c r="AI199" s="322"/>
      <c r="AJ199" s="322"/>
      <c r="AK199" s="322"/>
      <c r="AL199" s="322"/>
      <c r="AM199" s="322"/>
      <c r="AN199" s="322"/>
      <c r="AO199" s="322"/>
      <c r="AP199" s="322"/>
      <c r="AQ199" s="322"/>
      <c r="AR199" s="322"/>
      <c r="AS199" s="322"/>
      <c r="AT199" s="322"/>
      <c r="AU199" s="322"/>
      <c r="AV199" s="322"/>
      <c r="AW199" s="322"/>
      <c r="AX199" s="322"/>
      <c r="AY199" s="322"/>
      <c r="AZ199" s="322"/>
      <c r="BA199" s="322"/>
      <c r="BB199" s="322"/>
      <c r="BC199" s="322"/>
      <c r="BD199" s="322"/>
      <c r="BE199" s="322"/>
      <c r="BF199" s="322"/>
      <c r="BG199" s="322"/>
      <c r="BH199" s="322"/>
      <c r="BI199" s="322"/>
      <c r="BJ199" s="322"/>
      <c r="BK199" s="322"/>
      <c r="BL199" s="322"/>
      <c r="BM199" s="322"/>
      <c r="BN199" s="322"/>
      <c r="BO199" s="322"/>
    </row>
    <row r="200">
      <c r="A200" s="321" t="s">
        <v>671</v>
      </c>
      <c r="B200" s="341">
        <v>5624.138</v>
      </c>
      <c r="C200" s="342">
        <v>0.2148831</v>
      </c>
      <c r="D200" s="185">
        <f t="shared" si="1"/>
        <v>0.002148831</v>
      </c>
      <c r="E200" s="321"/>
      <c r="H200" s="324"/>
      <c r="I200" s="324"/>
      <c r="J200" s="324"/>
      <c r="K200" s="324"/>
      <c r="L200" s="324"/>
      <c r="M200" s="324"/>
      <c r="N200" s="324"/>
      <c r="O200" s="324"/>
      <c r="P200" s="324"/>
      <c r="Q200" s="324"/>
      <c r="R200" s="324"/>
      <c r="S200" s="324"/>
      <c r="T200" s="324"/>
      <c r="U200" s="324"/>
      <c r="V200" s="324"/>
      <c r="W200" s="324"/>
      <c r="X200" s="324"/>
      <c r="Y200" s="324"/>
      <c r="Z200" s="324"/>
      <c r="AA200" s="324"/>
      <c r="AB200" s="324"/>
      <c r="AC200" s="324"/>
      <c r="AD200" s="324"/>
      <c r="AE200" s="324"/>
      <c r="AF200" s="324"/>
      <c r="AG200" s="324"/>
      <c r="AH200" s="324"/>
      <c r="AI200" s="324"/>
      <c r="AJ200" s="324"/>
      <c r="AK200" s="324"/>
      <c r="AL200" s="322"/>
      <c r="AM200" s="322"/>
      <c r="AN200" s="322"/>
      <c r="AO200" s="322"/>
      <c r="AP200" s="322"/>
      <c r="AQ200" s="322"/>
      <c r="AR200" s="322"/>
      <c r="AS200" s="322"/>
      <c r="AT200" s="322"/>
      <c r="AU200" s="322"/>
      <c r="AV200" s="322"/>
      <c r="AW200" s="322"/>
      <c r="AX200" s="322"/>
      <c r="AY200" s="322"/>
      <c r="AZ200" s="322"/>
      <c r="BA200" s="322"/>
      <c r="BB200" s="322"/>
      <c r="BC200" s="322"/>
      <c r="BD200" s="322"/>
      <c r="BE200" s="322"/>
      <c r="BF200" s="322"/>
      <c r="BG200" s="322"/>
      <c r="BH200" s="322"/>
      <c r="BI200" s="322"/>
      <c r="BJ200" s="322"/>
      <c r="BK200" s="322"/>
      <c r="BL200" s="322"/>
      <c r="BM200" s="322"/>
      <c r="BN200" s="322"/>
      <c r="BO200" s="322"/>
    </row>
    <row r="201">
      <c r="A201" s="321" t="s">
        <v>672</v>
      </c>
      <c r="B201" s="341">
        <v>33402.83</v>
      </c>
      <c r="C201" s="342">
        <v>0.01385149</v>
      </c>
      <c r="D201" s="185">
        <f t="shared" si="1"/>
        <v>0.0001385149</v>
      </c>
      <c r="E201" s="321"/>
      <c r="H201" s="324"/>
      <c r="I201" s="324"/>
      <c r="J201" s="324"/>
      <c r="K201" s="324"/>
      <c r="L201" s="324"/>
      <c r="M201" s="324"/>
      <c r="N201" s="324"/>
      <c r="O201" s="324"/>
      <c r="P201" s="324"/>
      <c r="Q201" s="324"/>
      <c r="R201" s="324"/>
      <c r="S201" s="324"/>
      <c r="T201" s="324"/>
      <c r="U201" s="324"/>
      <c r="V201" s="322"/>
      <c r="W201" s="322"/>
      <c r="X201" s="322"/>
      <c r="Y201" s="322"/>
      <c r="Z201" s="322"/>
      <c r="AA201" s="322"/>
      <c r="AB201" s="322"/>
      <c r="AC201" s="322"/>
      <c r="AD201" s="322"/>
      <c r="AE201" s="322"/>
      <c r="AF201" s="322"/>
      <c r="AG201" s="322"/>
      <c r="AH201" s="322"/>
      <c r="AI201" s="322"/>
      <c r="AJ201" s="322"/>
      <c r="AK201" s="322"/>
      <c r="AL201" s="322"/>
      <c r="AM201" s="322"/>
      <c r="AN201" s="322"/>
      <c r="AO201" s="322"/>
      <c r="AP201" s="322"/>
      <c r="AQ201" s="322"/>
      <c r="AR201" s="322"/>
      <c r="AS201" s="322"/>
      <c r="AT201" s="322"/>
      <c r="AU201" s="322"/>
      <c r="AV201" s="322"/>
      <c r="AW201" s="322"/>
      <c r="AX201" s="322"/>
      <c r="AY201" s="322"/>
      <c r="AZ201" s="322"/>
      <c r="BA201" s="322"/>
      <c r="BB201" s="322"/>
      <c r="BC201" s="322"/>
      <c r="BD201" s="322"/>
      <c r="BE201" s="322"/>
      <c r="BF201" s="322"/>
      <c r="BG201" s="322"/>
      <c r="BH201" s="322"/>
      <c r="BI201" s="322"/>
      <c r="BJ201" s="322"/>
      <c r="BK201" s="322"/>
      <c r="BL201" s="322"/>
      <c r="BM201" s="322"/>
      <c r="BN201" s="322"/>
      <c r="BO201" s="322"/>
    </row>
    <row r="202">
      <c r="A202" s="321" t="s">
        <v>673</v>
      </c>
      <c r="B202" s="341">
        <v>54033.16</v>
      </c>
      <c r="C202" s="342">
        <v>0.01595606</v>
      </c>
      <c r="D202" s="185">
        <f t="shared" si="1"/>
        <v>0.0001595606</v>
      </c>
      <c r="E202" s="321"/>
      <c r="H202" s="322"/>
      <c r="I202" s="322"/>
      <c r="J202" s="322"/>
      <c r="K202" s="322"/>
      <c r="L202" s="322"/>
      <c r="M202" s="322"/>
      <c r="N202" s="322"/>
      <c r="O202" s="322"/>
      <c r="P202" s="322"/>
      <c r="Q202" s="322"/>
      <c r="R202" s="322"/>
      <c r="S202" s="322"/>
      <c r="T202" s="322"/>
      <c r="U202" s="322"/>
      <c r="V202" s="322"/>
      <c r="W202" s="322"/>
      <c r="X202" s="322"/>
      <c r="Y202" s="322"/>
      <c r="Z202" s="322"/>
      <c r="AA202" s="322"/>
      <c r="AB202" s="322"/>
      <c r="AC202" s="322"/>
      <c r="AD202" s="322"/>
      <c r="AE202" s="322"/>
      <c r="AF202" s="322"/>
      <c r="AG202" s="322"/>
      <c r="AH202" s="322"/>
      <c r="AI202" s="322"/>
      <c r="AJ202" s="322"/>
      <c r="AK202" s="322"/>
      <c r="AL202" s="322"/>
      <c r="AM202" s="322"/>
      <c r="AN202" s="322"/>
      <c r="AO202" s="322"/>
      <c r="AP202" s="322"/>
      <c r="AQ202" s="322"/>
      <c r="AR202" s="322"/>
      <c r="AS202" s="322"/>
      <c r="AT202" s="322"/>
      <c r="AU202" s="322"/>
      <c r="AV202" s="322"/>
      <c r="AW202" s="322"/>
      <c r="AX202" s="322"/>
      <c r="AY202" s="322"/>
      <c r="AZ202" s="322"/>
      <c r="BA202" s="322"/>
      <c r="BB202" s="322"/>
      <c r="BC202" s="322"/>
      <c r="BD202" s="322"/>
      <c r="BE202" s="322"/>
      <c r="BF202" s="322"/>
      <c r="BG202" s="322"/>
      <c r="BH202" s="322"/>
      <c r="BI202" s="322"/>
      <c r="BJ202" s="322"/>
      <c r="BK202" s="322"/>
      <c r="BL202" s="322"/>
      <c r="BM202" s="322"/>
      <c r="BN202" s="322"/>
      <c r="BO202" s="322"/>
    </row>
    <row r="203">
      <c r="A203" s="321" t="s">
        <v>674</v>
      </c>
      <c r="B203" s="341">
        <v>9326.272</v>
      </c>
      <c r="C203" s="342">
        <v>0.1613906</v>
      </c>
      <c r="D203" s="185">
        <f t="shared" si="1"/>
        <v>0.001613906</v>
      </c>
      <c r="E203" s="321"/>
      <c r="H203" s="324"/>
      <c r="I203" s="324"/>
      <c r="J203" s="324"/>
      <c r="K203" s="324"/>
      <c r="L203" s="324"/>
      <c r="M203" s="324"/>
      <c r="N203" s="324"/>
      <c r="O203" s="324"/>
      <c r="P203" s="324"/>
      <c r="Q203" s="324"/>
      <c r="R203" s="324"/>
      <c r="S203" s="324"/>
      <c r="T203" s="324"/>
      <c r="U203" s="324"/>
      <c r="V203" s="324"/>
      <c r="W203" s="324"/>
      <c r="X203" s="324"/>
      <c r="Y203" s="324"/>
      <c r="Z203" s="324"/>
      <c r="AA203" s="324"/>
      <c r="AB203" s="324"/>
      <c r="AC203" s="324"/>
      <c r="AD203" s="324"/>
      <c r="AE203" s="324"/>
      <c r="AF203" s="324"/>
      <c r="AG203" s="324"/>
      <c r="AH203" s="322"/>
      <c r="AI203" s="322"/>
      <c r="AJ203" s="322"/>
      <c r="AK203" s="322"/>
      <c r="AL203" s="322"/>
      <c r="AM203" s="322"/>
      <c r="AN203" s="322"/>
      <c r="AO203" s="322"/>
      <c r="AP203" s="322"/>
      <c r="AQ203" s="322"/>
      <c r="AR203" s="322"/>
      <c r="AS203" s="322"/>
      <c r="AT203" s="322"/>
      <c r="AU203" s="322"/>
      <c r="AV203" s="322"/>
      <c r="AW203" s="322"/>
      <c r="AX203" s="322"/>
      <c r="AY203" s="322"/>
      <c r="AZ203" s="322"/>
      <c r="BA203" s="322"/>
      <c r="BB203" s="322"/>
      <c r="BC203" s="322"/>
      <c r="BD203" s="322"/>
      <c r="BE203" s="322"/>
      <c r="BF203" s="322"/>
      <c r="BG203" s="322"/>
      <c r="BH203" s="322"/>
      <c r="BI203" s="322"/>
      <c r="BJ203" s="322"/>
      <c r="BK203" s="322"/>
      <c r="BL203" s="322"/>
      <c r="BM203" s="322"/>
      <c r="BN203" s="322"/>
      <c r="BO203" s="322"/>
    </row>
    <row r="204">
      <c r="A204" s="321" t="s">
        <v>527</v>
      </c>
      <c r="B204" s="341">
        <v>1819.048</v>
      </c>
      <c r="C204" s="342">
        <v>0.3493445</v>
      </c>
      <c r="D204" s="185">
        <f t="shared" si="1"/>
        <v>0.003493445</v>
      </c>
      <c r="E204" s="321"/>
      <c r="H204" s="324"/>
      <c r="I204" s="324"/>
      <c r="J204" s="324"/>
      <c r="K204" s="324"/>
      <c r="L204" s="324"/>
      <c r="M204" s="324"/>
      <c r="N204" s="324"/>
      <c r="O204" s="324"/>
      <c r="P204" s="324"/>
      <c r="Q204" s="324"/>
      <c r="R204" s="324"/>
      <c r="S204" s="324"/>
      <c r="T204" s="324"/>
      <c r="U204" s="324"/>
      <c r="V204" s="324"/>
      <c r="W204" s="324"/>
      <c r="X204" s="324"/>
      <c r="Y204" s="324"/>
      <c r="Z204" s="324"/>
      <c r="AA204" s="324"/>
      <c r="AB204" s="324"/>
      <c r="AC204" s="324"/>
      <c r="AD204" s="324"/>
      <c r="AE204" s="324"/>
      <c r="AF204" s="324"/>
      <c r="AG204" s="324"/>
      <c r="AH204" s="324"/>
      <c r="AI204" s="324"/>
      <c r="AJ204" s="324"/>
      <c r="AK204" s="324"/>
      <c r="AL204" s="324"/>
      <c r="AM204" s="324"/>
      <c r="AN204" s="324"/>
      <c r="AO204" s="324"/>
      <c r="AP204" s="324"/>
      <c r="AQ204" s="324"/>
      <c r="AR204" s="324"/>
      <c r="AS204" s="322"/>
      <c r="AT204" s="322"/>
      <c r="AU204" s="322"/>
      <c r="AV204" s="322"/>
      <c r="AW204" s="322"/>
      <c r="AX204" s="322"/>
      <c r="AY204" s="322"/>
      <c r="AZ204" s="322"/>
      <c r="BA204" s="322"/>
      <c r="BB204" s="322"/>
      <c r="BC204" s="322"/>
      <c r="BD204" s="322"/>
      <c r="BE204" s="322"/>
      <c r="BF204" s="322"/>
      <c r="BG204" s="322"/>
      <c r="BH204" s="322"/>
      <c r="BI204" s="322"/>
      <c r="BJ204" s="322"/>
      <c r="BK204" s="322"/>
      <c r="BL204" s="322"/>
      <c r="BM204" s="322"/>
      <c r="BN204" s="322"/>
      <c r="BO204" s="322"/>
    </row>
    <row r="205">
      <c r="A205" s="321" t="s">
        <v>675</v>
      </c>
      <c r="B205" s="341">
        <v>19641.14</v>
      </c>
      <c r="C205" s="342">
        <v>0.01585141</v>
      </c>
      <c r="D205" s="185">
        <f t="shared" si="1"/>
        <v>0.0001585141</v>
      </c>
      <c r="E205" s="321"/>
      <c r="H205" s="324"/>
      <c r="I205" s="324"/>
      <c r="J205" s="324"/>
      <c r="K205" s="324"/>
      <c r="L205" s="324"/>
      <c r="M205" s="324"/>
      <c r="N205" s="324"/>
      <c r="O205" s="324"/>
      <c r="P205" s="324"/>
      <c r="Q205" s="324"/>
      <c r="R205" s="324"/>
      <c r="S205" s="324"/>
      <c r="T205" s="324"/>
      <c r="U205" s="324"/>
      <c r="V205" s="324"/>
      <c r="W205" s="324"/>
      <c r="X205" s="324"/>
      <c r="Y205" s="324"/>
      <c r="Z205" s="324"/>
      <c r="AA205" s="324"/>
      <c r="AB205" s="324"/>
      <c r="AC205" s="324"/>
      <c r="AD205" s="324"/>
      <c r="AE205" s="324"/>
      <c r="AF205" s="324"/>
      <c r="AG205" s="324"/>
      <c r="AH205" s="324"/>
      <c r="AI205" s="324"/>
      <c r="AJ205" s="324"/>
      <c r="AK205" s="324"/>
      <c r="AL205" s="324"/>
      <c r="AM205" s="324"/>
      <c r="AN205" s="324"/>
      <c r="AO205" s="324"/>
      <c r="AP205" s="324"/>
      <c r="AQ205" s="324"/>
      <c r="AR205" s="324"/>
      <c r="AS205" s="324"/>
      <c r="AT205" s="324"/>
      <c r="AU205" s="322"/>
      <c r="AV205" s="322"/>
      <c r="AW205" s="322"/>
      <c r="AX205" s="322"/>
      <c r="AY205" s="322"/>
      <c r="AZ205" s="322"/>
      <c r="BA205" s="322"/>
      <c r="BB205" s="322"/>
      <c r="BC205" s="322"/>
      <c r="BD205" s="322"/>
      <c r="BE205" s="322"/>
      <c r="BF205" s="322"/>
      <c r="BG205" s="322"/>
      <c r="BH205" s="322"/>
      <c r="BI205" s="322"/>
      <c r="BJ205" s="322"/>
      <c r="BK205" s="322"/>
      <c r="BL205" s="322"/>
      <c r="BM205" s="322"/>
      <c r="BN205" s="322"/>
      <c r="BO205" s="322"/>
    </row>
    <row r="206">
      <c r="A206" s="321" t="s">
        <v>676</v>
      </c>
      <c r="B206" s="341">
        <v>25128.7</v>
      </c>
      <c r="C206" s="342">
        <v>0.00919927</v>
      </c>
      <c r="D206" s="185">
        <f t="shared" si="1"/>
        <v>0.0000919927</v>
      </c>
      <c r="E206" s="321"/>
      <c r="H206" s="324"/>
      <c r="I206" s="324"/>
      <c r="J206" s="324"/>
      <c r="K206" s="324"/>
      <c r="L206" s="324"/>
      <c r="M206" s="324"/>
      <c r="N206" s="324"/>
      <c r="O206" s="324"/>
      <c r="P206" s="324"/>
      <c r="Q206" s="324"/>
      <c r="R206" s="324"/>
      <c r="S206" s="324"/>
      <c r="T206" s="324"/>
      <c r="U206" s="324"/>
      <c r="V206" s="324"/>
      <c r="W206" s="324"/>
      <c r="X206" s="324"/>
      <c r="Y206" s="324"/>
      <c r="Z206" s="324"/>
      <c r="AA206" s="324"/>
      <c r="AB206" s="324"/>
      <c r="AC206" s="324"/>
      <c r="AD206" s="324"/>
      <c r="AE206" s="324"/>
      <c r="AF206" s="324"/>
      <c r="AG206" s="324"/>
      <c r="AH206" s="324"/>
      <c r="AI206" s="324"/>
      <c r="AJ206" s="324"/>
      <c r="AK206" s="324"/>
      <c r="AL206" s="324"/>
      <c r="AM206" s="324"/>
      <c r="AN206" s="324"/>
      <c r="AO206" s="324"/>
      <c r="AP206" s="324"/>
      <c r="AQ206" s="324"/>
      <c r="AR206" s="324"/>
      <c r="AS206" s="324"/>
      <c r="AT206" s="324"/>
      <c r="AU206" s="324"/>
      <c r="AV206" s="324"/>
      <c r="AW206" s="324"/>
      <c r="AX206" s="324"/>
      <c r="AY206" s="322"/>
      <c r="AZ206" s="322"/>
      <c r="BA206" s="322"/>
      <c r="BB206" s="322"/>
      <c r="BC206" s="322"/>
      <c r="BD206" s="322"/>
      <c r="BE206" s="322"/>
      <c r="BF206" s="322"/>
      <c r="BG206" s="322"/>
      <c r="BH206" s="322"/>
      <c r="BI206" s="322"/>
      <c r="BJ206" s="322"/>
      <c r="BK206" s="322"/>
      <c r="BL206" s="322"/>
      <c r="BM206" s="322"/>
      <c r="BN206" s="322"/>
      <c r="BO206" s="322"/>
    </row>
    <row r="207">
      <c r="A207" s="321" t="s">
        <v>677</v>
      </c>
      <c r="B207" s="341">
        <v>14455.3</v>
      </c>
      <c r="C207" s="342">
        <v>0.08281013</v>
      </c>
      <c r="D207" s="185">
        <f t="shared" si="1"/>
        <v>0.0008281013</v>
      </c>
      <c r="E207" s="321"/>
      <c r="H207" s="322"/>
      <c r="I207" s="322"/>
      <c r="J207" s="322"/>
      <c r="K207" s="322"/>
      <c r="L207" s="322"/>
      <c r="M207" s="322"/>
      <c r="N207" s="322"/>
      <c r="O207" s="322"/>
      <c r="P207" s="322"/>
      <c r="Q207" s="322"/>
      <c r="R207" s="322"/>
      <c r="S207" s="322"/>
      <c r="T207" s="322"/>
      <c r="U207" s="322"/>
      <c r="V207" s="322"/>
      <c r="W207" s="322"/>
      <c r="X207" s="322"/>
      <c r="Y207" s="322"/>
      <c r="Z207" s="322"/>
      <c r="AA207" s="322"/>
      <c r="AB207" s="322"/>
      <c r="AC207" s="322"/>
      <c r="AD207" s="322"/>
      <c r="AE207" s="322"/>
      <c r="AF207" s="322"/>
      <c r="AG207" s="322"/>
      <c r="AH207" s="322"/>
      <c r="AI207" s="322"/>
      <c r="AJ207" s="322"/>
      <c r="AK207" s="322"/>
      <c r="AL207" s="322"/>
      <c r="AM207" s="322"/>
      <c r="AN207" s="322"/>
      <c r="AO207" s="322"/>
      <c r="AP207" s="322"/>
      <c r="AQ207" s="322"/>
      <c r="AR207" s="322"/>
      <c r="AS207" s="322"/>
      <c r="AT207" s="322"/>
      <c r="AU207" s="322"/>
      <c r="AV207" s="322"/>
      <c r="AW207" s="322"/>
      <c r="AX207" s="322"/>
      <c r="AY207" s="322"/>
      <c r="AZ207" s="322"/>
      <c r="BA207" s="322"/>
      <c r="BB207" s="322"/>
      <c r="BC207" s="322"/>
      <c r="BD207" s="322"/>
      <c r="BE207" s="322"/>
      <c r="BF207" s="322"/>
      <c r="BG207" s="322"/>
      <c r="BH207" s="322"/>
      <c r="BI207" s="322"/>
      <c r="BJ207" s="322"/>
      <c r="BK207" s="322"/>
      <c r="BL207" s="322"/>
      <c r="BM207" s="322"/>
      <c r="BN207" s="322"/>
      <c r="BO207" s="322"/>
    </row>
    <row r="208">
      <c r="A208" s="321" t="s">
        <v>337</v>
      </c>
      <c r="B208" s="341">
        <v>2793.862</v>
      </c>
      <c r="C208" s="342">
        <v>0.06344361</v>
      </c>
      <c r="D208" s="185">
        <f t="shared" si="1"/>
        <v>0.0006344361</v>
      </c>
      <c r="E208" s="321"/>
      <c r="H208" s="322"/>
      <c r="I208" s="322"/>
      <c r="J208" s="322"/>
      <c r="K208" s="322"/>
      <c r="L208" s="322"/>
      <c r="M208" s="322"/>
      <c r="N208" s="322"/>
      <c r="O208" s="322"/>
      <c r="P208" s="322"/>
      <c r="Q208" s="322"/>
      <c r="R208" s="322"/>
      <c r="S208" s="322"/>
      <c r="T208" s="322"/>
      <c r="U208" s="322"/>
      <c r="V208" s="322"/>
      <c r="W208" s="322"/>
      <c r="X208" s="322"/>
      <c r="Y208" s="322"/>
      <c r="Z208" s="322"/>
      <c r="AA208" s="322"/>
      <c r="AB208" s="322"/>
      <c r="AC208" s="322"/>
      <c r="AD208" s="322"/>
      <c r="AE208" s="322"/>
      <c r="AF208" s="322"/>
      <c r="AG208" s="322"/>
      <c r="AH208" s="322"/>
      <c r="AI208" s="322"/>
      <c r="AJ208" s="322"/>
      <c r="AK208" s="322"/>
      <c r="AL208" s="322"/>
      <c r="AM208" s="322"/>
      <c r="AN208" s="322"/>
      <c r="AO208" s="322"/>
      <c r="AP208" s="322"/>
      <c r="AQ208" s="322"/>
      <c r="AR208" s="322"/>
      <c r="AS208" s="322"/>
      <c r="AT208" s="322"/>
      <c r="AU208" s="322"/>
      <c r="AV208" s="322"/>
      <c r="AW208" s="322"/>
      <c r="AX208" s="322"/>
      <c r="AY208" s="322"/>
      <c r="AZ208" s="322"/>
      <c r="BA208" s="322"/>
      <c r="BB208" s="322"/>
      <c r="BC208" s="322"/>
      <c r="BD208" s="322"/>
      <c r="BE208" s="322"/>
      <c r="BF208" s="322"/>
      <c r="BG208" s="322"/>
      <c r="BH208" s="322"/>
      <c r="BI208" s="322"/>
      <c r="BJ208" s="322"/>
      <c r="BK208" s="322"/>
      <c r="BL208" s="322"/>
      <c r="BM208" s="322"/>
      <c r="BN208" s="322"/>
      <c r="BO208" s="322"/>
    </row>
    <row r="209">
      <c r="A209" s="321" t="s">
        <v>678</v>
      </c>
      <c r="B209" s="341">
        <v>51877.01</v>
      </c>
      <c r="C209" s="342">
        <v>0.02986258</v>
      </c>
      <c r="D209" s="185">
        <f t="shared" si="1"/>
        <v>0.0002986258</v>
      </c>
      <c r="E209" s="321"/>
      <c r="H209" s="324"/>
      <c r="I209" s="324"/>
      <c r="J209" s="324"/>
      <c r="K209" s="324"/>
      <c r="L209" s="324"/>
      <c r="M209" s="324"/>
      <c r="N209" s="324"/>
      <c r="O209" s="324"/>
      <c r="P209" s="324"/>
      <c r="Q209" s="324"/>
      <c r="R209" s="324"/>
      <c r="S209" s="324"/>
      <c r="T209" s="324"/>
      <c r="U209" s="324"/>
      <c r="V209" s="324"/>
      <c r="W209" s="324"/>
      <c r="X209" s="324"/>
      <c r="Y209" s="324"/>
      <c r="Z209" s="324"/>
      <c r="AA209" s="324"/>
      <c r="AB209" s="324"/>
      <c r="AC209" s="324"/>
      <c r="AD209" s="324"/>
      <c r="AE209" s="324"/>
      <c r="AF209" s="324"/>
      <c r="AG209" s="324"/>
      <c r="AH209" s="324"/>
      <c r="AI209" s="324"/>
      <c r="AJ209" s="324"/>
      <c r="AK209" s="324"/>
      <c r="AL209" s="324"/>
      <c r="AM209" s="324"/>
      <c r="AN209" s="322"/>
      <c r="AO209" s="322"/>
      <c r="AP209" s="322"/>
      <c r="AQ209" s="322"/>
      <c r="AR209" s="322"/>
      <c r="AS209" s="322"/>
      <c r="AT209" s="322"/>
      <c r="AU209" s="322"/>
      <c r="AV209" s="322"/>
      <c r="AW209" s="322"/>
      <c r="AX209" s="322"/>
      <c r="AY209" s="322"/>
      <c r="AZ209" s="322"/>
      <c r="BA209" s="322"/>
      <c r="BB209" s="322"/>
      <c r="BC209" s="322"/>
      <c r="BD209" s="322"/>
      <c r="BE209" s="322"/>
      <c r="BF209" s="322"/>
      <c r="BG209" s="322"/>
      <c r="BH209" s="322"/>
      <c r="BI209" s="322"/>
      <c r="BJ209" s="322"/>
      <c r="BK209" s="322"/>
      <c r="BL209" s="322"/>
      <c r="BM209" s="322"/>
      <c r="BN209" s="322"/>
      <c r="BO209" s="322"/>
    </row>
    <row r="210">
      <c r="A210" s="321" t="s">
        <v>679</v>
      </c>
      <c r="B210" s="341">
        <v>143341.5</v>
      </c>
      <c r="C210" s="342">
        <v>0.00229009</v>
      </c>
      <c r="D210" s="185">
        <f t="shared" si="1"/>
        <v>0.0000229009</v>
      </c>
      <c r="E210" s="321"/>
      <c r="H210" s="324"/>
      <c r="I210" s="324"/>
      <c r="J210" s="324"/>
      <c r="K210" s="324"/>
      <c r="L210" s="324"/>
      <c r="M210" s="324"/>
      <c r="N210" s="324"/>
      <c r="O210" s="324"/>
      <c r="P210" s="324"/>
      <c r="Q210" s="324"/>
      <c r="R210" s="324"/>
      <c r="S210" s="324"/>
      <c r="T210" s="324"/>
      <c r="U210" s="324"/>
      <c r="V210" s="324"/>
      <c r="W210" s="324"/>
      <c r="X210" s="324"/>
      <c r="Y210" s="324"/>
      <c r="Z210" s="324"/>
      <c r="AA210" s="324"/>
      <c r="AB210" s="324"/>
      <c r="AC210" s="324"/>
      <c r="AD210" s="324"/>
      <c r="AE210" s="324"/>
      <c r="AF210" s="324"/>
      <c r="AG210" s="324"/>
      <c r="AH210" s="324"/>
      <c r="AI210" s="324"/>
      <c r="AJ210" s="324"/>
      <c r="AK210" s="324"/>
      <c r="AL210" s="324"/>
      <c r="AM210" s="324"/>
      <c r="AN210" s="322"/>
      <c r="AO210" s="322"/>
      <c r="AP210" s="322"/>
      <c r="AQ210" s="322"/>
      <c r="AR210" s="322"/>
      <c r="AS210" s="322"/>
      <c r="AT210" s="322"/>
      <c r="AU210" s="322"/>
      <c r="AV210" s="322"/>
      <c r="AW210" s="322"/>
      <c r="AX210" s="322"/>
      <c r="AY210" s="322"/>
      <c r="AZ210" s="322"/>
      <c r="BA210" s="322"/>
      <c r="BB210" s="322"/>
      <c r="BC210" s="322"/>
      <c r="BD210" s="322"/>
      <c r="BE210" s="322"/>
      <c r="BF210" s="322"/>
      <c r="BG210" s="322"/>
      <c r="BH210" s="322"/>
      <c r="BI210" s="322"/>
      <c r="BJ210" s="322"/>
      <c r="BK210" s="322"/>
      <c r="BL210" s="322"/>
      <c r="BM210" s="322"/>
      <c r="BN210" s="322"/>
      <c r="BO210" s="322"/>
    </row>
    <row r="211">
      <c r="A211" s="321" t="s">
        <v>680</v>
      </c>
      <c r="B211" s="341">
        <v>42501.03</v>
      </c>
      <c r="C211" s="342">
        <v>0.041673039999999995</v>
      </c>
      <c r="D211" s="185">
        <f t="shared" si="1"/>
        <v>0.0004167304</v>
      </c>
      <c r="E211" s="321"/>
      <c r="H211" s="324"/>
      <c r="I211" s="324"/>
      <c r="J211" s="324"/>
      <c r="K211" s="324"/>
      <c r="L211" s="324"/>
      <c r="M211" s="324"/>
      <c r="N211" s="324"/>
      <c r="O211" s="324"/>
      <c r="P211" s="324"/>
      <c r="Q211" s="324"/>
      <c r="R211" s="324"/>
      <c r="S211" s="324"/>
      <c r="T211" s="324"/>
      <c r="U211" s="324"/>
      <c r="V211" s="324"/>
      <c r="W211" s="324"/>
      <c r="X211" s="324"/>
      <c r="Y211" s="324"/>
      <c r="Z211" s="324"/>
      <c r="AA211" s="324"/>
      <c r="AB211" s="324"/>
      <c r="AC211" s="324"/>
      <c r="AD211" s="324"/>
      <c r="AE211" s="324"/>
      <c r="AF211" s="324"/>
      <c r="AG211" s="324"/>
      <c r="AH211" s="324"/>
      <c r="AI211" s="324"/>
      <c r="AJ211" s="324"/>
      <c r="AK211" s="324"/>
      <c r="AL211" s="324"/>
      <c r="AM211" s="324"/>
      <c r="AN211" s="322"/>
      <c r="AO211" s="322"/>
      <c r="AP211" s="322"/>
      <c r="AQ211" s="322"/>
      <c r="AR211" s="322"/>
      <c r="AS211" s="322"/>
      <c r="AT211" s="322"/>
      <c r="AU211" s="322"/>
      <c r="AV211" s="322"/>
      <c r="AW211" s="322"/>
      <c r="AX211" s="322"/>
      <c r="AY211" s="322"/>
      <c r="AZ211" s="322"/>
      <c r="BA211" s="322"/>
      <c r="BB211" s="322"/>
      <c r="BC211" s="322"/>
      <c r="BD211" s="322"/>
      <c r="BE211" s="322"/>
      <c r="BF211" s="322"/>
      <c r="BG211" s="322"/>
      <c r="BH211" s="322"/>
      <c r="BI211" s="322"/>
      <c r="BJ211" s="322"/>
      <c r="BK211" s="322"/>
      <c r="BL211" s="322"/>
      <c r="BM211" s="322"/>
      <c r="BN211" s="322"/>
      <c r="BO211" s="322"/>
    </row>
    <row r="212">
      <c r="A212" s="321" t="s">
        <v>681</v>
      </c>
      <c r="B212" s="341">
        <v>9743.309</v>
      </c>
      <c r="C212" s="342">
        <v>0.1196484</v>
      </c>
      <c r="D212" s="185">
        <f t="shared" si="1"/>
        <v>0.001196484</v>
      </c>
      <c r="E212" s="321"/>
      <c r="H212" s="324"/>
      <c r="I212" s="324"/>
      <c r="J212" s="322"/>
      <c r="K212" s="322"/>
      <c r="L212" s="322"/>
      <c r="M212" s="322"/>
      <c r="N212" s="322"/>
      <c r="O212" s="322"/>
      <c r="P212" s="322"/>
      <c r="Q212" s="322"/>
      <c r="R212" s="322"/>
      <c r="S212" s="322"/>
      <c r="T212" s="322"/>
      <c r="U212" s="322"/>
      <c r="V212" s="322"/>
      <c r="W212" s="322"/>
      <c r="X212" s="322"/>
      <c r="Y212" s="322"/>
      <c r="Z212" s="322"/>
      <c r="AA212" s="322"/>
      <c r="AB212" s="322"/>
      <c r="AC212" s="322"/>
      <c r="AD212" s="322"/>
      <c r="AE212" s="322"/>
      <c r="AF212" s="322"/>
      <c r="AG212" s="322"/>
      <c r="AH212" s="322"/>
      <c r="AI212" s="322"/>
      <c r="AJ212" s="322"/>
      <c r="AK212" s="322"/>
      <c r="AL212" s="322"/>
      <c r="AM212" s="322"/>
      <c r="AN212" s="322"/>
      <c r="AO212" s="322"/>
      <c r="AP212" s="322"/>
      <c r="AQ212" s="322"/>
      <c r="AR212" s="322"/>
      <c r="AS212" s="322"/>
      <c r="AT212" s="322"/>
      <c r="AU212" s="322"/>
      <c r="AV212" s="322"/>
      <c r="AW212" s="322"/>
      <c r="AX212" s="322"/>
      <c r="AY212" s="322"/>
      <c r="AZ212" s="322"/>
      <c r="BA212" s="322"/>
      <c r="BB212" s="322"/>
      <c r="BC212" s="322"/>
      <c r="BD212" s="322"/>
      <c r="BE212" s="322"/>
      <c r="BF212" s="322"/>
      <c r="BG212" s="322"/>
      <c r="BH212" s="322"/>
      <c r="BI212" s="322"/>
      <c r="BJ212" s="322"/>
      <c r="BK212" s="322"/>
      <c r="BL212" s="322"/>
      <c r="BM212" s="322"/>
      <c r="BN212" s="322"/>
      <c r="BO212" s="322"/>
    </row>
    <row r="213">
      <c r="A213" s="321" t="s">
        <v>682</v>
      </c>
      <c r="B213" s="341">
        <v>17384.38</v>
      </c>
      <c r="C213" s="342">
        <v>0.07619443000000001</v>
      </c>
      <c r="D213" s="185">
        <f t="shared" si="1"/>
        <v>0.0007619443</v>
      </c>
      <c r="E213" s="321"/>
      <c r="H213" s="324"/>
      <c r="I213" s="324"/>
      <c r="J213" s="324"/>
      <c r="K213" s="324"/>
      <c r="L213" s="324"/>
      <c r="M213" s="324"/>
      <c r="N213" s="324"/>
      <c r="O213" s="324"/>
      <c r="P213" s="324"/>
      <c r="Q213" s="324"/>
      <c r="R213" s="324"/>
      <c r="S213" s="324"/>
      <c r="T213" s="324"/>
      <c r="U213" s="324"/>
      <c r="V213" s="324"/>
      <c r="W213" s="324"/>
      <c r="X213" s="324"/>
      <c r="Y213" s="324"/>
      <c r="Z213" s="324"/>
      <c r="AA213" s="324"/>
      <c r="AB213" s="324"/>
      <c r="AC213" s="324"/>
      <c r="AD213" s="324"/>
      <c r="AE213" s="324"/>
      <c r="AF213" s="324"/>
      <c r="AG213" s="324"/>
      <c r="AH213" s="324"/>
      <c r="AI213" s="324"/>
      <c r="AJ213" s="324"/>
      <c r="AK213" s="324"/>
      <c r="AL213" s="324"/>
      <c r="AM213" s="324"/>
      <c r="AN213" s="322"/>
      <c r="AO213" s="322"/>
      <c r="AP213" s="322"/>
      <c r="AQ213" s="322"/>
      <c r="AR213" s="322"/>
      <c r="AS213" s="322"/>
      <c r="AT213" s="322"/>
      <c r="AU213" s="322"/>
      <c r="AV213" s="322"/>
      <c r="AW213" s="322"/>
      <c r="AX213" s="322"/>
      <c r="AY213" s="322"/>
      <c r="AZ213" s="322"/>
      <c r="BA213" s="322"/>
      <c r="BB213" s="322"/>
      <c r="BC213" s="322"/>
      <c r="BD213" s="322"/>
      <c r="BE213" s="322"/>
      <c r="BF213" s="322"/>
      <c r="BG213" s="322"/>
      <c r="BH213" s="322"/>
      <c r="BI213" s="322"/>
      <c r="BJ213" s="322"/>
      <c r="BK213" s="322"/>
      <c r="BL213" s="322"/>
      <c r="BM213" s="322"/>
      <c r="BN213" s="322"/>
      <c r="BO213" s="322"/>
    </row>
    <row r="214">
      <c r="A214" s="321" t="s">
        <v>338</v>
      </c>
      <c r="B214" s="341">
        <v>1875.114</v>
      </c>
      <c r="C214" s="342">
        <v>0.21060099999999998</v>
      </c>
      <c r="D214" s="185">
        <f t="shared" si="1"/>
        <v>0.00210601</v>
      </c>
      <c r="E214" s="321"/>
      <c r="H214" s="324"/>
      <c r="I214" s="324"/>
      <c r="J214" s="324"/>
      <c r="K214" s="322"/>
      <c r="L214" s="322"/>
      <c r="M214" s="322"/>
      <c r="N214" s="322"/>
      <c r="O214" s="322"/>
      <c r="P214" s="322"/>
      <c r="Q214" s="322"/>
      <c r="R214" s="322"/>
      <c r="S214" s="322"/>
      <c r="T214" s="322"/>
      <c r="U214" s="322"/>
      <c r="V214" s="322"/>
      <c r="W214" s="322"/>
      <c r="X214" s="322"/>
      <c r="Y214" s="324"/>
      <c r="Z214" s="324"/>
      <c r="AA214" s="324"/>
      <c r="AB214" s="324"/>
      <c r="AC214" s="324"/>
      <c r="AD214" s="324"/>
      <c r="AE214" s="324"/>
      <c r="AF214" s="324"/>
      <c r="AG214" s="324"/>
      <c r="AH214" s="324"/>
      <c r="AI214" s="324"/>
      <c r="AJ214" s="324"/>
      <c r="AK214" s="324"/>
      <c r="AL214" s="324"/>
      <c r="AM214" s="324"/>
      <c r="AN214" s="322"/>
      <c r="AO214" s="322"/>
      <c r="AP214" s="322"/>
      <c r="AQ214" s="322"/>
      <c r="AR214" s="322"/>
      <c r="AS214" s="322"/>
      <c r="AT214" s="322"/>
      <c r="AU214" s="322"/>
      <c r="AV214" s="322"/>
      <c r="AW214" s="322"/>
      <c r="AX214" s="322"/>
      <c r="AY214" s="322"/>
      <c r="AZ214" s="322"/>
      <c r="BA214" s="322"/>
      <c r="BB214" s="322"/>
      <c r="BC214" s="322"/>
      <c r="BD214" s="322"/>
      <c r="BE214" s="322"/>
      <c r="BF214" s="322"/>
      <c r="BG214" s="322"/>
      <c r="BH214" s="322"/>
      <c r="BI214" s="322"/>
      <c r="BJ214" s="322"/>
      <c r="BK214" s="322"/>
      <c r="BL214" s="322"/>
      <c r="BM214" s="322"/>
      <c r="BN214" s="322"/>
      <c r="BO214" s="322"/>
    </row>
    <row r="215">
      <c r="A215" s="321" t="s">
        <v>683</v>
      </c>
      <c r="B215" s="341">
        <v>25601.63</v>
      </c>
      <c r="C215" s="342">
        <v>0.03962656</v>
      </c>
      <c r="D215" s="185">
        <f t="shared" si="1"/>
        <v>0.0003962656</v>
      </c>
      <c r="E215" s="321"/>
      <c r="H215" s="324"/>
      <c r="I215" s="324"/>
      <c r="J215" s="322"/>
      <c r="K215" s="322"/>
      <c r="L215" s="322"/>
      <c r="M215" s="322"/>
      <c r="N215" s="322"/>
      <c r="O215" s="322"/>
      <c r="P215" s="322"/>
      <c r="Q215" s="322"/>
      <c r="R215" s="322"/>
      <c r="S215" s="322"/>
      <c r="T215" s="322"/>
      <c r="U215" s="322"/>
      <c r="V215" s="322"/>
      <c r="W215" s="322"/>
      <c r="X215" s="322"/>
      <c r="Y215" s="322"/>
      <c r="Z215" s="322"/>
      <c r="AA215" s="322"/>
      <c r="AB215" s="322"/>
      <c r="AC215" s="322"/>
      <c r="AD215" s="322"/>
      <c r="AE215" s="322"/>
      <c r="AF215" s="322"/>
      <c r="AG215" s="322"/>
      <c r="AH215" s="322"/>
      <c r="AI215" s="322"/>
      <c r="AJ215" s="322"/>
      <c r="AK215" s="322"/>
      <c r="AL215" s="322"/>
      <c r="AM215" s="322"/>
      <c r="AN215" s="322"/>
      <c r="AO215" s="322"/>
      <c r="AP215" s="322"/>
      <c r="AQ215" s="322"/>
      <c r="AR215" s="322"/>
      <c r="AS215" s="322"/>
      <c r="AT215" s="322"/>
      <c r="AU215" s="322"/>
      <c r="AV215" s="322"/>
      <c r="AW215" s="322"/>
      <c r="AX215" s="322"/>
      <c r="AY215" s="322"/>
      <c r="AZ215" s="322"/>
      <c r="BA215" s="322"/>
      <c r="BB215" s="322"/>
      <c r="BC215" s="322"/>
      <c r="BD215" s="322"/>
      <c r="BE215" s="322"/>
      <c r="BF215" s="322"/>
      <c r="BG215" s="322"/>
      <c r="BH215" s="322"/>
      <c r="BI215" s="322"/>
      <c r="BJ215" s="322"/>
      <c r="BK215" s="322"/>
      <c r="BL215" s="322"/>
      <c r="BM215" s="322"/>
      <c r="BN215" s="322"/>
      <c r="BO215" s="322"/>
    </row>
    <row r="216">
      <c r="A216" s="321" t="s">
        <v>684</v>
      </c>
      <c r="B216" s="341">
        <v>24872.74</v>
      </c>
      <c r="C216" s="342">
        <v>0.06984562</v>
      </c>
      <c r="D216" s="185">
        <f t="shared" si="1"/>
        <v>0.0006984562</v>
      </c>
      <c r="E216" s="321"/>
      <c r="H216" s="324"/>
      <c r="I216" s="324"/>
      <c r="J216" s="324"/>
      <c r="K216" s="324"/>
      <c r="L216" s="324"/>
      <c r="M216" s="324"/>
      <c r="N216" s="324"/>
      <c r="O216" s="324"/>
      <c r="P216" s="324"/>
      <c r="Q216" s="324"/>
      <c r="R216" s="324"/>
      <c r="S216" s="324"/>
      <c r="T216" s="324"/>
      <c r="U216" s="324"/>
      <c r="V216" s="324"/>
      <c r="W216" s="324"/>
      <c r="X216" s="324"/>
      <c r="Y216" s="324"/>
      <c r="Z216" s="324"/>
      <c r="AA216" s="324"/>
      <c r="AB216" s="324"/>
      <c r="AC216" s="324"/>
      <c r="AD216" s="324"/>
      <c r="AE216" s="324"/>
      <c r="AF216" s="324"/>
      <c r="AG216" s="324"/>
      <c r="AH216" s="324"/>
      <c r="AI216" s="322"/>
      <c r="AJ216" s="322"/>
      <c r="AK216" s="322"/>
      <c r="AL216" s="322"/>
      <c r="AM216" s="322"/>
      <c r="AN216" s="322"/>
      <c r="AO216" s="322"/>
      <c r="AP216" s="322"/>
      <c r="AQ216" s="322"/>
      <c r="AR216" s="322"/>
      <c r="AS216" s="322"/>
      <c r="AT216" s="322"/>
      <c r="AU216" s="322"/>
      <c r="AV216" s="322"/>
      <c r="AW216" s="322"/>
      <c r="AX216" s="322"/>
      <c r="AY216" s="322"/>
      <c r="AZ216" s="322"/>
      <c r="BA216" s="322"/>
      <c r="BB216" s="322"/>
      <c r="BC216" s="322"/>
      <c r="BD216" s="322"/>
      <c r="BE216" s="322"/>
      <c r="BF216" s="322"/>
      <c r="BG216" s="322"/>
      <c r="BH216" s="322"/>
      <c r="BI216" s="322"/>
      <c r="BJ216" s="322"/>
      <c r="BK216" s="322"/>
      <c r="BL216" s="322"/>
      <c r="BM216" s="322"/>
      <c r="BN216" s="322"/>
      <c r="BO216" s="322"/>
    </row>
    <row r="217">
      <c r="A217" s="321" t="s">
        <v>536</v>
      </c>
      <c r="B217" s="341">
        <v>2725.956</v>
      </c>
      <c r="C217" s="342">
        <v>0.36780630000000003</v>
      </c>
      <c r="D217" s="185">
        <f t="shared" si="1"/>
        <v>0.003678063</v>
      </c>
      <c r="E217" s="321"/>
      <c r="H217" s="324"/>
      <c r="I217" s="324"/>
      <c r="J217" s="324"/>
      <c r="K217" s="324"/>
      <c r="L217" s="322"/>
      <c r="M217" s="322"/>
      <c r="N217" s="322"/>
      <c r="O217" s="322"/>
      <c r="P217" s="322"/>
      <c r="Q217" s="322"/>
      <c r="R217" s="322"/>
      <c r="S217" s="322"/>
      <c r="T217" s="322"/>
      <c r="U217" s="322"/>
      <c r="V217" s="322"/>
      <c r="W217" s="322"/>
      <c r="X217" s="322"/>
      <c r="Y217" s="322"/>
      <c r="Z217" s="322"/>
      <c r="AA217" s="322"/>
      <c r="AB217" s="322"/>
      <c r="AC217" s="322"/>
      <c r="AD217" s="322"/>
      <c r="AE217" s="322"/>
      <c r="AF217" s="322"/>
      <c r="AG217" s="322"/>
      <c r="AH217" s="322"/>
      <c r="AI217" s="322"/>
      <c r="AJ217" s="322"/>
      <c r="AK217" s="322"/>
      <c r="AL217" s="322"/>
      <c r="AM217" s="322"/>
      <c r="AN217" s="322"/>
      <c r="AO217" s="322"/>
      <c r="AP217" s="322"/>
      <c r="AQ217" s="322"/>
      <c r="AR217" s="322"/>
      <c r="AS217" s="322"/>
      <c r="AT217" s="322"/>
      <c r="AU217" s="322"/>
      <c r="AV217" s="322"/>
      <c r="AW217" s="322"/>
      <c r="AX217" s="322"/>
      <c r="AY217" s="322"/>
      <c r="AZ217" s="322"/>
      <c r="BA217" s="322"/>
      <c r="BB217" s="322"/>
      <c r="BC217" s="322"/>
      <c r="BD217" s="322"/>
      <c r="BE217" s="322"/>
      <c r="BF217" s="322"/>
      <c r="BG217" s="322"/>
      <c r="BH217" s="322"/>
      <c r="BI217" s="322"/>
      <c r="BJ217" s="322"/>
      <c r="BK217" s="322"/>
      <c r="BL217" s="322"/>
      <c r="BM217" s="322"/>
      <c r="BN217" s="322"/>
      <c r="BO217" s="322"/>
    </row>
    <row r="218">
      <c r="A218" s="321" t="s">
        <v>685</v>
      </c>
      <c r="B218" s="341">
        <v>62445.68</v>
      </c>
      <c r="C218" s="342">
        <v>0.00729592</v>
      </c>
      <c r="D218" s="185">
        <f t="shared" si="1"/>
        <v>0.0000729592</v>
      </c>
      <c r="E218" s="321"/>
      <c r="H218" s="324"/>
      <c r="I218" s="324"/>
      <c r="J218" s="324"/>
      <c r="K218" s="324"/>
      <c r="L218" s="324"/>
      <c r="M218" s="324"/>
      <c r="N218" s="324"/>
      <c r="O218" s="322"/>
      <c r="P218" s="322"/>
      <c r="Q218" s="322"/>
      <c r="R218" s="322"/>
      <c r="S218" s="322"/>
      <c r="T218" s="322"/>
      <c r="U218" s="322"/>
      <c r="V218" s="322"/>
      <c r="W218" s="322"/>
      <c r="X218" s="322"/>
      <c r="Y218" s="322"/>
      <c r="Z218" s="322"/>
      <c r="AA218" s="322"/>
      <c r="AB218" s="322"/>
      <c r="AC218" s="322"/>
      <c r="AD218" s="322"/>
      <c r="AE218" s="322"/>
      <c r="AF218" s="322"/>
      <c r="AG218" s="322"/>
      <c r="AH218" s="322"/>
      <c r="AI218" s="322"/>
      <c r="AJ218" s="322"/>
      <c r="AK218" s="322"/>
      <c r="AL218" s="322"/>
      <c r="AM218" s="322"/>
      <c r="AN218" s="322"/>
      <c r="AO218" s="322"/>
      <c r="AP218" s="322"/>
      <c r="AQ218" s="322"/>
      <c r="AR218" s="322"/>
      <c r="AS218" s="322"/>
      <c r="AT218" s="322"/>
      <c r="AU218" s="322"/>
      <c r="AV218" s="322"/>
      <c r="AW218" s="322"/>
      <c r="AX218" s="322"/>
      <c r="AY218" s="322"/>
      <c r="AZ218" s="322"/>
      <c r="BA218" s="322"/>
      <c r="BB218" s="322"/>
      <c r="BC218" s="322"/>
      <c r="BD218" s="322"/>
      <c r="BE218" s="322"/>
      <c r="BF218" s="322"/>
      <c r="BG218" s="322"/>
      <c r="BH218" s="322"/>
      <c r="BI218" s="322"/>
      <c r="BJ218" s="322"/>
      <c r="BK218" s="322"/>
      <c r="BL218" s="322"/>
      <c r="BM218" s="322"/>
      <c r="BN218" s="322"/>
      <c r="BO218" s="322"/>
    </row>
    <row r="219">
      <c r="A219" s="321" t="s">
        <v>686</v>
      </c>
      <c r="B219" s="341">
        <v>5905.243</v>
      </c>
      <c r="C219" s="342">
        <v>0.2042978</v>
      </c>
      <c r="D219" s="185">
        <f t="shared" si="1"/>
        <v>0.002042978</v>
      </c>
      <c r="E219" s="321"/>
      <c r="H219" s="324"/>
      <c r="I219" s="324"/>
      <c r="J219" s="324"/>
      <c r="K219" s="324"/>
      <c r="L219" s="324"/>
      <c r="M219" s="324"/>
      <c r="N219" s="324"/>
      <c r="O219" s="324"/>
      <c r="P219" s="324"/>
      <c r="Q219" s="324"/>
      <c r="R219" s="324"/>
      <c r="S219" s="324"/>
      <c r="T219" s="324"/>
      <c r="U219" s="324"/>
      <c r="V219" s="324"/>
      <c r="W219" s="324"/>
      <c r="X219" s="324"/>
      <c r="Y219" s="324"/>
      <c r="Z219" s="324"/>
      <c r="AA219" s="324"/>
      <c r="AB219" s="324"/>
      <c r="AC219" s="324"/>
      <c r="AD219" s="324"/>
      <c r="AE219" s="324"/>
      <c r="AF219" s="324"/>
      <c r="AG219" s="324"/>
      <c r="AH219" s="324"/>
      <c r="AI219" s="324"/>
      <c r="AJ219" s="324"/>
      <c r="AK219" s="324"/>
      <c r="AL219" s="324"/>
      <c r="AM219" s="324"/>
      <c r="AN219" s="324"/>
      <c r="AO219" s="324"/>
      <c r="AP219" s="324"/>
      <c r="AQ219" s="324"/>
      <c r="AR219" s="324"/>
      <c r="AS219" s="322"/>
      <c r="AT219" s="322"/>
      <c r="AU219" s="322"/>
      <c r="AV219" s="322"/>
      <c r="AW219" s="322"/>
      <c r="AX219" s="322"/>
      <c r="AY219" s="322"/>
      <c r="AZ219" s="322"/>
      <c r="BA219" s="322"/>
      <c r="BB219" s="322"/>
      <c r="BC219" s="322"/>
      <c r="BD219" s="322"/>
      <c r="BE219" s="322"/>
      <c r="BF219" s="322"/>
      <c r="BG219" s="322"/>
      <c r="BH219" s="322"/>
      <c r="BI219" s="322"/>
      <c r="BJ219" s="322"/>
      <c r="BK219" s="322"/>
      <c r="BL219" s="322"/>
      <c r="BM219" s="322"/>
      <c r="BN219" s="322"/>
      <c r="BO219" s="322"/>
    </row>
    <row r="220">
      <c r="A220" s="321" t="s">
        <v>687</v>
      </c>
      <c r="B220" s="341">
        <v>31216.38</v>
      </c>
      <c r="C220" s="342">
        <v>0.055518330000000005</v>
      </c>
      <c r="D220" s="185">
        <f t="shared" si="1"/>
        <v>0.0005551833</v>
      </c>
      <c r="E220" s="321"/>
      <c r="H220" s="324"/>
      <c r="I220" s="324"/>
      <c r="J220" s="324"/>
      <c r="K220" s="324"/>
      <c r="L220" s="324"/>
      <c r="M220" s="324"/>
      <c r="N220" s="324"/>
      <c r="O220" s="324"/>
      <c r="P220" s="324"/>
      <c r="Q220" s="324"/>
      <c r="R220" s="324"/>
      <c r="S220" s="324"/>
      <c r="T220" s="324"/>
      <c r="U220" s="324"/>
      <c r="V220" s="324"/>
      <c r="W220" s="324"/>
      <c r="X220" s="324"/>
      <c r="Y220" s="324"/>
      <c r="Z220" s="324"/>
      <c r="AA220" s="324"/>
      <c r="AB220" s="324"/>
      <c r="AC220" s="324"/>
      <c r="AD220" s="324"/>
      <c r="AE220" s="324"/>
      <c r="AF220" s="324"/>
      <c r="AG220" s="324"/>
      <c r="AH220" s="324"/>
      <c r="AI220" s="324"/>
      <c r="AJ220" s="324"/>
      <c r="AK220" s="324"/>
      <c r="AL220" s="324"/>
      <c r="AM220" s="324"/>
      <c r="AN220" s="324"/>
      <c r="AO220" s="324"/>
      <c r="AP220" s="324"/>
      <c r="AQ220" s="324"/>
      <c r="AR220" s="324"/>
      <c r="AS220" s="322"/>
      <c r="AT220" s="322"/>
      <c r="AU220" s="322"/>
      <c r="AV220" s="322"/>
      <c r="AW220" s="322"/>
      <c r="AX220" s="322"/>
      <c r="AY220" s="322"/>
      <c r="AZ220" s="322"/>
      <c r="BA220" s="322"/>
      <c r="BB220" s="322"/>
      <c r="BC220" s="322"/>
      <c r="BD220" s="322"/>
      <c r="BE220" s="322"/>
      <c r="BF220" s="322"/>
      <c r="BG220" s="322"/>
      <c r="BH220" s="322"/>
      <c r="BI220" s="322"/>
      <c r="BJ220" s="322"/>
      <c r="BK220" s="322"/>
      <c r="BL220" s="322"/>
      <c r="BM220" s="322"/>
      <c r="BN220" s="322"/>
      <c r="BO220" s="322"/>
    </row>
    <row r="221">
      <c r="A221" s="321" t="s">
        <v>688</v>
      </c>
      <c r="B221" s="341">
        <v>18108.0</v>
      </c>
      <c r="C221" s="342">
        <v>0.101923</v>
      </c>
      <c r="D221" s="185">
        <f t="shared" si="1"/>
        <v>0.00101923</v>
      </c>
      <c r="E221" s="321"/>
      <c r="H221" s="324"/>
      <c r="I221" s="324"/>
      <c r="J221" s="324"/>
      <c r="K221" s="324"/>
      <c r="L221" s="324"/>
      <c r="M221" s="324"/>
      <c r="N221" s="324"/>
      <c r="O221" s="324"/>
      <c r="P221" s="324"/>
      <c r="Q221" s="324"/>
      <c r="R221" s="324"/>
      <c r="S221" s="324"/>
      <c r="T221" s="324"/>
      <c r="U221" s="324"/>
      <c r="V221" s="324"/>
      <c r="W221" s="324"/>
      <c r="X221" s="324"/>
      <c r="Y221" s="324"/>
      <c r="Z221" s="322"/>
      <c r="AA221" s="322"/>
      <c r="AB221" s="322"/>
      <c r="AC221" s="322"/>
      <c r="AD221" s="322"/>
      <c r="AE221" s="322"/>
      <c r="AF221" s="322"/>
      <c r="AG221" s="322"/>
      <c r="AH221" s="322"/>
      <c r="AI221" s="322"/>
      <c r="AJ221" s="322"/>
      <c r="AK221" s="322"/>
      <c r="AL221" s="322"/>
      <c r="AM221" s="322"/>
      <c r="AN221" s="322"/>
      <c r="AO221" s="322"/>
      <c r="AP221" s="322"/>
      <c r="AQ221" s="322"/>
      <c r="AR221" s="322"/>
      <c r="AS221" s="322"/>
      <c r="AT221" s="322"/>
      <c r="AU221" s="322"/>
      <c r="AV221" s="322"/>
      <c r="AW221" s="322"/>
      <c r="AX221" s="322"/>
      <c r="AY221" s="322"/>
      <c r="AZ221" s="322"/>
      <c r="BA221" s="322"/>
      <c r="BB221" s="322"/>
      <c r="BC221" s="322"/>
      <c r="BD221" s="322"/>
      <c r="BE221" s="322"/>
      <c r="BF221" s="322"/>
      <c r="BG221" s="322"/>
      <c r="BH221" s="322"/>
      <c r="BI221" s="322"/>
      <c r="BJ221" s="322"/>
      <c r="BK221" s="322"/>
      <c r="BL221" s="322"/>
      <c r="BM221" s="322"/>
      <c r="BN221" s="322"/>
      <c r="BO221" s="322"/>
    </row>
    <row r="222">
      <c r="A222" s="321" t="s">
        <v>540</v>
      </c>
      <c r="B222" s="341">
        <v>6934.278</v>
      </c>
      <c r="C222" s="342">
        <v>0.1992719</v>
      </c>
      <c r="D222" s="185">
        <f t="shared" si="1"/>
        <v>0.001992719</v>
      </c>
      <c r="E222" s="321"/>
      <c r="H222" s="322"/>
      <c r="I222" s="322"/>
      <c r="J222" s="322"/>
      <c r="K222" s="322"/>
      <c r="L222" s="322"/>
      <c r="M222" s="322"/>
      <c r="N222" s="322"/>
      <c r="O222" s="322"/>
      <c r="P222" s="322"/>
      <c r="Q222" s="322"/>
      <c r="R222" s="322"/>
      <c r="S222" s="322"/>
      <c r="T222" s="322"/>
      <c r="U222" s="322"/>
      <c r="V222" s="322"/>
      <c r="W222" s="322"/>
      <c r="X222" s="322"/>
      <c r="Y222" s="322"/>
      <c r="Z222" s="322"/>
      <c r="AA222" s="322"/>
      <c r="AB222" s="322"/>
      <c r="AC222" s="322"/>
      <c r="AD222" s="322"/>
      <c r="AE222" s="322"/>
      <c r="AF222" s="322"/>
      <c r="AG222" s="322"/>
      <c r="AH222" s="322"/>
      <c r="AI222" s="322"/>
      <c r="AJ222" s="322"/>
      <c r="AK222" s="322"/>
      <c r="AL222" s="322"/>
      <c r="AM222" s="322"/>
      <c r="AN222" s="322"/>
      <c r="AO222" s="322"/>
      <c r="AP222" s="322"/>
      <c r="AQ222" s="322"/>
      <c r="AR222" s="322"/>
      <c r="AS222" s="322"/>
      <c r="AT222" s="322"/>
      <c r="AU222" s="322"/>
      <c r="AV222" s="322"/>
      <c r="AW222" s="322"/>
      <c r="AX222" s="322"/>
      <c r="AY222" s="322"/>
      <c r="AZ222" s="322"/>
      <c r="BA222" s="322"/>
      <c r="BB222" s="322"/>
      <c r="BC222" s="322"/>
      <c r="BD222" s="322"/>
      <c r="BE222" s="322"/>
      <c r="BF222" s="322"/>
      <c r="BG222" s="322"/>
      <c r="BH222" s="322"/>
      <c r="BI222" s="322"/>
      <c r="BJ222" s="322"/>
      <c r="BK222" s="322"/>
      <c r="BL222" s="322"/>
      <c r="BM222" s="322"/>
      <c r="BN222" s="322"/>
      <c r="BO222" s="322"/>
    </row>
    <row r="223">
      <c r="A223" s="321" t="s">
        <v>544</v>
      </c>
      <c r="B223" s="341">
        <v>29498.47</v>
      </c>
      <c r="C223" s="342">
        <v>0.0383801</v>
      </c>
      <c r="D223" s="185">
        <f t="shared" si="1"/>
        <v>0.000383801</v>
      </c>
      <c r="E223" s="321"/>
      <c r="H223" s="324"/>
      <c r="I223" s="324"/>
      <c r="J223" s="324"/>
      <c r="K223" s="324"/>
      <c r="L223" s="324"/>
      <c r="M223" s="324"/>
      <c r="N223" s="324"/>
      <c r="O223" s="324"/>
      <c r="P223" s="324"/>
      <c r="Q223" s="324"/>
      <c r="R223" s="324"/>
      <c r="S223" s="324"/>
      <c r="T223" s="324"/>
      <c r="U223" s="322"/>
      <c r="V223" s="322"/>
      <c r="W223" s="322"/>
      <c r="X223" s="322"/>
      <c r="Y223" s="322"/>
      <c r="Z223" s="322"/>
      <c r="AA223" s="322"/>
      <c r="AB223" s="322"/>
      <c r="AC223" s="322"/>
      <c r="AD223" s="322"/>
      <c r="AE223" s="322"/>
      <c r="AF223" s="322"/>
      <c r="AG223" s="322"/>
      <c r="AH223" s="322"/>
      <c r="AI223" s="322"/>
      <c r="AJ223" s="322"/>
      <c r="AK223" s="322"/>
      <c r="AL223" s="322"/>
      <c r="AM223" s="322"/>
      <c r="AN223" s="322"/>
      <c r="AO223" s="322"/>
      <c r="AP223" s="322"/>
      <c r="AQ223" s="322"/>
      <c r="AR223" s="322"/>
      <c r="AS223" s="322"/>
      <c r="AT223" s="322"/>
      <c r="AU223" s="322"/>
      <c r="AV223" s="322"/>
      <c r="AW223" s="322"/>
      <c r="AX223" s="322"/>
      <c r="AY223" s="322"/>
      <c r="AZ223" s="322"/>
      <c r="BA223" s="322"/>
      <c r="BB223" s="322"/>
      <c r="BC223" s="322"/>
      <c r="BD223" s="322"/>
      <c r="BE223" s="322"/>
      <c r="BF223" s="322"/>
      <c r="BG223" s="322"/>
      <c r="BH223" s="322"/>
      <c r="BI223" s="322"/>
      <c r="BJ223" s="322"/>
      <c r="BK223" s="322"/>
      <c r="BL223" s="322"/>
      <c r="BM223" s="322"/>
      <c r="BN223" s="322"/>
      <c r="BO223" s="322"/>
    </row>
    <row r="224">
      <c r="A224" s="321" t="s">
        <v>75</v>
      </c>
      <c r="B224" s="341">
        <v>1867.674</v>
      </c>
      <c r="C224" s="342">
        <v>0.2207797</v>
      </c>
      <c r="D224" s="185">
        <f t="shared" si="1"/>
        <v>0.002207797</v>
      </c>
      <c r="E224" s="321"/>
      <c r="H224" s="324"/>
      <c r="I224" s="324"/>
      <c r="J224" s="324"/>
      <c r="K224" s="324"/>
      <c r="L224" s="324"/>
      <c r="M224" s="324"/>
      <c r="N224" s="324"/>
      <c r="O224" s="324"/>
      <c r="P224" s="324"/>
      <c r="Q224" s="324"/>
      <c r="R224" s="324"/>
      <c r="S224" s="324"/>
      <c r="T224" s="324"/>
      <c r="U224" s="324"/>
      <c r="V224" s="324"/>
      <c r="W224" s="324"/>
      <c r="X224" s="324"/>
      <c r="Y224" s="322"/>
      <c r="Z224" s="322"/>
      <c r="AA224" s="322"/>
      <c r="AB224" s="322"/>
      <c r="AC224" s="322"/>
      <c r="AD224" s="322"/>
      <c r="AE224" s="322"/>
      <c r="AF224" s="322"/>
      <c r="AG224" s="322"/>
      <c r="AH224" s="322"/>
      <c r="AI224" s="322"/>
      <c r="AJ224" s="322"/>
      <c r="AK224" s="322"/>
      <c r="AL224" s="322"/>
      <c r="AM224" s="322"/>
      <c r="AN224" s="322"/>
      <c r="AO224" s="322"/>
      <c r="AP224" s="322"/>
      <c r="AQ224" s="322"/>
      <c r="AR224" s="322"/>
      <c r="AS224" s="322"/>
      <c r="AT224" s="322"/>
      <c r="AU224" s="322"/>
      <c r="AV224" s="322"/>
      <c r="AW224" s="322"/>
      <c r="AX224" s="322"/>
      <c r="AY224" s="322"/>
      <c r="AZ224" s="322"/>
      <c r="BA224" s="322"/>
      <c r="BB224" s="322"/>
      <c r="BC224" s="322"/>
      <c r="BD224" s="322"/>
      <c r="BE224" s="322"/>
      <c r="BF224" s="322"/>
      <c r="BG224" s="322"/>
      <c r="BH224" s="322"/>
      <c r="BI224" s="322"/>
      <c r="BJ224" s="322"/>
      <c r="BK224" s="322"/>
      <c r="BL224" s="322"/>
      <c r="BM224" s="322"/>
      <c r="BN224" s="322"/>
      <c r="BO224" s="322"/>
    </row>
    <row r="225">
      <c r="A225" s="321" t="s">
        <v>689</v>
      </c>
      <c r="B225" s="341">
        <v>37247.7</v>
      </c>
      <c r="C225" s="342">
        <v>0.07744488</v>
      </c>
      <c r="D225" s="185">
        <f t="shared" si="1"/>
        <v>0.0007744488</v>
      </c>
      <c r="E225" s="321"/>
      <c r="H225" s="322"/>
      <c r="I225" s="322"/>
      <c r="J225" s="322"/>
      <c r="K225" s="322"/>
      <c r="L225" s="322"/>
      <c r="M225" s="322"/>
      <c r="N225" s="322"/>
      <c r="O225" s="322"/>
      <c r="P225" s="322"/>
      <c r="Q225" s="322"/>
      <c r="R225" s="322"/>
      <c r="S225" s="322"/>
      <c r="T225" s="322"/>
      <c r="U225" s="322"/>
      <c r="V225" s="322"/>
      <c r="W225" s="322"/>
      <c r="X225" s="322"/>
      <c r="Y225" s="322"/>
      <c r="Z225" s="322"/>
      <c r="AA225" s="322"/>
      <c r="AB225" s="322"/>
      <c r="AC225" s="322"/>
      <c r="AD225" s="322"/>
      <c r="AE225" s="322"/>
      <c r="AF225" s="322"/>
      <c r="AG225" s="322"/>
      <c r="AH225" s="322"/>
      <c r="AI225" s="322"/>
      <c r="AJ225" s="322"/>
      <c r="AK225" s="322"/>
      <c r="AL225" s="322"/>
      <c r="AM225" s="322"/>
      <c r="AN225" s="322"/>
      <c r="AO225" s="322"/>
      <c r="AP225" s="322"/>
      <c r="AQ225" s="322"/>
      <c r="AR225" s="322"/>
      <c r="AS225" s="322"/>
      <c r="AT225" s="322"/>
      <c r="AU225" s="322"/>
      <c r="AV225" s="322"/>
      <c r="AW225" s="322"/>
      <c r="AX225" s="322"/>
      <c r="AY225" s="322"/>
      <c r="AZ225" s="322"/>
      <c r="BA225" s="322"/>
      <c r="BB225" s="322"/>
      <c r="BC225" s="322"/>
      <c r="BD225" s="322"/>
      <c r="BE225" s="322"/>
      <c r="BF225" s="322"/>
      <c r="BG225" s="322"/>
      <c r="BH225" s="322"/>
      <c r="BI225" s="322"/>
      <c r="BJ225" s="322"/>
      <c r="BK225" s="322"/>
      <c r="BL225" s="322"/>
      <c r="BM225" s="322"/>
      <c r="BN225" s="322"/>
      <c r="BO225" s="322"/>
    </row>
    <row r="226">
      <c r="A226" s="321" t="s">
        <v>550</v>
      </c>
      <c r="B226" s="341">
        <v>12756.54</v>
      </c>
      <c r="C226" s="342">
        <v>0.07718255</v>
      </c>
      <c r="D226" s="185">
        <f t="shared" si="1"/>
        <v>0.0007718255</v>
      </c>
      <c r="E226" s="321"/>
      <c r="H226" s="324"/>
      <c r="I226" s="324"/>
      <c r="J226" s="324"/>
      <c r="K226" s="324"/>
      <c r="L226" s="324"/>
      <c r="M226" s="324"/>
      <c r="N226" s="324"/>
      <c r="O226" s="324"/>
      <c r="P226" s="324"/>
      <c r="Q226" s="324"/>
      <c r="R226" s="324"/>
      <c r="S226" s="324"/>
      <c r="T226" s="324"/>
      <c r="U226" s="324"/>
      <c r="V226" s="324"/>
      <c r="W226" s="324"/>
      <c r="X226" s="324"/>
      <c r="Y226" s="322"/>
      <c r="Z226" s="322"/>
      <c r="AA226" s="322"/>
      <c r="AB226" s="322"/>
      <c r="AC226" s="322"/>
      <c r="AD226" s="322"/>
      <c r="AE226" s="322"/>
      <c r="AF226" s="322"/>
      <c r="AG226" s="322"/>
      <c r="AH226" s="322"/>
      <c r="AI226" s="322"/>
      <c r="AJ226" s="322"/>
      <c r="AK226" s="322"/>
      <c r="AL226" s="322"/>
      <c r="AM226" s="322"/>
      <c r="AN226" s="322"/>
      <c r="AO226" s="322"/>
      <c r="AP226" s="322"/>
      <c r="AQ226" s="322"/>
      <c r="AR226" s="322"/>
      <c r="AS226" s="322"/>
      <c r="AT226" s="322"/>
      <c r="AU226" s="322"/>
      <c r="AV226" s="322"/>
      <c r="AW226" s="322"/>
      <c r="AX226" s="322"/>
      <c r="AY226" s="322"/>
      <c r="AZ226" s="322"/>
      <c r="BA226" s="322"/>
      <c r="BB226" s="322"/>
      <c r="BC226" s="322"/>
      <c r="BD226" s="322"/>
      <c r="BE226" s="322"/>
      <c r="BF226" s="322"/>
      <c r="BG226" s="322"/>
      <c r="BH226" s="322"/>
      <c r="BI226" s="322"/>
      <c r="BJ226" s="322"/>
      <c r="BK226" s="322"/>
      <c r="BL226" s="322"/>
      <c r="BM226" s="322"/>
      <c r="BN226" s="322"/>
      <c r="BO226" s="322"/>
    </row>
    <row r="227">
      <c r="A227" s="321" t="s">
        <v>554</v>
      </c>
      <c r="B227" s="341">
        <v>1817.338</v>
      </c>
      <c r="C227" s="342">
        <v>0.4781317</v>
      </c>
      <c r="D227" s="185">
        <f t="shared" si="1"/>
        <v>0.004781317</v>
      </c>
      <c r="E227" s="321"/>
      <c r="H227" s="322"/>
      <c r="I227" s="322"/>
      <c r="J227" s="322"/>
      <c r="K227" s="322"/>
      <c r="L227" s="322"/>
      <c r="M227" s="322"/>
      <c r="N227" s="322"/>
      <c r="O227" s="322"/>
      <c r="P227" s="322"/>
      <c r="Q227" s="322"/>
      <c r="R227" s="322"/>
      <c r="S227" s="322"/>
      <c r="T227" s="322"/>
      <c r="U227" s="322"/>
      <c r="V227" s="322"/>
      <c r="W227" s="322"/>
      <c r="X227" s="322"/>
      <c r="Y227" s="322"/>
      <c r="Z227" s="322"/>
      <c r="AA227" s="322"/>
      <c r="AB227" s="322"/>
      <c r="AC227" s="322"/>
      <c r="AD227" s="322"/>
      <c r="AE227" s="322"/>
      <c r="AF227" s="322"/>
      <c r="AG227" s="322"/>
      <c r="AH227" s="322"/>
      <c r="AI227" s="322"/>
      <c r="AJ227" s="322"/>
      <c r="AK227" s="322"/>
      <c r="AL227" s="322"/>
      <c r="AM227" s="322"/>
      <c r="AN227" s="322"/>
      <c r="AO227" s="322"/>
      <c r="AP227" s="322"/>
      <c r="AQ227" s="322"/>
      <c r="AR227" s="322"/>
      <c r="AS227" s="322"/>
      <c r="AT227" s="322"/>
      <c r="AU227" s="322"/>
      <c r="AV227" s="322"/>
      <c r="AW227" s="322"/>
      <c r="AX227" s="322"/>
      <c r="AY227" s="322"/>
      <c r="AZ227" s="322"/>
      <c r="BA227" s="322"/>
      <c r="BB227" s="322"/>
      <c r="BC227" s="322"/>
      <c r="BD227" s="322"/>
      <c r="BE227" s="322"/>
      <c r="BF227" s="322"/>
      <c r="BG227" s="322"/>
      <c r="BH227" s="322"/>
      <c r="BI227" s="322"/>
      <c r="BJ227" s="322"/>
      <c r="BK227" s="322"/>
      <c r="BL227" s="322"/>
      <c r="BM227" s="322"/>
      <c r="BN227" s="322"/>
      <c r="BO227" s="322"/>
    </row>
    <row r="228">
      <c r="A228" s="321" t="s">
        <v>556</v>
      </c>
      <c r="B228" s="341">
        <v>6318.159</v>
      </c>
      <c r="C228" s="342">
        <v>0.2272494</v>
      </c>
      <c r="D228" s="185">
        <f t="shared" si="1"/>
        <v>0.002272494</v>
      </c>
      <c r="E228" s="321"/>
      <c r="H228" s="324"/>
      <c r="I228" s="324"/>
      <c r="J228" s="324"/>
      <c r="K228" s="324"/>
      <c r="L228" s="324"/>
      <c r="M228" s="324"/>
      <c r="N228" s="324"/>
      <c r="O228" s="324"/>
      <c r="P228" s="324"/>
      <c r="Q228" s="324"/>
      <c r="R228" s="324"/>
      <c r="S228" s="324"/>
      <c r="T228" s="324"/>
      <c r="U228" s="324"/>
      <c r="V228" s="324"/>
      <c r="W228" s="324"/>
      <c r="X228" s="324"/>
      <c r="Y228" s="324"/>
      <c r="Z228" s="322"/>
      <c r="AA228" s="322"/>
      <c r="AB228" s="322"/>
      <c r="AC228" s="322"/>
      <c r="AD228" s="322"/>
      <c r="AE228" s="322"/>
      <c r="AF228" s="322"/>
      <c r="AG228" s="322"/>
      <c r="AH228" s="322"/>
      <c r="AI228" s="322"/>
      <c r="AJ228" s="322"/>
      <c r="AK228" s="322"/>
      <c r="AL228" s="322"/>
      <c r="AM228" s="322"/>
      <c r="AN228" s="322"/>
      <c r="AO228" s="322"/>
      <c r="AP228" s="322"/>
      <c r="AQ228" s="322"/>
      <c r="AR228" s="322"/>
      <c r="AS228" s="322"/>
      <c r="AT228" s="322"/>
      <c r="AU228" s="322"/>
      <c r="AV228" s="322"/>
      <c r="AW228" s="322"/>
      <c r="AX228" s="322"/>
      <c r="AY228" s="322"/>
      <c r="AZ228" s="322"/>
      <c r="BA228" s="322"/>
      <c r="BB228" s="322"/>
      <c r="BC228" s="322"/>
      <c r="BD228" s="322"/>
      <c r="BE228" s="322"/>
      <c r="BF228" s="322"/>
      <c r="BG228" s="322"/>
      <c r="BH228" s="322"/>
      <c r="BI228" s="322"/>
      <c r="BJ228" s="322"/>
      <c r="BK228" s="322"/>
      <c r="BL228" s="322"/>
      <c r="BM228" s="322"/>
      <c r="BN228" s="322"/>
      <c r="BO228" s="322"/>
    </row>
    <row r="229">
      <c r="A229" s="321" t="s">
        <v>690</v>
      </c>
      <c r="B229" s="341">
        <v>8043.737</v>
      </c>
      <c r="C229" s="342">
        <v>0.1533727</v>
      </c>
      <c r="D229" s="185">
        <f t="shared" si="1"/>
        <v>0.001533727</v>
      </c>
      <c r="E229" s="321"/>
      <c r="H229" s="324"/>
      <c r="I229" s="324"/>
      <c r="J229" s="324"/>
      <c r="K229" s="324"/>
      <c r="L229" s="324"/>
      <c r="M229" s="324"/>
      <c r="N229" s="324"/>
      <c r="O229" s="324"/>
      <c r="P229" s="324"/>
      <c r="Q229" s="324"/>
      <c r="R229" s="324"/>
      <c r="S229" s="324"/>
      <c r="T229" s="324"/>
      <c r="U229" s="324"/>
      <c r="V229" s="324"/>
      <c r="W229" s="324"/>
      <c r="X229" s="324"/>
      <c r="Y229" s="324"/>
      <c r="Z229" s="324"/>
      <c r="AA229" s="324"/>
      <c r="AB229" s="324"/>
      <c r="AC229" s="324"/>
      <c r="AD229" s="324"/>
      <c r="AE229" s="324"/>
      <c r="AF229" s="324"/>
      <c r="AG229" s="324"/>
      <c r="AH229" s="324"/>
      <c r="AI229" s="324"/>
      <c r="AJ229" s="324"/>
      <c r="AK229" s="324"/>
      <c r="AL229" s="324"/>
      <c r="AM229" s="322"/>
      <c r="AN229" s="322"/>
      <c r="AO229" s="322"/>
      <c r="AP229" s="322"/>
      <c r="AQ229" s="322"/>
      <c r="AR229" s="322"/>
      <c r="AS229" s="322"/>
      <c r="AT229" s="322"/>
      <c r="AU229" s="322"/>
      <c r="AV229" s="322"/>
      <c r="AW229" s="322"/>
      <c r="AX229" s="322"/>
      <c r="AY229" s="322"/>
      <c r="AZ229" s="322"/>
      <c r="BA229" s="322"/>
      <c r="BB229" s="322"/>
      <c r="BC229" s="322"/>
      <c r="BD229" s="322"/>
      <c r="BE229" s="322"/>
      <c r="BF229" s="322"/>
      <c r="BG229" s="322"/>
      <c r="BH229" s="322"/>
      <c r="BI229" s="322"/>
      <c r="BJ229" s="322"/>
      <c r="BK229" s="322"/>
      <c r="BL229" s="322"/>
      <c r="BM229" s="322"/>
      <c r="BN229" s="322"/>
      <c r="BO229" s="322"/>
    </row>
    <row r="230">
      <c r="A230" s="321" t="s">
        <v>691</v>
      </c>
      <c r="B230" s="341">
        <v>78215.07</v>
      </c>
      <c r="C230" s="342">
        <v>0.01516508</v>
      </c>
      <c r="D230" s="185">
        <f t="shared" si="1"/>
        <v>0.0001516508</v>
      </c>
      <c r="E230" s="321"/>
      <c r="H230" s="324"/>
      <c r="I230" s="324"/>
      <c r="J230" s="324"/>
      <c r="K230" s="324"/>
      <c r="L230" s="324"/>
      <c r="M230" s="324"/>
      <c r="N230" s="322"/>
      <c r="O230" s="322"/>
      <c r="P230" s="322"/>
      <c r="Q230" s="322"/>
      <c r="R230" s="322"/>
      <c r="S230" s="322"/>
      <c r="T230" s="322"/>
      <c r="U230" s="322"/>
      <c r="V230" s="322"/>
      <c r="W230" s="322"/>
      <c r="X230" s="322"/>
      <c r="Y230" s="322"/>
      <c r="Z230" s="322"/>
      <c r="AA230" s="322"/>
      <c r="AB230" s="322"/>
      <c r="AC230" s="322"/>
      <c r="AD230" s="322"/>
      <c r="AE230" s="322"/>
      <c r="AF230" s="322"/>
      <c r="AG230" s="322"/>
      <c r="AH230" s="322"/>
      <c r="AI230" s="322"/>
      <c r="AJ230" s="322"/>
      <c r="AK230" s="322"/>
      <c r="AL230" s="322"/>
      <c r="AM230" s="322"/>
      <c r="AN230" s="322"/>
      <c r="AO230" s="322"/>
      <c r="AP230" s="322"/>
      <c r="AQ230" s="322"/>
      <c r="AR230" s="322"/>
      <c r="AS230" s="322"/>
      <c r="AT230" s="322"/>
      <c r="AU230" s="322"/>
      <c r="AV230" s="322"/>
      <c r="AW230" s="322"/>
      <c r="AX230" s="322"/>
      <c r="AY230" s="322"/>
      <c r="AZ230" s="322"/>
      <c r="BA230" s="322"/>
      <c r="BB230" s="322"/>
      <c r="BC230" s="322"/>
      <c r="BD230" s="322"/>
      <c r="BE230" s="322"/>
      <c r="BF230" s="322"/>
      <c r="BG230" s="322"/>
      <c r="BH230" s="322"/>
      <c r="BI230" s="322"/>
      <c r="BJ230" s="322"/>
      <c r="BK230" s="322"/>
      <c r="BL230" s="322"/>
      <c r="BM230" s="322"/>
      <c r="BN230" s="322"/>
      <c r="BO230" s="322"/>
    </row>
    <row r="231">
      <c r="A231" s="321" t="s">
        <v>692</v>
      </c>
      <c r="B231" s="341">
        <v>104459.8</v>
      </c>
      <c r="C231" s="342">
        <v>0.021161560000000003</v>
      </c>
      <c r="D231" s="185">
        <f t="shared" si="1"/>
        <v>0.0002116156</v>
      </c>
      <c r="E231" s="321"/>
      <c r="H231" s="324"/>
      <c r="I231" s="324"/>
      <c r="J231" s="324"/>
      <c r="K231" s="324"/>
      <c r="L231" s="324"/>
      <c r="M231" s="324"/>
      <c r="N231" s="324"/>
      <c r="O231" s="322"/>
      <c r="P231" s="322"/>
      <c r="Q231" s="322"/>
      <c r="R231" s="322"/>
      <c r="S231" s="322"/>
      <c r="T231" s="322"/>
      <c r="U231" s="322"/>
      <c r="V231" s="322"/>
      <c r="W231" s="322"/>
      <c r="X231" s="322"/>
      <c r="Y231" s="322"/>
      <c r="Z231" s="322"/>
      <c r="AA231" s="322"/>
      <c r="AB231" s="322"/>
      <c r="AC231" s="322"/>
      <c r="AD231" s="322"/>
      <c r="AE231" s="322"/>
      <c r="AF231" s="322"/>
      <c r="AG231" s="322"/>
      <c r="AH231" s="322"/>
      <c r="AI231" s="322"/>
      <c r="AJ231" s="322"/>
      <c r="AK231" s="322"/>
      <c r="AL231" s="322"/>
      <c r="AM231" s="322"/>
      <c r="AN231" s="322"/>
      <c r="AO231" s="322"/>
      <c r="AP231" s="322"/>
      <c r="AQ231" s="322"/>
      <c r="AR231" s="322"/>
      <c r="AS231" s="322"/>
      <c r="AT231" s="322"/>
      <c r="AU231" s="322"/>
      <c r="AV231" s="322"/>
      <c r="AW231" s="322"/>
      <c r="AX231" s="322"/>
      <c r="AY231" s="322"/>
      <c r="AZ231" s="322"/>
      <c r="BA231" s="322"/>
      <c r="BB231" s="322"/>
      <c r="BC231" s="322"/>
      <c r="BD231" s="322"/>
      <c r="BE231" s="322"/>
      <c r="BF231" s="322"/>
      <c r="BG231" s="322"/>
      <c r="BH231" s="322"/>
      <c r="BI231" s="322"/>
      <c r="BJ231" s="322"/>
      <c r="BK231" s="322"/>
      <c r="BL231" s="322"/>
      <c r="BM231" s="322"/>
      <c r="BN231" s="322"/>
      <c r="BO231" s="322"/>
    </row>
    <row r="232">
      <c r="A232" s="321" t="s">
        <v>693</v>
      </c>
      <c r="B232" s="341">
        <v>5181.842</v>
      </c>
      <c r="C232" s="342">
        <v>0.21189550000000001</v>
      </c>
      <c r="D232" s="185">
        <f t="shared" si="1"/>
        <v>0.002118955</v>
      </c>
      <c r="E232" s="321"/>
      <c r="H232" s="324"/>
      <c r="I232" s="324"/>
      <c r="J232" s="322"/>
      <c r="K232" s="322"/>
      <c r="L232" s="322"/>
      <c r="M232" s="322"/>
      <c r="N232" s="322"/>
      <c r="O232" s="322"/>
      <c r="P232" s="322"/>
      <c r="Q232" s="322"/>
      <c r="R232" s="322"/>
      <c r="S232" s="322"/>
      <c r="T232" s="322"/>
      <c r="U232" s="322"/>
      <c r="V232" s="322"/>
      <c r="W232" s="322"/>
      <c r="X232" s="322"/>
      <c r="Y232" s="322"/>
      <c r="Z232" s="322"/>
      <c r="AA232" s="322"/>
      <c r="AB232" s="322"/>
      <c r="AC232" s="322"/>
      <c r="AD232" s="322"/>
      <c r="AE232" s="322"/>
      <c r="AF232" s="322"/>
      <c r="AG232" s="322"/>
      <c r="AH232" s="322"/>
      <c r="AI232" s="322"/>
      <c r="AJ232" s="322"/>
      <c r="AK232" s="322"/>
      <c r="AL232" s="322"/>
      <c r="AM232" s="322"/>
      <c r="AN232" s="322"/>
      <c r="AO232" s="322"/>
      <c r="AP232" s="322"/>
      <c r="AQ232" s="322"/>
      <c r="AR232" s="322"/>
      <c r="AS232" s="322"/>
      <c r="AT232" s="322"/>
      <c r="AU232" s="322"/>
      <c r="AV232" s="322"/>
      <c r="AW232" s="322"/>
      <c r="AX232" s="322"/>
      <c r="AY232" s="322"/>
      <c r="AZ232" s="322"/>
      <c r="BA232" s="322"/>
      <c r="BB232" s="322"/>
      <c r="BC232" s="322"/>
      <c r="BD232" s="322"/>
      <c r="BE232" s="322"/>
      <c r="BF232" s="322"/>
      <c r="BG232" s="322"/>
      <c r="BH232" s="322"/>
      <c r="BI232" s="322"/>
      <c r="BJ232" s="322"/>
      <c r="BK232" s="322"/>
      <c r="BL232" s="322"/>
      <c r="BM232" s="322"/>
      <c r="BN232" s="322"/>
      <c r="BO232" s="322"/>
    </row>
    <row r="233">
      <c r="A233" s="321" t="s">
        <v>694</v>
      </c>
      <c r="B233" s="341">
        <v>6212.038</v>
      </c>
      <c r="C233" s="342">
        <v>0.233737</v>
      </c>
      <c r="D233" s="185">
        <f t="shared" si="1"/>
        <v>0.00233737</v>
      </c>
      <c r="E233" s="321"/>
      <c r="H233" s="322"/>
      <c r="I233" s="322"/>
      <c r="J233" s="322"/>
      <c r="K233" s="322"/>
      <c r="L233" s="322"/>
      <c r="M233" s="322"/>
      <c r="N233" s="322"/>
      <c r="O233" s="322"/>
      <c r="P233" s="322"/>
      <c r="Q233" s="322"/>
      <c r="R233" s="322"/>
      <c r="S233" s="322"/>
      <c r="T233" s="322"/>
      <c r="U233" s="322"/>
      <c r="V233" s="322"/>
      <c r="W233" s="322"/>
      <c r="X233" s="322"/>
      <c r="Y233" s="322"/>
      <c r="Z233" s="322"/>
      <c r="AA233" s="322"/>
      <c r="AB233" s="322"/>
      <c r="AC233" s="322"/>
      <c r="AD233" s="322"/>
      <c r="AE233" s="322"/>
      <c r="AF233" s="322"/>
      <c r="AG233" s="322"/>
      <c r="AH233" s="322"/>
      <c r="AI233" s="322"/>
      <c r="AJ233" s="322"/>
      <c r="AK233" s="322"/>
      <c r="AL233" s="322"/>
      <c r="AM233" s="322"/>
      <c r="AN233" s="322"/>
      <c r="AO233" s="322"/>
      <c r="AP233" s="322"/>
      <c r="AQ233" s="322"/>
      <c r="AR233" s="322"/>
      <c r="AS233" s="322"/>
      <c r="AT233" s="322"/>
      <c r="AU233" s="322"/>
      <c r="AV233" s="322"/>
      <c r="AW233" s="322"/>
      <c r="AX233" s="322"/>
      <c r="AY233" s="322"/>
      <c r="AZ233" s="322"/>
      <c r="BA233" s="322"/>
      <c r="BB233" s="322"/>
      <c r="BC233" s="322"/>
      <c r="BD233" s="322"/>
      <c r="BE233" s="322"/>
      <c r="BF233" s="322"/>
      <c r="BG233" s="322"/>
      <c r="BH233" s="322"/>
      <c r="BI233" s="322"/>
      <c r="BJ233" s="322"/>
      <c r="BK233" s="322"/>
      <c r="BL233" s="322"/>
      <c r="BM233" s="322"/>
      <c r="BN233" s="322"/>
      <c r="BO233" s="322"/>
    </row>
    <row r="234">
      <c r="A234" s="321" t="s">
        <v>695</v>
      </c>
      <c r="B234" s="341">
        <v>39695.08</v>
      </c>
      <c r="C234" s="342">
        <v>0.0243565</v>
      </c>
      <c r="D234" s="185">
        <f t="shared" si="1"/>
        <v>0.000243565</v>
      </c>
      <c r="E234" s="321"/>
      <c r="H234" s="324"/>
      <c r="I234" s="324"/>
      <c r="J234" s="324"/>
      <c r="K234" s="324"/>
      <c r="L234" s="324"/>
      <c r="M234" s="324"/>
      <c r="N234" s="324"/>
      <c r="O234" s="322"/>
      <c r="P234" s="322"/>
      <c r="Q234" s="322"/>
      <c r="R234" s="322"/>
      <c r="S234" s="322"/>
      <c r="T234" s="322"/>
      <c r="U234" s="322"/>
      <c r="V234" s="322"/>
      <c r="W234" s="322"/>
      <c r="X234" s="322"/>
      <c r="Y234" s="322"/>
      <c r="Z234" s="322"/>
      <c r="AA234" s="322"/>
      <c r="AB234" s="322"/>
      <c r="AC234" s="322"/>
      <c r="AD234" s="322"/>
      <c r="AE234" s="322"/>
      <c r="AF234" s="322"/>
      <c r="AG234" s="322"/>
      <c r="AH234" s="322"/>
      <c r="AI234" s="322"/>
      <c r="AJ234" s="322"/>
      <c r="AK234" s="322"/>
      <c r="AL234" s="322"/>
      <c r="AM234" s="322"/>
      <c r="AN234" s="322"/>
      <c r="AO234" s="322"/>
      <c r="AP234" s="322"/>
      <c r="AQ234" s="322"/>
      <c r="AR234" s="322"/>
      <c r="AS234" s="322"/>
      <c r="AT234" s="322"/>
      <c r="AU234" s="322"/>
      <c r="AV234" s="322"/>
      <c r="AW234" s="322"/>
      <c r="AX234" s="322"/>
      <c r="AY234" s="322"/>
      <c r="AZ234" s="322"/>
      <c r="BA234" s="322"/>
      <c r="BB234" s="322"/>
      <c r="BC234" s="322"/>
      <c r="BD234" s="322"/>
      <c r="BE234" s="322"/>
      <c r="BF234" s="322"/>
      <c r="BG234" s="322"/>
      <c r="BH234" s="322"/>
      <c r="BI234" s="322"/>
      <c r="BJ234" s="322"/>
      <c r="BK234" s="322"/>
      <c r="BL234" s="322"/>
      <c r="BM234" s="322"/>
      <c r="BN234" s="322"/>
      <c r="BO234" s="322"/>
    </row>
    <row r="235">
      <c r="A235" s="321" t="s">
        <v>696</v>
      </c>
      <c r="B235" s="341">
        <v>10755.5</v>
      </c>
      <c r="C235" s="342">
        <v>0.09396750000000001</v>
      </c>
      <c r="D235" s="185">
        <f t="shared" si="1"/>
        <v>0.000939675</v>
      </c>
      <c r="E235" s="321"/>
      <c r="H235" s="322"/>
      <c r="I235" s="322"/>
      <c r="J235" s="322"/>
      <c r="K235" s="322"/>
      <c r="L235" s="322"/>
      <c r="M235" s="322"/>
      <c r="N235" s="322"/>
      <c r="O235" s="322"/>
      <c r="P235" s="322"/>
      <c r="Q235" s="322"/>
      <c r="R235" s="322"/>
      <c r="S235" s="322"/>
      <c r="T235" s="322"/>
      <c r="U235" s="322"/>
      <c r="V235" s="322"/>
      <c r="W235" s="322"/>
      <c r="X235" s="322"/>
      <c r="Y235" s="322"/>
      <c r="Z235" s="322"/>
      <c r="AA235" s="322"/>
      <c r="AB235" s="322"/>
      <c r="AC235" s="322"/>
      <c r="AD235" s="322"/>
      <c r="AE235" s="322"/>
      <c r="AF235" s="322"/>
      <c r="AG235" s="322"/>
      <c r="AH235" s="322"/>
      <c r="AI235" s="322"/>
      <c r="AJ235" s="322"/>
      <c r="AK235" s="322"/>
      <c r="AL235" s="322"/>
      <c r="AM235" s="322"/>
      <c r="AN235" s="322"/>
      <c r="AO235" s="322"/>
      <c r="AP235" s="322"/>
      <c r="AQ235" s="322"/>
      <c r="AR235" s="322"/>
      <c r="AS235" s="322"/>
      <c r="AT235" s="322"/>
      <c r="AU235" s="322"/>
      <c r="AV235" s="322"/>
      <c r="AW235" s="322"/>
      <c r="AX235" s="322"/>
      <c r="AY235" s="322"/>
      <c r="AZ235" s="322"/>
      <c r="BA235" s="322"/>
      <c r="BB235" s="322"/>
      <c r="BC235" s="322"/>
      <c r="BD235" s="322"/>
      <c r="BE235" s="322"/>
      <c r="BF235" s="322"/>
      <c r="BG235" s="322"/>
      <c r="BH235" s="322"/>
      <c r="BI235" s="322"/>
      <c r="BJ235" s="322"/>
      <c r="BK235" s="322"/>
      <c r="BL235" s="322"/>
      <c r="BM235" s="322"/>
      <c r="BN235" s="322"/>
      <c r="BO235" s="322"/>
    </row>
    <row r="236">
      <c r="A236" s="321" t="s">
        <v>697</v>
      </c>
      <c r="B236" s="341">
        <v>49463.99</v>
      </c>
      <c r="C236" s="342">
        <v>0.02918416</v>
      </c>
      <c r="D236" s="185">
        <f t="shared" si="1"/>
        <v>0.0002918416</v>
      </c>
      <c r="E236" s="321"/>
      <c r="H236" s="324"/>
      <c r="I236" s="324"/>
      <c r="J236" s="324"/>
      <c r="K236" s="324"/>
      <c r="L236" s="324"/>
      <c r="M236" s="324"/>
      <c r="N236" s="324"/>
      <c r="O236" s="324"/>
      <c r="P236" s="324"/>
      <c r="Q236" s="324"/>
      <c r="R236" s="324"/>
      <c r="S236" s="324"/>
      <c r="T236" s="324"/>
      <c r="U236" s="324"/>
      <c r="V236" s="324"/>
      <c r="W236" s="324"/>
      <c r="X236" s="324"/>
      <c r="Y236" s="324"/>
      <c r="Z236" s="324"/>
      <c r="AA236" s="324"/>
      <c r="AB236" s="324"/>
      <c r="AC236" s="324"/>
      <c r="AD236" s="324"/>
      <c r="AE236" s="324"/>
      <c r="AF236" s="324"/>
      <c r="AG236" s="324"/>
      <c r="AH236" s="324"/>
      <c r="AI236" s="324"/>
      <c r="AJ236" s="324"/>
      <c r="AK236" s="324"/>
      <c r="AL236" s="324"/>
      <c r="AM236" s="324"/>
      <c r="AN236" s="322"/>
      <c r="AO236" s="322"/>
      <c r="AP236" s="322"/>
      <c r="AQ236" s="322"/>
      <c r="AR236" s="322"/>
      <c r="AS236" s="322"/>
      <c r="AT236" s="322"/>
      <c r="AU236" s="322"/>
      <c r="AV236" s="322"/>
      <c r="AW236" s="322"/>
      <c r="AX236" s="322"/>
      <c r="AY236" s="322"/>
      <c r="AZ236" s="322"/>
      <c r="BA236" s="322"/>
      <c r="BB236" s="322"/>
      <c r="BC236" s="322"/>
      <c r="BD236" s="322"/>
      <c r="BE236" s="322"/>
      <c r="BF236" s="322"/>
      <c r="BG236" s="322"/>
      <c r="BH236" s="322"/>
      <c r="BI236" s="322"/>
      <c r="BJ236" s="322"/>
      <c r="BK236" s="322"/>
      <c r="BL236" s="322"/>
      <c r="BM236" s="322"/>
      <c r="BN236" s="322"/>
      <c r="BO236" s="322"/>
    </row>
    <row r="237">
      <c r="A237" s="321" t="s">
        <v>698</v>
      </c>
      <c r="B237" s="341">
        <v>48758.86</v>
      </c>
      <c r="C237" s="342">
        <v>0.02037876</v>
      </c>
      <c r="D237" s="185">
        <f t="shared" si="1"/>
        <v>0.0002037876</v>
      </c>
      <c r="E237" s="321"/>
      <c r="H237" s="324"/>
      <c r="I237" s="324"/>
      <c r="J237" s="324"/>
      <c r="K237" s="324"/>
      <c r="L237" s="324"/>
      <c r="M237" s="324"/>
      <c r="N237" s="324"/>
      <c r="O237" s="324"/>
      <c r="P237" s="324"/>
      <c r="Q237" s="324"/>
      <c r="R237" s="324"/>
      <c r="S237" s="324"/>
      <c r="T237" s="324"/>
      <c r="U237" s="324"/>
      <c r="V237" s="324"/>
      <c r="W237" s="324"/>
      <c r="X237" s="324"/>
      <c r="Y237" s="324"/>
      <c r="Z237" s="324"/>
      <c r="AA237" s="324"/>
      <c r="AB237" s="324"/>
      <c r="AC237" s="324"/>
      <c r="AD237" s="324"/>
      <c r="AE237" s="324"/>
      <c r="AF237" s="324"/>
      <c r="AG237" s="324"/>
      <c r="AH237" s="324"/>
      <c r="AI237" s="324"/>
      <c r="AJ237" s="324"/>
      <c r="AK237" s="324"/>
      <c r="AL237" s="324"/>
      <c r="AM237" s="324"/>
      <c r="AN237" s="322"/>
      <c r="AO237" s="322"/>
      <c r="AP237" s="322"/>
      <c r="AQ237" s="322"/>
      <c r="AR237" s="322"/>
      <c r="AS237" s="322"/>
      <c r="AT237" s="322"/>
      <c r="AU237" s="322"/>
      <c r="AV237" s="322"/>
      <c r="AW237" s="322"/>
      <c r="AX237" s="322"/>
      <c r="AY237" s="322"/>
      <c r="AZ237" s="322"/>
      <c r="BA237" s="322"/>
      <c r="BB237" s="322"/>
      <c r="BC237" s="322"/>
      <c r="BD237" s="322"/>
      <c r="BE237" s="322"/>
      <c r="BF237" s="322"/>
      <c r="BG237" s="322"/>
      <c r="BH237" s="322"/>
      <c r="BI237" s="322"/>
      <c r="BJ237" s="322"/>
      <c r="BK237" s="322"/>
      <c r="BL237" s="322"/>
      <c r="BM237" s="322"/>
      <c r="BN237" s="322"/>
      <c r="BO237" s="322"/>
    </row>
    <row r="238">
      <c r="A238" s="321" t="s">
        <v>699</v>
      </c>
      <c r="B238" s="341">
        <v>17465.86</v>
      </c>
      <c r="C238" s="342">
        <v>0.1134885</v>
      </c>
      <c r="D238" s="185">
        <f t="shared" si="1"/>
        <v>0.001134885</v>
      </c>
      <c r="E238" s="321"/>
      <c r="H238" s="322"/>
      <c r="I238" s="322"/>
      <c r="J238" s="322"/>
      <c r="K238" s="322"/>
      <c r="L238" s="322"/>
      <c r="M238" s="322"/>
      <c r="N238" s="322"/>
      <c r="O238" s="322"/>
      <c r="P238" s="322"/>
      <c r="Q238" s="322"/>
      <c r="R238" s="322"/>
      <c r="S238" s="322"/>
      <c r="T238" s="322"/>
      <c r="U238" s="322"/>
      <c r="V238" s="322"/>
      <c r="W238" s="322"/>
      <c r="X238" s="322"/>
      <c r="Y238" s="322"/>
      <c r="Z238" s="322"/>
      <c r="AA238" s="322"/>
      <c r="AB238" s="322"/>
      <c r="AC238" s="322"/>
      <c r="AD238" s="322"/>
      <c r="AE238" s="322"/>
      <c r="AF238" s="322"/>
      <c r="AG238" s="322"/>
      <c r="AH238" s="322"/>
      <c r="AI238" s="322"/>
      <c r="AJ238" s="322"/>
      <c r="AK238" s="322"/>
      <c r="AL238" s="322"/>
      <c r="AM238" s="322"/>
      <c r="AN238" s="322"/>
      <c r="AO238" s="322"/>
      <c r="AP238" s="322"/>
      <c r="AQ238" s="322"/>
      <c r="AR238" s="322"/>
      <c r="AS238" s="322"/>
      <c r="AT238" s="322"/>
      <c r="AU238" s="322"/>
      <c r="AV238" s="322"/>
      <c r="AW238" s="322"/>
      <c r="AX238" s="322"/>
      <c r="AY238" s="322"/>
      <c r="AZ238" s="322"/>
      <c r="BA238" s="322"/>
      <c r="BB238" s="322"/>
      <c r="BC238" s="322"/>
      <c r="BD238" s="322"/>
      <c r="BE238" s="322"/>
      <c r="BF238" s="322"/>
      <c r="BG238" s="322"/>
      <c r="BH238" s="322"/>
      <c r="BI238" s="322"/>
      <c r="BJ238" s="322"/>
      <c r="BK238" s="322"/>
      <c r="BL238" s="322"/>
      <c r="BM238" s="322"/>
      <c r="BN238" s="322"/>
      <c r="BO238" s="322"/>
    </row>
    <row r="239">
      <c r="A239" s="321" t="s">
        <v>700</v>
      </c>
      <c r="B239" s="341">
        <v>47903.34</v>
      </c>
      <c r="C239" s="342">
        <v>0.03935859</v>
      </c>
      <c r="D239" s="185">
        <f t="shared" si="1"/>
        <v>0.0003935859</v>
      </c>
      <c r="E239" s="321"/>
      <c r="H239" s="324"/>
      <c r="I239" s="324"/>
      <c r="J239" s="324"/>
      <c r="K239" s="324"/>
      <c r="L239" s="324"/>
      <c r="M239" s="324"/>
      <c r="N239" s="324"/>
      <c r="O239" s="324"/>
      <c r="P239" s="324"/>
      <c r="Q239" s="324"/>
      <c r="R239" s="324"/>
      <c r="S239" s="324"/>
      <c r="T239" s="324"/>
      <c r="U239" s="324"/>
      <c r="V239" s="324"/>
      <c r="W239" s="324"/>
      <c r="X239" s="324"/>
      <c r="Y239" s="324"/>
      <c r="Z239" s="324"/>
      <c r="AA239" s="324"/>
      <c r="AB239" s="324"/>
      <c r="AC239" s="324"/>
      <c r="AD239" s="324"/>
      <c r="AE239" s="324"/>
      <c r="AF239" s="324"/>
      <c r="AG239" s="324"/>
      <c r="AH239" s="324"/>
      <c r="AI239" s="322"/>
      <c r="AJ239" s="322"/>
      <c r="AK239" s="322"/>
      <c r="AL239" s="322"/>
      <c r="AM239" s="322"/>
      <c r="AN239" s="322"/>
      <c r="AO239" s="322"/>
      <c r="AP239" s="322"/>
      <c r="AQ239" s="322"/>
      <c r="AR239" s="322"/>
      <c r="AS239" s="322"/>
      <c r="AT239" s="322"/>
      <c r="AU239" s="322"/>
      <c r="AV239" s="322"/>
      <c r="AW239" s="322"/>
      <c r="AX239" s="322"/>
      <c r="AY239" s="322"/>
      <c r="AZ239" s="322"/>
      <c r="BA239" s="322"/>
      <c r="BB239" s="322"/>
      <c r="BC239" s="322"/>
      <c r="BD239" s="322"/>
      <c r="BE239" s="322"/>
      <c r="BF239" s="322"/>
      <c r="BG239" s="322"/>
      <c r="BH239" s="322"/>
      <c r="BI239" s="322"/>
      <c r="BJ239" s="322"/>
      <c r="BK239" s="322"/>
      <c r="BL239" s="322"/>
      <c r="BM239" s="322"/>
      <c r="BN239" s="322"/>
      <c r="BO239" s="322"/>
    </row>
    <row r="240">
      <c r="A240" s="321" t="s">
        <v>701</v>
      </c>
      <c r="B240" s="341">
        <v>44103.55</v>
      </c>
      <c r="C240" s="342">
        <v>0.033485589999999996</v>
      </c>
      <c r="D240" s="185">
        <f t="shared" si="1"/>
        <v>0.0003348559</v>
      </c>
      <c r="E240" s="321"/>
      <c r="H240" s="324"/>
      <c r="I240" s="324"/>
      <c r="J240" s="324"/>
      <c r="K240" s="324"/>
      <c r="L240" s="324"/>
      <c r="M240" s="324"/>
      <c r="N240" s="324"/>
      <c r="O240" s="324"/>
      <c r="P240" s="324"/>
      <c r="Q240" s="324"/>
      <c r="R240" s="324"/>
      <c r="S240" s="324"/>
      <c r="T240" s="324"/>
      <c r="U240" s="324"/>
      <c r="V240" s="324"/>
      <c r="W240" s="324"/>
      <c r="X240" s="324"/>
      <c r="Y240" s="324"/>
      <c r="Z240" s="324"/>
      <c r="AA240" s="324"/>
      <c r="AB240" s="324"/>
      <c r="AC240" s="324"/>
      <c r="AD240" s="324"/>
      <c r="AE240" s="324"/>
      <c r="AF240" s="324"/>
      <c r="AG240" s="324"/>
      <c r="AH240" s="322"/>
      <c r="AI240" s="322"/>
      <c r="AJ240" s="322"/>
      <c r="AK240" s="322"/>
      <c r="AL240" s="322"/>
      <c r="AM240" s="322"/>
      <c r="AN240" s="322"/>
      <c r="AO240" s="322"/>
      <c r="AP240" s="322"/>
      <c r="AQ240" s="322"/>
      <c r="AR240" s="322"/>
      <c r="AS240" s="322"/>
      <c r="AT240" s="322"/>
      <c r="AU240" s="322"/>
      <c r="AV240" s="322"/>
      <c r="AW240" s="322"/>
      <c r="AX240" s="322"/>
      <c r="AY240" s="322"/>
      <c r="AZ240" s="322"/>
      <c r="BA240" s="322"/>
      <c r="BB240" s="322"/>
      <c r="BC240" s="322"/>
      <c r="BD240" s="322"/>
      <c r="BE240" s="322"/>
      <c r="BF240" s="322"/>
      <c r="BG240" s="322"/>
      <c r="BH240" s="322"/>
      <c r="BI240" s="322"/>
      <c r="BJ240" s="322"/>
      <c r="BK240" s="322"/>
      <c r="BL240" s="322"/>
      <c r="BM240" s="322"/>
      <c r="BN240" s="322"/>
      <c r="BO240" s="322"/>
    </row>
    <row r="241">
      <c r="A241" s="321" t="s">
        <v>77</v>
      </c>
      <c r="B241" s="341">
        <v>3361.106</v>
      </c>
      <c r="C241" s="342">
        <v>0.27053309999999997</v>
      </c>
      <c r="D241" s="185">
        <f t="shared" si="1"/>
        <v>0.002705331</v>
      </c>
      <c r="E241" s="321"/>
      <c r="H241" s="324"/>
      <c r="I241" s="324"/>
      <c r="J241" s="322"/>
      <c r="K241" s="322"/>
      <c r="L241" s="322"/>
      <c r="M241" s="322"/>
      <c r="N241" s="322"/>
      <c r="O241" s="322"/>
      <c r="P241" s="322"/>
      <c r="Q241" s="322"/>
      <c r="R241" s="322"/>
      <c r="S241" s="322"/>
      <c r="T241" s="322"/>
      <c r="U241" s="322"/>
      <c r="V241" s="322"/>
      <c r="W241" s="322"/>
      <c r="X241" s="322"/>
      <c r="Y241" s="322"/>
      <c r="Z241" s="322"/>
      <c r="AA241" s="322"/>
      <c r="AB241" s="322"/>
      <c r="AC241" s="322"/>
      <c r="AD241" s="322"/>
      <c r="AE241" s="322"/>
      <c r="AF241" s="322"/>
      <c r="AG241" s="322"/>
      <c r="AH241" s="322"/>
      <c r="AI241" s="322"/>
      <c r="AJ241" s="322"/>
      <c r="AK241" s="322"/>
      <c r="AL241" s="322"/>
      <c r="AM241" s="322"/>
      <c r="AN241" s="322"/>
      <c r="AO241" s="322"/>
      <c r="AP241" s="322"/>
      <c r="AQ241" s="322"/>
      <c r="AR241" s="322"/>
      <c r="AS241" s="322"/>
      <c r="AT241" s="322"/>
      <c r="AU241" s="322"/>
      <c r="AV241" s="322"/>
      <c r="AW241" s="322"/>
      <c r="AX241" s="322"/>
      <c r="AY241" s="322"/>
      <c r="AZ241" s="322"/>
      <c r="BA241" s="322"/>
      <c r="BB241" s="322"/>
      <c r="BC241" s="322"/>
      <c r="BD241" s="322"/>
      <c r="BE241" s="322"/>
      <c r="BF241" s="322"/>
      <c r="BG241" s="322"/>
      <c r="BH241" s="322"/>
      <c r="BI241" s="322"/>
      <c r="BJ241" s="322"/>
      <c r="BK241" s="322"/>
      <c r="BL241" s="322"/>
      <c r="BM241" s="322"/>
      <c r="BN241" s="322"/>
      <c r="BO241" s="322"/>
    </row>
    <row r="242">
      <c r="A242" s="321" t="s">
        <v>702</v>
      </c>
      <c r="B242" s="341">
        <v>9387.855</v>
      </c>
      <c r="C242" s="342">
        <v>0.1598194</v>
      </c>
      <c r="D242" s="185">
        <f t="shared" si="1"/>
        <v>0.001598194</v>
      </c>
      <c r="E242" s="321"/>
      <c r="H242" s="322"/>
      <c r="I242" s="322"/>
      <c r="J242" s="322"/>
      <c r="K242" s="322"/>
      <c r="L242" s="322"/>
      <c r="M242" s="322"/>
      <c r="N242" s="322"/>
      <c r="O242" s="322"/>
      <c r="P242" s="322"/>
      <c r="Q242" s="322"/>
      <c r="R242" s="322"/>
      <c r="S242" s="322"/>
      <c r="T242" s="322"/>
      <c r="U242" s="322"/>
      <c r="V242" s="322"/>
      <c r="W242" s="322"/>
      <c r="X242" s="322"/>
      <c r="Y242" s="322"/>
      <c r="Z242" s="322"/>
      <c r="AA242" s="322"/>
      <c r="AB242" s="322"/>
      <c r="AC242" s="322"/>
      <c r="AD242" s="322"/>
      <c r="AE242" s="322"/>
      <c r="AF242" s="322"/>
      <c r="AG242" s="322"/>
      <c r="AH242" s="322"/>
      <c r="AI242" s="322"/>
      <c r="AJ242" s="322"/>
      <c r="AK242" s="322"/>
      <c r="AL242" s="322"/>
      <c r="AM242" s="322"/>
      <c r="AN242" s="322"/>
      <c r="AO242" s="322"/>
      <c r="AP242" s="322"/>
      <c r="AQ242" s="322"/>
      <c r="AR242" s="322"/>
      <c r="AS242" s="322"/>
      <c r="AT242" s="322"/>
      <c r="AU242" s="322"/>
      <c r="AV242" s="322"/>
      <c r="AW242" s="322"/>
      <c r="AX242" s="322"/>
      <c r="AY242" s="322"/>
      <c r="AZ242" s="322"/>
      <c r="BA242" s="322"/>
      <c r="BB242" s="322"/>
      <c r="BC242" s="322"/>
      <c r="BD242" s="322"/>
      <c r="BE242" s="322"/>
      <c r="BF242" s="322"/>
      <c r="BG242" s="322"/>
      <c r="BH242" s="322"/>
      <c r="BI242" s="322"/>
      <c r="BJ242" s="322"/>
      <c r="BK242" s="322"/>
      <c r="BL242" s="322"/>
      <c r="BM242" s="322"/>
      <c r="BN242" s="322"/>
      <c r="BO242" s="322"/>
    </row>
    <row r="243">
      <c r="A243" s="321" t="s">
        <v>703</v>
      </c>
      <c r="B243" s="341">
        <v>54991.72</v>
      </c>
      <c r="C243" s="342">
        <v>0.02714943</v>
      </c>
      <c r="D243" s="185">
        <f t="shared" si="1"/>
        <v>0.0002714943</v>
      </c>
      <c r="E243" s="321"/>
      <c r="H243" s="324"/>
      <c r="I243" s="324"/>
      <c r="J243" s="324"/>
      <c r="K243" s="324"/>
      <c r="L243" s="324"/>
      <c r="M243" s="322"/>
      <c r="N243" s="322"/>
      <c r="O243" s="322"/>
      <c r="P243" s="322"/>
      <c r="Q243" s="322"/>
      <c r="R243" s="322"/>
      <c r="S243" s="322"/>
      <c r="T243" s="322"/>
      <c r="U243" s="322"/>
      <c r="V243" s="322"/>
      <c r="W243" s="322"/>
      <c r="X243" s="322"/>
      <c r="Y243" s="322"/>
      <c r="Z243" s="322"/>
      <c r="AA243" s="322"/>
      <c r="AB243" s="322"/>
      <c r="AC243" s="322"/>
      <c r="AD243" s="322"/>
      <c r="AE243" s="322"/>
      <c r="AF243" s="322"/>
      <c r="AG243" s="322"/>
      <c r="AH243" s="322"/>
      <c r="AI243" s="322"/>
      <c r="AJ243" s="322"/>
      <c r="AK243" s="322"/>
      <c r="AL243" s="322"/>
      <c r="AM243" s="322"/>
      <c r="AN243" s="322"/>
      <c r="AO243" s="322"/>
      <c r="AP243" s="322"/>
      <c r="AQ243" s="322"/>
      <c r="AR243" s="322"/>
      <c r="AS243" s="322"/>
      <c r="AT243" s="322"/>
      <c r="AU243" s="322"/>
      <c r="AV243" s="322"/>
      <c r="AW243" s="322"/>
      <c r="AX243" s="322"/>
      <c r="AY243" s="322"/>
      <c r="AZ243" s="322"/>
      <c r="BA243" s="322"/>
      <c r="BB243" s="322"/>
      <c r="BC243" s="322"/>
      <c r="BD243" s="322"/>
      <c r="BE243" s="322"/>
      <c r="BF243" s="322"/>
      <c r="BG243" s="322"/>
      <c r="BH243" s="322"/>
      <c r="BI243" s="322"/>
      <c r="BJ243" s="322"/>
      <c r="BK243" s="322"/>
      <c r="BL243" s="322"/>
      <c r="BM243" s="322"/>
      <c r="BN243" s="322"/>
      <c r="BO243" s="322"/>
    </row>
    <row r="244">
      <c r="A244" s="321" t="s">
        <v>561</v>
      </c>
      <c r="B244" s="341">
        <v>3137.162</v>
      </c>
      <c r="C244" s="342">
        <v>0.05591539</v>
      </c>
      <c r="D244" s="185">
        <f t="shared" si="1"/>
        <v>0.0005591539</v>
      </c>
      <c r="E244" s="321"/>
      <c r="H244" s="322"/>
      <c r="I244" s="322"/>
      <c r="J244" s="322"/>
      <c r="K244" s="322"/>
      <c r="L244" s="322"/>
      <c r="M244" s="322"/>
      <c r="N244" s="322"/>
      <c r="O244" s="322"/>
      <c r="P244" s="322"/>
      <c r="Q244" s="322"/>
      <c r="R244" s="322"/>
      <c r="S244" s="322"/>
      <c r="T244" s="322"/>
      <c r="U244" s="322"/>
      <c r="V244" s="322"/>
      <c r="W244" s="322"/>
      <c r="X244" s="322"/>
      <c r="Y244" s="322"/>
      <c r="Z244" s="322"/>
      <c r="AA244" s="322"/>
      <c r="AB244" s="322"/>
      <c r="AC244" s="322"/>
      <c r="AD244" s="322"/>
      <c r="AE244" s="322"/>
      <c r="AF244" s="322"/>
      <c r="AG244" s="322"/>
      <c r="AH244" s="322"/>
      <c r="AI244" s="322"/>
      <c r="AJ244" s="322"/>
      <c r="AK244" s="322"/>
      <c r="AL244" s="322"/>
      <c r="AM244" s="322"/>
      <c r="AN244" s="322"/>
      <c r="AO244" s="322"/>
      <c r="AP244" s="322"/>
      <c r="AQ244" s="322"/>
      <c r="AR244" s="322"/>
      <c r="AS244" s="322"/>
      <c r="AT244" s="322"/>
      <c r="AU244" s="322"/>
      <c r="AV244" s="322"/>
      <c r="AW244" s="322"/>
      <c r="AX244" s="322"/>
      <c r="AY244" s="322"/>
      <c r="AZ244" s="322"/>
      <c r="BA244" s="322"/>
      <c r="BB244" s="322"/>
      <c r="BC244" s="322"/>
      <c r="BD244" s="322"/>
      <c r="BE244" s="322"/>
      <c r="BF244" s="322"/>
      <c r="BG244" s="322"/>
      <c r="BH244" s="322"/>
      <c r="BI244" s="322"/>
      <c r="BJ244" s="322"/>
      <c r="BK244" s="322"/>
      <c r="BL244" s="322"/>
      <c r="BM244" s="322"/>
      <c r="BN244" s="322"/>
      <c r="BO244" s="322"/>
    </row>
    <row r="245">
      <c r="A245" s="321" t="s">
        <v>564</v>
      </c>
      <c r="B245" s="341">
        <v>4833.033</v>
      </c>
      <c r="C245" s="342">
        <v>0.1636946</v>
      </c>
      <c r="D245" s="185">
        <f t="shared" si="1"/>
        <v>0.001636946</v>
      </c>
      <c r="E245" s="321"/>
      <c r="H245" s="322"/>
      <c r="I245" s="322"/>
      <c r="J245" s="322"/>
      <c r="K245" s="322"/>
      <c r="L245" s="322"/>
      <c r="M245" s="322"/>
      <c r="N245" s="322"/>
      <c r="O245" s="322"/>
      <c r="P245" s="322"/>
      <c r="Q245" s="322"/>
      <c r="R245" s="322"/>
      <c r="S245" s="322"/>
      <c r="T245" s="322"/>
      <c r="U245" s="322"/>
      <c r="V245" s="322"/>
      <c r="W245" s="322"/>
      <c r="X245" s="322"/>
      <c r="Y245" s="322"/>
      <c r="Z245" s="322"/>
      <c r="AA245" s="322"/>
      <c r="AB245" s="322"/>
      <c r="AC245" s="322"/>
      <c r="AD245" s="322"/>
      <c r="AE245" s="322"/>
      <c r="AF245" s="322"/>
      <c r="AG245" s="322"/>
      <c r="AH245" s="322"/>
      <c r="AI245" s="322"/>
      <c r="AJ245" s="322"/>
      <c r="AK245" s="322"/>
      <c r="AL245" s="322"/>
      <c r="AM245" s="322"/>
      <c r="AN245" s="322"/>
      <c r="AO245" s="322"/>
      <c r="AP245" s="322"/>
      <c r="AQ245" s="322"/>
      <c r="AR245" s="322"/>
      <c r="AS245" s="322"/>
      <c r="AT245" s="322"/>
      <c r="AU245" s="322"/>
      <c r="AV245" s="322"/>
      <c r="AW245" s="322"/>
      <c r="AX245" s="322"/>
      <c r="AY245" s="322"/>
      <c r="AZ245" s="322"/>
      <c r="BA245" s="322"/>
      <c r="BB245" s="322"/>
      <c r="BC245" s="322"/>
      <c r="BD245" s="322"/>
      <c r="BE245" s="322"/>
      <c r="BF245" s="322"/>
      <c r="BG245" s="322"/>
      <c r="BH245" s="322"/>
      <c r="BI245" s="322"/>
      <c r="BJ245" s="322"/>
      <c r="BK245" s="322"/>
      <c r="BL245" s="322"/>
      <c r="BM245" s="322"/>
      <c r="BN245" s="322"/>
      <c r="BO245" s="322"/>
    </row>
    <row r="246">
      <c r="A246" s="321" t="s">
        <v>704</v>
      </c>
      <c r="B246" s="341">
        <v>141500.2</v>
      </c>
      <c r="C246" s="342">
        <v>2.9066000000000004E-4</v>
      </c>
      <c r="D246" s="185">
        <f t="shared" si="1"/>
        <v>0.0000029066</v>
      </c>
      <c r="E246" s="321"/>
      <c r="H246" s="322"/>
      <c r="I246" s="322"/>
      <c r="J246" s="322"/>
      <c r="K246" s="322"/>
      <c r="L246" s="322"/>
      <c r="M246" s="322"/>
      <c r="N246" s="322"/>
      <c r="O246" s="322"/>
      <c r="P246" s="322"/>
      <c r="Q246" s="322"/>
      <c r="R246" s="322"/>
      <c r="S246" s="322"/>
      <c r="T246" s="322"/>
      <c r="U246" s="322"/>
      <c r="V246" s="322"/>
      <c r="W246" s="322"/>
      <c r="X246" s="322"/>
      <c r="Y246" s="322"/>
      <c r="Z246" s="322"/>
      <c r="AA246" s="322"/>
      <c r="AB246" s="322"/>
      <c r="AC246" s="322"/>
      <c r="AD246" s="322"/>
      <c r="AE246" s="322"/>
      <c r="AF246" s="322"/>
      <c r="AG246" s="322"/>
      <c r="AH246" s="322"/>
      <c r="AI246" s="322"/>
      <c r="AJ246" s="322"/>
      <c r="AK246" s="322"/>
      <c r="AL246" s="322"/>
      <c r="AM246" s="322"/>
      <c r="AN246" s="322"/>
      <c r="AO246" s="322"/>
      <c r="AP246" s="322"/>
      <c r="AQ246" s="322"/>
      <c r="AR246" s="322"/>
      <c r="AS246" s="322"/>
      <c r="AT246" s="322"/>
      <c r="AU246" s="322"/>
      <c r="AV246" s="322"/>
      <c r="AW246" s="322"/>
      <c r="AX246" s="322"/>
      <c r="AY246" s="322"/>
      <c r="AZ246" s="322"/>
      <c r="BA246" s="322"/>
      <c r="BB246" s="322"/>
      <c r="BC246" s="322"/>
      <c r="BD246" s="322"/>
      <c r="BE246" s="322"/>
      <c r="BF246" s="322"/>
      <c r="BG246" s="322"/>
      <c r="BH246" s="322"/>
      <c r="BI246" s="322"/>
      <c r="BJ246" s="322"/>
      <c r="BK246" s="322"/>
      <c r="BL246" s="322"/>
      <c r="BM246" s="322"/>
      <c r="BN246" s="322"/>
      <c r="BO246" s="322"/>
    </row>
    <row r="247">
      <c r="A247" s="321" t="s">
        <v>566</v>
      </c>
      <c r="B247" s="341">
        <v>1846.684</v>
      </c>
      <c r="C247" s="342">
        <v>0.6435417999999999</v>
      </c>
      <c r="D247" s="185">
        <f t="shared" si="1"/>
        <v>0.006435418</v>
      </c>
      <c r="E247" s="321"/>
      <c r="H247" s="324"/>
      <c r="I247" s="322"/>
      <c r="J247" s="322"/>
      <c r="K247" s="322"/>
      <c r="L247" s="322"/>
      <c r="M247" s="322"/>
      <c r="N247" s="322"/>
      <c r="O247" s="322"/>
      <c r="P247" s="322"/>
      <c r="Q247" s="322"/>
      <c r="R247" s="322"/>
      <c r="S247" s="322"/>
      <c r="T247" s="322"/>
      <c r="U247" s="322"/>
      <c r="V247" s="322"/>
      <c r="W247" s="322"/>
      <c r="X247" s="322"/>
      <c r="Y247" s="322"/>
      <c r="Z247" s="322"/>
      <c r="AA247" s="322"/>
      <c r="AB247" s="322"/>
      <c r="AC247" s="322"/>
      <c r="AD247" s="322"/>
      <c r="AE247" s="322"/>
      <c r="AF247" s="322"/>
      <c r="AG247" s="322"/>
      <c r="AH247" s="322"/>
      <c r="AI247" s="322"/>
      <c r="AJ247" s="322"/>
      <c r="AK247" s="322"/>
      <c r="AL247" s="322"/>
      <c r="AM247" s="322"/>
      <c r="AN247" s="322"/>
      <c r="AO247" s="322"/>
      <c r="AP247" s="322"/>
      <c r="AQ247" s="322"/>
      <c r="AR247" s="322"/>
      <c r="AS247" s="322"/>
      <c r="AT247" s="322"/>
      <c r="AU247" s="322"/>
      <c r="AV247" s="322"/>
      <c r="AW247" s="322"/>
      <c r="AX247" s="322"/>
      <c r="AY247" s="322"/>
      <c r="AZ247" s="322"/>
      <c r="BA247" s="322"/>
      <c r="BB247" s="322"/>
      <c r="BC247" s="322"/>
      <c r="BD247" s="322"/>
      <c r="BE247" s="322"/>
      <c r="BF247" s="322"/>
      <c r="BG247" s="322"/>
      <c r="BH247" s="322"/>
      <c r="BI247" s="322"/>
      <c r="BJ247" s="322"/>
      <c r="BK247" s="322"/>
      <c r="BL247" s="322"/>
      <c r="BM247" s="322"/>
      <c r="BN247" s="322"/>
      <c r="BO247" s="322"/>
    </row>
    <row r="248">
      <c r="A248" s="321" t="s">
        <v>705</v>
      </c>
      <c r="B248" s="341">
        <v>12542.31</v>
      </c>
      <c r="C248" s="342">
        <v>0.04605443</v>
      </c>
      <c r="D248" s="185">
        <f t="shared" si="1"/>
        <v>0.0004605443</v>
      </c>
      <c r="E248" s="321"/>
      <c r="H248" s="324"/>
      <c r="I248" s="324"/>
      <c r="J248" s="322"/>
      <c r="K248" s="322"/>
      <c r="L248" s="322"/>
      <c r="M248" s="322"/>
      <c r="N248" s="322"/>
      <c r="O248" s="322"/>
      <c r="P248" s="322"/>
      <c r="Q248" s="322"/>
      <c r="R248" s="322"/>
      <c r="S248" s="322"/>
      <c r="T248" s="322"/>
      <c r="U248" s="322"/>
      <c r="V248" s="322"/>
      <c r="W248" s="322"/>
      <c r="X248" s="322"/>
      <c r="Y248" s="322"/>
      <c r="Z248" s="322"/>
      <c r="AA248" s="322"/>
      <c r="AB248" s="322"/>
      <c r="AC248" s="322"/>
      <c r="AD248" s="322"/>
      <c r="AE248" s="322"/>
      <c r="AF248" s="322"/>
      <c r="AG248" s="322"/>
      <c r="AH248" s="322"/>
      <c r="AI248" s="322"/>
      <c r="AJ248" s="322"/>
      <c r="AK248" s="322"/>
      <c r="AL248" s="322"/>
      <c r="AM248" s="322"/>
      <c r="AN248" s="322"/>
      <c r="AO248" s="322"/>
      <c r="AP248" s="322"/>
      <c r="AQ248" s="322"/>
      <c r="AR248" s="322"/>
      <c r="AS248" s="322"/>
      <c r="AT248" s="322"/>
      <c r="AU248" s="322"/>
      <c r="AV248" s="322"/>
      <c r="AW248" s="322"/>
      <c r="AX248" s="322"/>
      <c r="AY248" s="322"/>
      <c r="AZ248" s="322"/>
      <c r="BA248" s="322"/>
      <c r="BB248" s="322"/>
      <c r="BC248" s="322"/>
      <c r="BD248" s="322"/>
      <c r="BE248" s="322"/>
      <c r="BF248" s="322"/>
      <c r="BG248" s="322"/>
      <c r="BH248" s="322"/>
      <c r="BI248" s="322"/>
      <c r="BJ248" s="322"/>
      <c r="BK248" s="322"/>
      <c r="BL248" s="322"/>
      <c r="BM248" s="322"/>
      <c r="BN248" s="322"/>
      <c r="BO248" s="322"/>
    </row>
    <row r="249">
      <c r="A249" s="321" t="s">
        <v>706</v>
      </c>
      <c r="B249" s="341">
        <v>27401.79</v>
      </c>
      <c r="C249" s="342">
        <v>0.05234588</v>
      </c>
      <c r="D249" s="185">
        <f t="shared" si="1"/>
        <v>0.0005234588</v>
      </c>
      <c r="E249" s="321"/>
      <c r="H249" s="324"/>
      <c r="I249" s="324"/>
      <c r="J249" s="324"/>
      <c r="K249" s="324"/>
      <c r="L249" s="324"/>
      <c r="M249" s="324"/>
      <c r="N249" s="324"/>
      <c r="O249" s="324"/>
      <c r="P249" s="324"/>
      <c r="Q249" s="324"/>
      <c r="R249" s="324"/>
      <c r="S249" s="324"/>
      <c r="T249" s="324"/>
      <c r="U249" s="324"/>
      <c r="V249" s="324"/>
      <c r="W249" s="324"/>
      <c r="X249" s="324"/>
      <c r="Y249" s="324"/>
      <c r="Z249" s="324"/>
      <c r="AA249" s="324"/>
      <c r="AB249" s="324"/>
      <c r="AC249" s="324"/>
      <c r="AD249" s="324"/>
      <c r="AE249" s="324"/>
      <c r="AF249" s="324"/>
      <c r="AG249" s="324"/>
      <c r="AH249" s="324"/>
      <c r="AI249" s="324"/>
      <c r="AJ249" s="324"/>
      <c r="AK249" s="324"/>
      <c r="AL249" s="324"/>
      <c r="AM249" s="324"/>
      <c r="AN249" s="322"/>
      <c r="AO249" s="322"/>
      <c r="AP249" s="322"/>
      <c r="AQ249" s="322"/>
      <c r="AR249" s="322"/>
      <c r="AS249" s="322"/>
      <c r="AT249" s="322"/>
      <c r="AU249" s="322"/>
      <c r="AV249" s="322"/>
      <c r="AW249" s="322"/>
      <c r="AX249" s="322"/>
      <c r="AY249" s="322"/>
      <c r="AZ249" s="322"/>
      <c r="BA249" s="322"/>
      <c r="BB249" s="322"/>
      <c r="BC249" s="322"/>
      <c r="BD249" s="322"/>
      <c r="BE249" s="322"/>
      <c r="BF249" s="322"/>
      <c r="BG249" s="322"/>
      <c r="BH249" s="322"/>
      <c r="BI249" s="322"/>
      <c r="BJ249" s="322"/>
      <c r="BK249" s="322"/>
      <c r="BL249" s="322"/>
      <c r="BM249" s="322"/>
      <c r="BN249" s="322"/>
      <c r="BO249" s="322"/>
    </row>
    <row r="250">
      <c r="A250" s="321" t="s">
        <v>707</v>
      </c>
      <c r="B250" s="341">
        <v>44650.2</v>
      </c>
      <c r="C250" s="342">
        <v>0.01953152</v>
      </c>
      <c r="D250" s="185">
        <f t="shared" si="1"/>
        <v>0.0001953152</v>
      </c>
      <c r="E250" s="321"/>
      <c r="H250" s="324"/>
      <c r="I250" s="324"/>
      <c r="J250" s="324"/>
      <c r="K250" s="324"/>
      <c r="L250" s="324"/>
      <c r="M250" s="324"/>
      <c r="N250" s="324"/>
      <c r="O250" s="324"/>
      <c r="P250" s="324"/>
      <c r="Q250" s="324"/>
      <c r="R250" s="324"/>
      <c r="S250" s="324"/>
      <c r="T250" s="324"/>
      <c r="U250" s="324"/>
      <c r="V250" s="324"/>
      <c r="W250" s="324"/>
      <c r="X250" s="324"/>
      <c r="Y250" s="324"/>
      <c r="Z250" s="324"/>
      <c r="AA250" s="324"/>
      <c r="AB250" s="324"/>
      <c r="AC250" s="324"/>
      <c r="AD250" s="324"/>
      <c r="AE250" s="324"/>
      <c r="AF250" s="324"/>
      <c r="AG250" s="324"/>
      <c r="AH250" s="324"/>
      <c r="AI250" s="324"/>
      <c r="AJ250" s="324"/>
      <c r="AK250" s="324"/>
      <c r="AL250" s="324"/>
      <c r="AM250" s="324"/>
      <c r="AN250" s="322"/>
      <c r="AO250" s="322"/>
      <c r="AP250" s="322"/>
      <c r="AQ250" s="322"/>
      <c r="AR250" s="322"/>
      <c r="AS250" s="322"/>
      <c r="AT250" s="322"/>
      <c r="AU250" s="322"/>
      <c r="AV250" s="322"/>
      <c r="AW250" s="322"/>
      <c r="AX250" s="322"/>
      <c r="AY250" s="322"/>
      <c r="AZ250" s="322"/>
      <c r="BA250" s="322"/>
      <c r="BB250" s="322"/>
      <c r="BC250" s="322"/>
      <c r="BD250" s="322"/>
      <c r="BE250" s="322"/>
      <c r="BF250" s="322"/>
      <c r="BG250" s="322"/>
      <c r="BH250" s="322"/>
      <c r="BI250" s="322"/>
      <c r="BJ250" s="322"/>
      <c r="BK250" s="322"/>
      <c r="BL250" s="322"/>
      <c r="BM250" s="322"/>
      <c r="BN250" s="322"/>
      <c r="BO250" s="322"/>
    </row>
    <row r="251">
      <c r="A251" s="321" t="s">
        <v>708</v>
      </c>
      <c r="B251" s="341">
        <v>54947.47</v>
      </c>
      <c r="C251" s="342">
        <v>0.01873408</v>
      </c>
      <c r="D251" s="185">
        <f t="shared" si="1"/>
        <v>0.0001873408</v>
      </c>
      <c r="E251" s="321"/>
      <c r="H251" s="324"/>
      <c r="I251" s="324"/>
      <c r="J251" s="324"/>
      <c r="K251" s="324"/>
      <c r="L251" s="324"/>
      <c r="M251" s="324"/>
      <c r="N251" s="324"/>
      <c r="O251" s="324"/>
      <c r="P251" s="324"/>
      <c r="Q251" s="324"/>
      <c r="R251" s="324"/>
      <c r="S251" s="324"/>
      <c r="T251" s="324"/>
      <c r="U251" s="324"/>
      <c r="V251" s="324"/>
      <c r="W251" s="324"/>
      <c r="X251" s="324"/>
      <c r="Y251" s="324"/>
      <c r="Z251" s="324"/>
      <c r="AA251" s="324"/>
      <c r="AB251" s="324"/>
      <c r="AC251" s="324"/>
      <c r="AD251" s="324"/>
      <c r="AE251" s="324"/>
      <c r="AF251" s="324"/>
      <c r="AG251" s="324"/>
      <c r="AH251" s="324"/>
      <c r="AI251" s="324"/>
      <c r="AJ251" s="324"/>
      <c r="AK251" s="324"/>
      <c r="AL251" s="324"/>
      <c r="AM251" s="324"/>
      <c r="AN251" s="322"/>
      <c r="AO251" s="322"/>
      <c r="AP251" s="322"/>
      <c r="AQ251" s="322"/>
      <c r="AR251" s="322"/>
      <c r="AS251" s="322"/>
      <c r="AT251" s="322"/>
      <c r="AU251" s="322"/>
      <c r="AV251" s="322"/>
      <c r="AW251" s="322"/>
      <c r="AX251" s="322"/>
      <c r="AY251" s="322"/>
      <c r="AZ251" s="322"/>
      <c r="BA251" s="322"/>
      <c r="BB251" s="322"/>
      <c r="BC251" s="322"/>
      <c r="BD251" s="322"/>
      <c r="BE251" s="322"/>
      <c r="BF251" s="322"/>
      <c r="BG251" s="322"/>
      <c r="BH251" s="322"/>
      <c r="BI251" s="322"/>
      <c r="BJ251" s="322"/>
      <c r="BK251" s="322"/>
      <c r="BL251" s="322"/>
      <c r="BM251" s="322"/>
      <c r="BN251" s="322"/>
      <c r="BO251" s="322"/>
    </row>
    <row r="252">
      <c r="A252" s="321" t="s">
        <v>709</v>
      </c>
      <c r="B252" s="341">
        <v>70206.61</v>
      </c>
      <c r="C252" s="342">
        <v>0.01602627</v>
      </c>
      <c r="D252" s="185">
        <f t="shared" si="1"/>
        <v>0.0001602627</v>
      </c>
      <c r="E252" s="321"/>
      <c r="H252" s="324"/>
      <c r="I252" s="324"/>
      <c r="J252" s="324"/>
      <c r="K252" s="324"/>
      <c r="L252" s="324"/>
      <c r="M252" s="324"/>
      <c r="N252" s="324"/>
      <c r="O252" s="324"/>
      <c r="P252" s="324"/>
      <c r="Q252" s="324"/>
      <c r="R252" s="324"/>
      <c r="S252" s="324"/>
      <c r="T252" s="324"/>
      <c r="U252" s="324"/>
      <c r="V252" s="324"/>
      <c r="W252" s="324"/>
      <c r="X252" s="324"/>
      <c r="Y252" s="322"/>
      <c r="Z252" s="322"/>
      <c r="AA252" s="322"/>
      <c r="AB252" s="322"/>
      <c r="AC252" s="322"/>
      <c r="AD252" s="322"/>
      <c r="AE252" s="322"/>
      <c r="AF252" s="322"/>
      <c r="AG252" s="322"/>
      <c r="AH252" s="322"/>
      <c r="AI252" s="322"/>
      <c r="AJ252" s="322"/>
      <c r="AK252" s="322"/>
      <c r="AL252" s="322"/>
      <c r="AM252" s="322"/>
      <c r="AN252" s="322"/>
      <c r="AO252" s="322"/>
      <c r="AP252" s="322"/>
      <c r="AQ252" s="322"/>
      <c r="AR252" s="322"/>
      <c r="AS252" s="322"/>
      <c r="AT252" s="322"/>
      <c r="AU252" s="322"/>
      <c r="AV252" s="322"/>
      <c r="AW252" s="322"/>
      <c r="AX252" s="322"/>
      <c r="AY252" s="322"/>
      <c r="AZ252" s="322"/>
      <c r="BA252" s="322"/>
      <c r="BB252" s="322"/>
      <c r="BC252" s="322"/>
      <c r="BD252" s="322"/>
      <c r="BE252" s="322"/>
      <c r="BF252" s="322"/>
      <c r="BG252" s="322"/>
      <c r="BH252" s="322"/>
      <c r="BI252" s="322"/>
      <c r="BJ252" s="322"/>
      <c r="BK252" s="322"/>
      <c r="BL252" s="322"/>
      <c r="BM252" s="322"/>
      <c r="BN252" s="322"/>
      <c r="BO252" s="322"/>
    </row>
    <row r="253">
      <c r="A253" s="321" t="s">
        <v>576</v>
      </c>
      <c r="B253" s="341">
        <v>11740.82</v>
      </c>
      <c r="C253" s="342">
        <v>0.08090769999999999</v>
      </c>
      <c r="D253" s="185">
        <f t="shared" si="1"/>
        <v>0.000809077</v>
      </c>
      <c r="E253" s="321"/>
      <c r="H253" s="322"/>
      <c r="I253" s="322"/>
      <c r="J253" s="322"/>
      <c r="K253" s="322"/>
      <c r="L253" s="322"/>
      <c r="M253" s="322"/>
      <c r="N253" s="322"/>
      <c r="O253" s="322"/>
      <c r="P253" s="322"/>
      <c r="Q253" s="322"/>
      <c r="R253" s="322"/>
      <c r="S253" s="322"/>
      <c r="T253" s="322"/>
      <c r="U253" s="322"/>
      <c r="V253" s="322"/>
      <c r="W253" s="322"/>
      <c r="X253" s="322"/>
      <c r="Y253" s="322"/>
      <c r="Z253" s="322"/>
      <c r="AA253" s="322"/>
      <c r="AB253" s="322"/>
      <c r="AC253" s="322"/>
      <c r="AD253" s="322"/>
      <c r="AE253" s="322"/>
      <c r="AF253" s="322"/>
      <c r="AG253" s="322"/>
      <c r="AH253" s="322"/>
      <c r="AI253" s="322"/>
      <c r="AJ253" s="322"/>
      <c r="AK253" s="322"/>
      <c r="AL253" s="322"/>
      <c r="AM253" s="322"/>
      <c r="AN253" s="322"/>
      <c r="AO253" s="322"/>
      <c r="AP253" s="322"/>
      <c r="AQ253" s="322"/>
      <c r="AR253" s="322"/>
      <c r="AS253" s="322"/>
      <c r="AT253" s="322"/>
      <c r="AU253" s="322"/>
      <c r="AV253" s="322"/>
      <c r="AW253" s="322"/>
      <c r="AX253" s="322"/>
      <c r="AY253" s="322"/>
      <c r="AZ253" s="322"/>
      <c r="BA253" s="322"/>
      <c r="BB253" s="322"/>
      <c r="BC253" s="322"/>
      <c r="BD253" s="322"/>
      <c r="BE253" s="322"/>
      <c r="BF253" s="322"/>
      <c r="BG253" s="322"/>
      <c r="BH253" s="322"/>
      <c r="BI253" s="322"/>
      <c r="BJ253" s="322"/>
      <c r="BK253" s="322"/>
      <c r="BL253" s="322"/>
      <c r="BM253" s="322"/>
      <c r="BN253" s="322"/>
      <c r="BO253" s="322"/>
    </row>
    <row r="254">
      <c r="A254" s="321" t="s">
        <v>578</v>
      </c>
      <c r="B254" s="341">
        <v>32693.64</v>
      </c>
      <c r="C254" s="342">
        <v>0.02816639</v>
      </c>
      <c r="D254" s="185">
        <f t="shared" si="1"/>
        <v>0.0002816639</v>
      </c>
      <c r="E254" s="321"/>
      <c r="H254" s="324"/>
      <c r="I254" s="324"/>
      <c r="J254" s="324"/>
      <c r="K254" s="324"/>
      <c r="L254" s="324"/>
      <c r="M254" s="324"/>
      <c r="N254" s="324"/>
      <c r="O254" s="324"/>
      <c r="P254" s="324"/>
      <c r="Q254" s="324"/>
      <c r="R254" s="324"/>
      <c r="S254" s="324"/>
      <c r="T254" s="324"/>
      <c r="U254" s="322"/>
      <c r="V254" s="322"/>
      <c r="W254" s="322"/>
      <c r="X254" s="322"/>
      <c r="Y254" s="322"/>
      <c r="Z254" s="322"/>
      <c r="AA254" s="322"/>
      <c r="AB254" s="322"/>
      <c r="AC254" s="322"/>
      <c r="AD254" s="322"/>
      <c r="AE254" s="322"/>
      <c r="AF254" s="322"/>
      <c r="AG254" s="322"/>
      <c r="AH254" s="322"/>
      <c r="AI254" s="322"/>
      <c r="AJ254" s="322"/>
      <c r="AK254" s="322"/>
      <c r="AL254" s="322"/>
      <c r="AM254" s="322"/>
      <c r="AN254" s="322"/>
      <c r="AO254" s="322"/>
      <c r="AP254" s="322"/>
      <c r="AQ254" s="322"/>
      <c r="AR254" s="322"/>
      <c r="AS254" s="322"/>
      <c r="AT254" s="322"/>
      <c r="AU254" s="322"/>
      <c r="AV254" s="322"/>
      <c r="AW254" s="322"/>
      <c r="AX254" s="322"/>
      <c r="AY254" s="322"/>
      <c r="AZ254" s="322"/>
      <c r="BA254" s="322"/>
      <c r="BB254" s="322"/>
      <c r="BC254" s="322"/>
      <c r="BD254" s="322"/>
      <c r="BE254" s="322"/>
      <c r="BF254" s="322"/>
      <c r="BG254" s="322"/>
      <c r="BH254" s="322"/>
      <c r="BI254" s="322"/>
      <c r="BJ254" s="322"/>
      <c r="BK254" s="322"/>
      <c r="BL254" s="322"/>
      <c r="BM254" s="322"/>
      <c r="BN254" s="322"/>
      <c r="BO254" s="322"/>
    </row>
    <row r="255">
      <c r="A255" s="321" t="s">
        <v>582</v>
      </c>
      <c r="B255" s="341">
        <v>1969.303</v>
      </c>
      <c r="C255" s="342">
        <v>0.2512523</v>
      </c>
      <c r="D255" s="185">
        <f t="shared" si="1"/>
        <v>0.002512523</v>
      </c>
      <c r="E255" s="321"/>
      <c r="H255" s="322"/>
      <c r="I255" s="322"/>
      <c r="J255" s="322"/>
      <c r="K255" s="322"/>
      <c r="L255" s="322"/>
      <c r="M255" s="322"/>
      <c r="N255" s="322"/>
      <c r="O255" s="322"/>
      <c r="P255" s="322"/>
      <c r="Q255" s="322"/>
      <c r="R255" s="322"/>
      <c r="S255" s="322"/>
      <c r="T255" s="322"/>
      <c r="U255" s="322"/>
      <c r="V255" s="322"/>
      <c r="W255" s="322"/>
      <c r="X255" s="322"/>
      <c r="Y255" s="322"/>
      <c r="Z255" s="322"/>
      <c r="AA255" s="322"/>
      <c r="AB255" s="322"/>
      <c r="AC255" s="322"/>
      <c r="AD255" s="322"/>
      <c r="AE255" s="322"/>
      <c r="AF255" s="322"/>
      <c r="AG255" s="322"/>
      <c r="AH255" s="322"/>
      <c r="AI255" s="322"/>
      <c r="AJ255" s="322"/>
      <c r="AK255" s="322"/>
      <c r="AL255" s="322"/>
      <c r="AM255" s="322"/>
      <c r="AN255" s="322"/>
      <c r="AO255" s="322"/>
      <c r="AP255" s="322"/>
      <c r="AQ255" s="322"/>
      <c r="AR255" s="322"/>
      <c r="AS255" s="322"/>
      <c r="AT255" s="322"/>
      <c r="AU255" s="322"/>
      <c r="AV255" s="322"/>
      <c r="AW255" s="322"/>
      <c r="AX255" s="322"/>
      <c r="AY255" s="322"/>
      <c r="AZ255" s="322"/>
      <c r="BA255" s="322"/>
      <c r="BB255" s="322"/>
      <c r="BC255" s="322"/>
      <c r="BD255" s="322"/>
      <c r="BE255" s="322"/>
      <c r="BF255" s="322"/>
      <c r="BG255" s="322"/>
      <c r="BH255" s="322"/>
      <c r="BI255" s="322"/>
      <c r="BJ255" s="322"/>
      <c r="BK255" s="322"/>
      <c r="BL255" s="322"/>
      <c r="BM255" s="322"/>
      <c r="BN255" s="322"/>
      <c r="BO255" s="322"/>
    </row>
    <row r="256">
      <c r="A256" s="321" t="s">
        <v>585</v>
      </c>
      <c r="B256" s="341">
        <v>3155.32</v>
      </c>
      <c r="C256" s="342">
        <v>0.1813083</v>
      </c>
      <c r="D256" s="185">
        <f t="shared" si="1"/>
        <v>0.001813083</v>
      </c>
      <c r="E256" s="321"/>
      <c r="H256" s="322"/>
      <c r="I256" s="322"/>
      <c r="J256" s="322"/>
      <c r="K256" s="322"/>
      <c r="L256" s="322"/>
      <c r="M256" s="322"/>
      <c r="N256" s="322"/>
      <c r="O256" s="322"/>
      <c r="P256" s="322"/>
      <c r="Q256" s="322"/>
      <c r="R256" s="322"/>
      <c r="S256" s="322"/>
      <c r="T256" s="322"/>
      <c r="U256" s="322"/>
      <c r="V256" s="322"/>
      <c r="W256" s="322"/>
      <c r="X256" s="322"/>
      <c r="Y256" s="322"/>
      <c r="Z256" s="322"/>
      <c r="AA256" s="322"/>
      <c r="AB256" s="322"/>
      <c r="AC256" s="322"/>
      <c r="AD256" s="322"/>
      <c r="AE256" s="322"/>
      <c r="AF256" s="322"/>
      <c r="AG256" s="322"/>
      <c r="AH256" s="322"/>
      <c r="AI256" s="322"/>
      <c r="AJ256" s="322"/>
      <c r="AK256" s="322"/>
      <c r="AL256" s="322"/>
      <c r="AM256" s="322"/>
      <c r="AN256" s="322"/>
      <c r="AO256" s="322"/>
      <c r="AP256" s="322"/>
      <c r="AQ256" s="322"/>
      <c r="AR256" s="322"/>
      <c r="AS256" s="322"/>
      <c r="AT256" s="322"/>
      <c r="AU256" s="322"/>
      <c r="AV256" s="322"/>
      <c r="AW256" s="322"/>
      <c r="AX256" s="322"/>
      <c r="AY256" s="322"/>
      <c r="AZ256" s="322"/>
      <c r="BA256" s="322"/>
      <c r="BB256" s="322"/>
      <c r="BC256" s="322"/>
      <c r="BD256" s="322"/>
      <c r="BE256" s="322"/>
      <c r="BF256" s="322"/>
      <c r="BG256" s="322"/>
      <c r="BH256" s="322"/>
      <c r="BI256" s="322"/>
      <c r="BJ256" s="322"/>
      <c r="BK256" s="322"/>
      <c r="BL256" s="322"/>
      <c r="BM256" s="322"/>
      <c r="BN256" s="322"/>
      <c r="BO256" s="322"/>
    </row>
    <row r="257">
      <c r="A257" s="321" t="s">
        <v>710</v>
      </c>
      <c r="B257" s="341">
        <v>23422.92</v>
      </c>
      <c r="C257" s="342">
        <v>0.08571245</v>
      </c>
      <c r="D257" s="185">
        <f t="shared" si="1"/>
        <v>0.0008571245</v>
      </c>
      <c r="E257" s="321"/>
      <c r="H257" s="322"/>
      <c r="I257" s="322"/>
      <c r="J257" s="322"/>
      <c r="K257" s="322"/>
      <c r="L257" s="322"/>
      <c r="M257" s="322"/>
      <c r="N257" s="322"/>
      <c r="O257" s="322"/>
      <c r="P257" s="322"/>
      <c r="Q257" s="322"/>
      <c r="R257" s="322"/>
      <c r="S257" s="322"/>
      <c r="T257" s="322"/>
      <c r="U257" s="322"/>
      <c r="V257" s="322"/>
      <c r="W257" s="322"/>
      <c r="X257" s="322"/>
      <c r="Y257" s="322"/>
      <c r="Z257" s="322"/>
      <c r="AA257" s="322"/>
      <c r="AB257" s="322"/>
      <c r="AC257" s="322"/>
      <c r="AD257" s="322"/>
      <c r="AE257" s="322"/>
      <c r="AF257" s="322"/>
      <c r="AG257" s="322"/>
      <c r="AH257" s="322"/>
      <c r="AI257" s="322"/>
      <c r="AJ257" s="322"/>
      <c r="AK257" s="322"/>
      <c r="AL257" s="322"/>
      <c r="AM257" s="322"/>
      <c r="AN257" s="322"/>
      <c r="AO257" s="322"/>
      <c r="AP257" s="322"/>
      <c r="AQ257" s="322"/>
      <c r="AR257" s="322"/>
      <c r="AS257" s="322"/>
      <c r="AT257" s="322"/>
      <c r="AU257" s="322"/>
      <c r="AV257" s="322"/>
      <c r="AW257" s="322"/>
      <c r="AX257" s="322"/>
      <c r="AY257" s="322"/>
      <c r="AZ257" s="322"/>
      <c r="BA257" s="322"/>
      <c r="BB257" s="322"/>
      <c r="BC257" s="322"/>
      <c r="BD257" s="322"/>
      <c r="BE257" s="322"/>
      <c r="BF257" s="322"/>
      <c r="BG257" s="322"/>
      <c r="BH257" s="322"/>
      <c r="BI257" s="322"/>
      <c r="BJ257" s="322"/>
      <c r="BK257" s="322"/>
      <c r="BL257" s="322"/>
      <c r="BM257" s="322"/>
      <c r="BN257" s="322"/>
      <c r="BO257" s="322"/>
    </row>
    <row r="258">
      <c r="A258" s="321" t="s">
        <v>711</v>
      </c>
      <c r="B258" s="341">
        <v>13681.61</v>
      </c>
      <c r="C258" s="342">
        <v>0.09473221000000001</v>
      </c>
      <c r="D258" s="185">
        <f t="shared" si="1"/>
        <v>0.0009473221</v>
      </c>
      <c r="E258" s="321"/>
      <c r="H258" s="324"/>
      <c r="I258" s="324"/>
      <c r="J258" s="322"/>
      <c r="K258" s="322"/>
      <c r="L258" s="322"/>
      <c r="M258" s="322"/>
      <c r="N258" s="322"/>
      <c r="O258" s="322"/>
      <c r="P258" s="322"/>
      <c r="Q258" s="322"/>
      <c r="R258" s="322"/>
      <c r="S258" s="322"/>
      <c r="T258" s="322"/>
      <c r="U258" s="322"/>
      <c r="V258" s="322"/>
      <c r="W258" s="322"/>
      <c r="X258" s="322"/>
      <c r="Y258" s="322"/>
      <c r="Z258" s="322"/>
      <c r="AA258" s="322"/>
      <c r="AB258" s="322"/>
      <c r="AC258" s="322"/>
      <c r="AD258" s="322"/>
      <c r="AE258" s="322"/>
      <c r="AF258" s="322"/>
      <c r="AG258" s="322"/>
      <c r="AH258" s="322"/>
      <c r="AI258" s="322"/>
      <c r="AJ258" s="322"/>
      <c r="AK258" s="322"/>
      <c r="AL258" s="322"/>
      <c r="AM258" s="322"/>
      <c r="AN258" s="322"/>
      <c r="AO258" s="322"/>
      <c r="AP258" s="322"/>
      <c r="AQ258" s="322"/>
      <c r="AR258" s="322"/>
      <c r="AS258" s="322"/>
      <c r="AT258" s="322"/>
      <c r="AU258" s="322"/>
      <c r="AV258" s="322"/>
      <c r="AW258" s="322"/>
      <c r="AX258" s="322"/>
      <c r="AY258" s="322"/>
      <c r="AZ258" s="322"/>
      <c r="BA258" s="322"/>
      <c r="BB258" s="322"/>
      <c r="BC258" s="322"/>
      <c r="BD258" s="322"/>
      <c r="BE258" s="322"/>
      <c r="BF258" s="322"/>
      <c r="BG258" s="322"/>
      <c r="BH258" s="322"/>
      <c r="BI258" s="322"/>
      <c r="BJ258" s="322"/>
      <c r="BK258" s="322"/>
      <c r="BL258" s="322"/>
      <c r="BM258" s="322"/>
      <c r="BN258" s="322"/>
      <c r="BO258" s="322"/>
    </row>
    <row r="259">
      <c r="A259" s="321" t="s">
        <v>712</v>
      </c>
      <c r="B259" s="341">
        <v>44151.02</v>
      </c>
      <c r="C259" s="342">
        <v>0.06183292</v>
      </c>
      <c r="D259" s="185">
        <f t="shared" si="1"/>
        <v>0.0006183292</v>
      </c>
      <c r="E259" s="321"/>
      <c r="H259" s="322"/>
      <c r="I259" s="322"/>
      <c r="J259" s="322"/>
      <c r="K259" s="322"/>
      <c r="L259" s="322"/>
      <c r="M259" s="322"/>
      <c r="N259" s="322"/>
      <c r="O259" s="322"/>
      <c r="P259" s="322"/>
      <c r="Q259" s="322"/>
      <c r="R259" s="322"/>
      <c r="S259" s="322"/>
      <c r="T259" s="322"/>
      <c r="U259" s="322"/>
      <c r="V259" s="322"/>
      <c r="W259" s="322"/>
      <c r="X259" s="322"/>
      <c r="Y259" s="322"/>
      <c r="Z259" s="322"/>
      <c r="AA259" s="322"/>
      <c r="AB259" s="322"/>
      <c r="AC259" s="322"/>
      <c r="AD259" s="322"/>
      <c r="AE259" s="322"/>
      <c r="AF259" s="322"/>
      <c r="AG259" s="322"/>
      <c r="AH259" s="322"/>
      <c r="AI259" s="322"/>
      <c r="AJ259" s="322"/>
      <c r="AK259" s="322"/>
      <c r="AL259" s="322"/>
      <c r="AM259" s="322"/>
      <c r="AN259" s="322"/>
      <c r="AO259" s="322"/>
      <c r="AP259" s="322"/>
      <c r="AQ259" s="322"/>
      <c r="AR259" s="322"/>
      <c r="AS259" s="322"/>
      <c r="AT259" s="322"/>
      <c r="AU259" s="322"/>
      <c r="AV259" s="322"/>
      <c r="AW259" s="322"/>
      <c r="AX259" s="322"/>
      <c r="AY259" s="322"/>
      <c r="AZ259" s="322"/>
      <c r="BA259" s="322"/>
      <c r="BB259" s="322"/>
      <c r="BC259" s="322"/>
      <c r="BD259" s="322"/>
      <c r="BE259" s="322"/>
      <c r="BF259" s="322"/>
      <c r="BG259" s="322"/>
      <c r="BH259" s="322"/>
      <c r="BI259" s="322"/>
      <c r="BJ259" s="322"/>
      <c r="BK259" s="322"/>
      <c r="BL259" s="322"/>
      <c r="BM259" s="322"/>
      <c r="BN259" s="322"/>
      <c r="BO259" s="322"/>
    </row>
    <row r="260">
      <c r="A260" s="321" t="s">
        <v>339</v>
      </c>
      <c r="B260" s="341">
        <v>3972.608</v>
      </c>
      <c r="C260" s="342">
        <v>0.2371763</v>
      </c>
      <c r="D260" s="185">
        <f t="shared" si="1"/>
        <v>0.002371763</v>
      </c>
      <c r="E260" s="321"/>
      <c r="H260" s="324"/>
      <c r="I260" s="324"/>
      <c r="J260" s="324"/>
      <c r="K260" s="324"/>
      <c r="L260" s="324"/>
      <c r="M260" s="324"/>
      <c r="N260" s="324"/>
      <c r="O260" s="324"/>
      <c r="P260" s="324"/>
      <c r="Q260" s="324"/>
      <c r="R260" s="324"/>
      <c r="S260" s="324"/>
      <c r="T260" s="324"/>
      <c r="U260" s="324"/>
      <c r="V260" s="324"/>
      <c r="W260" s="324"/>
      <c r="X260" s="324"/>
      <c r="Y260" s="324"/>
      <c r="Z260" s="324"/>
      <c r="AA260" s="324"/>
      <c r="AB260" s="324"/>
      <c r="AC260" s="324"/>
      <c r="AD260" s="324"/>
      <c r="AE260" s="324"/>
      <c r="AF260" s="324"/>
      <c r="AG260" s="324"/>
      <c r="AH260" s="324"/>
      <c r="AI260" s="322"/>
      <c r="AJ260" s="322"/>
      <c r="AK260" s="322"/>
      <c r="AL260" s="322"/>
      <c r="AM260" s="322"/>
      <c r="AN260" s="322"/>
      <c r="AO260" s="322"/>
      <c r="AP260" s="322"/>
      <c r="AQ260" s="322"/>
      <c r="AR260" s="322"/>
      <c r="AS260" s="322"/>
      <c r="AT260" s="322"/>
      <c r="AU260" s="322"/>
      <c r="AV260" s="322"/>
      <c r="AW260" s="322"/>
      <c r="AX260" s="322"/>
      <c r="AY260" s="322"/>
      <c r="AZ260" s="322"/>
      <c r="BA260" s="322"/>
      <c r="BB260" s="322"/>
      <c r="BC260" s="322"/>
      <c r="BD260" s="322"/>
      <c r="BE260" s="322"/>
      <c r="BF260" s="322"/>
      <c r="BG260" s="322"/>
      <c r="BH260" s="322"/>
      <c r="BI260" s="322"/>
      <c r="BJ260" s="322"/>
      <c r="BK260" s="322"/>
      <c r="BL260" s="322"/>
      <c r="BM260" s="322"/>
      <c r="BN260" s="322"/>
      <c r="BO260" s="322"/>
    </row>
    <row r="261">
      <c r="A261" s="321" t="s">
        <v>78</v>
      </c>
      <c r="B261" s="341">
        <v>3098.111</v>
      </c>
      <c r="C261" s="342">
        <v>0.2376799</v>
      </c>
      <c r="D261" s="185">
        <f t="shared" si="1"/>
        <v>0.002376799</v>
      </c>
      <c r="E261" s="321"/>
      <c r="H261" s="322"/>
      <c r="I261" s="322"/>
      <c r="J261" s="322"/>
      <c r="K261" s="322"/>
      <c r="L261" s="322"/>
      <c r="M261" s="322"/>
      <c r="N261" s="322"/>
      <c r="O261" s="322"/>
      <c r="P261" s="322"/>
      <c r="Q261" s="322"/>
      <c r="R261" s="322"/>
      <c r="S261" s="322"/>
      <c r="T261" s="322"/>
      <c r="U261" s="322"/>
      <c r="V261" s="322"/>
      <c r="W261" s="322"/>
      <c r="X261" s="322"/>
      <c r="Y261" s="322"/>
      <c r="Z261" s="322"/>
      <c r="AA261" s="322"/>
      <c r="AB261" s="322"/>
      <c r="AC261" s="322"/>
      <c r="AD261" s="322"/>
      <c r="AE261" s="322"/>
      <c r="AF261" s="322"/>
      <c r="AG261" s="322"/>
      <c r="AH261" s="322"/>
      <c r="AI261" s="322"/>
      <c r="AJ261" s="322"/>
      <c r="AK261" s="322"/>
      <c r="AL261" s="322"/>
      <c r="AM261" s="322"/>
      <c r="AN261" s="322"/>
      <c r="AO261" s="322"/>
      <c r="AP261" s="322"/>
      <c r="AQ261" s="322"/>
      <c r="AR261" s="322"/>
      <c r="AS261" s="322"/>
      <c r="AT261" s="322"/>
      <c r="AU261" s="322"/>
      <c r="AV261" s="322"/>
      <c r="AW261" s="322"/>
      <c r="AX261" s="322"/>
      <c r="AY261" s="322"/>
      <c r="AZ261" s="322"/>
      <c r="BA261" s="322"/>
      <c r="BB261" s="322"/>
      <c r="BC261" s="322"/>
      <c r="BD261" s="322"/>
      <c r="BE261" s="322"/>
      <c r="BF261" s="322"/>
      <c r="BG261" s="322"/>
      <c r="BH261" s="322"/>
      <c r="BI261" s="322"/>
      <c r="BJ261" s="322"/>
      <c r="BK261" s="322"/>
      <c r="BL261" s="322"/>
      <c r="BM261" s="322"/>
      <c r="BN261" s="322"/>
      <c r="BO261" s="322"/>
    </row>
    <row r="262">
      <c r="A262" s="321" t="s">
        <v>713</v>
      </c>
      <c r="B262" s="341">
        <v>18007.49</v>
      </c>
      <c r="C262" s="342">
        <v>0.07405368</v>
      </c>
      <c r="D262" s="185">
        <f t="shared" si="1"/>
        <v>0.0007405368</v>
      </c>
      <c r="E262" s="321"/>
      <c r="H262" s="324"/>
      <c r="I262" s="324"/>
      <c r="J262" s="324"/>
      <c r="K262" s="324"/>
      <c r="L262" s="324"/>
      <c r="M262" s="324"/>
      <c r="N262" s="324"/>
      <c r="O262" s="324"/>
      <c r="P262" s="324"/>
      <c r="Q262" s="324"/>
      <c r="R262" s="324"/>
      <c r="S262" s="324"/>
      <c r="T262" s="324"/>
      <c r="U262" s="324"/>
      <c r="V262" s="324"/>
      <c r="W262" s="324"/>
      <c r="X262" s="324"/>
      <c r="Y262" s="324"/>
      <c r="Z262" s="324"/>
      <c r="AA262" s="324"/>
      <c r="AB262" s="324"/>
      <c r="AC262" s="324"/>
      <c r="AD262" s="324"/>
      <c r="AE262" s="324"/>
      <c r="AF262" s="322"/>
      <c r="AG262" s="322"/>
      <c r="AH262" s="322"/>
      <c r="AI262" s="322"/>
      <c r="AJ262" s="322"/>
      <c r="AK262" s="322"/>
      <c r="AL262" s="322"/>
      <c r="AM262" s="322"/>
      <c r="AN262" s="322"/>
      <c r="AO262" s="322"/>
      <c r="AP262" s="322"/>
      <c r="AQ262" s="322"/>
      <c r="AR262" s="322"/>
      <c r="AS262" s="322"/>
      <c r="AT262" s="322"/>
      <c r="AU262" s="322"/>
      <c r="AV262" s="322"/>
      <c r="AW262" s="322"/>
      <c r="AX262" s="322"/>
      <c r="AY262" s="322"/>
      <c r="AZ262" s="322"/>
      <c r="BA262" s="322"/>
      <c r="BB262" s="322"/>
      <c r="BC262" s="322"/>
      <c r="BD262" s="322"/>
      <c r="BE262" s="322"/>
      <c r="BF262" s="322"/>
      <c r="BG262" s="322"/>
      <c r="BH262" s="322"/>
      <c r="BI262" s="322"/>
      <c r="BJ262" s="322"/>
      <c r="BK262" s="322"/>
      <c r="BL262" s="322"/>
      <c r="BM262" s="322"/>
      <c r="BN262" s="322"/>
      <c r="BO262" s="322"/>
    </row>
    <row r="263">
      <c r="A263" s="321" t="s">
        <v>714</v>
      </c>
      <c r="B263" s="341">
        <v>34061.51</v>
      </c>
      <c r="C263" s="342">
        <v>0.0560852</v>
      </c>
      <c r="D263" s="185">
        <f t="shared" si="1"/>
        <v>0.000560852</v>
      </c>
      <c r="E263" s="321"/>
      <c r="H263" s="324"/>
      <c r="I263" s="324"/>
      <c r="J263" s="324"/>
      <c r="K263" s="324"/>
      <c r="L263" s="324"/>
      <c r="M263" s="324"/>
      <c r="N263" s="324"/>
      <c r="O263" s="324"/>
      <c r="P263" s="324"/>
      <c r="Q263" s="324"/>
      <c r="R263" s="324"/>
      <c r="S263" s="324"/>
      <c r="T263" s="324"/>
      <c r="U263" s="324"/>
      <c r="V263" s="324"/>
      <c r="W263" s="324"/>
      <c r="X263" s="324"/>
      <c r="Y263" s="324"/>
      <c r="Z263" s="324"/>
      <c r="AA263" s="324"/>
      <c r="AB263" s="322"/>
      <c r="AC263" s="322"/>
      <c r="AD263" s="322"/>
      <c r="AE263" s="322"/>
      <c r="AF263" s="322"/>
      <c r="AG263" s="322"/>
      <c r="AH263" s="322"/>
      <c r="AI263" s="322"/>
      <c r="AJ263" s="322"/>
      <c r="AK263" s="322"/>
      <c r="AL263" s="322"/>
      <c r="AM263" s="322"/>
      <c r="AN263" s="322"/>
      <c r="AO263" s="322"/>
      <c r="AP263" s="322"/>
      <c r="AQ263" s="322"/>
      <c r="AR263" s="322"/>
      <c r="AS263" s="322"/>
      <c r="AT263" s="322"/>
      <c r="AU263" s="322"/>
      <c r="AV263" s="322"/>
      <c r="AW263" s="322"/>
      <c r="AX263" s="322"/>
      <c r="AY263" s="322"/>
      <c r="AZ263" s="322"/>
      <c r="BA263" s="322"/>
      <c r="BB263" s="322"/>
      <c r="BC263" s="322"/>
      <c r="BD263" s="322"/>
      <c r="BE263" s="322"/>
      <c r="BF263" s="322"/>
      <c r="BG263" s="322"/>
      <c r="BH263" s="322"/>
      <c r="BI263" s="322"/>
      <c r="BJ263" s="322"/>
      <c r="BK263" s="322"/>
      <c r="BL263" s="322"/>
      <c r="BM263" s="322"/>
      <c r="BN263" s="322"/>
      <c r="BO263" s="322"/>
    </row>
    <row r="264">
      <c r="A264" s="321" t="s">
        <v>715</v>
      </c>
      <c r="B264" s="341">
        <v>9724.734</v>
      </c>
      <c r="C264" s="342">
        <v>0.22991720000000002</v>
      </c>
      <c r="D264" s="185">
        <f t="shared" si="1"/>
        <v>0.002299172</v>
      </c>
      <c r="E264" s="321"/>
      <c r="H264" s="324"/>
      <c r="I264" s="324"/>
      <c r="J264" s="324"/>
      <c r="K264" s="324"/>
      <c r="L264" s="324"/>
      <c r="M264" s="324"/>
      <c r="N264" s="324"/>
      <c r="O264" s="324"/>
      <c r="P264" s="324"/>
      <c r="Q264" s="324"/>
      <c r="R264" s="324"/>
      <c r="S264" s="324"/>
      <c r="T264" s="324"/>
      <c r="U264" s="324"/>
      <c r="V264" s="324"/>
      <c r="W264" s="324"/>
      <c r="X264" s="324"/>
      <c r="Y264" s="324"/>
      <c r="Z264" s="324"/>
      <c r="AA264" s="324"/>
      <c r="AB264" s="324"/>
      <c r="AC264" s="324"/>
      <c r="AD264" s="324"/>
      <c r="AE264" s="324"/>
      <c r="AF264" s="322"/>
      <c r="AG264" s="322"/>
      <c r="AH264" s="322"/>
      <c r="AI264" s="322"/>
      <c r="AJ264" s="322"/>
      <c r="AK264" s="322"/>
      <c r="AL264" s="322"/>
      <c r="AM264" s="322"/>
      <c r="AN264" s="322"/>
      <c r="AO264" s="322"/>
      <c r="AP264" s="322"/>
      <c r="AQ264" s="322"/>
      <c r="AR264" s="322"/>
      <c r="AS264" s="322"/>
      <c r="AT264" s="322"/>
      <c r="AU264" s="322"/>
      <c r="AV264" s="322"/>
      <c r="AW264" s="322"/>
      <c r="AX264" s="322"/>
      <c r="AY264" s="322"/>
      <c r="AZ264" s="322"/>
      <c r="BA264" s="322"/>
      <c r="BB264" s="322"/>
      <c r="BC264" s="322"/>
      <c r="BD264" s="322"/>
      <c r="BE264" s="322"/>
      <c r="BF264" s="322"/>
      <c r="BG264" s="322"/>
      <c r="BH264" s="322"/>
      <c r="BI264" s="322"/>
      <c r="BJ264" s="322"/>
      <c r="BK264" s="322"/>
      <c r="BL264" s="322"/>
      <c r="BM264" s="322"/>
      <c r="BN264" s="322"/>
      <c r="BO264" s="322"/>
    </row>
    <row r="265">
      <c r="A265" s="321" t="s">
        <v>716</v>
      </c>
      <c r="B265" s="341">
        <v>19875.69</v>
      </c>
      <c r="C265" s="342">
        <v>0.041537819999999996</v>
      </c>
      <c r="D265" s="185">
        <f t="shared" si="1"/>
        <v>0.0004153782</v>
      </c>
      <c r="E265" s="321"/>
      <c r="H265" s="324"/>
      <c r="I265" s="324"/>
      <c r="J265" s="324"/>
      <c r="K265" s="324"/>
      <c r="L265" s="324"/>
      <c r="M265" s="324"/>
      <c r="N265" s="324"/>
      <c r="O265" s="324"/>
      <c r="P265" s="324"/>
      <c r="Q265" s="324"/>
      <c r="R265" s="324"/>
      <c r="S265" s="324"/>
      <c r="T265" s="324"/>
      <c r="U265" s="324"/>
      <c r="V265" s="322"/>
      <c r="W265" s="322"/>
      <c r="X265" s="322"/>
      <c r="Y265" s="322"/>
      <c r="Z265" s="322"/>
      <c r="AA265" s="322"/>
      <c r="AB265" s="322"/>
      <c r="AC265" s="322"/>
      <c r="AD265" s="322"/>
      <c r="AE265" s="322"/>
      <c r="AF265" s="322"/>
      <c r="AG265" s="322"/>
      <c r="AH265" s="322"/>
      <c r="AI265" s="322"/>
      <c r="AJ265" s="322"/>
      <c r="AK265" s="322"/>
      <c r="AL265" s="322"/>
      <c r="AM265" s="322"/>
      <c r="AN265" s="322"/>
      <c r="AO265" s="322"/>
      <c r="AP265" s="322"/>
      <c r="AQ265" s="322"/>
      <c r="AR265" s="322"/>
      <c r="AS265" s="322"/>
      <c r="AT265" s="322"/>
      <c r="AU265" s="322"/>
      <c r="AV265" s="322"/>
      <c r="AW265" s="322"/>
      <c r="AX265" s="322"/>
      <c r="AY265" s="322"/>
      <c r="AZ265" s="322"/>
      <c r="BA265" s="322"/>
      <c r="BB265" s="322"/>
      <c r="BC265" s="322"/>
      <c r="BD265" s="322"/>
      <c r="BE265" s="322"/>
      <c r="BF265" s="322"/>
      <c r="BG265" s="322"/>
      <c r="BH265" s="322"/>
      <c r="BI265" s="322"/>
      <c r="BJ265" s="322"/>
      <c r="BK265" s="322"/>
      <c r="BL265" s="322"/>
      <c r="BM265" s="322"/>
      <c r="BN265" s="322"/>
      <c r="BO265" s="322"/>
    </row>
    <row r="266">
      <c r="A266" s="321" t="s">
        <v>717</v>
      </c>
      <c r="B266" s="341">
        <v>15194.34</v>
      </c>
      <c r="C266" s="342">
        <v>0.1196049</v>
      </c>
      <c r="D266" s="185">
        <f t="shared" si="1"/>
        <v>0.001196049</v>
      </c>
      <c r="E266" s="321"/>
      <c r="H266" s="324"/>
      <c r="I266" s="324"/>
      <c r="J266" s="324"/>
      <c r="K266" s="324"/>
      <c r="L266" s="324"/>
      <c r="M266" s="324"/>
      <c r="N266" s="324"/>
      <c r="O266" s="324"/>
      <c r="P266" s="324"/>
      <c r="Q266" s="324"/>
      <c r="R266" s="324"/>
      <c r="S266" s="324"/>
      <c r="T266" s="324"/>
      <c r="U266" s="324"/>
      <c r="V266" s="324"/>
      <c r="W266" s="324"/>
      <c r="X266" s="324"/>
      <c r="Y266" s="324"/>
      <c r="Z266" s="324"/>
      <c r="AA266" s="324"/>
      <c r="AB266" s="324"/>
      <c r="AC266" s="324"/>
      <c r="AD266" s="324"/>
      <c r="AE266" s="322"/>
      <c r="AF266" s="322"/>
      <c r="AG266" s="322"/>
      <c r="AH266" s="322"/>
      <c r="AI266" s="322"/>
      <c r="AJ266" s="322"/>
      <c r="AK266" s="322"/>
      <c r="AL266" s="322"/>
      <c r="AM266" s="322"/>
      <c r="AN266" s="322"/>
      <c r="AO266" s="322"/>
      <c r="AP266" s="322"/>
      <c r="AQ266" s="322"/>
      <c r="AR266" s="322"/>
      <c r="AS266" s="322"/>
      <c r="AT266" s="322"/>
      <c r="AU266" s="322"/>
      <c r="AV266" s="322"/>
      <c r="AW266" s="322"/>
      <c r="AX266" s="322"/>
      <c r="AY266" s="322"/>
      <c r="AZ266" s="322"/>
      <c r="BA266" s="322"/>
      <c r="BB266" s="322"/>
      <c r="BC266" s="322"/>
      <c r="BD266" s="322"/>
      <c r="BE266" s="322"/>
      <c r="BF266" s="322"/>
      <c r="BG266" s="322"/>
      <c r="BH266" s="322"/>
      <c r="BI266" s="322"/>
      <c r="BJ266" s="322"/>
      <c r="BK266" s="322"/>
      <c r="BL266" s="322"/>
      <c r="BM266" s="322"/>
      <c r="BN266" s="322"/>
      <c r="BO266" s="322"/>
    </row>
    <row r="267">
      <c r="A267" s="321" t="s">
        <v>718</v>
      </c>
      <c r="B267" s="341">
        <v>6680.611</v>
      </c>
      <c r="C267" s="342">
        <v>0.11021900000000001</v>
      </c>
      <c r="D267" s="185">
        <f t="shared" si="1"/>
        <v>0.00110219</v>
      </c>
      <c r="E267" s="321"/>
      <c r="H267" s="324"/>
      <c r="I267" s="324"/>
      <c r="J267" s="324"/>
      <c r="K267" s="324"/>
      <c r="L267" s="324"/>
      <c r="M267" s="324"/>
      <c r="N267" s="324"/>
      <c r="O267" s="324"/>
      <c r="P267" s="324"/>
      <c r="Q267" s="324"/>
      <c r="R267" s="324"/>
      <c r="S267" s="324"/>
      <c r="T267" s="324"/>
      <c r="U267" s="324"/>
      <c r="V267" s="324"/>
      <c r="W267" s="324"/>
      <c r="X267" s="324"/>
      <c r="Y267" s="324"/>
      <c r="Z267" s="324"/>
      <c r="AA267" s="324"/>
      <c r="AB267" s="324"/>
      <c r="AC267" s="324"/>
      <c r="AD267" s="324"/>
      <c r="AE267" s="324"/>
      <c r="AF267" s="324"/>
      <c r="AG267" s="324"/>
      <c r="AH267" s="324"/>
      <c r="AI267" s="324"/>
      <c r="AJ267" s="324"/>
      <c r="AK267" s="324"/>
      <c r="AL267" s="324"/>
      <c r="AM267" s="322"/>
      <c r="AN267" s="322"/>
      <c r="AO267" s="322"/>
      <c r="AP267" s="322"/>
      <c r="AQ267" s="322"/>
      <c r="AR267" s="322"/>
      <c r="AS267" s="322"/>
      <c r="AT267" s="322"/>
      <c r="AU267" s="322"/>
      <c r="AV267" s="322"/>
      <c r="AW267" s="322"/>
      <c r="AX267" s="322"/>
      <c r="AY267" s="322"/>
      <c r="AZ267" s="322"/>
      <c r="BA267" s="322"/>
      <c r="BB267" s="322"/>
      <c r="BC267" s="322"/>
      <c r="BD267" s="322"/>
      <c r="BE267" s="322"/>
      <c r="BF267" s="322"/>
      <c r="BG267" s="322"/>
      <c r="BH267" s="322"/>
      <c r="BI267" s="322"/>
      <c r="BJ267" s="322"/>
      <c r="BK267" s="322"/>
      <c r="BL267" s="322"/>
      <c r="BM267" s="322"/>
      <c r="BN267" s="322"/>
      <c r="BO267" s="322"/>
    </row>
    <row r="268">
      <c r="A268" s="321" t="s">
        <v>719</v>
      </c>
      <c r="B268" s="341">
        <v>15029.35</v>
      </c>
      <c r="C268" s="342">
        <v>0.07770516</v>
      </c>
      <c r="D268" s="185">
        <f t="shared" si="1"/>
        <v>0.0007770516</v>
      </c>
      <c r="E268" s="321"/>
      <c r="H268" s="324"/>
      <c r="I268" s="324"/>
      <c r="J268" s="324"/>
      <c r="K268" s="324"/>
      <c r="L268" s="324"/>
      <c r="M268" s="324"/>
      <c r="N268" s="324"/>
      <c r="O268" s="324"/>
      <c r="P268" s="324"/>
      <c r="Q268" s="324"/>
      <c r="R268" s="324"/>
      <c r="S268" s="324"/>
      <c r="T268" s="324"/>
      <c r="U268" s="324"/>
      <c r="V268" s="324"/>
      <c r="W268" s="324"/>
      <c r="X268" s="324"/>
      <c r="Y268" s="324"/>
      <c r="Z268" s="324"/>
      <c r="AA268" s="324"/>
      <c r="AB268" s="324"/>
      <c r="AC268" s="324"/>
      <c r="AD268" s="324"/>
      <c r="AE268" s="324"/>
      <c r="AF268" s="324"/>
      <c r="AG268" s="324"/>
      <c r="AH268" s="324"/>
      <c r="AI268" s="324"/>
      <c r="AJ268" s="324"/>
      <c r="AK268" s="324"/>
      <c r="AL268" s="324"/>
      <c r="AM268" s="324"/>
      <c r="AN268" s="324"/>
      <c r="AO268" s="324"/>
      <c r="AP268" s="324"/>
      <c r="AQ268" s="324"/>
      <c r="AR268" s="324"/>
      <c r="AS268" s="324"/>
      <c r="AT268" s="324"/>
      <c r="AU268" s="324"/>
      <c r="AV268" s="324"/>
      <c r="AW268" s="324"/>
      <c r="AX268" s="324"/>
      <c r="AY268" s="324"/>
      <c r="AZ268" s="324"/>
      <c r="BA268" s="322"/>
      <c r="BB268" s="322"/>
      <c r="BC268" s="322"/>
      <c r="BD268" s="322"/>
      <c r="BE268" s="322"/>
      <c r="BF268" s="322"/>
      <c r="BG268" s="322"/>
      <c r="BH268" s="322"/>
      <c r="BI268" s="322"/>
      <c r="BJ268" s="322"/>
      <c r="BK268" s="322"/>
      <c r="BL268" s="322"/>
      <c r="BM268" s="322"/>
      <c r="BN268" s="322"/>
      <c r="BO268" s="322"/>
    </row>
    <row r="269">
      <c r="A269" s="321" t="s">
        <v>591</v>
      </c>
      <c r="B269" s="341">
        <v>15847.43</v>
      </c>
      <c r="C269" s="342">
        <v>0.02526921</v>
      </c>
      <c r="D269" s="185">
        <f t="shared" si="1"/>
        <v>0.0002526921</v>
      </c>
      <c r="E269" s="321"/>
      <c r="H269" s="322"/>
      <c r="I269" s="322"/>
      <c r="J269" s="322"/>
      <c r="K269" s="322"/>
      <c r="L269" s="322"/>
      <c r="M269" s="322"/>
      <c r="N269" s="322"/>
      <c r="O269" s="322"/>
      <c r="P269" s="322"/>
      <c r="Q269" s="322"/>
      <c r="R269" s="322"/>
      <c r="S269" s="322"/>
      <c r="T269" s="322"/>
      <c r="U269" s="322"/>
      <c r="V269" s="322"/>
      <c r="W269" s="322"/>
      <c r="X269" s="322"/>
      <c r="Y269" s="322"/>
      <c r="Z269" s="322"/>
      <c r="AA269" s="322"/>
      <c r="AB269" s="322"/>
      <c r="AC269" s="322"/>
      <c r="AD269" s="322"/>
      <c r="AE269" s="322"/>
      <c r="AF269" s="322"/>
      <c r="AG269" s="322"/>
      <c r="AH269" s="322"/>
      <c r="AI269" s="322"/>
      <c r="AJ269" s="322"/>
      <c r="AK269" s="322"/>
      <c r="AL269" s="322"/>
      <c r="AM269" s="322"/>
      <c r="AN269" s="322"/>
      <c r="AO269" s="322"/>
      <c r="AP269" s="322"/>
      <c r="AQ269" s="322"/>
      <c r="AR269" s="322"/>
      <c r="AS269" s="322"/>
      <c r="AT269" s="322"/>
      <c r="AU269" s="322"/>
      <c r="AV269" s="322"/>
      <c r="AW269" s="322"/>
      <c r="AX269" s="322"/>
      <c r="AY269" s="322"/>
      <c r="AZ269" s="322"/>
      <c r="BA269" s="322"/>
      <c r="BB269" s="322"/>
      <c r="BC269" s="322"/>
      <c r="BD269" s="322"/>
      <c r="BE269" s="322"/>
      <c r="BF269" s="322"/>
      <c r="BG269" s="322"/>
      <c r="BH269" s="322"/>
      <c r="BI269" s="322"/>
      <c r="BJ269" s="322"/>
      <c r="BK269" s="322"/>
      <c r="BL269" s="322"/>
      <c r="BM269" s="322"/>
      <c r="BN269" s="322"/>
      <c r="BO269" s="322"/>
    </row>
    <row r="270">
      <c r="A270" s="321" t="s">
        <v>340</v>
      </c>
      <c r="B270" s="341">
        <v>4125.626</v>
      </c>
      <c r="C270" s="342">
        <v>0.027919779999999998</v>
      </c>
      <c r="D270" s="185">
        <f t="shared" si="1"/>
        <v>0.0002791978</v>
      </c>
      <c r="E270" s="321"/>
      <c r="H270" s="322"/>
      <c r="I270" s="322"/>
      <c r="J270" s="322"/>
      <c r="K270" s="322"/>
      <c r="L270" s="322"/>
      <c r="M270" s="322"/>
      <c r="N270" s="322"/>
      <c r="O270" s="322"/>
      <c r="P270" s="322"/>
      <c r="Q270" s="322"/>
      <c r="R270" s="322"/>
      <c r="S270" s="322"/>
      <c r="T270" s="322"/>
      <c r="U270" s="322"/>
      <c r="V270" s="322"/>
      <c r="W270" s="322"/>
      <c r="X270" s="322"/>
      <c r="Y270" s="322"/>
      <c r="Z270" s="322"/>
      <c r="AA270" s="322"/>
      <c r="AB270" s="322"/>
      <c r="AC270" s="322"/>
      <c r="AD270" s="322"/>
      <c r="AE270" s="322"/>
      <c r="AF270" s="322"/>
      <c r="AG270" s="322"/>
      <c r="AH270" s="322"/>
      <c r="AI270" s="322"/>
      <c r="AJ270" s="322"/>
      <c r="AK270" s="322"/>
      <c r="AL270" s="322"/>
      <c r="AM270" s="322"/>
      <c r="AN270" s="322"/>
      <c r="AO270" s="322"/>
      <c r="AP270" s="322"/>
      <c r="AQ270" s="322"/>
      <c r="AR270" s="322"/>
      <c r="AS270" s="322"/>
      <c r="AT270" s="322"/>
      <c r="AU270" s="322"/>
      <c r="AV270" s="322"/>
      <c r="AW270" s="322"/>
      <c r="AX270" s="322"/>
      <c r="AY270" s="322"/>
      <c r="AZ270" s="322"/>
      <c r="BA270" s="322"/>
      <c r="BB270" s="322"/>
      <c r="BC270" s="322"/>
      <c r="BD270" s="322"/>
      <c r="BE270" s="322"/>
      <c r="BF270" s="322"/>
      <c r="BG270" s="322"/>
      <c r="BH270" s="322"/>
      <c r="BI270" s="322"/>
      <c r="BJ270" s="322"/>
      <c r="BK270" s="322"/>
      <c r="BL270" s="322"/>
      <c r="BM270" s="322"/>
      <c r="BN270" s="322"/>
      <c r="BO270" s="322"/>
    </row>
    <row r="271">
      <c r="A271" s="321" t="s">
        <v>341</v>
      </c>
      <c r="B271" s="341">
        <v>3899.899</v>
      </c>
      <c r="C271" s="342">
        <v>0.2700543</v>
      </c>
      <c r="D271" s="185">
        <f t="shared" si="1"/>
        <v>0.002700543</v>
      </c>
      <c r="E271" s="321"/>
      <c r="H271" s="324"/>
      <c r="I271" s="324"/>
      <c r="J271" s="322"/>
      <c r="K271" s="322"/>
      <c r="L271" s="322"/>
      <c r="M271" s="322"/>
      <c r="N271" s="322"/>
      <c r="O271" s="322"/>
      <c r="P271" s="322"/>
      <c r="Q271" s="322"/>
      <c r="R271" s="322"/>
      <c r="S271" s="322"/>
      <c r="T271" s="322"/>
      <c r="U271" s="322"/>
      <c r="V271" s="322"/>
      <c r="W271" s="322"/>
      <c r="X271" s="322"/>
      <c r="Y271" s="322"/>
      <c r="Z271" s="322"/>
      <c r="AA271" s="322"/>
      <c r="AB271" s="322"/>
      <c r="AC271" s="322"/>
      <c r="AD271" s="322"/>
      <c r="AE271" s="322"/>
      <c r="AF271" s="322"/>
      <c r="AG271" s="322"/>
      <c r="AH271" s="322"/>
      <c r="AI271" s="322"/>
      <c r="AJ271" s="322"/>
      <c r="AK271" s="322"/>
      <c r="AL271" s="322"/>
      <c r="AM271" s="322"/>
      <c r="AN271" s="322"/>
      <c r="AO271" s="322"/>
      <c r="AP271" s="322"/>
      <c r="AQ271" s="322"/>
      <c r="AR271" s="322"/>
      <c r="AS271" s="322"/>
      <c r="AT271" s="322"/>
      <c r="AU271" s="322"/>
      <c r="AV271" s="322"/>
      <c r="AW271" s="322"/>
      <c r="AX271" s="322"/>
      <c r="AY271" s="322"/>
      <c r="AZ271" s="322"/>
      <c r="BA271" s="322"/>
      <c r="BB271" s="322"/>
      <c r="BC271" s="322"/>
      <c r="BD271" s="322"/>
      <c r="BE271" s="322"/>
      <c r="BF271" s="322"/>
      <c r="BG271" s="322"/>
      <c r="BH271" s="322"/>
      <c r="BI271" s="322"/>
      <c r="BJ271" s="322"/>
      <c r="BK271" s="322"/>
      <c r="BL271" s="322"/>
      <c r="BM271" s="322"/>
      <c r="BN271" s="322"/>
      <c r="BO271" s="322"/>
    </row>
  </sheetData>
  <mergeCells count="10">
    <mergeCell ref="D52:E52"/>
    <mergeCell ref="D53:E53"/>
    <mergeCell ref="D54:E54"/>
    <mergeCell ref="D4:E4"/>
    <mergeCell ref="D5:E5"/>
    <mergeCell ref="D6:E6"/>
    <mergeCell ref="D7:E7"/>
    <mergeCell ref="D8:E8"/>
    <mergeCell ref="D50:E50"/>
    <mergeCell ref="D51:E51"/>
  </mergeCells>
  <hyperlinks>
    <hyperlink r:id="rId1" ref="A2"/>
    <hyperlink r:id="rId2" ref="A11"/>
    <hyperlink r:id="rId3" ref="A20"/>
    <hyperlink r:id="rId4" ref="A30"/>
    <hyperlink r:id="rId5" ref="A39"/>
    <hyperlink r:id="rId6" ref="A48"/>
    <hyperlink r:id="rId7" ref="A57"/>
    <hyperlink r:id="rId8" ref="A67"/>
    <hyperlink r:id="rId9" ref="A117"/>
  </hyperlinks>
  <drawing r:id="rId10"/>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sheetPr>
  <sheetViews>
    <sheetView workbookViewId="0"/>
  </sheetViews>
  <sheetFormatPr customHeight="1" defaultColWidth="17.29" defaultRowHeight="15.0"/>
  <cols>
    <col customWidth="1" min="1" max="1" width="21.43"/>
  </cols>
  <sheetData>
    <row r="1">
      <c r="A1" s="198" t="s">
        <v>720</v>
      </c>
    </row>
    <row r="2">
      <c r="A2" s="343" t="s">
        <v>721</v>
      </c>
      <c r="B2" s="344"/>
      <c r="C2" s="344"/>
      <c r="D2" s="344"/>
      <c r="E2" s="344"/>
      <c r="F2" s="344"/>
      <c r="G2" s="344"/>
      <c r="H2" s="344"/>
      <c r="I2" s="344"/>
      <c r="J2" s="344"/>
      <c r="K2" s="344"/>
      <c r="L2" s="344"/>
      <c r="M2" s="52"/>
      <c r="N2" s="52"/>
      <c r="O2" s="52"/>
      <c r="P2" s="52"/>
      <c r="Q2" s="52"/>
      <c r="R2" s="52"/>
      <c r="S2" s="52"/>
      <c r="T2" s="52"/>
      <c r="U2" s="52"/>
      <c r="V2" s="52"/>
      <c r="W2" s="52"/>
      <c r="X2" s="52"/>
      <c r="Y2" s="52"/>
      <c r="Z2" s="52"/>
    </row>
    <row r="3">
      <c r="A3" s="345" t="s">
        <v>722</v>
      </c>
      <c r="B3" s="345" t="s">
        <v>723</v>
      </c>
      <c r="C3" s="345" t="s">
        <v>724</v>
      </c>
      <c r="D3" s="345" t="s">
        <v>725</v>
      </c>
      <c r="E3" s="345" t="s">
        <v>726</v>
      </c>
      <c r="F3" s="345" t="s">
        <v>727</v>
      </c>
      <c r="G3" s="345" t="s">
        <v>728</v>
      </c>
      <c r="H3" s="345" t="s">
        <v>729</v>
      </c>
      <c r="I3" s="345" t="s">
        <v>730</v>
      </c>
      <c r="J3" s="345" t="s">
        <v>731</v>
      </c>
      <c r="K3" s="345" t="s">
        <v>732</v>
      </c>
      <c r="L3" s="345" t="s">
        <v>733</v>
      </c>
    </row>
    <row r="4">
      <c r="A4" s="345" t="s">
        <v>734</v>
      </c>
      <c r="B4" s="345" t="s">
        <v>735</v>
      </c>
      <c r="C4" s="345" t="s">
        <v>736</v>
      </c>
      <c r="D4" s="345" t="s">
        <v>78</v>
      </c>
      <c r="E4" s="345" t="s">
        <v>737</v>
      </c>
      <c r="F4" s="345" t="s">
        <v>738</v>
      </c>
      <c r="G4" s="345" t="s">
        <v>739</v>
      </c>
      <c r="H4" s="346">
        <v>2019.0</v>
      </c>
      <c r="I4" s="346">
        <v>28448.26</v>
      </c>
      <c r="J4" s="346">
        <v>24251.59</v>
      </c>
      <c r="K4" s="346">
        <v>33459.28</v>
      </c>
      <c r="L4" s="345" t="s">
        <v>740</v>
      </c>
    </row>
    <row r="5">
      <c r="A5" s="345" t="s">
        <v>734</v>
      </c>
      <c r="B5" s="345" t="s">
        <v>735</v>
      </c>
      <c r="C5" s="345" t="s">
        <v>741</v>
      </c>
      <c r="D5" s="345" t="s">
        <v>78</v>
      </c>
      <c r="E5" s="345" t="s">
        <v>737</v>
      </c>
      <c r="F5" s="345" t="s">
        <v>738</v>
      </c>
      <c r="G5" s="345" t="s">
        <v>739</v>
      </c>
      <c r="H5" s="346">
        <v>2019.0</v>
      </c>
      <c r="I5" s="346">
        <v>27016.01</v>
      </c>
      <c r="J5" s="346">
        <v>21030.81</v>
      </c>
      <c r="K5" s="346">
        <v>35004.1</v>
      </c>
      <c r="L5" s="345" t="s">
        <v>740</v>
      </c>
    </row>
    <row r="6">
      <c r="A6" s="345" t="s">
        <v>742</v>
      </c>
      <c r="B6" s="345" t="s">
        <v>735</v>
      </c>
      <c r="C6" s="345" t="s">
        <v>736</v>
      </c>
      <c r="D6" s="345" t="s">
        <v>78</v>
      </c>
      <c r="E6" s="345" t="s">
        <v>737</v>
      </c>
      <c r="F6" s="345" t="s">
        <v>738</v>
      </c>
      <c r="G6" s="345" t="s">
        <v>739</v>
      </c>
      <c r="H6" s="346">
        <v>2019.0</v>
      </c>
      <c r="I6" s="346">
        <v>2436.874</v>
      </c>
      <c r="J6" s="346">
        <v>1518.843</v>
      </c>
      <c r="K6" s="346">
        <v>3493.978</v>
      </c>
      <c r="L6" s="345" t="s">
        <v>740</v>
      </c>
    </row>
    <row r="7">
      <c r="A7" s="345" t="s">
        <v>742</v>
      </c>
      <c r="B7" s="345" t="s">
        <v>735</v>
      </c>
      <c r="C7" s="345" t="s">
        <v>741</v>
      </c>
      <c r="D7" s="345" t="s">
        <v>78</v>
      </c>
      <c r="E7" s="345" t="s">
        <v>737</v>
      </c>
      <c r="F7" s="345" t="s">
        <v>738</v>
      </c>
      <c r="G7" s="345" t="s">
        <v>739</v>
      </c>
      <c r="H7" s="346">
        <v>2019.0</v>
      </c>
      <c r="I7" s="346">
        <v>2469.907</v>
      </c>
      <c r="J7" s="346">
        <v>1381.809</v>
      </c>
      <c r="K7" s="346">
        <v>3888.186</v>
      </c>
      <c r="L7" s="345" t="s">
        <v>740</v>
      </c>
    </row>
    <row r="8">
      <c r="A8" s="345" t="s">
        <v>743</v>
      </c>
      <c r="B8" s="345" t="s">
        <v>735</v>
      </c>
      <c r="C8" s="345" t="s">
        <v>736</v>
      </c>
      <c r="D8" s="345" t="s">
        <v>78</v>
      </c>
      <c r="E8" s="345" t="s">
        <v>737</v>
      </c>
      <c r="F8" s="345" t="s">
        <v>738</v>
      </c>
      <c r="G8" s="345" t="s">
        <v>739</v>
      </c>
      <c r="H8" s="346">
        <v>2019.0</v>
      </c>
      <c r="I8" s="346">
        <v>927.6192</v>
      </c>
      <c r="J8" s="346">
        <v>516.9244</v>
      </c>
      <c r="K8" s="346">
        <v>1533.717</v>
      </c>
      <c r="L8" s="345" t="s">
        <v>740</v>
      </c>
    </row>
    <row r="9">
      <c r="A9" s="345" t="s">
        <v>743</v>
      </c>
      <c r="B9" s="345" t="s">
        <v>735</v>
      </c>
      <c r="C9" s="345" t="s">
        <v>741</v>
      </c>
      <c r="D9" s="345" t="s">
        <v>78</v>
      </c>
      <c r="E9" s="345" t="s">
        <v>737</v>
      </c>
      <c r="F9" s="345" t="s">
        <v>738</v>
      </c>
      <c r="G9" s="345" t="s">
        <v>739</v>
      </c>
      <c r="H9" s="346">
        <v>2019.0</v>
      </c>
      <c r="I9" s="346">
        <v>896.3644</v>
      </c>
      <c r="J9" s="346">
        <v>467.2696</v>
      </c>
      <c r="K9" s="346">
        <v>1664.267</v>
      </c>
      <c r="L9" s="345" t="s">
        <v>740</v>
      </c>
    </row>
    <row r="10">
      <c r="A10" s="345" t="s">
        <v>744</v>
      </c>
      <c r="B10" s="345" t="s">
        <v>735</v>
      </c>
      <c r="C10" s="345" t="s">
        <v>736</v>
      </c>
      <c r="D10" s="345" t="s">
        <v>78</v>
      </c>
      <c r="E10" s="345" t="s">
        <v>737</v>
      </c>
      <c r="F10" s="345" t="s">
        <v>738</v>
      </c>
      <c r="G10" s="345" t="s">
        <v>739</v>
      </c>
      <c r="H10" s="346">
        <v>2019.0</v>
      </c>
      <c r="I10" s="346">
        <v>5.163541</v>
      </c>
      <c r="J10" s="346">
        <v>1.296665</v>
      </c>
      <c r="K10" s="346">
        <v>12.31983</v>
      </c>
      <c r="L10" s="345" t="s">
        <v>740</v>
      </c>
    </row>
    <row r="11">
      <c r="A11" s="345" t="s">
        <v>744</v>
      </c>
      <c r="B11" s="345" t="s">
        <v>735</v>
      </c>
      <c r="C11" s="345" t="s">
        <v>741</v>
      </c>
      <c r="D11" s="345" t="s">
        <v>78</v>
      </c>
      <c r="E11" s="345" t="s">
        <v>737</v>
      </c>
      <c r="F11" s="345" t="s">
        <v>738</v>
      </c>
      <c r="G11" s="345" t="s">
        <v>739</v>
      </c>
      <c r="H11" s="346">
        <v>2019.0</v>
      </c>
      <c r="I11" s="346">
        <v>12.94622</v>
      </c>
      <c r="J11" s="346">
        <v>3.668091</v>
      </c>
      <c r="K11" s="346">
        <v>30.72355</v>
      </c>
      <c r="L11" s="345" t="s">
        <v>740</v>
      </c>
      <c r="M11" s="52"/>
      <c r="N11" s="52"/>
      <c r="O11" s="52"/>
      <c r="P11" s="52"/>
      <c r="Q11" s="52"/>
      <c r="R11" s="52"/>
      <c r="S11" s="52"/>
      <c r="T11" s="52"/>
      <c r="U11" s="52"/>
      <c r="V11" s="52"/>
      <c r="W11" s="52"/>
      <c r="X11" s="52"/>
      <c r="Y11" s="52"/>
      <c r="Z11" s="52"/>
    </row>
    <row r="12">
      <c r="A12" s="345" t="s">
        <v>745</v>
      </c>
      <c r="B12" s="345" t="s">
        <v>735</v>
      </c>
      <c r="C12" s="345" t="s">
        <v>736</v>
      </c>
      <c r="D12" s="345" t="s">
        <v>78</v>
      </c>
      <c r="E12" s="345" t="s">
        <v>737</v>
      </c>
      <c r="F12" s="345" t="s">
        <v>738</v>
      </c>
      <c r="G12" s="345" t="s">
        <v>739</v>
      </c>
      <c r="H12" s="346">
        <v>2019.0</v>
      </c>
      <c r="I12" s="346">
        <v>890.2326</v>
      </c>
      <c r="J12" s="346">
        <v>61.84167</v>
      </c>
      <c r="K12" s="346">
        <v>2740.03</v>
      </c>
      <c r="L12" s="345" t="s">
        <v>740</v>
      </c>
    </row>
    <row r="13">
      <c r="A13" s="345" t="s">
        <v>745</v>
      </c>
      <c r="B13" s="345" t="s">
        <v>735</v>
      </c>
      <c r="C13" s="345" t="s">
        <v>741</v>
      </c>
      <c r="D13" s="345" t="s">
        <v>78</v>
      </c>
      <c r="E13" s="345" t="s">
        <v>737</v>
      </c>
      <c r="F13" s="345" t="s">
        <v>738</v>
      </c>
      <c r="G13" s="345" t="s">
        <v>739</v>
      </c>
      <c r="H13" s="346">
        <v>2019.0</v>
      </c>
      <c r="I13" s="346">
        <v>1062.497</v>
      </c>
      <c r="J13" s="346">
        <v>75.01534</v>
      </c>
      <c r="K13" s="346">
        <v>3218.377</v>
      </c>
      <c r="L13" s="345" t="s">
        <v>740</v>
      </c>
    </row>
    <row r="14">
      <c r="A14" s="345" t="s">
        <v>746</v>
      </c>
      <c r="B14" s="347" t="s">
        <v>735</v>
      </c>
      <c r="C14" s="347" t="s">
        <v>736</v>
      </c>
      <c r="D14" s="345" t="s">
        <v>78</v>
      </c>
      <c r="E14" s="345" t="s">
        <v>737</v>
      </c>
      <c r="F14" s="345" t="s">
        <v>738</v>
      </c>
      <c r="G14" s="345" t="s">
        <v>739</v>
      </c>
      <c r="H14" s="346">
        <v>2019.0</v>
      </c>
      <c r="I14" s="346">
        <v>5.73964</v>
      </c>
      <c r="J14" s="346">
        <v>0.786128</v>
      </c>
      <c r="K14" s="346">
        <v>21.46817</v>
      </c>
      <c r="L14" s="345" t="s">
        <v>740</v>
      </c>
    </row>
    <row r="15">
      <c r="A15" s="345" t="s">
        <v>746</v>
      </c>
      <c r="B15" s="345" t="s">
        <v>735</v>
      </c>
      <c r="C15" s="345" t="s">
        <v>741</v>
      </c>
      <c r="D15" s="347" t="s">
        <v>78</v>
      </c>
      <c r="E15" s="345" t="s">
        <v>737</v>
      </c>
      <c r="F15" s="345" t="s">
        <v>738</v>
      </c>
      <c r="G15" s="345" t="s">
        <v>739</v>
      </c>
      <c r="H15" s="346">
        <v>2019.0</v>
      </c>
      <c r="I15" s="346">
        <v>5.467925</v>
      </c>
      <c r="J15" s="346">
        <v>0.738731</v>
      </c>
      <c r="K15" s="346">
        <v>22.12722</v>
      </c>
      <c r="L15" s="345" t="s">
        <v>740</v>
      </c>
    </row>
    <row r="16">
      <c r="A16" s="345" t="s">
        <v>747</v>
      </c>
      <c r="B16" s="347" t="s">
        <v>735</v>
      </c>
      <c r="C16" s="347" t="s">
        <v>736</v>
      </c>
      <c r="D16" s="345" t="s">
        <v>78</v>
      </c>
      <c r="E16" s="345" t="s">
        <v>737</v>
      </c>
      <c r="F16" s="345" t="s">
        <v>738</v>
      </c>
      <c r="G16" s="345" t="s">
        <v>739</v>
      </c>
      <c r="H16" s="346">
        <v>2019.0</v>
      </c>
      <c r="I16" s="346">
        <v>1563.329</v>
      </c>
      <c r="J16" s="346">
        <v>532.3902</v>
      </c>
      <c r="K16" s="346">
        <v>3379.919</v>
      </c>
      <c r="L16" s="345" t="s">
        <v>740</v>
      </c>
    </row>
    <row r="17">
      <c r="A17" s="345" t="s">
        <v>747</v>
      </c>
      <c r="B17" s="347" t="s">
        <v>735</v>
      </c>
      <c r="C17" s="347" t="s">
        <v>741</v>
      </c>
      <c r="D17" s="345" t="s">
        <v>78</v>
      </c>
      <c r="E17" s="345" t="s">
        <v>737</v>
      </c>
      <c r="F17" s="345" t="s">
        <v>738</v>
      </c>
      <c r="G17" s="345" t="s">
        <v>739</v>
      </c>
      <c r="H17" s="346">
        <v>2019.0</v>
      </c>
      <c r="I17" s="346">
        <v>3837.201</v>
      </c>
      <c r="J17" s="346">
        <v>1363.782</v>
      </c>
      <c r="K17" s="346">
        <v>7968.617</v>
      </c>
      <c r="L17" s="345" t="s">
        <v>740</v>
      </c>
    </row>
    <row r="18">
      <c r="A18" s="345" t="s">
        <v>748</v>
      </c>
      <c r="B18" s="345" t="s">
        <v>735</v>
      </c>
      <c r="C18" s="345" t="s">
        <v>736</v>
      </c>
      <c r="D18" s="345" t="s">
        <v>78</v>
      </c>
      <c r="E18" s="345" t="s">
        <v>737</v>
      </c>
      <c r="F18" s="345" t="s">
        <v>738</v>
      </c>
      <c r="G18" s="345" t="s">
        <v>739</v>
      </c>
      <c r="H18" s="346">
        <v>2019.0</v>
      </c>
      <c r="I18" s="346">
        <v>7109.8</v>
      </c>
      <c r="J18" s="346">
        <v>2654.343</v>
      </c>
      <c r="K18" s="346">
        <v>12873.48</v>
      </c>
      <c r="L18" s="345" t="s">
        <v>740</v>
      </c>
    </row>
    <row r="19">
      <c r="A19" s="345" t="s">
        <v>748</v>
      </c>
      <c r="B19" s="345" t="s">
        <v>735</v>
      </c>
      <c r="C19" s="345" t="s">
        <v>741</v>
      </c>
      <c r="D19" s="345" t="s">
        <v>78</v>
      </c>
      <c r="E19" s="345" t="s">
        <v>737</v>
      </c>
      <c r="F19" s="345" t="s">
        <v>738</v>
      </c>
      <c r="G19" s="345" t="s">
        <v>739</v>
      </c>
      <c r="H19" s="346">
        <v>2019.0</v>
      </c>
      <c r="I19" s="346">
        <v>8060.295</v>
      </c>
      <c r="J19" s="346">
        <v>3070.292</v>
      </c>
      <c r="K19" s="346">
        <v>14180.94</v>
      </c>
      <c r="L19" s="345" t="s">
        <v>740</v>
      </c>
    </row>
    <row r="20">
      <c r="A20" s="345" t="s">
        <v>734</v>
      </c>
      <c r="B20" s="345" t="s">
        <v>735</v>
      </c>
      <c r="C20" s="345" t="s">
        <v>736</v>
      </c>
      <c r="D20" s="345" t="s">
        <v>480</v>
      </c>
      <c r="E20" s="345" t="s">
        <v>737</v>
      </c>
      <c r="F20" s="345" t="s">
        <v>738</v>
      </c>
      <c r="G20" s="345" t="s">
        <v>739</v>
      </c>
      <c r="H20" s="346">
        <v>2019.0</v>
      </c>
      <c r="I20" s="346">
        <v>28711.29</v>
      </c>
      <c r="J20" s="346">
        <v>24299.5</v>
      </c>
      <c r="K20" s="346">
        <v>33698.38</v>
      </c>
      <c r="L20" s="345" t="s">
        <v>740</v>
      </c>
    </row>
    <row r="21">
      <c r="A21" s="345" t="s">
        <v>734</v>
      </c>
      <c r="B21" s="345" t="s">
        <v>735</v>
      </c>
      <c r="C21" s="345" t="s">
        <v>741</v>
      </c>
      <c r="D21" s="345" t="s">
        <v>480</v>
      </c>
      <c r="E21" s="345" t="s">
        <v>737</v>
      </c>
      <c r="F21" s="345" t="s">
        <v>738</v>
      </c>
      <c r="G21" s="345" t="s">
        <v>739</v>
      </c>
      <c r="H21" s="346">
        <v>2019.0</v>
      </c>
      <c r="I21" s="346">
        <v>35645.93</v>
      </c>
      <c r="J21" s="346">
        <v>27625.88</v>
      </c>
      <c r="K21" s="346">
        <v>45915.52</v>
      </c>
      <c r="L21" s="345" t="s">
        <v>740</v>
      </c>
    </row>
    <row r="22">
      <c r="A22" s="345" t="s">
        <v>742</v>
      </c>
      <c r="B22" s="345" t="s">
        <v>735</v>
      </c>
      <c r="C22" s="345" t="s">
        <v>736</v>
      </c>
      <c r="D22" s="345" t="s">
        <v>480</v>
      </c>
      <c r="E22" s="345" t="s">
        <v>737</v>
      </c>
      <c r="F22" s="345" t="s">
        <v>738</v>
      </c>
      <c r="G22" s="345" t="s">
        <v>739</v>
      </c>
      <c r="H22" s="346">
        <v>2019.0</v>
      </c>
      <c r="I22" s="346">
        <v>4256.131</v>
      </c>
      <c r="J22" s="346">
        <v>2855.966</v>
      </c>
      <c r="K22" s="346">
        <v>5862.148</v>
      </c>
      <c r="L22" s="345" t="s">
        <v>740</v>
      </c>
    </row>
    <row r="23">
      <c r="A23" s="345" t="s">
        <v>742</v>
      </c>
      <c r="B23" s="345" t="s">
        <v>735</v>
      </c>
      <c r="C23" s="345" t="s">
        <v>741</v>
      </c>
      <c r="D23" s="345" t="s">
        <v>480</v>
      </c>
      <c r="E23" s="345" t="s">
        <v>737</v>
      </c>
      <c r="F23" s="345" t="s">
        <v>738</v>
      </c>
      <c r="G23" s="345" t="s">
        <v>739</v>
      </c>
      <c r="H23" s="346">
        <v>2019.0</v>
      </c>
      <c r="I23" s="346">
        <v>4835.247</v>
      </c>
      <c r="J23" s="346">
        <v>3064.765</v>
      </c>
      <c r="K23" s="346">
        <v>6867.326</v>
      </c>
      <c r="L23" s="345" t="s">
        <v>740</v>
      </c>
    </row>
    <row r="24">
      <c r="A24" s="345" t="s">
        <v>743</v>
      </c>
      <c r="B24" s="345" t="s">
        <v>735</v>
      </c>
      <c r="C24" s="345" t="s">
        <v>736</v>
      </c>
      <c r="D24" s="345" t="s">
        <v>480</v>
      </c>
      <c r="E24" s="345" t="s">
        <v>737</v>
      </c>
      <c r="F24" s="345" t="s">
        <v>738</v>
      </c>
      <c r="G24" s="345" t="s">
        <v>739</v>
      </c>
      <c r="H24" s="346">
        <v>2019.0</v>
      </c>
      <c r="I24" s="346">
        <v>920.9993</v>
      </c>
      <c r="J24" s="346">
        <v>510.9417</v>
      </c>
      <c r="K24" s="346">
        <v>1650.539</v>
      </c>
      <c r="L24" s="345" t="s">
        <v>740</v>
      </c>
    </row>
    <row r="25">
      <c r="A25" s="345" t="s">
        <v>743</v>
      </c>
      <c r="B25" s="345" t="s">
        <v>735</v>
      </c>
      <c r="C25" s="345" t="s">
        <v>741</v>
      </c>
      <c r="D25" s="345" t="s">
        <v>480</v>
      </c>
      <c r="E25" s="345" t="s">
        <v>737</v>
      </c>
      <c r="F25" s="345" t="s">
        <v>738</v>
      </c>
      <c r="G25" s="345" t="s">
        <v>739</v>
      </c>
      <c r="H25" s="346">
        <v>2019.0</v>
      </c>
      <c r="I25" s="346">
        <v>981.4049</v>
      </c>
      <c r="J25" s="346">
        <v>492.7582</v>
      </c>
      <c r="K25" s="346">
        <v>1842.168</v>
      </c>
      <c r="L25" s="345" t="s">
        <v>740</v>
      </c>
    </row>
    <row r="26">
      <c r="A26" s="345" t="s">
        <v>744</v>
      </c>
      <c r="B26" s="345" t="s">
        <v>735</v>
      </c>
      <c r="C26" s="345" t="s">
        <v>736</v>
      </c>
      <c r="D26" s="345" t="s">
        <v>480</v>
      </c>
      <c r="E26" s="345" t="s">
        <v>737</v>
      </c>
      <c r="F26" s="345" t="s">
        <v>738</v>
      </c>
      <c r="G26" s="345" t="s">
        <v>739</v>
      </c>
      <c r="H26" s="346">
        <v>2019.0</v>
      </c>
      <c r="I26" s="346">
        <v>4.061496</v>
      </c>
      <c r="J26" s="346">
        <v>0.924604</v>
      </c>
      <c r="K26" s="346">
        <v>9.717697</v>
      </c>
      <c r="L26" s="345" t="s">
        <v>740</v>
      </c>
    </row>
    <row r="27">
      <c r="A27" s="345" t="s">
        <v>744</v>
      </c>
      <c r="B27" s="345" t="s">
        <v>735</v>
      </c>
      <c r="C27" s="345" t="s">
        <v>741</v>
      </c>
      <c r="D27" s="345" t="s">
        <v>480</v>
      </c>
      <c r="E27" s="345" t="s">
        <v>737</v>
      </c>
      <c r="F27" s="345" t="s">
        <v>738</v>
      </c>
      <c r="G27" s="345" t="s">
        <v>739</v>
      </c>
      <c r="H27" s="346">
        <v>2019.0</v>
      </c>
      <c r="I27" s="346">
        <v>13.87313</v>
      </c>
      <c r="J27" s="346">
        <v>3.918598</v>
      </c>
      <c r="K27" s="346">
        <v>34.84889</v>
      </c>
      <c r="L27" s="345" t="s">
        <v>740</v>
      </c>
    </row>
    <row r="28">
      <c r="A28" s="345" t="s">
        <v>745</v>
      </c>
      <c r="B28" s="345" t="s">
        <v>735</v>
      </c>
      <c r="C28" s="345" t="s">
        <v>736</v>
      </c>
      <c r="D28" s="345" t="s">
        <v>480</v>
      </c>
      <c r="E28" s="345" t="s">
        <v>737</v>
      </c>
      <c r="F28" s="345" t="s">
        <v>738</v>
      </c>
      <c r="G28" s="345" t="s">
        <v>739</v>
      </c>
      <c r="H28" s="346">
        <v>2019.0</v>
      </c>
      <c r="I28" s="346">
        <v>344.0627</v>
      </c>
      <c r="J28" s="346">
        <v>28.01514</v>
      </c>
      <c r="K28" s="346">
        <v>1105.598</v>
      </c>
      <c r="L28" s="345" t="s">
        <v>740</v>
      </c>
    </row>
    <row r="29">
      <c r="A29" s="345" t="s">
        <v>745</v>
      </c>
      <c r="B29" s="345" t="s">
        <v>735</v>
      </c>
      <c r="C29" s="345" t="s">
        <v>741</v>
      </c>
      <c r="D29" s="345" t="s">
        <v>480</v>
      </c>
      <c r="E29" s="345" t="s">
        <v>737</v>
      </c>
      <c r="F29" s="345" t="s">
        <v>738</v>
      </c>
      <c r="G29" s="345" t="s">
        <v>739</v>
      </c>
      <c r="H29" s="346">
        <v>2019.0</v>
      </c>
      <c r="I29" s="346">
        <v>387.1</v>
      </c>
      <c r="J29" s="346">
        <v>29.19625</v>
      </c>
      <c r="K29" s="346">
        <v>1245.672</v>
      </c>
      <c r="L29" s="345" t="s">
        <v>740</v>
      </c>
    </row>
    <row r="30">
      <c r="A30" s="345" t="s">
        <v>746</v>
      </c>
      <c r="B30" s="345" t="s">
        <v>735</v>
      </c>
      <c r="C30" s="345" t="s">
        <v>736</v>
      </c>
      <c r="D30" s="345" t="s">
        <v>480</v>
      </c>
      <c r="E30" s="345" t="s">
        <v>737</v>
      </c>
      <c r="F30" s="345" t="s">
        <v>738</v>
      </c>
      <c r="G30" s="345" t="s">
        <v>739</v>
      </c>
      <c r="H30" s="346">
        <v>2019.0</v>
      </c>
      <c r="I30" s="346">
        <v>4.286767</v>
      </c>
      <c r="J30" s="346">
        <v>0.69974</v>
      </c>
      <c r="K30" s="346">
        <v>14.64882</v>
      </c>
      <c r="L30" s="345" t="s">
        <v>740</v>
      </c>
    </row>
    <row r="31">
      <c r="A31" s="345" t="s">
        <v>746</v>
      </c>
      <c r="B31" s="345" t="s">
        <v>735</v>
      </c>
      <c r="C31" s="345" t="s">
        <v>741</v>
      </c>
      <c r="D31" s="345" t="s">
        <v>480</v>
      </c>
      <c r="E31" s="345" t="s">
        <v>737</v>
      </c>
      <c r="F31" s="345" t="s">
        <v>738</v>
      </c>
      <c r="G31" s="345" t="s">
        <v>739</v>
      </c>
      <c r="H31" s="346">
        <v>2019.0</v>
      </c>
      <c r="I31" s="346">
        <v>5.399412</v>
      </c>
      <c r="J31" s="346">
        <v>0.815747</v>
      </c>
      <c r="K31" s="346">
        <v>18.67174</v>
      </c>
      <c r="L31" s="345" t="s">
        <v>740</v>
      </c>
    </row>
    <row r="32">
      <c r="A32" s="345" t="s">
        <v>747</v>
      </c>
      <c r="B32" s="345" t="s">
        <v>735</v>
      </c>
      <c r="C32" s="345" t="s">
        <v>736</v>
      </c>
      <c r="D32" s="345" t="s">
        <v>480</v>
      </c>
      <c r="E32" s="345" t="s">
        <v>737</v>
      </c>
      <c r="F32" s="345" t="s">
        <v>738</v>
      </c>
      <c r="G32" s="345" t="s">
        <v>739</v>
      </c>
      <c r="H32" s="346">
        <v>2019.0</v>
      </c>
      <c r="I32" s="346">
        <v>496.0862</v>
      </c>
      <c r="J32" s="346">
        <v>136.4056</v>
      </c>
      <c r="K32" s="346">
        <v>1219.613</v>
      </c>
      <c r="L32" s="345" t="s">
        <v>740</v>
      </c>
    </row>
    <row r="33">
      <c r="A33" s="345" t="s">
        <v>747</v>
      </c>
      <c r="B33" s="345" t="s">
        <v>735</v>
      </c>
      <c r="C33" s="345" t="s">
        <v>741</v>
      </c>
      <c r="D33" s="345" t="s">
        <v>480</v>
      </c>
      <c r="E33" s="345" t="s">
        <v>737</v>
      </c>
      <c r="F33" s="345" t="s">
        <v>738</v>
      </c>
      <c r="G33" s="345" t="s">
        <v>739</v>
      </c>
      <c r="H33" s="346">
        <v>2019.0</v>
      </c>
      <c r="I33" s="346">
        <v>1094.768</v>
      </c>
      <c r="J33" s="346">
        <v>313.1943</v>
      </c>
      <c r="K33" s="346">
        <v>2682.356</v>
      </c>
      <c r="L33" s="345" t="s">
        <v>740</v>
      </c>
    </row>
    <row r="34">
      <c r="A34" s="345" t="s">
        <v>748</v>
      </c>
      <c r="B34" s="345" t="s">
        <v>735</v>
      </c>
      <c r="C34" s="345" t="s">
        <v>736</v>
      </c>
      <c r="D34" s="345" t="s">
        <v>480</v>
      </c>
      <c r="E34" s="345" t="s">
        <v>737</v>
      </c>
      <c r="F34" s="345" t="s">
        <v>738</v>
      </c>
      <c r="G34" s="345" t="s">
        <v>739</v>
      </c>
      <c r="H34" s="346">
        <v>2019.0</v>
      </c>
      <c r="I34" s="346">
        <v>6265.475</v>
      </c>
      <c r="J34" s="346">
        <v>3136.135</v>
      </c>
      <c r="K34" s="346">
        <v>10452.06</v>
      </c>
      <c r="L34" s="345" t="s">
        <v>740</v>
      </c>
    </row>
    <row r="35">
      <c r="A35" s="345" t="s">
        <v>748</v>
      </c>
      <c r="B35" s="345" t="s">
        <v>735</v>
      </c>
      <c r="C35" s="345" t="s">
        <v>741</v>
      </c>
      <c r="D35" s="345" t="s">
        <v>480</v>
      </c>
      <c r="E35" s="345" t="s">
        <v>737</v>
      </c>
      <c r="F35" s="345" t="s">
        <v>738</v>
      </c>
      <c r="G35" s="345" t="s">
        <v>739</v>
      </c>
      <c r="H35" s="346">
        <v>2019.0</v>
      </c>
      <c r="I35" s="346">
        <v>12430.18</v>
      </c>
      <c r="J35" s="346">
        <v>6339.739</v>
      </c>
      <c r="K35" s="346">
        <v>19931.35</v>
      </c>
      <c r="L35" s="345" t="s">
        <v>740</v>
      </c>
    </row>
    <row r="36">
      <c r="A36" s="345" t="s">
        <v>734</v>
      </c>
      <c r="B36" s="345" t="s">
        <v>735</v>
      </c>
      <c r="C36" s="345" t="s">
        <v>736</v>
      </c>
      <c r="D36" s="345" t="s">
        <v>749</v>
      </c>
      <c r="E36" s="345" t="s">
        <v>737</v>
      </c>
      <c r="F36" s="345" t="s">
        <v>738</v>
      </c>
      <c r="G36" s="345" t="s">
        <v>739</v>
      </c>
      <c r="H36" s="346">
        <v>2019.0</v>
      </c>
      <c r="I36" s="346">
        <v>11880.14</v>
      </c>
      <c r="J36" s="346">
        <v>10097.69</v>
      </c>
      <c r="K36" s="346">
        <v>13971.78</v>
      </c>
      <c r="L36" s="345" t="s">
        <v>740</v>
      </c>
    </row>
    <row r="37">
      <c r="A37" s="345" t="s">
        <v>734</v>
      </c>
      <c r="B37" s="345" t="s">
        <v>735</v>
      </c>
      <c r="C37" s="345" t="s">
        <v>741</v>
      </c>
      <c r="D37" s="345" t="s">
        <v>749</v>
      </c>
      <c r="E37" s="345" t="s">
        <v>737</v>
      </c>
      <c r="F37" s="345" t="s">
        <v>738</v>
      </c>
      <c r="G37" s="345" t="s">
        <v>739</v>
      </c>
      <c r="H37" s="346">
        <v>2019.0</v>
      </c>
      <c r="I37" s="346">
        <v>23097.67</v>
      </c>
      <c r="J37" s="346">
        <v>19339.57</v>
      </c>
      <c r="K37" s="346">
        <v>27265.58</v>
      </c>
      <c r="L37" s="345" t="s">
        <v>740</v>
      </c>
    </row>
    <row r="38">
      <c r="A38" s="345" t="s">
        <v>742</v>
      </c>
      <c r="B38" s="345" t="s">
        <v>735</v>
      </c>
      <c r="C38" s="345" t="s">
        <v>736</v>
      </c>
      <c r="D38" s="345" t="s">
        <v>749</v>
      </c>
      <c r="E38" s="345" t="s">
        <v>737</v>
      </c>
      <c r="F38" s="345" t="s">
        <v>738</v>
      </c>
      <c r="G38" s="345" t="s">
        <v>739</v>
      </c>
      <c r="H38" s="346">
        <v>2019.0</v>
      </c>
      <c r="I38" s="346">
        <v>1724.15</v>
      </c>
      <c r="J38" s="346">
        <v>1166.482</v>
      </c>
      <c r="K38" s="346">
        <v>2413.448</v>
      </c>
      <c r="L38" s="345" t="s">
        <v>740</v>
      </c>
    </row>
    <row r="39">
      <c r="A39" s="345" t="s">
        <v>742</v>
      </c>
      <c r="B39" s="345" t="s">
        <v>735</v>
      </c>
      <c r="C39" s="345" t="s">
        <v>741</v>
      </c>
      <c r="D39" s="345" t="s">
        <v>749</v>
      </c>
      <c r="E39" s="345" t="s">
        <v>737</v>
      </c>
      <c r="F39" s="345" t="s">
        <v>738</v>
      </c>
      <c r="G39" s="345" t="s">
        <v>739</v>
      </c>
      <c r="H39" s="346">
        <v>2019.0</v>
      </c>
      <c r="I39" s="346">
        <v>4807.505</v>
      </c>
      <c r="J39" s="346">
        <v>3069.36</v>
      </c>
      <c r="K39" s="346">
        <v>7299.324</v>
      </c>
      <c r="L39" s="345" t="s">
        <v>740</v>
      </c>
    </row>
    <row r="40">
      <c r="A40" s="345" t="s">
        <v>743</v>
      </c>
      <c r="B40" s="345" t="s">
        <v>735</v>
      </c>
      <c r="C40" s="345" t="s">
        <v>736</v>
      </c>
      <c r="D40" s="345" t="s">
        <v>749</v>
      </c>
      <c r="E40" s="345" t="s">
        <v>737</v>
      </c>
      <c r="F40" s="345" t="s">
        <v>738</v>
      </c>
      <c r="G40" s="345" t="s">
        <v>739</v>
      </c>
      <c r="H40" s="346">
        <v>2019.0</v>
      </c>
      <c r="I40" s="346">
        <v>509.2415</v>
      </c>
      <c r="J40" s="346">
        <v>334.5154</v>
      </c>
      <c r="K40" s="346">
        <v>772.8002</v>
      </c>
      <c r="L40" s="345" t="s">
        <v>740</v>
      </c>
    </row>
    <row r="41">
      <c r="A41" s="345" t="s">
        <v>743</v>
      </c>
      <c r="B41" s="345" t="s">
        <v>735</v>
      </c>
      <c r="C41" s="345" t="s">
        <v>741</v>
      </c>
      <c r="D41" s="345" t="s">
        <v>749</v>
      </c>
      <c r="E41" s="345" t="s">
        <v>737</v>
      </c>
      <c r="F41" s="345" t="s">
        <v>738</v>
      </c>
      <c r="G41" s="345" t="s">
        <v>739</v>
      </c>
      <c r="H41" s="346">
        <v>2019.0</v>
      </c>
      <c r="I41" s="346">
        <v>1265.972</v>
      </c>
      <c r="J41" s="346">
        <v>718.1164</v>
      </c>
      <c r="K41" s="346">
        <v>2118.501</v>
      </c>
      <c r="L41" s="345" t="s">
        <v>740</v>
      </c>
    </row>
    <row r="42">
      <c r="A42" s="345" t="s">
        <v>744</v>
      </c>
      <c r="B42" s="345" t="s">
        <v>735</v>
      </c>
      <c r="C42" s="345" t="s">
        <v>736</v>
      </c>
      <c r="D42" s="345" t="s">
        <v>749</v>
      </c>
      <c r="E42" s="345" t="s">
        <v>737</v>
      </c>
      <c r="F42" s="345" t="s">
        <v>738</v>
      </c>
      <c r="G42" s="345" t="s">
        <v>739</v>
      </c>
      <c r="H42" s="346">
        <v>2019.0</v>
      </c>
      <c r="I42" s="346">
        <v>26.09219</v>
      </c>
      <c r="J42" s="346">
        <v>5.6211</v>
      </c>
      <c r="K42" s="346">
        <v>68.15704</v>
      </c>
      <c r="L42" s="345" t="s">
        <v>740</v>
      </c>
    </row>
    <row r="43">
      <c r="A43" s="345" t="s">
        <v>744</v>
      </c>
      <c r="B43" s="345" t="s">
        <v>735</v>
      </c>
      <c r="C43" s="345" t="s">
        <v>741</v>
      </c>
      <c r="D43" s="345" t="s">
        <v>749</v>
      </c>
      <c r="E43" s="345" t="s">
        <v>737</v>
      </c>
      <c r="F43" s="345" t="s">
        <v>738</v>
      </c>
      <c r="G43" s="345" t="s">
        <v>739</v>
      </c>
      <c r="H43" s="346">
        <v>2019.0</v>
      </c>
      <c r="I43" s="346">
        <v>187.6706</v>
      </c>
      <c r="J43" s="346">
        <v>47.91383</v>
      </c>
      <c r="K43" s="346">
        <v>473.301</v>
      </c>
      <c r="L43" s="345" t="s">
        <v>740</v>
      </c>
    </row>
    <row r="44">
      <c r="A44" s="345" t="s">
        <v>745</v>
      </c>
      <c r="B44" s="345" t="s">
        <v>735</v>
      </c>
      <c r="C44" s="345" t="s">
        <v>736</v>
      </c>
      <c r="D44" s="345" t="s">
        <v>749</v>
      </c>
      <c r="E44" s="345" t="s">
        <v>737</v>
      </c>
      <c r="F44" s="345" t="s">
        <v>738</v>
      </c>
      <c r="G44" s="345" t="s">
        <v>739</v>
      </c>
      <c r="H44" s="346">
        <v>2019.0</v>
      </c>
      <c r="I44" s="346">
        <v>527.5596</v>
      </c>
      <c r="J44" s="346">
        <v>22.58645</v>
      </c>
      <c r="K44" s="346">
        <v>2148.018</v>
      </c>
      <c r="L44" s="345" t="s">
        <v>740</v>
      </c>
    </row>
    <row r="45">
      <c r="A45" s="345" t="s">
        <v>745</v>
      </c>
      <c r="B45" s="345" t="s">
        <v>735</v>
      </c>
      <c r="C45" s="345" t="s">
        <v>741</v>
      </c>
      <c r="D45" s="345" t="s">
        <v>749</v>
      </c>
      <c r="E45" s="345" t="s">
        <v>737</v>
      </c>
      <c r="F45" s="345" t="s">
        <v>738</v>
      </c>
      <c r="G45" s="345" t="s">
        <v>739</v>
      </c>
      <c r="H45" s="346">
        <v>2019.0</v>
      </c>
      <c r="I45" s="346">
        <v>844.08</v>
      </c>
      <c r="J45" s="346">
        <v>34.60265</v>
      </c>
      <c r="K45" s="346">
        <v>3500.825</v>
      </c>
      <c r="L45" s="345" t="s">
        <v>740</v>
      </c>
    </row>
    <row r="46">
      <c r="A46" s="345" t="s">
        <v>746</v>
      </c>
      <c r="B46" s="345" t="s">
        <v>735</v>
      </c>
      <c r="C46" s="345" t="s">
        <v>736</v>
      </c>
      <c r="D46" s="345" t="s">
        <v>749</v>
      </c>
      <c r="E46" s="345" t="s">
        <v>737</v>
      </c>
      <c r="F46" s="345" t="s">
        <v>738</v>
      </c>
      <c r="G46" s="345" t="s">
        <v>739</v>
      </c>
      <c r="H46" s="346">
        <v>2019.0</v>
      </c>
      <c r="I46" s="346">
        <v>4.674288</v>
      </c>
      <c r="J46" s="346">
        <v>0.851652</v>
      </c>
      <c r="K46" s="346">
        <v>20.50858</v>
      </c>
      <c r="L46" s="345" t="s">
        <v>740</v>
      </c>
    </row>
    <row r="47">
      <c r="A47" s="345" t="s">
        <v>746</v>
      </c>
      <c r="B47" s="345" t="s">
        <v>735</v>
      </c>
      <c r="C47" s="345" t="s">
        <v>741</v>
      </c>
      <c r="D47" s="345" t="s">
        <v>749</v>
      </c>
      <c r="E47" s="345" t="s">
        <v>737</v>
      </c>
      <c r="F47" s="345" t="s">
        <v>738</v>
      </c>
      <c r="G47" s="345" t="s">
        <v>739</v>
      </c>
      <c r="H47" s="346">
        <v>2019.0</v>
      </c>
      <c r="I47" s="346">
        <v>10.96604</v>
      </c>
      <c r="J47" s="346">
        <v>2.081268</v>
      </c>
      <c r="K47" s="346">
        <v>36.36465</v>
      </c>
      <c r="L47" s="345" t="s">
        <v>740</v>
      </c>
    </row>
    <row r="48">
      <c r="A48" s="345" t="s">
        <v>747</v>
      </c>
      <c r="B48" s="345" t="s">
        <v>735</v>
      </c>
      <c r="C48" s="345" t="s">
        <v>736</v>
      </c>
      <c r="D48" s="345" t="s">
        <v>749</v>
      </c>
      <c r="E48" s="345" t="s">
        <v>737</v>
      </c>
      <c r="F48" s="345" t="s">
        <v>738</v>
      </c>
      <c r="G48" s="345" t="s">
        <v>739</v>
      </c>
      <c r="H48" s="346">
        <v>2019.0</v>
      </c>
      <c r="I48" s="346">
        <v>147.3458</v>
      </c>
      <c r="J48" s="346">
        <v>43.69853</v>
      </c>
      <c r="K48" s="346">
        <v>368.4461</v>
      </c>
      <c r="L48" s="345" t="s">
        <v>740</v>
      </c>
    </row>
    <row r="49">
      <c r="A49" s="345" t="s">
        <v>747</v>
      </c>
      <c r="B49" s="345" t="s">
        <v>735</v>
      </c>
      <c r="C49" s="345" t="s">
        <v>741</v>
      </c>
      <c r="D49" s="345" t="s">
        <v>749</v>
      </c>
      <c r="E49" s="345" t="s">
        <v>737</v>
      </c>
      <c r="F49" s="345" t="s">
        <v>738</v>
      </c>
      <c r="G49" s="345" t="s">
        <v>739</v>
      </c>
      <c r="H49" s="346">
        <v>2019.0</v>
      </c>
      <c r="I49" s="346">
        <v>409.0713</v>
      </c>
      <c r="J49" s="346">
        <v>121.1854</v>
      </c>
      <c r="K49" s="346">
        <v>1017.963</v>
      </c>
      <c r="L49" s="345" t="s">
        <v>740</v>
      </c>
    </row>
    <row r="50">
      <c r="A50" s="345" t="s">
        <v>748</v>
      </c>
      <c r="B50" s="345" t="s">
        <v>735</v>
      </c>
      <c r="C50" s="345" t="s">
        <v>736</v>
      </c>
      <c r="D50" s="345" t="s">
        <v>749</v>
      </c>
      <c r="E50" s="345" t="s">
        <v>737</v>
      </c>
      <c r="F50" s="345" t="s">
        <v>738</v>
      </c>
      <c r="G50" s="345" t="s">
        <v>739</v>
      </c>
      <c r="H50" s="346">
        <v>2019.0</v>
      </c>
      <c r="I50" s="346">
        <v>1158.195</v>
      </c>
      <c r="J50" s="346">
        <v>290.5275</v>
      </c>
      <c r="K50" s="346">
        <v>2959.036</v>
      </c>
      <c r="L50" s="345" t="s">
        <v>740</v>
      </c>
    </row>
    <row r="51">
      <c r="A51" s="345" t="s">
        <v>748</v>
      </c>
      <c r="B51" s="345" t="s">
        <v>735</v>
      </c>
      <c r="C51" s="345" t="s">
        <v>741</v>
      </c>
      <c r="D51" s="345" t="s">
        <v>749</v>
      </c>
      <c r="E51" s="345" t="s">
        <v>737</v>
      </c>
      <c r="F51" s="345" t="s">
        <v>738</v>
      </c>
      <c r="G51" s="345" t="s">
        <v>739</v>
      </c>
      <c r="H51" s="346">
        <v>2019.0</v>
      </c>
      <c r="I51" s="346">
        <v>4387.199</v>
      </c>
      <c r="J51" s="346">
        <v>1436.107</v>
      </c>
      <c r="K51" s="346">
        <v>9890.638</v>
      </c>
      <c r="L51" s="345" t="s">
        <v>740</v>
      </c>
    </row>
  </sheetData>
  <hyperlinks>
    <hyperlink r:id="rId1" ref="A1"/>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sheetPr>
  <sheetViews>
    <sheetView workbookViewId="0"/>
  </sheetViews>
  <sheetFormatPr customHeight="1" defaultColWidth="17.29" defaultRowHeight="15.0"/>
  <sheetData>
    <row r="1">
      <c r="A1" s="348" t="s">
        <v>750</v>
      </c>
      <c r="C1" s="349"/>
      <c r="D1" s="349"/>
      <c r="E1" s="349"/>
      <c r="F1" s="349"/>
      <c r="G1" s="349"/>
    </row>
    <row r="2">
      <c r="A2" s="350" t="s">
        <v>751</v>
      </c>
      <c r="C2" s="349"/>
      <c r="D2" s="349"/>
      <c r="E2" s="349"/>
      <c r="F2" s="349"/>
      <c r="G2" s="349"/>
    </row>
    <row r="3">
      <c r="A3" s="349"/>
      <c r="B3" s="349"/>
      <c r="C3" s="349"/>
      <c r="D3" s="349"/>
      <c r="E3" s="349"/>
      <c r="F3" s="349"/>
      <c r="G3" s="349"/>
    </row>
    <row r="4">
      <c r="A4" s="351" t="s">
        <v>752</v>
      </c>
    </row>
    <row r="5">
      <c r="A5" s="351" t="s">
        <v>753</v>
      </c>
    </row>
    <row r="6">
      <c r="A6" s="349"/>
      <c r="B6" s="349"/>
      <c r="C6" s="349"/>
      <c r="D6" s="349"/>
      <c r="E6" s="349"/>
      <c r="F6" s="349"/>
      <c r="G6" s="349"/>
    </row>
    <row r="7">
      <c r="A7" s="350" t="s">
        <v>754</v>
      </c>
      <c r="G7" s="352"/>
    </row>
    <row r="8">
      <c r="A8" s="350" t="s">
        <v>755</v>
      </c>
      <c r="C8" s="352"/>
      <c r="D8" s="352"/>
      <c r="E8" s="352"/>
      <c r="F8" s="352"/>
      <c r="G8" s="352"/>
    </row>
    <row r="9">
      <c r="A9" s="352"/>
      <c r="B9" s="352"/>
      <c r="C9" s="352"/>
      <c r="D9" s="352"/>
      <c r="E9" s="352"/>
      <c r="F9" s="352"/>
      <c r="G9" s="352"/>
    </row>
    <row r="10">
      <c r="A10" s="351" t="s">
        <v>756</v>
      </c>
    </row>
    <row r="11">
      <c r="A11" s="353" t="s">
        <v>757</v>
      </c>
      <c r="B11" s="354" t="s">
        <v>758</v>
      </c>
      <c r="C11" s="355" t="s">
        <v>759</v>
      </c>
      <c r="D11" s="355" t="s">
        <v>760</v>
      </c>
      <c r="E11" s="355" t="s">
        <v>761</v>
      </c>
      <c r="F11" s="355" t="s">
        <v>762</v>
      </c>
      <c r="G11" s="356" t="s">
        <v>763</v>
      </c>
      <c r="H11" s="357">
        <v>2013.0</v>
      </c>
      <c r="I11" s="357">
        <f t="shared" ref="I11:R11" si="1">H11+1</f>
        <v>2014</v>
      </c>
      <c r="J11" s="357">
        <f t="shared" si="1"/>
        <v>2015</v>
      </c>
      <c r="K11" s="357">
        <f t="shared" si="1"/>
        <v>2016</v>
      </c>
      <c r="L11" s="357">
        <f t="shared" si="1"/>
        <v>2017</v>
      </c>
      <c r="M11" s="357">
        <f t="shared" si="1"/>
        <v>2018</v>
      </c>
      <c r="N11" s="357">
        <f t="shared" si="1"/>
        <v>2019</v>
      </c>
      <c r="O11" s="357">
        <f t="shared" si="1"/>
        <v>2020</v>
      </c>
      <c r="P11" s="357">
        <f t="shared" si="1"/>
        <v>2021</v>
      </c>
      <c r="Q11" s="357">
        <f t="shared" si="1"/>
        <v>2022</v>
      </c>
      <c r="R11" s="357">
        <f t="shared" si="1"/>
        <v>2023</v>
      </c>
    </row>
    <row r="12">
      <c r="A12" s="339" t="s">
        <v>764</v>
      </c>
      <c r="B12" s="339" t="s">
        <v>765</v>
      </c>
      <c r="C12" s="205" t="s">
        <v>766</v>
      </c>
      <c r="D12" s="358" t="s">
        <v>767</v>
      </c>
      <c r="E12" s="358" t="s">
        <v>702</v>
      </c>
      <c r="F12" s="358" t="s">
        <v>702</v>
      </c>
      <c r="G12" s="358" t="s">
        <v>768</v>
      </c>
      <c r="H12" s="359">
        <v>78.16</v>
      </c>
      <c r="I12" s="359">
        <v>75.2827</v>
      </c>
      <c r="J12" s="359">
        <v>72.677</v>
      </c>
      <c r="K12" s="359">
        <v>70.2342</v>
      </c>
      <c r="L12" s="359">
        <v>67.9116</v>
      </c>
      <c r="M12" s="359">
        <v>65.7521</v>
      </c>
      <c r="N12" s="359">
        <v>63.6159</v>
      </c>
      <c r="O12" s="359">
        <v>61.558</v>
      </c>
      <c r="P12" s="359">
        <v>59.6076</v>
      </c>
      <c r="Q12" s="359">
        <v>57.6797</v>
      </c>
      <c r="R12" s="359">
        <v>57.6797</v>
      </c>
    </row>
    <row r="13">
      <c r="A13" s="339" t="s">
        <v>468</v>
      </c>
      <c r="B13" s="339" t="s">
        <v>467</v>
      </c>
      <c r="C13" s="205" t="s">
        <v>465</v>
      </c>
      <c r="D13" s="360"/>
      <c r="E13" s="358" t="s">
        <v>769</v>
      </c>
      <c r="F13" s="358" t="s">
        <v>769</v>
      </c>
      <c r="G13" s="358" t="s">
        <v>768</v>
      </c>
      <c r="H13" s="359">
        <v>97.9462</v>
      </c>
      <c r="I13" s="359">
        <v>92.5325</v>
      </c>
      <c r="J13" s="359">
        <v>87.8809</v>
      </c>
      <c r="K13" s="359">
        <v>83.9762</v>
      </c>
      <c r="L13" s="359">
        <v>80.3623</v>
      </c>
      <c r="M13" s="359">
        <v>77.1449</v>
      </c>
      <c r="N13" s="359">
        <v>74.1864</v>
      </c>
      <c r="O13" s="359">
        <v>71.5188</v>
      </c>
      <c r="P13" s="359">
        <v>69.1266</v>
      </c>
      <c r="Q13" s="359">
        <v>66.8738</v>
      </c>
      <c r="R13" s="359">
        <v>66.8738</v>
      </c>
    </row>
    <row r="14">
      <c r="A14" s="339" t="s">
        <v>770</v>
      </c>
      <c r="B14" s="339" t="s">
        <v>771</v>
      </c>
      <c r="C14" s="205" t="s">
        <v>772</v>
      </c>
      <c r="D14" s="360"/>
      <c r="E14" s="358" t="s">
        <v>773</v>
      </c>
      <c r="F14" s="358" t="s">
        <v>773</v>
      </c>
      <c r="G14" s="358" t="s">
        <v>768</v>
      </c>
      <c r="H14" s="359">
        <v>7.8322</v>
      </c>
      <c r="I14" s="359">
        <v>7.6343</v>
      </c>
      <c r="J14" s="359">
        <v>7.4146</v>
      </c>
      <c r="K14" s="359">
        <v>7.1848</v>
      </c>
      <c r="L14" s="359">
        <v>6.943</v>
      </c>
      <c r="M14" s="359">
        <v>6.7169</v>
      </c>
      <c r="N14" s="359">
        <v>6.4986</v>
      </c>
      <c r="O14" s="359">
        <v>6.2721</v>
      </c>
      <c r="P14" s="359">
        <v>6.068</v>
      </c>
      <c r="Q14" s="359">
        <v>5.8746</v>
      </c>
      <c r="R14" s="359">
        <v>5.8746</v>
      </c>
    </row>
    <row r="15">
      <c r="A15" s="339" t="s">
        <v>774</v>
      </c>
      <c r="B15" s="339" t="s">
        <v>605</v>
      </c>
      <c r="C15" s="205" t="s">
        <v>775</v>
      </c>
      <c r="D15" s="358" t="s">
        <v>776</v>
      </c>
      <c r="E15" s="358" t="s">
        <v>777</v>
      </c>
      <c r="F15" s="358" t="s">
        <v>778</v>
      </c>
      <c r="G15" s="358" t="s">
        <v>768</v>
      </c>
      <c r="H15" s="359">
        <v>10.4684</v>
      </c>
      <c r="I15" s="359">
        <v>9.9279</v>
      </c>
      <c r="J15" s="359">
        <v>9.5754</v>
      </c>
      <c r="K15" s="359">
        <v>9.4004</v>
      </c>
      <c r="L15" s="359">
        <v>9.3338</v>
      </c>
      <c r="M15" s="359">
        <v>9.3429</v>
      </c>
      <c r="N15" s="359">
        <v>9.3854</v>
      </c>
      <c r="O15" s="359">
        <v>9.4282</v>
      </c>
      <c r="P15" s="359">
        <v>9.4574</v>
      </c>
      <c r="Q15" s="359">
        <v>9.438</v>
      </c>
      <c r="R15" s="359">
        <v>9.438</v>
      </c>
    </row>
    <row r="16">
      <c r="A16" s="339" t="s">
        <v>779</v>
      </c>
      <c r="B16" s="339" t="s">
        <v>606</v>
      </c>
      <c r="C16" s="205" t="s">
        <v>775</v>
      </c>
      <c r="D16" s="358" t="s">
        <v>776</v>
      </c>
      <c r="E16" s="358" t="s">
        <v>780</v>
      </c>
      <c r="F16" s="358" t="s">
        <v>781</v>
      </c>
      <c r="G16" s="358" t="s">
        <v>768</v>
      </c>
      <c r="H16" s="359">
        <v>3.9354</v>
      </c>
      <c r="I16" s="359">
        <v>3.7511</v>
      </c>
      <c r="J16" s="359">
        <v>3.5579</v>
      </c>
      <c r="K16" s="359">
        <v>3.3923</v>
      </c>
      <c r="L16" s="359">
        <v>3.2428</v>
      </c>
      <c r="M16" s="359">
        <v>3.1145</v>
      </c>
      <c r="N16" s="359">
        <v>2.9907</v>
      </c>
      <c r="O16" s="359">
        <v>2.8819</v>
      </c>
      <c r="P16" s="359">
        <v>2.7801</v>
      </c>
      <c r="Q16" s="359">
        <v>2.6877</v>
      </c>
      <c r="R16" s="359">
        <v>2.6877</v>
      </c>
    </row>
    <row r="17">
      <c r="A17" s="339" t="s">
        <v>782</v>
      </c>
      <c r="B17" s="339" t="s">
        <v>783</v>
      </c>
      <c r="C17" s="205" t="s">
        <v>784</v>
      </c>
      <c r="D17" s="358" t="s">
        <v>785</v>
      </c>
      <c r="E17" s="358" t="s">
        <v>786</v>
      </c>
      <c r="F17" s="358" t="s">
        <v>786</v>
      </c>
      <c r="G17" s="358" t="s">
        <v>768</v>
      </c>
      <c r="H17" s="359">
        <v>8.1639</v>
      </c>
      <c r="I17" s="359">
        <v>7.9181</v>
      </c>
      <c r="J17" s="359">
        <v>7.644</v>
      </c>
      <c r="K17" s="359">
        <v>7.3373</v>
      </c>
      <c r="L17" s="359">
        <v>7.0054</v>
      </c>
      <c r="M17" s="359">
        <v>6.6521</v>
      </c>
      <c r="N17" s="359">
        <v>6.2931</v>
      </c>
      <c r="O17" s="359">
        <v>5.94</v>
      </c>
      <c r="P17" s="359">
        <v>5.6078</v>
      </c>
      <c r="Q17" s="359">
        <v>5.3054</v>
      </c>
      <c r="R17" s="359">
        <v>5.3054</v>
      </c>
    </row>
    <row r="18">
      <c r="A18" s="339" t="s">
        <v>787</v>
      </c>
      <c r="B18" s="339" t="s">
        <v>607</v>
      </c>
      <c r="C18" s="205" t="s">
        <v>772</v>
      </c>
      <c r="D18" s="360"/>
      <c r="E18" s="358" t="s">
        <v>773</v>
      </c>
      <c r="F18" s="358" t="s">
        <v>773</v>
      </c>
      <c r="G18" s="358" t="s">
        <v>768</v>
      </c>
      <c r="H18" s="359">
        <v>12.7531</v>
      </c>
      <c r="I18" s="359">
        <v>12.2296</v>
      </c>
      <c r="J18" s="359">
        <v>11.7591</v>
      </c>
      <c r="K18" s="359">
        <v>11.3519</v>
      </c>
      <c r="L18" s="359">
        <v>10.9829</v>
      </c>
      <c r="M18" s="359">
        <v>10.645</v>
      </c>
      <c r="N18" s="359">
        <v>10.3151</v>
      </c>
      <c r="O18" s="359">
        <v>10.0163</v>
      </c>
      <c r="P18" s="359">
        <v>9.7176</v>
      </c>
      <c r="Q18" s="359">
        <v>9.4352</v>
      </c>
      <c r="R18" s="359">
        <v>9.4352</v>
      </c>
    </row>
    <row r="19">
      <c r="A19" s="339" t="s">
        <v>788</v>
      </c>
      <c r="B19" s="339" t="s">
        <v>608</v>
      </c>
      <c r="C19" s="205" t="s">
        <v>784</v>
      </c>
      <c r="D19" s="358" t="s">
        <v>785</v>
      </c>
      <c r="E19" s="358" t="s">
        <v>777</v>
      </c>
      <c r="F19" s="358" t="s">
        <v>778</v>
      </c>
      <c r="G19" s="358" t="s">
        <v>768</v>
      </c>
      <c r="H19" s="359">
        <v>15.98</v>
      </c>
      <c r="I19" s="359">
        <v>15.2023</v>
      </c>
      <c r="J19" s="359">
        <v>14.4707</v>
      </c>
      <c r="K19" s="359">
        <v>13.7673</v>
      </c>
      <c r="L19" s="359">
        <v>13.1195</v>
      </c>
      <c r="M19" s="359">
        <v>12.4972</v>
      </c>
      <c r="N19" s="359">
        <v>11.9014</v>
      </c>
      <c r="O19" s="359">
        <v>11.3379</v>
      </c>
      <c r="P19" s="359">
        <v>10.7953</v>
      </c>
      <c r="Q19" s="359">
        <v>10.2829</v>
      </c>
      <c r="R19" s="359">
        <v>10.2829</v>
      </c>
    </row>
    <row r="20">
      <c r="A20" s="339" t="s">
        <v>789</v>
      </c>
      <c r="B20" s="339" t="s">
        <v>609</v>
      </c>
      <c r="C20" s="205" t="s">
        <v>772</v>
      </c>
      <c r="D20" s="360"/>
      <c r="E20" s="358" t="s">
        <v>773</v>
      </c>
      <c r="F20" s="358" t="s">
        <v>773</v>
      </c>
      <c r="G20" s="358" t="s">
        <v>768</v>
      </c>
      <c r="H20" s="359">
        <v>11.2927</v>
      </c>
      <c r="I20" s="359">
        <v>11.1129</v>
      </c>
      <c r="J20" s="359">
        <v>10.9313</v>
      </c>
      <c r="K20" s="359">
        <v>10.7557</v>
      </c>
      <c r="L20" s="359">
        <v>10.5878</v>
      </c>
      <c r="M20" s="359">
        <v>10.4095</v>
      </c>
      <c r="N20" s="359">
        <v>10.211</v>
      </c>
      <c r="O20" s="359">
        <v>9.9938</v>
      </c>
      <c r="P20" s="359">
        <v>9.7559</v>
      </c>
      <c r="Q20" s="359">
        <v>9.5043</v>
      </c>
      <c r="R20" s="359">
        <v>9.5043</v>
      </c>
    </row>
    <row r="21">
      <c r="A21" s="339" t="s">
        <v>790</v>
      </c>
      <c r="B21" s="339" t="s">
        <v>610</v>
      </c>
      <c r="C21" s="205" t="s">
        <v>791</v>
      </c>
      <c r="D21" s="358" t="s">
        <v>792</v>
      </c>
      <c r="E21" s="358" t="s">
        <v>793</v>
      </c>
      <c r="F21" s="358" t="s">
        <v>781</v>
      </c>
      <c r="G21" s="358" t="s">
        <v>768</v>
      </c>
      <c r="H21" s="359">
        <v>4.127</v>
      </c>
      <c r="I21" s="359">
        <v>3.9807</v>
      </c>
      <c r="J21" s="359">
        <v>3.8801</v>
      </c>
      <c r="K21" s="359">
        <v>3.8199</v>
      </c>
      <c r="L21" s="359">
        <v>3.7935</v>
      </c>
      <c r="M21" s="359">
        <v>3.7861</v>
      </c>
      <c r="N21" s="359">
        <v>3.783</v>
      </c>
      <c r="O21" s="359">
        <v>3.7783</v>
      </c>
      <c r="P21" s="359">
        <v>3.7716</v>
      </c>
      <c r="Q21" s="359">
        <v>3.7558</v>
      </c>
      <c r="R21" s="359">
        <v>3.7558</v>
      </c>
    </row>
    <row r="22">
      <c r="A22" s="339" t="s">
        <v>794</v>
      </c>
      <c r="B22" s="339" t="s">
        <v>611</v>
      </c>
      <c r="C22" s="205" t="s">
        <v>775</v>
      </c>
      <c r="D22" s="358" t="s">
        <v>776</v>
      </c>
      <c r="E22" s="358" t="s">
        <v>780</v>
      </c>
      <c r="F22" s="358" t="s">
        <v>781</v>
      </c>
      <c r="G22" s="358" t="s">
        <v>768</v>
      </c>
      <c r="H22" s="359">
        <v>3.9126</v>
      </c>
      <c r="I22" s="359">
        <v>3.7995</v>
      </c>
      <c r="J22" s="359">
        <v>3.7136</v>
      </c>
      <c r="K22" s="359">
        <v>3.6483</v>
      </c>
      <c r="L22" s="359">
        <v>3.5959</v>
      </c>
      <c r="M22" s="359">
        <v>3.5459</v>
      </c>
      <c r="N22" s="359">
        <v>3.4872</v>
      </c>
      <c r="O22" s="359">
        <v>3.4123</v>
      </c>
      <c r="P22" s="359">
        <v>3.3169</v>
      </c>
      <c r="Q22" s="359">
        <v>3.2031</v>
      </c>
      <c r="R22" s="359">
        <v>3.2031</v>
      </c>
    </row>
    <row r="23">
      <c r="A23" s="339" t="s">
        <v>795</v>
      </c>
      <c r="B23" s="339" t="s">
        <v>612</v>
      </c>
      <c r="C23" s="205" t="s">
        <v>784</v>
      </c>
      <c r="D23" s="358" t="s">
        <v>785</v>
      </c>
      <c r="E23" s="358" t="s">
        <v>777</v>
      </c>
      <c r="F23" s="358" t="s">
        <v>778</v>
      </c>
      <c r="G23" s="358" t="s">
        <v>768</v>
      </c>
      <c r="H23" s="359">
        <v>30.5338</v>
      </c>
      <c r="I23" s="359">
        <v>28.4881</v>
      </c>
      <c r="J23" s="359">
        <v>26.5923</v>
      </c>
      <c r="K23" s="359">
        <v>24.7612</v>
      </c>
      <c r="L23" s="359">
        <v>23.1664</v>
      </c>
      <c r="M23" s="359">
        <v>21.7982</v>
      </c>
      <c r="N23" s="359">
        <v>20.6517</v>
      </c>
      <c r="O23" s="359">
        <v>19.7052</v>
      </c>
      <c r="P23" s="359">
        <v>18.8444</v>
      </c>
      <c r="Q23" s="359">
        <v>18.0679</v>
      </c>
      <c r="R23" s="359">
        <v>18.0679</v>
      </c>
    </row>
    <row r="24">
      <c r="A24" s="339" t="s">
        <v>474</v>
      </c>
      <c r="B24" s="339" t="s">
        <v>334</v>
      </c>
      <c r="C24" s="205" t="s">
        <v>465</v>
      </c>
      <c r="D24" s="360"/>
      <c r="E24" s="358" t="s">
        <v>769</v>
      </c>
      <c r="F24" s="358" t="s">
        <v>769</v>
      </c>
      <c r="G24" s="358" t="s">
        <v>768</v>
      </c>
      <c r="H24" s="359">
        <v>75.2671</v>
      </c>
      <c r="I24" s="359">
        <v>71.049</v>
      </c>
      <c r="J24" s="359">
        <v>67.317</v>
      </c>
      <c r="K24" s="359">
        <v>64.0082</v>
      </c>
      <c r="L24" s="359">
        <v>61.0979</v>
      </c>
      <c r="M24" s="359">
        <v>58.5842</v>
      </c>
      <c r="N24" s="359">
        <v>56.3287</v>
      </c>
      <c r="O24" s="359">
        <v>54.2285</v>
      </c>
      <c r="P24" s="359">
        <v>52.3188</v>
      </c>
      <c r="Q24" s="359">
        <v>50.4931</v>
      </c>
      <c r="R24" s="359">
        <v>50.4931</v>
      </c>
    </row>
    <row r="25">
      <c r="A25" s="339" t="s">
        <v>796</v>
      </c>
      <c r="B25" s="339" t="s">
        <v>613</v>
      </c>
      <c r="C25" s="205" t="s">
        <v>775</v>
      </c>
      <c r="D25" s="358" t="s">
        <v>776</v>
      </c>
      <c r="E25" s="358" t="s">
        <v>780</v>
      </c>
      <c r="F25" s="358" t="s">
        <v>781</v>
      </c>
      <c r="G25" s="358" t="s">
        <v>768</v>
      </c>
      <c r="H25" s="359">
        <v>4.2182</v>
      </c>
      <c r="I25" s="359">
        <v>4.1547</v>
      </c>
      <c r="J25" s="359">
        <v>4.1052</v>
      </c>
      <c r="K25" s="359">
        <v>4.0672</v>
      </c>
      <c r="L25" s="359">
        <v>4.0308</v>
      </c>
      <c r="M25" s="359">
        <v>3.9854</v>
      </c>
      <c r="N25" s="359">
        <v>3.9287</v>
      </c>
      <c r="O25" s="359">
        <v>3.8606</v>
      </c>
      <c r="P25" s="359">
        <v>3.7812</v>
      </c>
      <c r="Q25" s="359">
        <v>3.6947</v>
      </c>
      <c r="R25" s="359">
        <v>3.6947</v>
      </c>
    </row>
    <row r="26">
      <c r="A26" s="339" t="s">
        <v>477</v>
      </c>
      <c r="B26" s="339" t="s">
        <v>476</v>
      </c>
      <c r="C26" s="205" t="s">
        <v>465</v>
      </c>
      <c r="D26" s="360"/>
      <c r="E26" s="358" t="s">
        <v>797</v>
      </c>
      <c r="F26" s="358" t="s">
        <v>797</v>
      </c>
      <c r="G26" s="358" t="s">
        <v>768</v>
      </c>
      <c r="H26" s="359">
        <v>101.8625</v>
      </c>
      <c r="I26" s="359">
        <v>99.6344</v>
      </c>
      <c r="J26" s="359">
        <v>97.3959</v>
      </c>
      <c r="K26" s="359">
        <v>95.2118</v>
      </c>
      <c r="L26" s="359">
        <v>92.9918</v>
      </c>
      <c r="M26" s="359">
        <v>90.7155</v>
      </c>
      <c r="N26" s="359">
        <v>88.3078</v>
      </c>
      <c r="O26" s="359">
        <v>85.7602</v>
      </c>
      <c r="P26" s="359">
        <v>83.2989</v>
      </c>
      <c r="Q26" s="359">
        <v>80.7756</v>
      </c>
      <c r="R26" s="359">
        <v>80.7756</v>
      </c>
    </row>
    <row r="27">
      <c r="A27" s="339" t="s">
        <v>481</v>
      </c>
      <c r="B27" s="339" t="s">
        <v>480</v>
      </c>
      <c r="C27" s="205" t="s">
        <v>465</v>
      </c>
      <c r="D27" s="360"/>
      <c r="E27" s="358" t="s">
        <v>797</v>
      </c>
      <c r="F27" s="358" t="s">
        <v>797</v>
      </c>
      <c r="G27" s="358" t="s">
        <v>768</v>
      </c>
      <c r="H27" s="359">
        <v>107.8022</v>
      </c>
      <c r="I27" s="359">
        <v>104.0339</v>
      </c>
      <c r="J27" s="359">
        <v>100.413</v>
      </c>
      <c r="K27" s="359">
        <v>96.8682</v>
      </c>
      <c r="L27" s="359">
        <v>93.5708</v>
      </c>
      <c r="M27" s="359">
        <v>90.2826</v>
      </c>
      <c r="N27" s="359">
        <v>87.2745</v>
      </c>
      <c r="O27" s="359">
        <v>84.2622</v>
      </c>
      <c r="P27" s="359">
        <v>81.4061</v>
      </c>
      <c r="Q27" s="359">
        <v>78.7814</v>
      </c>
      <c r="R27" s="359">
        <v>78.7814</v>
      </c>
    </row>
    <row r="28">
      <c r="A28" s="339" t="s">
        <v>798</v>
      </c>
      <c r="B28" s="339" t="s">
        <v>614</v>
      </c>
      <c r="C28" s="205" t="s">
        <v>766</v>
      </c>
      <c r="D28" s="358" t="s">
        <v>767</v>
      </c>
      <c r="E28" s="358" t="s">
        <v>702</v>
      </c>
      <c r="F28" s="358" t="s">
        <v>702</v>
      </c>
      <c r="G28" s="358" t="s">
        <v>768</v>
      </c>
      <c r="H28" s="359">
        <v>42.3606</v>
      </c>
      <c r="I28" s="359">
        <v>40.4014</v>
      </c>
      <c r="J28" s="359">
        <v>38.5389</v>
      </c>
      <c r="K28" s="359">
        <v>36.787</v>
      </c>
      <c r="L28" s="359">
        <v>35.1339</v>
      </c>
      <c r="M28" s="359">
        <v>33.6067</v>
      </c>
      <c r="N28" s="359">
        <v>32.2193</v>
      </c>
      <c r="O28" s="359">
        <v>30.9655</v>
      </c>
      <c r="P28" s="359">
        <v>29.8227</v>
      </c>
      <c r="Q28" s="359">
        <v>28.7752</v>
      </c>
      <c r="R28" s="359">
        <v>28.7752</v>
      </c>
    </row>
    <row r="29">
      <c r="A29" s="339" t="s">
        <v>799</v>
      </c>
      <c r="B29" s="339" t="s">
        <v>615</v>
      </c>
      <c r="C29" s="205" t="s">
        <v>775</v>
      </c>
      <c r="D29" s="358" t="s">
        <v>776</v>
      </c>
      <c r="E29" s="358" t="s">
        <v>777</v>
      </c>
      <c r="F29" s="358" t="s">
        <v>778</v>
      </c>
      <c r="G29" s="358" t="s">
        <v>768</v>
      </c>
      <c r="H29" s="359">
        <v>9.2421</v>
      </c>
      <c r="I29" s="359">
        <v>8.676</v>
      </c>
      <c r="J29" s="359">
        <v>8.1593</v>
      </c>
      <c r="K29" s="359">
        <v>7.704</v>
      </c>
      <c r="L29" s="359">
        <v>7.3181</v>
      </c>
      <c r="M29" s="359">
        <v>6.9933</v>
      </c>
      <c r="N29" s="359">
        <v>6.7163</v>
      </c>
      <c r="O29" s="359">
        <v>6.4759</v>
      </c>
      <c r="P29" s="359">
        <v>6.2709</v>
      </c>
      <c r="Q29" s="359">
        <v>6.0985</v>
      </c>
      <c r="R29" s="359">
        <v>6.0985</v>
      </c>
    </row>
    <row r="30">
      <c r="A30" s="339" t="s">
        <v>800</v>
      </c>
      <c r="B30" s="339" t="s">
        <v>616</v>
      </c>
      <c r="C30" s="205" t="s">
        <v>784</v>
      </c>
      <c r="D30" s="358" t="s">
        <v>785</v>
      </c>
      <c r="E30" s="358" t="s">
        <v>786</v>
      </c>
      <c r="F30" s="358" t="s">
        <v>786</v>
      </c>
      <c r="G30" s="358" t="s">
        <v>768</v>
      </c>
      <c r="H30" s="359">
        <v>7.9475</v>
      </c>
      <c r="I30" s="359">
        <v>7.7687</v>
      </c>
      <c r="J30" s="359">
        <v>7.6075</v>
      </c>
      <c r="K30" s="359">
        <v>7.4558</v>
      </c>
      <c r="L30" s="359">
        <v>7.3005</v>
      </c>
      <c r="M30" s="359">
        <v>7.1535</v>
      </c>
      <c r="N30" s="359">
        <v>7.0068</v>
      </c>
      <c r="O30" s="359">
        <v>6.8595</v>
      </c>
      <c r="P30" s="359">
        <v>6.6946</v>
      </c>
      <c r="Q30" s="359">
        <v>6.5187</v>
      </c>
      <c r="R30" s="359">
        <v>6.5187</v>
      </c>
    </row>
    <row r="31">
      <c r="A31" s="339" t="s">
        <v>801</v>
      </c>
      <c r="B31" s="339" t="s">
        <v>802</v>
      </c>
      <c r="C31" s="205" t="s">
        <v>772</v>
      </c>
      <c r="D31" s="360"/>
      <c r="E31" s="358" t="s">
        <v>773</v>
      </c>
      <c r="F31" s="358" t="s">
        <v>781</v>
      </c>
      <c r="G31" s="358" t="s">
        <v>768</v>
      </c>
      <c r="H31" s="359">
        <v>14.4432</v>
      </c>
      <c r="I31" s="359">
        <v>14.1858</v>
      </c>
      <c r="J31" s="359">
        <v>13.9764</v>
      </c>
      <c r="K31" s="359">
        <v>13.7983</v>
      </c>
      <c r="L31" s="359">
        <v>13.6593</v>
      </c>
      <c r="M31" s="359">
        <v>13.5479</v>
      </c>
      <c r="N31" s="359">
        <v>23.508</v>
      </c>
      <c r="O31" s="359">
        <v>13.3029</v>
      </c>
      <c r="P31" s="359">
        <v>13.1212</v>
      </c>
      <c r="Q31" s="359">
        <v>12.9071</v>
      </c>
      <c r="R31" s="359">
        <v>12.9071</v>
      </c>
    </row>
    <row r="32">
      <c r="A32" s="339" t="s">
        <v>803</v>
      </c>
      <c r="B32" s="339" t="s">
        <v>618</v>
      </c>
      <c r="C32" s="205" t="s">
        <v>775</v>
      </c>
      <c r="D32" s="358" t="s">
        <v>776</v>
      </c>
      <c r="E32" s="358" t="s">
        <v>777</v>
      </c>
      <c r="F32" s="358" t="s">
        <v>778</v>
      </c>
      <c r="G32" s="358" t="s">
        <v>768</v>
      </c>
      <c r="H32" s="359">
        <v>6.4095</v>
      </c>
      <c r="I32" s="359">
        <v>6.3682</v>
      </c>
      <c r="J32" s="359">
        <v>6.3526</v>
      </c>
      <c r="K32" s="359">
        <v>6.3572</v>
      </c>
      <c r="L32" s="359">
        <v>6.3602</v>
      </c>
      <c r="M32" s="359">
        <v>6.3425</v>
      </c>
      <c r="N32" s="359">
        <v>6.303</v>
      </c>
      <c r="O32" s="359">
        <v>6.2358</v>
      </c>
      <c r="P32" s="359">
        <v>6.1431</v>
      </c>
      <c r="Q32" s="359">
        <v>6.0314</v>
      </c>
      <c r="R32" s="359">
        <v>6.0314</v>
      </c>
    </row>
    <row r="33">
      <c r="A33" s="339" t="s">
        <v>804</v>
      </c>
      <c r="B33" s="339" t="s">
        <v>619</v>
      </c>
      <c r="C33" s="205" t="s">
        <v>775</v>
      </c>
      <c r="D33" s="358" t="s">
        <v>776</v>
      </c>
      <c r="E33" s="358" t="s">
        <v>777</v>
      </c>
      <c r="F33" s="358" t="s">
        <v>778</v>
      </c>
      <c r="G33" s="358" t="s">
        <v>768</v>
      </c>
      <c r="H33" s="359">
        <v>4.5739</v>
      </c>
      <c r="I33" s="359">
        <v>4.3231</v>
      </c>
      <c r="J33" s="359">
        <v>4.0869</v>
      </c>
      <c r="K33" s="359">
        <v>3.8526</v>
      </c>
      <c r="L33" s="359">
        <v>3.6142</v>
      </c>
      <c r="M33" s="359">
        <v>3.3702</v>
      </c>
      <c r="N33" s="359">
        <v>3.129</v>
      </c>
      <c r="O33" s="359">
        <v>2.9112</v>
      </c>
      <c r="P33" s="359">
        <v>2.7256</v>
      </c>
      <c r="Q33" s="359">
        <v>2.5742</v>
      </c>
      <c r="R33" s="359">
        <v>2.5742</v>
      </c>
    </row>
    <row r="34">
      <c r="A34" s="339" t="s">
        <v>805</v>
      </c>
      <c r="B34" s="339" t="s">
        <v>620</v>
      </c>
      <c r="C34" s="205" t="s">
        <v>772</v>
      </c>
      <c r="D34" s="360"/>
      <c r="E34" s="358" t="s">
        <v>773</v>
      </c>
      <c r="F34" s="358" t="s">
        <v>773</v>
      </c>
      <c r="G34" s="358" t="s">
        <v>768</v>
      </c>
      <c r="H34" s="359">
        <v>17.0529</v>
      </c>
      <c r="I34" s="359">
        <v>16.3754</v>
      </c>
      <c r="J34" s="359">
        <v>15.6664</v>
      </c>
      <c r="K34" s="359">
        <v>14.9447</v>
      </c>
      <c r="L34" s="359">
        <v>14.2268</v>
      </c>
      <c r="M34" s="359">
        <v>13.5205</v>
      </c>
      <c r="N34" s="359">
        <v>12.8396</v>
      </c>
      <c r="O34" s="359">
        <v>12.1742</v>
      </c>
      <c r="P34" s="359">
        <v>11.5413</v>
      </c>
      <c r="Q34" s="359">
        <v>10.946</v>
      </c>
      <c r="R34" s="359">
        <v>10.946</v>
      </c>
    </row>
    <row r="35">
      <c r="A35" s="339" t="s">
        <v>806</v>
      </c>
      <c r="B35" s="339" t="s">
        <v>807</v>
      </c>
      <c r="C35" s="205" t="s">
        <v>772</v>
      </c>
      <c r="D35" s="360"/>
      <c r="E35" s="358" t="s">
        <v>773</v>
      </c>
      <c r="F35" s="358" t="s">
        <v>773</v>
      </c>
      <c r="G35" s="358" t="s">
        <v>768</v>
      </c>
      <c r="H35" s="359">
        <v>35.4311</v>
      </c>
      <c r="I35" s="359">
        <v>33.5548</v>
      </c>
      <c r="J35" s="359">
        <v>31.869</v>
      </c>
      <c r="K35" s="359">
        <v>30.4187</v>
      </c>
      <c r="L35" s="359">
        <v>29.0862</v>
      </c>
      <c r="M35" s="359">
        <v>27.895</v>
      </c>
      <c r="N35" s="359">
        <v>26.7896</v>
      </c>
      <c r="O35" s="359">
        <v>25.7504</v>
      </c>
      <c r="P35" s="359">
        <v>24.7963</v>
      </c>
      <c r="Q35" s="359">
        <v>23.911</v>
      </c>
      <c r="R35" s="359">
        <v>23.911</v>
      </c>
    </row>
    <row r="36">
      <c r="A36" s="339" t="s">
        <v>808</v>
      </c>
      <c r="B36" s="339" t="s">
        <v>622</v>
      </c>
      <c r="C36" s="205" t="s">
        <v>772</v>
      </c>
      <c r="D36" s="360"/>
      <c r="E36" s="358" t="s">
        <v>773</v>
      </c>
      <c r="F36" s="358" t="s">
        <v>773</v>
      </c>
      <c r="G36" s="358" t="s">
        <v>768</v>
      </c>
      <c r="H36" s="359">
        <v>16.7152</v>
      </c>
      <c r="I36" s="359">
        <v>16.2765</v>
      </c>
      <c r="J36" s="359">
        <v>15.9094</v>
      </c>
      <c r="K36" s="359">
        <v>16.6889</v>
      </c>
      <c r="L36" s="359">
        <v>15.3062</v>
      </c>
      <c r="M36" s="359">
        <v>15.0392</v>
      </c>
      <c r="N36" s="359">
        <v>14.7841</v>
      </c>
      <c r="O36" s="359">
        <v>14.5295</v>
      </c>
      <c r="P36" s="359">
        <v>14.2751</v>
      </c>
      <c r="Q36" s="359">
        <v>14.0249</v>
      </c>
      <c r="R36" s="359">
        <v>14.0249</v>
      </c>
    </row>
    <row r="37">
      <c r="A37" s="339" t="s">
        <v>809</v>
      </c>
      <c r="B37" s="339" t="s">
        <v>623</v>
      </c>
      <c r="C37" s="205" t="s">
        <v>772</v>
      </c>
      <c r="D37" s="360"/>
      <c r="E37" s="358" t="s">
        <v>773</v>
      </c>
      <c r="F37" s="358" t="s">
        <v>773</v>
      </c>
      <c r="G37" s="358" t="s">
        <v>768</v>
      </c>
      <c r="H37" s="359">
        <v>13.8742</v>
      </c>
      <c r="I37" s="359">
        <v>13.6335</v>
      </c>
      <c r="J37" s="359">
        <v>13.3435</v>
      </c>
      <c r="K37" s="359">
        <v>13.0368</v>
      </c>
      <c r="L37" s="359">
        <v>12.6735</v>
      </c>
      <c r="M37" s="359">
        <v>12.3307</v>
      </c>
      <c r="N37" s="359">
        <v>11.9628</v>
      </c>
      <c r="O37" s="359">
        <v>11.5861</v>
      </c>
      <c r="P37" s="359">
        <v>11.2419</v>
      </c>
      <c r="Q37" s="359">
        <v>10.8713</v>
      </c>
      <c r="R37" s="359">
        <v>10.8713</v>
      </c>
    </row>
    <row r="38">
      <c r="A38" s="339" t="s">
        <v>810</v>
      </c>
      <c r="B38" s="339" t="s">
        <v>624</v>
      </c>
      <c r="C38" s="205" t="s">
        <v>811</v>
      </c>
      <c r="D38" s="358" t="s">
        <v>812</v>
      </c>
      <c r="E38" s="358" t="s">
        <v>793</v>
      </c>
      <c r="F38" s="358" t="s">
        <v>781</v>
      </c>
      <c r="G38" s="358" t="s">
        <v>768</v>
      </c>
      <c r="H38" s="359">
        <v>9.8602</v>
      </c>
      <c r="I38" s="359">
        <v>9.9008</v>
      </c>
      <c r="J38" s="359">
        <v>9.9237</v>
      </c>
      <c r="K38" s="359">
        <v>9.9253</v>
      </c>
      <c r="L38" s="359">
        <v>9.9269</v>
      </c>
      <c r="M38" s="359">
        <v>9.9073</v>
      </c>
      <c r="N38" s="359">
        <v>9.8802</v>
      </c>
      <c r="O38" s="359">
        <v>9.8464</v>
      </c>
      <c r="P38" s="359">
        <v>9.8053</v>
      </c>
      <c r="Q38" s="359">
        <v>9.7421</v>
      </c>
      <c r="R38" s="359">
        <v>9.7421</v>
      </c>
    </row>
    <row r="39">
      <c r="A39" s="339" t="s">
        <v>813</v>
      </c>
      <c r="B39" s="339" t="s">
        <v>814</v>
      </c>
      <c r="C39" s="205" t="s">
        <v>766</v>
      </c>
      <c r="D39" s="358" t="s">
        <v>767</v>
      </c>
      <c r="E39" s="358" t="s">
        <v>702</v>
      </c>
      <c r="F39" s="358" t="s">
        <v>702</v>
      </c>
      <c r="G39" s="358" t="s">
        <v>768</v>
      </c>
      <c r="H39" s="359">
        <v>33.6642</v>
      </c>
      <c r="I39" s="359">
        <v>32.043</v>
      </c>
      <c r="J39" s="359">
        <v>30.6738</v>
      </c>
      <c r="K39" s="359">
        <v>29.3982</v>
      </c>
      <c r="L39" s="359">
        <v>28.234</v>
      </c>
      <c r="M39" s="359">
        <v>27.208</v>
      </c>
      <c r="N39" s="359">
        <v>26.275</v>
      </c>
      <c r="O39" s="359">
        <v>25.3774</v>
      </c>
      <c r="P39" s="359">
        <v>24.5105</v>
      </c>
      <c r="Q39" s="359">
        <v>23.7139</v>
      </c>
      <c r="R39" s="359">
        <v>23.7139</v>
      </c>
    </row>
    <row r="40">
      <c r="A40" s="339" t="s">
        <v>485</v>
      </c>
      <c r="B40" s="339" t="s">
        <v>484</v>
      </c>
      <c r="C40" s="205" t="s">
        <v>465</v>
      </c>
      <c r="D40" s="360"/>
      <c r="E40" s="358" t="s">
        <v>769</v>
      </c>
      <c r="F40" s="358" t="s">
        <v>769</v>
      </c>
      <c r="G40" s="358" t="s">
        <v>768</v>
      </c>
      <c r="H40" s="359">
        <v>51.2744</v>
      </c>
      <c r="I40" s="359">
        <v>50.3747</v>
      </c>
      <c r="J40" s="359">
        <v>48.5889</v>
      </c>
      <c r="K40" s="359">
        <v>47.3697</v>
      </c>
      <c r="L40" s="359">
        <v>44.2994</v>
      </c>
      <c r="M40" s="359">
        <v>43.6725</v>
      </c>
      <c r="N40" s="359">
        <v>42.6435</v>
      </c>
      <c r="O40" s="359">
        <v>41.3318</v>
      </c>
      <c r="P40" s="359">
        <v>39.9443</v>
      </c>
      <c r="Q40" s="359">
        <v>38.735</v>
      </c>
      <c r="R40" s="359">
        <v>38.735</v>
      </c>
    </row>
    <row r="41">
      <c r="A41" s="339" t="s">
        <v>489</v>
      </c>
      <c r="B41" s="339" t="s">
        <v>488</v>
      </c>
      <c r="C41" s="205" t="s">
        <v>465</v>
      </c>
      <c r="D41" s="360"/>
      <c r="E41" s="358" t="s">
        <v>797</v>
      </c>
      <c r="F41" s="358" t="s">
        <v>797</v>
      </c>
      <c r="G41" s="358" t="s">
        <v>768</v>
      </c>
      <c r="H41" s="359">
        <v>120.1877</v>
      </c>
      <c r="I41" s="359">
        <v>117.6786</v>
      </c>
      <c r="J41" s="359">
        <v>114.7584</v>
      </c>
      <c r="K41" s="359">
        <v>111.9158</v>
      </c>
      <c r="L41" s="359">
        <v>110.1947</v>
      </c>
      <c r="M41" s="359">
        <v>108.0203</v>
      </c>
      <c r="N41" s="359">
        <v>105.2874</v>
      </c>
      <c r="O41" s="359">
        <v>102.4301</v>
      </c>
      <c r="P41" s="359">
        <v>99.3472</v>
      </c>
      <c r="Q41" s="359">
        <v>96.7819</v>
      </c>
      <c r="R41" s="359">
        <v>96.7819</v>
      </c>
    </row>
    <row r="42">
      <c r="A42" s="339" t="s">
        <v>815</v>
      </c>
      <c r="B42" s="339" t="s">
        <v>816</v>
      </c>
      <c r="C42" s="205" t="s">
        <v>775</v>
      </c>
      <c r="D42" s="358" t="s">
        <v>817</v>
      </c>
      <c r="E42" s="358" t="s">
        <v>818</v>
      </c>
      <c r="F42" s="358" t="s">
        <v>781</v>
      </c>
      <c r="G42" s="358" t="s">
        <v>768</v>
      </c>
      <c r="H42" s="359">
        <v>5.5073</v>
      </c>
      <c r="I42" s="359">
        <v>5.4362</v>
      </c>
      <c r="J42" s="359">
        <v>5.3703</v>
      </c>
      <c r="K42" s="359">
        <v>5.3095</v>
      </c>
      <c r="L42" s="359">
        <v>5.2515</v>
      </c>
      <c r="M42" s="359">
        <v>5.1953</v>
      </c>
      <c r="N42" s="359">
        <v>5.1381</v>
      </c>
      <c r="O42" s="359">
        <v>5.0785</v>
      </c>
      <c r="P42" s="359">
        <v>5.0156</v>
      </c>
      <c r="Q42" s="359">
        <v>4.941</v>
      </c>
      <c r="R42" s="359">
        <v>4.941</v>
      </c>
    </row>
    <row r="43">
      <c r="A43" s="339" t="s">
        <v>819</v>
      </c>
      <c r="B43" s="339" t="s">
        <v>625</v>
      </c>
      <c r="C43" s="205" t="s">
        <v>775</v>
      </c>
      <c r="D43" s="358" t="s">
        <v>776</v>
      </c>
      <c r="E43" s="358" t="s">
        <v>780</v>
      </c>
      <c r="F43" s="358" t="s">
        <v>781</v>
      </c>
      <c r="G43" s="358" t="s">
        <v>768</v>
      </c>
      <c r="H43" s="359">
        <v>4.3878</v>
      </c>
      <c r="I43" s="359">
        <v>4.332</v>
      </c>
      <c r="J43" s="359">
        <v>4.2693</v>
      </c>
      <c r="K43" s="359">
        <v>4.2026</v>
      </c>
      <c r="L43" s="359">
        <v>4.1366</v>
      </c>
      <c r="M43" s="359">
        <v>4.0809</v>
      </c>
      <c r="N43" s="359">
        <v>4.0423</v>
      </c>
      <c r="O43" s="359">
        <v>4.0216</v>
      </c>
      <c r="P43" s="359">
        <v>4.0187</v>
      </c>
      <c r="Q43" s="359">
        <v>4.0237</v>
      </c>
      <c r="R43" s="359">
        <v>4.0237</v>
      </c>
    </row>
    <row r="44">
      <c r="A44" s="339" t="s">
        <v>820</v>
      </c>
      <c r="B44" s="339" t="s">
        <v>626</v>
      </c>
      <c r="C44" s="205" t="s">
        <v>772</v>
      </c>
      <c r="D44" s="360"/>
      <c r="E44" s="358" t="s">
        <v>773</v>
      </c>
      <c r="F44" s="358" t="s">
        <v>773</v>
      </c>
      <c r="G44" s="358" t="s">
        <v>768</v>
      </c>
      <c r="H44" s="359">
        <v>8.2498</v>
      </c>
      <c r="I44" s="359">
        <v>8.1082</v>
      </c>
      <c r="J44" s="359">
        <v>7.9593</v>
      </c>
      <c r="K44" s="359">
        <v>7.7975</v>
      </c>
      <c r="L44" s="359">
        <v>7.6122</v>
      </c>
      <c r="M44" s="359">
        <v>7.399</v>
      </c>
      <c r="N44" s="359">
        <v>7.1479</v>
      </c>
      <c r="O44" s="359">
        <v>6.8559</v>
      </c>
      <c r="P44" s="359">
        <v>6.5672</v>
      </c>
      <c r="Q44" s="359">
        <v>6.2903</v>
      </c>
      <c r="R44" s="359">
        <v>6.2903</v>
      </c>
    </row>
    <row r="45">
      <c r="A45" s="339" t="s">
        <v>821</v>
      </c>
      <c r="B45" s="339" t="s">
        <v>627</v>
      </c>
      <c r="C45" s="205" t="s">
        <v>811</v>
      </c>
      <c r="D45" s="358" t="s">
        <v>822</v>
      </c>
      <c r="E45" s="358" t="s">
        <v>793</v>
      </c>
      <c r="F45" s="358" t="s">
        <v>793</v>
      </c>
      <c r="G45" s="358" t="s">
        <v>768</v>
      </c>
      <c r="H45" s="359">
        <v>12.461</v>
      </c>
      <c r="I45" s="359">
        <v>11.5432</v>
      </c>
      <c r="J45" s="359">
        <v>10.7048</v>
      </c>
      <c r="K45" s="359">
        <v>9.9459</v>
      </c>
      <c r="L45" s="359">
        <v>9.2474</v>
      </c>
      <c r="M45" s="359">
        <v>8.6073</v>
      </c>
      <c r="N45" s="359">
        <v>8.0281</v>
      </c>
      <c r="O45" s="359">
        <v>7.5074</v>
      </c>
      <c r="P45" s="359">
        <v>7.0309</v>
      </c>
      <c r="Q45" s="359">
        <v>6.5962</v>
      </c>
      <c r="R45" s="359">
        <v>6.5962</v>
      </c>
    </row>
    <row r="46">
      <c r="A46" s="339" t="s">
        <v>491</v>
      </c>
      <c r="B46" s="339" t="s">
        <v>490</v>
      </c>
      <c r="C46" s="205" t="s">
        <v>465</v>
      </c>
      <c r="D46" s="360"/>
      <c r="E46" s="358" t="s">
        <v>797</v>
      </c>
      <c r="F46" s="358" t="s">
        <v>797</v>
      </c>
      <c r="G46" s="358" t="s">
        <v>768</v>
      </c>
      <c r="H46" s="359">
        <v>92.8243</v>
      </c>
      <c r="I46" s="359">
        <v>89.4002</v>
      </c>
      <c r="J46" s="359">
        <v>86.3145</v>
      </c>
      <c r="K46" s="359">
        <v>83.8387</v>
      </c>
      <c r="L46" s="359">
        <v>81.4684</v>
      </c>
      <c r="M46" s="359">
        <v>78.8512</v>
      </c>
      <c r="N46" s="359">
        <v>76.0645</v>
      </c>
      <c r="O46" s="359">
        <v>73.7512</v>
      </c>
      <c r="P46" s="359">
        <v>71.5055</v>
      </c>
      <c r="Q46" s="359">
        <v>69.3736</v>
      </c>
      <c r="R46" s="359">
        <v>69.3736</v>
      </c>
    </row>
    <row r="47">
      <c r="A47" s="339" t="s">
        <v>493</v>
      </c>
      <c r="B47" s="339" t="s">
        <v>492</v>
      </c>
      <c r="C47" s="205" t="s">
        <v>465</v>
      </c>
      <c r="D47" s="360"/>
      <c r="E47" s="358" t="s">
        <v>797</v>
      </c>
      <c r="F47" s="358" t="s">
        <v>797</v>
      </c>
      <c r="G47" s="358" t="s">
        <v>768</v>
      </c>
      <c r="H47" s="359">
        <v>97.4974</v>
      </c>
      <c r="I47" s="359">
        <v>93.4346</v>
      </c>
      <c r="J47" s="359">
        <v>89.3401</v>
      </c>
      <c r="K47" s="359">
        <v>85.8953</v>
      </c>
      <c r="L47" s="359">
        <v>82.7061</v>
      </c>
      <c r="M47" s="359">
        <v>79.7869</v>
      </c>
      <c r="N47" s="359">
        <v>77.3487</v>
      </c>
      <c r="O47" s="359">
        <v>74.8864</v>
      </c>
      <c r="P47" s="359">
        <v>72.1752</v>
      </c>
      <c r="Q47" s="359">
        <v>69.8341</v>
      </c>
      <c r="R47" s="359">
        <v>69.8341</v>
      </c>
    </row>
    <row r="48">
      <c r="A48" s="339" t="s">
        <v>495</v>
      </c>
      <c r="B48" s="339" t="s">
        <v>335</v>
      </c>
      <c r="C48" s="205" t="s">
        <v>465</v>
      </c>
      <c r="D48" s="360"/>
      <c r="E48" s="358" t="s">
        <v>797</v>
      </c>
      <c r="F48" s="358" t="s">
        <v>797</v>
      </c>
      <c r="G48" s="358" t="s">
        <v>768</v>
      </c>
      <c r="H48" s="359">
        <v>102.0691</v>
      </c>
      <c r="I48" s="359">
        <v>98.5928</v>
      </c>
      <c r="J48" s="359">
        <v>95.5046</v>
      </c>
      <c r="K48" s="359">
        <v>92.4485</v>
      </c>
      <c r="L48" s="359">
        <v>89.5488</v>
      </c>
      <c r="M48" s="359">
        <v>86.5327</v>
      </c>
      <c r="N48" s="359">
        <v>83.7509</v>
      </c>
      <c r="O48" s="359">
        <v>80.8046</v>
      </c>
      <c r="P48" s="359">
        <v>78.1538</v>
      </c>
      <c r="Q48" s="359">
        <v>75.55</v>
      </c>
      <c r="R48" s="359">
        <v>75.55</v>
      </c>
    </row>
    <row r="49">
      <c r="A49" s="339" t="s">
        <v>498</v>
      </c>
      <c r="B49" s="205" t="s">
        <v>497</v>
      </c>
      <c r="C49" s="205" t="s">
        <v>465</v>
      </c>
      <c r="D49" s="360"/>
      <c r="E49" s="358" t="s">
        <v>797</v>
      </c>
      <c r="F49" s="358" t="s">
        <v>797</v>
      </c>
      <c r="G49" s="358" t="s">
        <v>768</v>
      </c>
      <c r="H49" s="359">
        <v>56.4255</v>
      </c>
      <c r="I49" s="359">
        <v>54.617</v>
      </c>
      <c r="J49" s="359">
        <v>52.8683</v>
      </c>
      <c r="K49" s="359">
        <v>51.0489</v>
      </c>
      <c r="L49" s="359">
        <v>49.3424</v>
      </c>
      <c r="M49" s="359">
        <v>47.784</v>
      </c>
      <c r="N49" s="359">
        <v>52.4439</v>
      </c>
      <c r="O49" s="359">
        <v>44.6569</v>
      </c>
      <c r="P49" s="359">
        <v>43.1935</v>
      </c>
      <c r="Q49" s="359">
        <v>41.6454</v>
      </c>
      <c r="R49" s="359">
        <v>41.6454</v>
      </c>
    </row>
    <row r="50">
      <c r="A50" s="339" t="s">
        <v>823</v>
      </c>
      <c r="B50" s="339" t="s">
        <v>824</v>
      </c>
      <c r="C50" s="205" t="s">
        <v>791</v>
      </c>
      <c r="D50" s="358" t="s">
        <v>825</v>
      </c>
      <c r="E50" s="358" t="s">
        <v>793</v>
      </c>
      <c r="F50" s="358" t="s">
        <v>793</v>
      </c>
      <c r="G50" s="358" t="s">
        <v>768</v>
      </c>
      <c r="H50" s="359">
        <v>9.493</v>
      </c>
      <c r="I50" s="359">
        <v>9.1268</v>
      </c>
      <c r="J50" s="359">
        <v>8.8138</v>
      </c>
      <c r="K50" s="359">
        <v>8.5027</v>
      </c>
      <c r="L50" s="359">
        <v>8.2145</v>
      </c>
      <c r="M50" s="359">
        <v>7.9473</v>
      </c>
      <c r="N50" s="359">
        <v>7.6679</v>
      </c>
      <c r="O50" s="359">
        <v>7.4215</v>
      </c>
      <c r="P50" s="359">
        <v>7.1644</v>
      </c>
      <c r="Q50" s="359">
        <v>6.9403</v>
      </c>
      <c r="R50" s="359">
        <v>6.9403</v>
      </c>
    </row>
    <row r="51">
      <c r="A51" s="339" t="s">
        <v>826</v>
      </c>
      <c r="B51" s="339" t="s">
        <v>631</v>
      </c>
      <c r="C51" s="205" t="s">
        <v>772</v>
      </c>
      <c r="D51" s="360"/>
      <c r="E51" s="358" t="s">
        <v>773</v>
      </c>
      <c r="F51" s="358" t="s">
        <v>773</v>
      </c>
      <c r="G51" s="358" t="s">
        <v>768</v>
      </c>
      <c r="H51" s="359">
        <v>16.6213</v>
      </c>
      <c r="I51" s="359">
        <v>16.0996</v>
      </c>
      <c r="J51" s="359">
        <v>15.6039</v>
      </c>
      <c r="K51" s="359">
        <v>15.0953</v>
      </c>
      <c r="L51" s="359">
        <v>14.6302</v>
      </c>
      <c r="M51" s="359">
        <v>14.1526</v>
      </c>
      <c r="N51" s="359">
        <v>13.7014</v>
      </c>
      <c r="O51" s="359">
        <v>13.2601</v>
      </c>
      <c r="P51" s="359">
        <v>12.8155</v>
      </c>
      <c r="Q51" s="359">
        <v>12.3722</v>
      </c>
      <c r="R51" s="359">
        <v>12.3722</v>
      </c>
    </row>
    <row r="52">
      <c r="A52" s="339" t="s">
        <v>502</v>
      </c>
      <c r="B52" s="339" t="s">
        <v>501</v>
      </c>
      <c r="C52" s="205" t="s">
        <v>465</v>
      </c>
      <c r="D52" s="360"/>
      <c r="E52" s="358" t="s">
        <v>769</v>
      </c>
      <c r="F52" s="358" t="s">
        <v>769</v>
      </c>
      <c r="G52" s="358" t="s">
        <v>768</v>
      </c>
      <c r="H52" s="359">
        <v>65.8092</v>
      </c>
      <c r="I52" s="359">
        <v>63.6282</v>
      </c>
      <c r="J52" s="359">
        <v>61.415</v>
      </c>
      <c r="K52" s="359">
        <v>59.1354</v>
      </c>
      <c r="L52" s="359">
        <v>56.987</v>
      </c>
      <c r="M52" s="359">
        <v>54.9904</v>
      </c>
      <c r="N52" s="359">
        <v>53.1989</v>
      </c>
      <c r="O52" s="359">
        <v>51.4552</v>
      </c>
      <c r="P52" s="359">
        <v>49.7761</v>
      </c>
      <c r="Q52" s="359">
        <v>48.1678</v>
      </c>
      <c r="R52" s="359">
        <v>48.1678</v>
      </c>
    </row>
    <row r="53">
      <c r="A53" s="339" t="s">
        <v>505</v>
      </c>
      <c r="B53" s="339" t="s">
        <v>504</v>
      </c>
      <c r="C53" s="205" t="s">
        <v>465</v>
      </c>
      <c r="D53" s="360"/>
      <c r="E53" s="358" t="s">
        <v>797</v>
      </c>
      <c r="F53" s="358" t="s">
        <v>797</v>
      </c>
      <c r="G53" s="358" t="s">
        <v>768</v>
      </c>
      <c r="H53" s="359">
        <v>21.3209</v>
      </c>
      <c r="I53" s="359">
        <v>19.8097</v>
      </c>
      <c r="J53" s="359">
        <v>18.3426</v>
      </c>
      <c r="K53" s="359">
        <v>17.0207</v>
      </c>
      <c r="L53" s="359">
        <v>15.8759</v>
      </c>
      <c r="M53" s="359">
        <v>14.8938</v>
      </c>
      <c r="N53" s="359">
        <v>14.0659</v>
      </c>
      <c r="O53" s="359">
        <v>13.3782</v>
      </c>
      <c r="P53" s="359">
        <v>12.7884</v>
      </c>
      <c r="Q53" s="359">
        <v>12.2868</v>
      </c>
      <c r="R53" s="359">
        <v>12.2868</v>
      </c>
    </row>
    <row r="54">
      <c r="A54" s="339" t="s">
        <v>827</v>
      </c>
      <c r="B54" s="339" t="s">
        <v>632</v>
      </c>
      <c r="C54" s="205" t="s">
        <v>772</v>
      </c>
      <c r="D54" s="360"/>
      <c r="E54" s="358" t="s">
        <v>773</v>
      </c>
      <c r="F54" s="358" t="s">
        <v>773</v>
      </c>
      <c r="G54" s="358" t="s">
        <v>768</v>
      </c>
      <c r="H54" s="359">
        <v>9.5927</v>
      </c>
      <c r="I54" s="359">
        <v>9.3024</v>
      </c>
      <c r="J54" s="359">
        <v>9.049</v>
      </c>
      <c r="K54" s="359">
        <v>8.8292</v>
      </c>
      <c r="L54" s="359">
        <v>8.637</v>
      </c>
      <c r="M54" s="359">
        <v>8.4532</v>
      </c>
      <c r="N54" s="359">
        <v>8.2644</v>
      </c>
      <c r="O54" s="359">
        <v>8.0785</v>
      </c>
      <c r="P54" s="359">
        <v>7.9037</v>
      </c>
      <c r="Q54" s="359">
        <v>7.7484</v>
      </c>
      <c r="R54" s="359">
        <v>7.7484</v>
      </c>
    </row>
    <row r="55">
      <c r="A55" s="339" t="s">
        <v>828</v>
      </c>
      <c r="B55" s="339" t="s">
        <v>829</v>
      </c>
      <c r="C55" s="205" t="s">
        <v>772</v>
      </c>
      <c r="D55" s="360"/>
      <c r="E55" s="358" t="s">
        <v>773</v>
      </c>
      <c r="F55" s="358" t="s">
        <v>773</v>
      </c>
      <c r="G55" s="358" t="s">
        <v>768</v>
      </c>
      <c r="H55" s="359">
        <v>5.9986</v>
      </c>
      <c r="I55" s="359">
        <v>6.0269</v>
      </c>
      <c r="J55" s="359">
        <v>6.094</v>
      </c>
      <c r="K55" s="359">
        <v>6.2162</v>
      </c>
      <c r="L55" s="359">
        <v>6.3798</v>
      </c>
      <c r="M55" s="359">
        <v>6.5946</v>
      </c>
      <c r="N55" s="359">
        <v>6.8766</v>
      </c>
      <c r="O55" s="359">
        <v>7.1982</v>
      </c>
      <c r="P55" s="359">
        <v>7.5751</v>
      </c>
      <c r="Q55" s="359">
        <v>7.9594</v>
      </c>
      <c r="R55" s="359">
        <v>7.9594</v>
      </c>
    </row>
    <row r="56">
      <c r="A56" s="339" t="s">
        <v>830</v>
      </c>
      <c r="B56" s="339" t="s">
        <v>633</v>
      </c>
      <c r="C56" s="205" t="s">
        <v>784</v>
      </c>
      <c r="D56" s="358" t="s">
        <v>785</v>
      </c>
      <c r="E56" s="358" t="s">
        <v>780</v>
      </c>
      <c r="F56" s="358" t="s">
        <v>781</v>
      </c>
      <c r="G56" s="358" t="s">
        <v>768</v>
      </c>
      <c r="H56" s="359">
        <v>2.9874</v>
      </c>
      <c r="I56" s="359">
        <v>2.9449</v>
      </c>
      <c r="J56" s="359">
        <v>2.9401</v>
      </c>
      <c r="K56" s="359">
        <v>2.9714</v>
      </c>
      <c r="L56" s="359">
        <v>3.0311</v>
      </c>
      <c r="M56" s="359">
        <v>3.1169</v>
      </c>
      <c r="N56" s="359">
        <v>3.2284</v>
      </c>
      <c r="O56" s="359">
        <v>3.3471</v>
      </c>
      <c r="P56" s="359">
        <v>3.4449</v>
      </c>
      <c r="Q56" s="359">
        <v>3.5019</v>
      </c>
      <c r="R56" s="359">
        <v>3.5019</v>
      </c>
    </row>
    <row r="57">
      <c r="A57" s="339" t="s">
        <v>831</v>
      </c>
      <c r="B57" s="339" t="s">
        <v>634</v>
      </c>
      <c r="C57" s="205" t="s">
        <v>775</v>
      </c>
      <c r="D57" s="358" t="s">
        <v>776</v>
      </c>
      <c r="E57" s="358" t="s">
        <v>780</v>
      </c>
      <c r="F57" s="358" t="s">
        <v>781</v>
      </c>
      <c r="G57" s="358" t="s">
        <v>768</v>
      </c>
      <c r="H57" s="359">
        <v>3.1373</v>
      </c>
      <c r="I57" s="359">
        <v>3.1422</v>
      </c>
      <c r="J57" s="359">
        <v>3.1737</v>
      </c>
      <c r="K57" s="359">
        <v>3.1973</v>
      </c>
      <c r="L57" s="359">
        <v>3.1847</v>
      </c>
      <c r="M57" s="359">
        <v>3.1316</v>
      </c>
      <c r="N57" s="359">
        <v>3.031</v>
      </c>
      <c r="O57" s="359">
        <v>2.9016</v>
      </c>
      <c r="P57" s="359">
        <v>2.7644</v>
      </c>
      <c r="Q57" s="359">
        <v>2.6317</v>
      </c>
      <c r="R57" s="359">
        <v>2.6317</v>
      </c>
    </row>
    <row r="58">
      <c r="A58" s="339" t="s">
        <v>832</v>
      </c>
      <c r="B58" s="339" t="s">
        <v>635</v>
      </c>
      <c r="C58" s="205" t="s">
        <v>775</v>
      </c>
      <c r="D58" s="358" t="s">
        <v>776</v>
      </c>
      <c r="E58" s="358" t="s">
        <v>780</v>
      </c>
      <c r="F58" s="358" t="s">
        <v>781</v>
      </c>
      <c r="G58" s="358" t="s">
        <v>768</v>
      </c>
      <c r="H58" s="359">
        <v>3.9904</v>
      </c>
      <c r="I58" s="359">
        <v>3.9559</v>
      </c>
      <c r="J58" s="359">
        <v>3.928</v>
      </c>
      <c r="K58" s="359">
        <v>3.8954</v>
      </c>
      <c r="L58" s="359">
        <v>3.8522</v>
      </c>
      <c r="M58" s="359">
        <v>3.7993</v>
      </c>
      <c r="N58" s="359">
        <v>3.7405</v>
      </c>
      <c r="O58" s="359">
        <v>3.68</v>
      </c>
      <c r="P58" s="359">
        <v>3.624</v>
      </c>
      <c r="Q58" s="359">
        <v>3.5718</v>
      </c>
      <c r="R58" s="359">
        <v>3.5718</v>
      </c>
    </row>
    <row r="59">
      <c r="A59" s="339" t="s">
        <v>833</v>
      </c>
      <c r="B59" s="339" t="s">
        <v>636</v>
      </c>
      <c r="C59" s="205" t="s">
        <v>465</v>
      </c>
      <c r="D59" s="360"/>
      <c r="E59" s="358" t="s">
        <v>769</v>
      </c>
      <c r="F59" s="358" t="s">
        <v>786</v>
      </c>
      <c r="G59" s="358" t="s">
        <v>768</v>
      </c>
      <c r="H59" s="359">
        <v>69.3738</v>
      </c>
      <c r="I59" s="359">
        <v>67.2965</v>
      </c>
      <c r="J59" s="359">
        <v>65.1971</v>
      </c>
      <c r="K59" s="359">
        <v>63.1848</v>
      </c>
      <c r="L59" s="359">
        <v>61.0116</v>
      </c>
      <c r="M59" s="359">
        <v>59.1459</v>
      </c>
      <c r="N59" s="359">
        <v>57.2758</v>
      </c>
      <c r="O59" s="359">
        <v>55.4035</v>
      </c>
      <c r="P59" s="359">
        <v>53.6511</v>
      </c>
      <c r="Q59" s="359">
        <v>51.8868</v>
      </c>
      <c r="R59" s="359">
        <v>51.8868</v>
      </c>
    </row>
    <row r="60">
      <c r="A60" s="339" t="s">
        <v>834</v>
      </c>
      <c r="B60" s="339" t="s">
        <v>637</v>
      </c>
      <c r="C60" s="205" t="s">
        <v>772</v>
      </c>
      <c r="D60" s="360"/>
      <c r="E60" s="358" t="s">
        <v>773</v>
      </c>
      <c r="F60" s="358" t="s">
        <v>773</v>
      </c>
      <c r="G60" s="358" t="s">
        <v>768</v>
      </c>
      <c r="H60" s="359">
        <v>25.4615</v>
      </c>
      <c r="I60" s="359">
        <v>26.2878</v>
      </c>
      <c r="J60" s="359">
        <v>27.1267</v>
      </c>
      <c r="K60" s="359">
        <v>27.9617</v>
      </c>
      <c r="L60" s="359">
        <v>28.7885</v>
      </c>
      <c r="M60" s="359">
        <v>29.5922</v>
      </c>
      <c r="N60" s="359">
        <v>30.3467</v>
      </c>
      <c r="O60" s="359">
        <v>31.0569</v>
      </c>
      <c r="P60" s="359">
        <v>31.6831</v>
      </c>
      <c r="Q60" s="359">
        <v>32.2007</v>
      </c>
      <c r="R60" s="359">
        <v>32.2007</v>
      </c>
    </row>
    <row r="61">
      <c r="A61" s="339" t="s">
        <v>835</v>
      </c>
      <c r="B61" s="339" t="s">
        <v>638</v>
      </c>
      <c r="C61" s="205" t="s">
        <v>775</v>
      </c>
      <c r="D61" s="358" t="s">
        <v>776</v>
      </c>
      <c r="E61" s="358" t="s">
        <v>780</v>
      </c>
      <c r="F61" s="358" t="s">
        <v>781</v>
      </c>
      <c r="G61" s="358" t="s">
        <v>768</v>
      </c>
      <c r="H61" s="359">
        <v>4.0842</v>
      </c>
      <c r="I61" s="359">
        <v>4.0869</v>
      </c>
      <c r="J61" s="359">
        <v>4.0705</v>
      </c>
      <c r="K61" s="359">
        <v>4.0292</v>
      </c>
      <c r="L61" s="359">
        <v>3.9615</v>
      </c>
      <c r="M61" s="359">
        <v>3.8782</v>
      </c>
      <c r="N61" s="359">
        <v>3.7866</v>
      </c>
      <c r="O61" s="359">
        <v>3.6915</v>
      </c>
      <c r="P61" s="359">
        <v>3.6006</v>
      </c>
      <c r="Q61" s="359">
        <v>3.5186</v>
      </c>
      <c r="R61" s="359">
        <v>3.5186</v>
      </c>
    </row>
    <row r="62">
      <c r="A62" s="339" t="s">
        <v>836</v>
      </c>
      <c r="B62" s="339" t="s">
        <v>639</v>
      </c>
      <c r="C62" s="205" t="s">
        <v>772</v>
      </c>
      <c r="D62" s="360"/>
      <c r="E62" s="358" t="s">
        <v>773</v>
      </c>
      <c r="F62" s="358" t="s">
        <v>773</v>
      </c>
      <c r="G62" s="358" t="s">
        <v>768</v>
      </c>
      <c r="H62" s="359">
        <v>35.0093</v>
      </c>
      <c r="I62" s="359">
        <v>35.0113</v>
      </c>
      <c r="J62" s="359">
        <v>35.0626</v>
      </c>
      <c r="K62" s="359">
        <v>35.0827</v>
      </c>
      <c r="L62" s="359">
        <v>35.0482</v>
      </c>
      <c r="M62" s="359">
        <v>34.8232</v>
      </c>
      <c r="N62" s="359">
        <v>34.4168</v>
      </c>
      <c r="O62" s="359">
        <v>33.8592</v>
      </c>
      <c r="P62" s="359">
        <v>33.1833</v>
      </c>
      <c r="Q62" s="359">
        <v>32.3884</v>
      </c>
      <c r="R62" s="359">
        <v>32.3884</v>
      </c>
    </row>
    <row r="63">
      <c r="A63" s="339" t="s">
        <v>837</v>
      </c>
      <c r="B63" s="339" t="s">
        <v>640</v>
      </c>
      <c r="C63" s="205" t="s">
        <v>784</v>
      </c>
      <c r="D63" s="358" t="s">
        <v>838</v>
      </c>
      <c r="E63" s="358" t="s">
        <v>786</v>
      </c>
      <c r="F63" s="358" t="s">
        <v>786</v>
      </c>
      <c r="G63" s="358" t="s">
        <v>768</v>
      </c>
      <c r="H63" s="359">
        <v>26.0456</v>
      </c>
      <c r="I63" s="359">
        <v>25.6679</v>
      </c>
      <c r="J63" s="359">
        <v>25.3025</v>
      </c>
      <c r="K63" s="359">
        <v>24.9107</v>
      </c>
      <c r="L63" s="359">
        <v>24.4724</v>
      </c>
      <c r="M63" s="359">
        <v>23.9804</v>
      </c>
      <c r="N63" s="359">
        <v>23.4606</v>
      </c>
      <c r="O63" s="359">
        <v>22.9104</v>
      </c>
      <c r="P63" s="359">
        <v>22.3376</v>
      </c>
      <c r="Q63" s="359">
        <v>21.7528</v>
      </c>
      <c r="R63" s="359">
        <v>21.7528</v>
      </c>
    </row>
    <row r="64">
      <c r="A64" s="339" t="s">
        <v>839</v>
      </c>
      <c r="B64" s="339" t="s">
        <v>641</v>
      </c>
      <c r="C64" s="205" t="s">
        <v>772</v>
      </c>
      <c r="D64" s="360"/>
      <c r="E64" s="358" t="s">
        <v>773</v>
      </c>
      <c r="F64" s="358" t="s">
        <v>773</v>
      </c>
      <c r="G64" s="358" t="s">
        <v>768</v>
      </c>
      <c r="H64" s="359">
        <v>16.5334</v>
      </c>
      <c r="I64" s="359">
        <v>15.8933</v>
      </c>
      <c r="J64" s="359">
        <v>15.3157</v>
      </c>
      <c r="K64" s="359">
        <v>14.8125</v>
      </c>
      <c r="L64" s="359">
        <v>14.3507</v>
      </c>
      <c r="M64" s="359">
        <v>13.9188</v>
      </c>
      <c r="N64" s="359">
        <v>13.4722</v>
      </c>
      <c r="O64" s="359">
        <v>13.0247</v>
      </c>
      <c r="P64" s="359">
        <v>12.5825</v>
      </c>
      <c r="Q64" s="359">
        <v>12.1514</v>
      </c>
      <c r="R64" s="359">
        <v>12.1514</v>
      </c>
    </row>
    <row r="65">
      <c r="A65" s="339" t="s">
        <v>840</v>
      </c>
      <c r="B65" s="339" t="s">
        <v>841</v>
      </c>
      <c r="C65" s="205" t="s">
        <v>784</v>
      </c>
      <c r="D65" s="358" t="s">
        <v>838</v>
      </c>
      <c r="E65" s="358" t="s">
        <v>786</v>
      </c>
      <c r="F65" s="358" t="s">
        <v>786</v>
      </c>
      <c r="G65" s="358" t="s">
        <v>768</v>
      </c>
      <c r="H65" s="359">
        <v>25.1909</v>
      </c>
      <c r="I65" s="359">
        <v>24.1896</v>
      </c>
      <c r="J65" s="359">
        <v>23.2497</v>
      </c>
      <c r="K65" s="359">
        <v>22.4113</v>
      </c>
      <c r="L65" s="359">
        <v>21.6118</v>
      </c>
      <c r="M65" s="359">
        <v>20.864</v>
      </c>
      <c r="N65" s="359">
        <v>20.1221</v>
      </c>
      <c r="O65" s="359">
        <v>19.4144</v>
      </c>
      <c r="P65" s="359">
        <v>18.7348</v>
      </c>
      <c r="Q65" s="359">
        <v>18.0746</v>
      </c>
      <c r="R65" s="359">
        <v>18.0746</v>
      </c>
    </row>
    <row r="66">
      <c r="A66" s="339" t="s">
        <v>842</v>
      </c>
      <c r="B66" s="339" t="s">
        <v>843</v>
      </c>
      <c r="C66" s="205" t="s">
        <v>465</v>
      </c>
      <c r="D66" s="360"/>
      <c r="E66" s="358" t="s">
        <v>769</v>
      </c>
      <c r="F66" s="358" t="s">
        <v>769</v>
      </c>
      <c r="G66" s="358" t="s">
        <v>768</v>
      </c>
      <c r="H66" s="359">
        <v>49.7353</v>
      </c>
      <c r="I66" s="359">
        <v>48.1238</v>
      </c>
      <c r="J66" s="359">
        <v>46.4433</v>
      </c>
      <c r="K66" s="359">
        <v>44.858</v>
      </c>
      <c r="L66" s="359">
        <v>43.387</v>
      </c>
      <c r="M66" s="359">
        <v>41.9362</v>
      </c>
      <c r="N66" s="359">
        <v>40.6051</v>
      </c>
      <c r="O66" s="359">
        <v>39.3274</v>
      </c>
      <c r="P66" s="359">
        <v>37.9584</v>
      </c>
      <c r="Q66" s="359">
        <v>36.6135</v>
      </c>
      <c r="R66" s="359">
        <v>36.6135</v>
      </c>
    </row>
    <row r="67">
      <c r="A67" s="339" t="s">
        <v>844</v>
      </c>
      <c r="B67" s="339" t="s">
        <v>643</v>
      </c>
      <c r="C67" s="205" t="s">
        <v>775</v>
      </c>
      <c r="D67" s="358" t="s">
        <v>776</v>
      </c>
      <c r="E67" s="358" t="s">
        <v>780</v>
      </c>
      <c r="F67" s="358" t="s">
        <v>781</v>
      </c>
      <c r="G67" s="358" t="s">
        <v>768</v>
      </c>
      <c r="H67" s="359">
        <v>3.4581</v>
      </c>
      <c r="I67" s="359">
        <v>3.3733</v>
      </c>
      <c r="J67" s="359">
        <v>3.3134</v>
      </c>
      <c r="K67" s="359">
        <v>3.2739</v>
      </c>
      <c r="L67" s="359">
        <v>3.2434</v>
      </c>
      <c r="M67" s="359">
        <v>3.2103</v>
      </c>
      <c r="N67" s="359">
        <v>3.1702</v>
      </c>
      <c r="O67" s="359">
        <v>3.1242</v>
      </c>
      <c r="P67" s="359">
        <v>3.0702</v>
      </c>
      <c r="Q67" s="359">
        <v>3.0099</v>
      </c>
      <c r="R67" s="359">
        <v>3.0099</v>
      </c>
    </row>
    <row r="68">
      <c r="A68" s="339" t="s">
        <v>845</v>
      </c>
      <c r="B68" s="339" t="s">
        <v>644</v>
      </c>
      <c r="C68" s="205" t="s">
        <v>775</v>
      </c>
      <c r="D68" s="358" t="s">
        <v>776</v>
      </c>
      <c r="E68" s="358" t="s">
        <v>780</v>
      </c>
      <c r="F68" s="358" t="s">
        <v>781</v>
      </c>
      <c r="G68" s="358" t="s">
        <v>768</v>
      </c>
      <c r="H68" s="359">
        <v>3.6194</v>
      </c>
      <c r="I68" s="359">
        <v>3.3551</v>
      </c>
      <c r="J68" s="359">
        <v>3.1141</v>
      </c>
      <c r="K68" s="359">
        <v>2.8881</v>
      </c>
      <c r="L68" s="359">
        <v>2.6741</v>
      </c>
      <c r="M68" s="359">
        <v>2.4729</v>
      </c>
      <c r="N68" s="359">
        <v>2.2879</v>
      </c>
      <c r="O68" s="359">
        <v>2.1267</v>
      </c>
      <c r="P68" s="359">
        <v>1.9933</v>
      </c>
      <c r="Q68" s="359">
        <v>1.8806</v>
      </c>
      <c r="R68" s="359">
        <v>1.8806</v>
      </c>
    </row>
    <row r="69">
      <c r="A69" s="339" t="s">
        <v>507</v>
      </c>
      <c r="B69" s="339" t="s">
        <v>336</v>
      </c>
      <c r="C69" s="205" t="s">
        <v>465</v>
      </c>
      <c r="D69" s="360"/>
      <c r="E69" s="358" t="s">
        <v>769</v>
      </c>
      <c r="F69" s="358" t="s">
        <v>769</v>
      </c>
      <c r="G69" s="358" t="s">
        <v>768</v>
      </c>
      <c r="H69" s="359">
        <v>70.0884</v>
      </c>
      <c r="I69" s="359">
        <v>66.458</v>
      </c>
      <c r="J69" s="359">
        <v>63.0539</v>
      </c>
      <c r="K69" s="359">
        <v>59.8782</v>
      </c>
      <c r="L69" s="359">
        <v>56.95</v>
      </c>
      <c r="M69" s="359">
        <v>54.341</v>
      </c>
      <c r="N69" s="359">
        <v>52.0674</v>
      </c>
      <c r="O69" s="359">
        <v>49.9244</v>
      </c>
      <c r="P69" s="359">
        <v>48.002</v>
      </c>
      <c r="Q69" s="359">
        <v>46.2222</v>
      </c>
      <c r="R69" s="359">
        <v>46.2222</v>
      </c>
    </row>
    <row r="70">
      <c r="A70" s="339" t="s">
        <v>846</v>
      </c>
      <c r="B70" s="339" t="s">
        <v>645</v>
      </c>
      <c r="C70" s="205" t="s">
        <v>775</v>
      </c>
      <c r="D70" s="358" t="s">
        <v>776</v>
      </c>
      <c r="E70" s="358" t="s">
        <v>780</v>
      </c>
      <c r="F70" s="358" t="s">
        <v>781</v>
      </c>
      <c r="G70" s="358" t="s">
        <v>768</v>
      </c>
      <c r="H70" s="359">
        <v>2.6369</v>
      </c>
      <c r="I70" s="359">
        <v>2.5472</v>
      </c>
      <c r="J70" s="359">
        <v>2.4769</v>
      </c>
      <c r="K70" s="359">
        <v>2.4234</v>
      </c>
      <c r="L70" s="359">
        <v>2.3869</v>
      </c>
      <c r="M70" s="359">
        <v>2.3624</v>
      </c>
      <c r="N70" s="359">
        <v>2.3439</v>
      </c>
      <c r="O70" s="359">
        <v>2.3298</v>
      </c>
      <c r="P70" s="359">
        <v>2.3201</v>
      </c>
      <c r="Q70" s="359">
        <v>2.312</v>
      </c>
      <c r="R70" s="359">
        <v>2.312</v>
      </c>
    </row>
    <row r="71">
      <c r="A71" s="339" t="s">
        <v>847</v>
      </c>
      <c r="B71" s="339" t="s">
        <v>646</v>
      </c>
      <c r="C71" s="205" t="s">
        <v>791</v>
      </c>
      <c r="D71" s="358" t="s">
        <v>825</v>
      </c>
      <c r="E71" s="358" t="s">
        <v>793</v>
      </c>
      <c r="F71" s="358" t="s">
        <v>793</v>
      </c>
      <c r="G71" s="358" t="s">
        <v>768</v>
      </c>
      <c r="H71" s="359">
        <v>20.9503</v>
      </c>
      <c r="I71" s="359">
        <v>20.9642</v>
      </c>
      <c r="J71" s="359">
        <v>21.2958</v>
      </c>
      <c r="K71" s="359">
        <v>21.9621</v>
      </c>
      <c r="L71" s="359">
        <v>22.9396</v>
      </c>
      <c r="M71" s="359">
        <v>24.1696</v>
      </c>
      <c r="N71" s="359">
        <v>25.5375</v>
      </c>
      <c r="O71" s="359">
        <v>26.8152</v>
      </c>
      <c r="P71" s="359">
        <v>27.7191</v>
      </c>
      <c r="Q71" s="359">
        <v>28.2115</v>
      </c>
      <c r="R71" s="359">
        <v>28.2115</v>
      </c>
    </row>
    <row r="72">
      <c r="A72" s="339" t="s">
        <v>848</v>
      </c>
      <c r="B72" s="339" t="s">
        <v>647</v>
      </c>
      <c r="C72" s="205" t="s">
        <v>775</v>
      </c>
      <c r="D72" s="358" t="s">
        <v>776</v>
      </c>
      <c r="E72" s="358" t="s">
        <v>780</v>
      </c>
      <c r="F72" s="358" t="s">
        <v>781</v>
      </c>
      <c r="G72" s="358" t="s">
        <v>768</v>
      </c>
      <c r="H72" s="359">
        <v>4.1098</v>
      </c>
      <c r="I72" s="359">
        <v>4.1342</v>
      </c>
      <c r="J72" s="359">
        <v>4.1753</v>
      </c>
      <c r="K72" s="359">
        <v>4.219</v>
      </c>
      <c r="L72" s="359">
        <v>4.2493</v>
      </c>
      <c r="M72" s="359">
        <v>4.2503</v>
      </c>
      <c r="N72" s="359">
        <v>4.2252</v>
      </c>
      <c r="O72" s="359">
        <v>4.184</v>
      </c>
      <c r="P72" s="359">
        <v>4.1315</v>
      </c>
      <c r="Q72" s="359">
        <v>4.0685</v>
      </c>
      <c r="R72" s="359">
        <v>4.0685</v>
      </c>
    </row>
    <row r="73">
      <c r="A73" s="339" t="s">
        <v>849</v>
      </c>
      <c r="B73" s="339" t="s">
        <v>850</v>
      </c>
      <c r="C73" s="205" t="s">
        <v>791</v>
      </c>
      <c r="D73" s="358" t="s">
        <v>825</v>
      </c>
      <c r="E73" s="358" t="s">
        <v>793</v>
      </c>
      <c r="F73" s="358" t="s">
        <v>793</v>
      </c>
      <c r="G73" s="358" t="s">
        <v>768</v>
      </c>
      <c r="H73" s="359">
        <v>32.2358</v>
      </c>
      <c r="I73" s="359">
        <v>31.3518</v>
      </c>
      <c r="J73" s="359">
        <v>30.338</v>
      </c>
      <c r="K73" s="359">
        <v>29.4527</v>
      </c>
      <c r="L73" s="359">
        <v>28.5635</v>
      </c>
      <c r="M73" s="359">
        <v>27.582</v>
      </c>
      <c r="N73" s="359">
        <v>26.7086</v>
      </c>
      <c r="O73" s="359">
        <v>25.7781</v>
      </c>
      <c r="P73" s="359">
        <v>25.006</v>
      </c>
      <c r="Q73" s="359">
        <v>24.2116</v>
      </c>
      <c r="R73" s="359">
        <v>24.2116</v>
      </c>
    </row>
    <row r="74">
      <c r="A74" s="339" t="s">
        <v>511</v>
      </c>
      <c r="B74" s="339" t="s">
        <v>510</v>
      </c>
      <c r="C74" s="205" t="s">
        <v>465</v>
      </c>
      <c r="D74" s="360"/>
      <c r="E74" s="358" t="s">
        <v>797</v>
      </c>
      <c r="F74" s="358" t="s">
        <v>797</v>
      </c>
      <c r="G74" s="358" t="s">
        <v>768</v>
      </c>
      <c r="H74" s="359">
        <v>54.459</v>
      </c>
      <c r="I74" s="359">
        <v>52.4211</v>
      </c>
      <c r="J74" s="359">
        <v>50.6307</v>
      </c>
      <c r="K74" s="359">
        <v>48.5768</v>
      </c>
      <c r="L74" s="359">
        <v>46.8422</v>
      </c>
      <c r="M74" s="359">
        <v>45.1526</v>
      </c>
      <c r="N74" s="359">
        <v>43.2678</v>
      </c>
      <c r="O74" s="359">
        <v>41.1491</v>
      </c>
      <c r="P74" s="359">
        <v>39.9195</v>
      </c>
      <c r="Q74" s="359">
        <v>38.8199</v>
      </c>
      <c r="R74" s="359">
        <v>38.8199</v>
      </c>
    </row>
    <row r="75">
      <c r="A75" s="339" t="s">
        <v>851</v>
      </c>
      <c r="B75" s="339" t="s">
        <v>649</v>
      </c>
      <c r="C75" s="205" t="s">
        <v>775</v>
      </c>
      <c r="D75" s="358" t="s">
        <v>776</v>
      </c>
      <c r="E75" s="358" t="s">
        <v>780</v>
      </c>
      <c r="F75" s="358" t="s">
        <v>781</v>
      </c>
      <c r="G75" s="358" t="s">
        <v>768</v>
      </c>
      <c r="H75" s="359">
        <v>4.6461</v>
      </c>
      <c r="I75" s="359">
        <v>4.5405</v>
      </c>
      <c r="J75" s="359">
        <v>4.4743</v>
      </c>
      <c r="K75" s="359">
        <v>4.4333</v>
      </c>
      <c r="L75" s="359">
        <v>4.4004</v>
      </c>
      <c r="M75" s="359">
        <v>4.3652</v>
      </c>
      <c r="N75" s="359">
        <v>4.3198</v>
      </c>
      <c r="O75" s="359">
        <v>4.2592</v>
      </c>
      <c r="P75" s="359">
        <v>4.1841</v>
      </c>
      <c r="Q75" s="359">
        <v>4.0942</v>
      </c>
      <c r="R75" s="359">
        <v>4.0942</v>
      </c>
    </row>
    <row r="76">
      <c r="A76" s="339" t="s">
        <v>852</v>
      </c>
      <c r="B76" s="339" t="s">
        <v>650</v>
      </c>
      <c r="C76" s="205" t="s">
        <v>784</v>
      </c>
      <c r="D76" s="358" t="s">
        <v>785</v>
      </c>
      <c r="E76" s="358" t="s">
        <v>777</v>
      </c>
      <c r="F76" s="358" t="s">
        <v>778</v>
      </c>
      <c r="G76" s="358" t="s">
        <v>768</v>
      </c>
      <c r="H76" s="359">
        <v>11.4155</v>
      </c>
      <c r="I76" s="359">
        <v>10.8865</v>
      </c>
      <c r="J76" s="359">
        <v>10.4926</v>
      </c>
      <c r="K76" s="359">
        <v>10.2144</v>
      </c>
      <c r="L76" s="359">
        <v>10.0059</v>
      </c>
      <c r="M76" s="359">
        <v>9.842</v>
      </c>
      <c r="N76" s="359">
        <v>9.7025</v>
      </c>
      <c r="O76" s="359">
        <v>9.5761</v>
      </c>
      <c r="P76" s="359">
        <v>9.4569</v>
      </c>
      <c r="Q76" s="359">
        <v>9.3302</v>
      </c>
      <c r="R76" s="359">
        <v>9.3302</v>
      </c>
    </row>
    <row r="77">
      <c r="A77" s="339" t="s">
        <v>514</v>
      </c>
      <c r="B77" s="339" t="s">
        <v>513</v>
      </c>
      <c r="C77" s="205" t="s">
        <v>465</v>
      </c>
      <c r="D77" s="360"/>
      <c r="E77" s="358" t="s">
        <v>797</v>
      </c>
      <c r="F77" s="358" t="s">
        <v>797</v>
      </c>
      <c r="G77" s="358" t="s">
        <v>768</v>
      </c>
      <c r="H77" s="359">
        <v>60.3694</v>
      </c>
      <c r="I77" s="359">
        <v>57.7242</v>
      </c>
      <c r="J77" s="359">
        <v>55.2829</v>
      </c>
      <c r="K77" s="359">
        <v>52.9942</v>
      </c>
      <c r="L77" s="359">
        <v>50.8605</v>
      </c>
      <c r="M77" s="359">
        <v>48.9177</v>
      </c>
      <c r="N77" s="359">
        <v>47.0785</v>
      </c>
      <c r="O77" s="359">
        <v>45.3403</v>
      </c>
      <c r="P77" s="359">
        <v>43.7855</v>
      </c>
      <c r="Q77" s="359">
        <v>42.3444</v>
      </c>
      <c r="R77" s="359">
        <v>42.3444</v>
      </c>
    </row>
    <row r="78">
      <c r="A78" s="339" t="s">
        <v>518</v>
      </c>
      <c r="B78" s="339" t="s">
        <v>517</v>
      </c>
      <c r="C78" s="205" t="s">
        <v>465</v>
      </c>
      <c r="D78" s="360"/>
      <c r="E78" s="358" t="s">
        <v>797</v>
      </c>
      <c r="F78" s="358" t="s">
        <v>797</v>
      </c>
      <c r="G78" s="358" t="s">
        <v>768</v>
      </c>
      <c r="H78" s="359">
        <v>115.5267</v>
      </c>
      <c r="I78" s="359">
        <v>114.1521</v>
      </c>
      <c r="J78" s="359">
        <v>112.3521</v>
      </c>
      <c r="K78" s="359">
        <v>109.8971</v>
      </c>
      <c r="L78" s="359">
        <v>107.9855</v>
      </c>
      <c r="M78" s="359">
        <v>105.9388</v>
      </c>
      <c r="N78" s="359">
        <v>103.7411</v>
      </c>
      <c r="O78" s="359">
        <v>101.2438</v>
      </c>
      <c r="P78" s="359">
        <v>98.6623</v>
      </c>
      <c r="Q78" s="359">
        <v>95.9619</v>
      </c>
      <c r="R78" s="359">
        <v>95.9619</v>
      </c>
    </row>
    <row r="79">
      <c r="A79" s="339" t="s">
        <v>520</v>
      </c>
      <c r="B79" s="339" t="s">
        <v>519</v>
      </c>
      <c r="C79" s="205" t="s">
        <v>465</v>
      </c>
      <c r="D79" s="360"/>
      <c r="E79" s="358" t="s">
        <v>797</v>
      </c>
      <c r="F79" s="358" t="s">
        <v>797</v>
      </c>
      <c r="G79" s="358" t="s">
        <v>768</v>
      </c>
      <c r="H79" s="359">
        <v>64.5985</v>
      </c>
      <c r="I79" s="359">
        <v>61.9848</v>
      </c>
      <c r="J79" s="359">
        <v>59.4846</v>
      </c>
      <c r="K79" s="359">
        <v>57.0913</v>
      </c>
      <c r="L79" s="359">
        <v>54.8289</v>
      </c>
      <c r="M79" s="359">
        <v>52.723</v>
      </c>
      <c r="N79" s="359">
        <v>50.7438</v>
      </c>
      <c r="O79" s="359">
        <v>48.9272</v>
      </c>
      <c r="P79" s="359">
        <v>47.1993</v>
      </c>
      <c r="Q79" s="359">
        <v>45.5886</v>
      </c>
      <c r="R79" s="359">
        <v>45.5886</v>
      </c>
    </row>
    <row r="80">
      <c r="A80" s="339" t="s">
        <v>524</v>
      </c>
      <c r="B80" s="339" t="s">
        <v>523</v>
      </c>
      <c r="C80" s="205" t="s">
        <v>465</v>
      </c>
      <c r="D80" s="360"/>
      <c r="E80" s="358" t="s">
        <v>797</v>
      </c>
      <c r="F80" s="358" t="s">
        <v>797</v>
      </c>
      <c r="G80" s="358" t="s">
        <v>768</v>
      </c>
      <c r="H80" s="359">
        <v>99.5633</v>
      </c>
      <c r="I80" s="359">
        <v>95.6488</v>
      </c>
      <c r="J80" s="359">
        <v>92.1038</v>
      </c>
      <c r="K80" s="359">
        <v>88.7467</v>
      </c>
      <c r="L80" s="359">
        <v>85.6747</v>
      </c>
      <c r="M80" s="359">
        <v>82.6713</v>
      </c>
      <c r="N80" s="359">
        <v>79.7625</v>
      </c>
      <c r="O80" s="359">
        <v>77.0499</v>
      </c>
      <c r="P80" s="359">
        <v>74.4848</v>
      </c>
      <c r="Q80" s="359">
        <v>71.9068</v>
      </c>
      <c r="R80" s="359">
        <v>71.9068</v>
      </c>
    </row>
    <row r="81">
      <c r="A81" s="339" t="s">
        <v>853</v>
      </c>
      <c r="B81" s="339" t="s">
        <v>652</v>
      </c>
      <c r="C81" s="205" t="s">
        <v>465</v>
      </c>
      <c r="D81" s="360"/>
      <c r="E81" s="358" t="s">
        <v>797</v>
      </c>
      <c r="F81" s="358" t="s">
        <v>797</v>
      </c>
      <c r="G81" s="358" t="s">
        <v>768</v>
      </c>
      <c r="H81" s="359">
        <v>100.2784</v>
      </c>
      <c r="I81" s="359">
        <v>96.7636</v>
      </c>
      <c r="J81" s="359">
        <v>93.4658</v>
      </c>
      <c r="K81" s="359">
        <v>90.2539</v>
      </c>
      <c r="L81" s="359">
        <v>87.4172</v>
      </c>
      <c r="M81" s="359">
        <v>84.3274</v>
      </c>
      <c r="N81" s="359">
        <v>81.4068</v>
      </c>
      <c r="O81" s="359">
        <v>78.6012</v>
      </c>
      <c r="P81" s="359">
        <v>76.0459</v>
      </c>
      <c r="Q81" s="359">
        <v>73.4217</v>
      </c>
      <c r="R81" s="359">
        <v>73.4217</v>
      </c>
    </row>
    <row r="82">
      <c r="A82" s="339" t="s">
        <v>854</v>
      </c>
      <c r="B82" s="339" t="s">
        <v>653</v>
      </c>
      <c r="C82" s="205" t="s">
        <v>775</v>
      </c>
      <c r="D82" s="358" t="s">
        <v>776</v>
      </c>
      <c r="E82" s="358" t="s">
        <v>780</v>
      </c>
      <c r="F82" s="358" t="s">
        <v>781</v>
      </c>
      <c r="G82" s="358" t="s">
        <v>768</v>
      </c>
      <c r="H82" s="359">
        <v>4.1239</v>
      </c>
      <c r="I82" s="359">
        <v>4.2012</v>
      </c>
      <c r="J82" s="359">
        <v>4.2545</v>
      </c>
      <c r="K82" s="359">
        <v>4.2688</v>
      </c>
      <c r="L82" s="359">
        <v>4.2485</v>
      </c>
      <c r="M82" s="359">
        <v>4.1984</v>
      </c>
      <c r="N82" s="359">
        <v>4.1288</v>
      </c>
      <c r="O82" s="359">
        <v>4.0513</v>
      </c>
      <c r="P82" s="359">
        <v>3.9742</v>
      </c>
      <c r="Q82" s="359">
        <v>3.8895</v>
      </c>
      <c r="R82" s="359">
        <v>3.8895</v>
      </c>
    </row>
    <row r="83">
      <c r="A83" s="339" t="s">
        <v>855</v>
      </c>
      <c r="B83" s="339" t="s">
        <v>654</v>
      </c>
      <c r="C83" s="205" t="s">
        <v>772</v>
      </c>
      <c r="D83" s="360"/>
      <c r="E83" s="358" t="s">
        <v>773</v>
      </c>
      <c r="F83" s="358" t="s">
        <v>773</v>
      </c>
      <c r="G83" s="358" t="s">
        <v>768</v>
      </c>
      <c r="H83" s="359">
        <v>14.7552</v>
      </c>
      <c r="I83" s="359">
        <v>14.8796</v>
      </c>
      <c r="J83" s="359">
        <v>15.0027</v>
      </c>
      <c r="K83" s="359">
        <v>15.1479</v>
      </c>
      <c r="L83" s="359">
        <v>15.3136</v>
      </c>
      <c r="M83" s="359">
        <v>15.502</v>
      </c>
      <c r="N83" s="359">
        <v>15.7074</v>
      </c>
      <c r="O83" s="359">
        <v>15.9037</v>
      </c>
      <c r="P83" s="359">
        <v>16.0378</v>
      </c>
      <c r="Q83" s="359">
        <v>16.0139</v>
      </c>
      <c r="R83" s="359">
        <v>16.0139</v>
      </c>
    </row>
    <row r="84">
      <c r="A84" s="339" t="s">
        <v>856</v>
      </c>
      <c r="B84" s="339" t="s">
        <v>655</v>
      </c>
      <c r="C84" s="205" t="s">
        <v>772</v>
      </c>
      <c r="D84" s="360"/>
      <c r="E84" s="358" t="s">
        <v>773</v>
      </c>
      <c r="F84" s="358" t="s">
        <v>773</v>
      </c>
      <c r="G84" s="358" t="s">
        <v>768</v>
      </c>
      <c r="H84" s="359">
        <v>30.7129</v>
      </c>
      <c r="I84" s="359">
        <v>29.4985</v>
      </c>
      <c r="J84" s="359">
        <v>28.3531</v>
      </c>
      <c r="K84" s="359">
        <v>27.3355</v>
      </c>
      <c r="L84" s="359">
        <v>26.3538</v>
      </c>
      <c r="M84" s="359">
        <v>25.4252</v>
      </c>
      <c r="N84" s="359">
        <v>24.5513</v>
      </c>
      <c r="O84" s="359">
        <v>23.6941</v>
      </c>
      <c r="P84" s="359">
        <v>22.8592</v>
      </c>
      <c r="Q84" s="359">
        <v>22.085</v>
      </c>
      <c r="R84" s="359">
        <v>22.085</v>
      </c>
    </row>
    <row r="85">
      <c r="A85" s="339" t="s">
        <v>857</v>
      </c>
      <c r="B85" s="339" t="s">
        <v>858</v>
      </c>
      <c r="C85" s="205" t="s">
        <v>772</v>
      </c>
      <c r="D85" s="360"/>
      <c r="E85" s="358" t="s">
        <v>773</v>
      </c>
      <c r="F85" s="358" t="s">
        <v>773</v>
      </c>
      <c r="G85" s="358" t="s">
        <v>768</v>
      </c>
      <c r="H85" s="359">
        <v>34.9939</v>
      </c>
      <c r="I85" s="359">
        <v>34.1149</v>
      </c>
      <c r="J85" s="359">
        <v>33.0903</v>
      </c>
      <c r="K85" s="359">
        <v>32.0659</v>
      </c>
      <c r="L85" s="359">
        <v>31.1281</v>
      </c>
      <c r="M85" s="359">
        <v>30.1806</v>
      </c>
      <c r="N85" s="359">
        <v>29.1955</v>
      </c>
      <c r="O85" s="359">
        <v>28.3267</v>
      </c>
      <c r="P85" s="359">
        <v>27.4503</v>
      </c>
      <c r="Q85" s="359">
        <v>26.5508</v>
      </c>
      <c r="R85" s="359">
        <v>26.5508</v>
      </c>
    </row>
    <row r="86">
      <c r="A86" s="339" t="s">
        <v>859</v>
      </c>
      <c r="B86" s="339" t="s">
        <v>656</v>
      </c>
      <c r="C86" s="205" t="s">
        <v>772</v>
      </c>
      <c r="D86" s="360"/>
      <c r="E86" s="358" t="s">
        <v>773</v>
      </c>
      <c r="F86" s="358" t="s">
        <v>773</v>
      </c>
      <c r="G86" s="358" t="s">
        <v>768</v>
      </c>
      <c r="H86" s="359">
        <v>22.0367</v>
      </c>
      <c r="I86" s="359">
        <v>21.2339</v>
      </c>
      <c r="J86" s="359">
        <v>20.4756</v>
      </c>
      <c r="K86" s="359">
        <v>19.7348</v>
      </c>
      <c r="L86" s="359">
        <v>19.0366</v>
      </c>
      <c r="M86" s="359">
        <v>18.3921</v>
      </c>
      <c r="N86" s="359">
        <v>17.7289</v>
      </c>
      <c r="O86" s="359">
        <v>17.13</v>
      </c>
      <c r="P86" s="359">
        <v>16.5599</v>
      </c>
      <c r="Q86" s="359">
        <v>16.005</v>
      </c>
      <c r="R86" s="359">
        <v>16.005</v>
      </c>
    </row>
    <row r="87">
      <c r="A87" s="339" t="s">
        <v>860</v>
      </c>
      <c r="B87" s="339" t="s">
        <v>657</v>
      </c>
      <c r="C87" s="205" t="s">
        <v>775</v>
      </c>
      <c r="D87" s="358" t="s">
        <v>776</v>
      </c>
      <c r="E87" s="358" t="s">
        <v>777</v>
      </c>
      <c r="F87" s="358" t="s">
        <v>778</v>
      </c>
      <c r="G87" s="358" t="s">
        <v>768</v>
      </c>
      <c r="H87" s="359">
        <v>5.0565</v>
      </c>
      <c r="I87" s="359">
        <v>4.9775</v>
      </c>
      <c r="J87" s="359">
        <v>4.9149</v>
      </c>
      <c r="K87" s="359">
        <v>4.8594</v>
      </c>
      <c r="L87" s="359">
        <v>4.8114</v>
      </c>
      <c r="M87" s="359">
        <v>4.7666</v>
      </c>
      <c r="N87" s="359">
        <v>4.7266</v>
      </c>
      <c r="O87" s="359">
        <v>4.6866</v>
      </c>
      <c r="P87" s="359">
        <v>4.6468</v>
      </c>
      <c r="Q87" s="359">
        <v>4.5976</v>
      </c>
      <c r="R87" s="359">
        <v>4.5976</v>
      </c>
    </row>
    <row r="88">
      <c r="A88" s="339" t="s">
        <v>861</v>
      </c>
      <c r="B88" s="339" t="s">
        <v>658</v>
      </c>
      <c r="C88" s="205" t="s">
        <v>772</v>
      </c>
      <c r="D88" s="360"/>
      <c r="E88" s="358" t="s">
        <v>773</v>
      </c>
      <c r="F88" s="358" t="s">
        <v>773</v>
      </c>
      <c r="G88" s="358" t="s">
        <v>768</v>
      </c>
      <c r="H88" s="359">
        <v>73.5055</v>
      </c>
      <c r="I88" s="359">
        <v>71.6674</v>
      </c>
      <c r="J88" s="359">
        <v>69.7319</v>
      </c>
      <c r="K88" s="359">
        <v>67.82</v>
      </c>
      <c r="L88" s="359">
        <v>65.9188</v>
      </c>
      <c r="M88" s="359">
        <v>64.1249</v>
      </c>
      <c r="N88" s="359">
        <v>62.1868</v>
      </c>
      <c r="O88" s="359">
        <v>60.157</v>
      </c>
      <c r="P88" s="359">
        <v>58.2464</v>
      </c>
      <c r="Q88" s="359">
        <v>56.4907</v>
      </c>
      <c r="R88" s="359">
        <v>56.4907</v>
      </c>
    </row>
    <row r="89">
      <c r="A89" s="339" t="s">
        <v>862</v>
      </c>
      <c r="B89" s="339" t="s">
        <v>659</v>
      </c>
      <c r="C89" s="205" t="s">
        <v>775</v>
      </c>
      <c r="D89" s="358" t="s">
        <v>776</v>
      </c>
      <c r="E89" s="358" t="s">
        <v>780</v>
      </c>
      <c r="F89" s="358" t="s">
        <v>781</v>
      </c>
      <c r="G89" s="358" t="s">
        <v>768</v>
      </c>
      <c r="H89" s="359">
        <v>5.5686</v>
      </c>
      <c r="I89" s="359">
        <v>5.333</v>
      </c>
      <c r="J89" s="359">
        <v>5.0454</v>
      </c>
      <c r="K89" s="359">
        <v>4.7483</v>
      </c>
      <c r="L89" s="359">
        <v>4.4805</v>
      </c>
      <c r="M89" s="359">
        <v>4.2657</v>
      </c>
      <c r="N89" s="359">
        <v>4.1227</v>
      </c>
      <c r="O89" s="359">
        <v>4.0426</v>
      </c>
      <c r="P89" s="359">
        <v>4.0038</v>
      </c>
      <c r="Q89" s="359">
        <v>3.9893</v>
      </c>
      <c r="R89" s="359">
        <v>3.9893</v>
      </c>
    </row>
    <row r="90">
      <c r="A90" s="339" t="s">
        <v>863</v>
      </c>
      <c r="B90" s="339" t="s">
        <v>660</v>
      </c>
      <c r="C90" s="205" t="s">
        <v>811</v>
      </c>
      <c r="D90" s="358" t="s">
        <v>812</v>
      </c>
      <c r="E90" s="358" t="s">
        <v>793</v>
      </c>
      <c r="F90" s="358" t="s">
        <v>793</v>
      </c>
      <c r="G90" s="358" t="s">
        <v>768</v>
      </c>
      <c r="H90" s="359">
        <v>29.8251</v>
      </c>
      <c r="I90" s="359">
        <v>28.6339</v>
      </c>
      <c r="J90" s="359">
        <v>27.501</v>
      </c>
      <c r="K90" s="359">
        <v>26.4265</v>
      </c>
      <c r="L90" s="359">
        <v>25.45</v>
      </c>
      <c r="M90" s="359">
        <v>24.5043</v>
      </c>
      <c r="N90" s="359">
        <v>23.6128</v>
      </c>
      <c r="O90" s="359">
        <v>22.798</v>
      </c>
      <c r="P90" s="359">
        <v>22.0106</v>
      </c>
      <c r="Q90" s="359">
        <v>21.2615</v>
      </c>
      <c r="R90" s="359">
        <v>21.2615</v>
      </c>
    </row>
    <row r="91">
      <c r="A91" s="339" t="s">
        <v>864</v>
      </c>
      <c r="B91" s="339" t="s">
        <v>661</v>
      </c>
      <c r="C91" s="205" t="s">
        <v>766</v>
      </c>
      <c r="D91" s="358" t="s">
        <v>767</v>
      </c>
      <c r="E91" s="358" t="s">
        <v>702</v>
      </c>
      <c r="F91" s="358" t="s">
        <v>702</v>
      </c>
      <c r="G91" s="358" t="s">
        <v>768</v>
      </c>
      <c r="H91" s="359">
        <v>49.0549</v>
      </c>
      <c r="I91" s="359">
        <v>46.2516</v>
      </c>
      <c r="J91" s="359">
        <v>43.5891</v>
      </c>
      <c r="K91" s="359">
        <v>41.0689</v>
      </c>
      <c r="L91" s="359">
        <v>38.6819</v>
      </c>
      <c r="M91" s="359">
        <v>36.4362</v>
      </c>
      <c r="N91" s="359">
        <v>34.3239</v>
      </c>
      <c r="O91" s="359">
        <v>32.3509</v>
      </c>
      <c r="P91" s="359">
        <v>30.5969</v>
      </c>
      <c r="Q91" s="359">
        <v>29.0647</v>
      </c>
      <c r="R91" s="359">
        <v>29.0647</v>
      </c>
    </row>
    <row r="92">
      <c r="A92" s="339" t="s">
        <v>865</v>
      </c>
      <c r="B92" s="339" t="s">
        <v>662</v>
      </c>
      <c r="C92" s="205" t="s">
        <v>775</v>
      </c>
      <c r="D92" s="358" t="s">
        <v>776</v>
      </c>
      <c r="E92" s="358" t="s">
        <v>780</v>
      </c>
      <c r="F92" s="358" t="s">
        <v>781</v>
      </c>
      <c r="G92" s="358" t="s">
        <v>768</v>
      </c>
      <c r="H92" s="359">
        <v>3.8813</v>
      </c>
      <c r="I92" s="359">
        <v>3.788</v>
      </c>
      <c r="J92" s="359">
        <v>3.6879</v>
      </c>
      <c r="K92" s="359">
        <v>3.5853</v>
      </c>
      <c r="L92" s="359">
        <v>3.482</v>
      </c>
      <c r="M92" s="359">
        <v>3.3883</v>
      </c>
      <c r="N92" s="359">
        <v>3.3133</v>
      </c>
      <c r="O92" s="359">
        <v>3.2509</v>
      </c>
      <c r="P92" s="359">
        <v>3.193</v>
      </c>
      <c r="Q92" s="359">
        <v>3.1253</v>
      </c>
      <c r="R92" s="359">
        <v>3.1253</v>
      </c>
    </row>
    <row r="93">
      <c r="A93" s="339" t="s">
        <v>866</v>
      </c>
      <c r="B93" s="339" t="s">
        <v>867</v>
      </c>
      <c r="C93" s="205" t="s">
        <v>766</v>
      </c>
      <c r="D93" s="358" t="s">
        <v>767</v>
      </c>
      <c r="E93" s="358" t="s">
        <v>786</v>
      </c>
      <c r="F93" s="358" t="s">
        <v>786</v>
      </c>
      <c r="G93" s="358" t="s">
        <v>768</v>
      </c>
      <c r="H93" s="359">
        <v>16.7539</v>
      </c>
      <c r="I93" s="359">
        <v>16.0834</v>
      </c>
      <c r="J93" s="359">
        <v>15.459</v>
      </c>
      <c r="K93" s="359">
        <v>14.8511</v>
      </c>
      <c r="L93" s="359">
        <v>14.3138</v>
      </c>
      <c r="M93" s="359">
        <v>13.8527</v>
      </c>
      <c r="N93" s="359">
        <v>13.3674</v>
      </c>
      <c r="O93" s="359">
        <v>12.8928</v>
      </c>
      <c r="P93" s="359">
        <v>12.4438</v>
      </c>
      <c r="Q93" s="359">
        <v>12.0252</v>
      </c>
      <c r="R93" s="359">
        <v>12.0252</v>
      </c>
    </row>
    <row r="94">
      <c r="A94" s="339" t="s">
        <v>868</v>
      </c>
      <c r="B94" s="339" t="s">
        <v>664</v>
      </c>
      <c r="C94" s="205" t="s">
        <v>784</v>
      </c>
      <c r="D94" s="358" t="s">
        <v>785</v>
      </c>
      <c r="E94" s="358" t="s">
        <v>786</v>
      </c>
      <c r="F94" s="358" t="s">
        <v>786</v>
      </c>
      <c r="G94" s="358" t="s">
        <v>768</v>
      </c>
      <c r="H94" s="359">
        <v>31.548</v>
      </c>
      <c r="I94" s="359">
        <v>30.5551</v>
      </c>
      <c r="J94" s="359">
        <v>29.5307</v>
      </c>
      <c r="K94" s="359">
        <v>28.5748</v>
      </c>
      <c r="L94" s="359">
        <v>27.6841</v>
      </c>
      <c r="M94" s="359">
        <v>26.787</v>
      </c>
      <c r="N94" s="359">
        <v>25.8976</v>
      </c>
      <c r="O94" s="359">
        <v>25.0766</v>
      </c>
      <c r="P94" s="359">
        <v>24.2848</v>
      </c>
      <c r="Q94" s="359">
        <v>23.5189</v>
      </c>
      <c r="R94" s="359">
        <v>23.5189</v>
      </c>
    </row>
    <row r="95">
      <c r="A95" s="339" t="s">
        <v>869</v>
      </c>
      <c r="B95" s="339" t="s">
        <v>665</v>
      </c>
      <c r="C95" s="205" t="s">
        <v>775</v>
      </c>
      <c r="D95" s="358" t="s">
        <v>776</v>
      </c>
      <c r="E95" s="358" t="s">
        <v>780</v>
      </c>
      <c r="F95" s="358" t="s">
        <v>781</v>
      </c>
      <c r="G95" s="358" t="s">
        <v>768</v>
      </c>
      <c r="H95" s="359">
        <v>2.6179</v>
      </c>
      <c r="I95" s="359">
        <v>2.6141</v>
      </c>
      <c r="J95" s="359">
        <v>2.6187</v>
      </c>
      <c r="K95" s="359">
        <v>2.6303</v>
      </c>
      <c r="L95" s="359">
        <v>2.6466</v>
      </c>
      <c r="M95" s="359">
        <v>2.6635</v>
      </c>
      <c r="N95" s="359">
        <v>2.6766</v>
      </c>
      <c r="O95" s="359">
        <v>2.6765</v>
      </c>
      <c r="P95" s="359">
        <v>2.6533</v>
      </c>
      <c r="Q95" s="359">
        <v>2.6181</v>
      </c>
      <c r="R95" s="359">
        <v>2.6181</v>
      </c>
    </row>
    <row r="96">
      <c r="A96" s="339" t="s">
        <v>870</v>
      </c>
      <c r="B96" s="339" t="s">
        <v>871</v>
      </c>
      <c r="C96" s="205" t="s">
        <v>784</v>
      </c>
      <c r="D96" s="358" t="s">
        <v>785</v>
      </c>
      <c r="E96" s="358" t="s">
        <v>786</v>
      </c>
      <c r="F96" s="358" t="s">
        <v>781</v>
      </c>
      <c r="G96" s="358" t="s">
        <v>768</v>
      </c>
      <c r="H96" s="359">
        <v>4.14</v>
      </c>
      <c r="I96" s="359">
        <v>4.0274</v>
      </c>
      <c r="J96" s="359">
        <v>3.9258</v>
      </c>
      <c r="K96" s="359">
        <v>3.8293</v>
      </c>
      <c r="L96" s="359">
        <v>3.7387</v>
      </c>
      <c r="M96" s="359">
        <v>3.6528</v>
      </c>
      <c r="N96" s="359">
        <v>3.5739</v>
      </c>
      <c r="O96" s="359">
        <v>3.5042</v>
      </c>
      <c r="P96" s="359">
        <v>3.4474</v>
      </c>
      <c r="Q96" s="359">
        <v>3.3999</v>
      </c>
      <c r="R96" s="359">
        <v>3.3999</v>
      </c>
    </row>
    <row r="97">
      <c r="A97" s="339" t="s">
        <v>872</v>
      </c>
      <c r="B97" s="339" t="s">
        <v>666</v>
      </c>
      <c r="C97" s="205" t="s">
        <v>775</v>
      </c>
      <c r="D97" s="358" t="s">
        <v>776</v>
      </c>
      <c r="E97" s="358" t="s">
        <v>780</v>
      </c>
      <c r="F97" s="358" t="s">
        <v>781</v>
      </c>
      <c r="G97" s="358" t="s">
        <v>768</v>
      </c>
      <c r="H97" s="359">
        <v>3.6876</v>
      </c>
      <c r="I97" s="359">
        <v>3.6042</v>
      </c>
      <c r="J97" s="359">
        <v>3.5215</v>
      </c>
      <c r="K97" s="359">
        <v>3.4274</v>
      </c>
      <c r="L97" s="359">
        <v>3.3172</v>
      </c>
      <c r="M97" s="359">
        <v>3.1894</v>
      </c>
      <c r="N97" s="359">
        <v>3.0469</v>
      </c>
      <c r="O97" s="359">
        <v>2.8964</v>
      </c>
      <c r="P97" s="359">
        <v>2.7521</v>
      </c>
      <c r="Q97" s="359">
        <v>2.6197</v>
      </c>
      <c r="R97" s="359">
        <v>2.6197</v>
      </c>
    </row>
    <row r="98">
      <c r="A98" s="339" t="s">
        <v>873</v>
      </c>
      <c r="B98" s="339" t="s">
        <v>667</v>
      </c>
      <c r="C98" s="205" t="s">
        <v>772</v>
      </c>
      <c r="D98" s="360"/>
      <c r="E98" s="358" t="s">
        <v>773</v>
      </c>
      <c r="F98" s="358" t="s">
        <v>773</v>
      </c>
      <c r="G98" s="358" t="s">
        <v>768</v>
      </c>
      <c r="H98" s="359">
        <v>18.856</v>
      </c>
      <c r="I98" s="359">
        <v>18.7689</v>
      </c>
      <c r="J98" s="359">
        <v>18.6827</v>
      </c>
      <c r="K98" s="359">
        <v>18.6346</v>
      </c>
      <c r="L98" s="359">
        <v>18.6596</v>
      </c>
      <c r="M98" s="359">
        <v>18.7373</v>
      </c>
      <c r="N98" s="359">
        <v>18.8394</v>
      </c>
      <c r="O98" s="359">
        <v>18.9146</v>
      </c>
      <c r="P98" s="359">
        <v>18.9019</v>
      </c>
      <c r="Q98" s="359">
        <v>18.773</v>
      </c>
      <c r="R98" s="359">
        <v>18.773</v>
      </c>
    </row>
    <row r="99">
      <c r="A99" s="339" t="s">
        <v>874</v>
      </c>
      <c r="B99" s="339" t="s">
        <v>668</v>
      </c>
      <c r="C99" s="205" t="s">
        <v>784</v>
      </c>
      <c r="D99" s="358" t="s">
        <v>785</v>
      </c>
      <c r="E99" s="358" t="s">
        <v>786</v>
      </c>
      <c r="F99" s="358" t="s">
        <v>786</v>
      </c>
      <c r="G99" s="358" t="s">
        <v>768</v>
      </c>
      <c r="H99" s="359">
        <v>18.5529</v>
      </c>
      <c r="I99" s="359">
        <v>18.0381</v>
      </c>
      <c r="J99" s="359">
        <v>17.5383</v>
      </c>
      <c r="K99" s="359">
        <v>17.0314</v>
      </c>
      <c r="L99" s="359">
        <v>16.5338</v>
      </c>
      <c r="M99" s="359">
        <v>16.0393</v>
      </c>
      <c r="N99" s="359">
        <v>15.5458</v>
      </c>
      <c r="O99" s="359">
        <v>15.0781</v>
      </c>
      <c r="P99" s="359">
        <v>14.5838</v>
      </c>
      <c r="Q99" s="359">
        <v>14.1363</v>
      </c>
      <c r="R99" s="359">
        <v>14.1363</v>
      </c>
    </row>
    <row r="100">
      <c r="A100" s="339" t="s">
        <v>875</v>
      </c>
      <c r="B100" s="339" t="s">
        <v>876</v>
      </c>
      <c r="C100" s="205" t="s">
        <v>811</v>
      </c>
      <c r="D100" s="358" t="s">
        <v>822</v>
      </c>
      <c r="E100" s="358" t="s">
        <v>793</v>
      </c>
      <c r="F100" s="358" t="s">
        <v>781</v>
      </c>
      <c r="G100" s="358" t="s">
        <v>768</v>
      </c>
      <c r="H100" s="359">
        <v>2.9171</v>
      </c>
      <c r="I100" s="359">
        <v>2.8338</v>
      </c>
      <c r="J100" s="359">
        <v>2.7558</v>
      </c>
      <c r="K100" s="359">
        <v>2.6816</v>
      </c>
      <c r="L100" s="359">
        <v>2.6112</v>
      </c>
      <c r="M100" s="359">
        <v>2.5422</v>
      </c>
      <c r="N100" s="359">
        <v>2.4723</v>
      </c>
      <c r="O100" s="359">
        <v>2.4041</v>
      </c>
      <c r="P100" s="359">
        <v>2.3384</v>
      </c>
      <c r="Q100" s="359">
        <v>2.2761</v>
      </c>
      <c r="R100" s="359">
        <v>2.2761</v>
      </c>
    </row>
    <row r="101">
      <c r="A101" s="339" t="s">
        <v>877</v>
      </c>
      <c r="B101" s="339" t="s">
        <v>669</v>
      </c>
      <c r="C101" s="205" t="s">
        <v>766</v>
      </c>
      <c r="D101" s="358" t="s">
        <v>878</v>
      </c>
      <c r="E101" s="358" t="s">
        <v>777</v>
      </c>
      <c r="F101" s="358" t="s">
        <v>778</v>
      </c>
      <c r="G101" s="358" t="s">
        <v>768</v>
      </c>
      <c r="H101" s="359">
        <v>14.5282</v>
      </c>
      <c r="I101" s="359">
        <v>13.0231</v>
      </c>
      <c r="J101" s="359">
        <v>11.853</v>
      </c>
      <c r="K101" s="359">
        <v>11.0484</v>
      </c>
      <c r="L101" s="359">
        <v>10.5754</v>
      </c>
      <c r="M101" s="359">
        <v>10.3278</v>
      </c>
      <c r="N101" s="359">
        <v>10.2088</v>
      </c>
      <c r="O101" s="359">
        <v>10.1261</v>
      </c>
      <c r="P101" s="359">
        <v>9.9817</v>
      </c>
      <c r="Q101" s="359">
        <v>9.7367</v>
      </c>
      <c r="R101" s="359">
        <v>9.7367</v>
      </c>
    </row>
    <row r="102">
      <c r="A102" s="339" t="s">
        <v>391</v>
      </c>
      <c r="B102" s="339" t="s">
        <v>74</v>
      </c>
      <c r="C102" s="205" t="s">
        <v>465</v>
      </c>
      <c r="D102" s="360"/>
      <c r="E102" s="358" t="s">
        <v>769</v>
      </c>
      <c r="F102" s="358" t="s">
        <v>769</v>
      </c>
      <c r="G102" s="358" t="s">
        <v>768</v>
      </c>
      <c r="H102" s="359">
        <v>50.0732</v>
      </c>
      <c r="I102" s="359">
        <v>48.9193</v>
      </c>
      <c r="J102" s="359">
        <v>47.5482</v>
      </c>
      <c r="K102" s="359">
        <v>46.2512</v>
      </c>
      <c r="L102" s="359">
        <v>45.4494</v>
      </c>
      <c r="M102" s="359">
        <v>44.3319</v>
      </c>
      <c r="N102" s="359">
        <v>43.4456</v>
      </c>
      <c r="O102" s="359">
        <v>42.9742</v>
      </c>
      <c r="P102" s="359">
        <v>41.889</v>
      </c>
      <c r="Q102" s="359">
        <v>41.0984</v>
      </c>
      <c r="R102" s="359">
        <v>41.0984</v>
      </c>
    </row>
    <row r="103">
      <c r="A103" s="339" t="s">
        <v>879</v>
      </c>
      <c r="B103" s="339" t="s">
        <v>880</v>
      </c>
      <c r="C103" s="205" t="s">
        <v>766</v>
      </c>
      <c r="D103" s="358" t="s">
        <v>878</v>
      </c>
      <c r="E103" s="358" t="s">
        <v>777</v>
      </c>
      <c r="F103" s="358" t="s">
        <v>778</v>
      </c>
      <c r="G103" s="358" t="s">
        <v>768</v>
      </c>
      <c r="H103" s="359">
        <v>24.7299</v>
      </c>
      <c r="I103" s="359">
        <v>23.4587</v>
      </c>
      <c r="J103" s="359">
        <v>22.2162</v>
      </c>
      <c r="K103" s="359">
        <v>21.0389</v>
      </c>
      <c r="L103" s="359">
        <v>19.9364</v>
      </c>
      <c r="M103" s="359">
        <v>18.9971</v>
      </c>
      <c r="N103" s="359">
        <v>18.2875</v>
      </c>
      <c r="O103" s="359">
        <v>17.7911</v>
      </c>
      <c r="P103" s="359">
        <v>17.4694</v>
      </c>
      <c r="Q103" s="359">
        <v>17.2539</v>
      </c>
      <c r="R103" s="359">
        <v>17.2539</v>
      </c>
    </row>
    <row r="104">
      <c r="A104" s="339" t="s">
        <v>881</v>
      </c>
      <c r="B104" s="339" t="s">
        <v>671</v>
      </c>
      <c r="C104" s="205" t="s">
        <v>811</v>
      </c>
      <c r="D104" s="358" t="s">
        <v>812</v>
      </c>
      <c r="E104" s="358" t="s">
        <v>793</v>
      </c>
      <c r="F104" s="358" t="s">
        <v>793</v>
      </c>
      <c r="G104" s="358" t="s">
        <v>768</v>
      </c>
      <c r="H104" s="359">
        <v>35.2383</v>
      </c>
      <c r="I104" s="359">
        <v>33.2603</v>
      </c>
      <c r="J104" s="359">
        <v>31.5693</v>
      </c>
      <c r="K104" s="359">
        <v>30.0873</v>
      </c>
      <c r="L104" s="359">
        <v>28.788</v>
      </c>
      <c r="M104" s="359">
        <v>27.5246</v>
      </c>
      <c r="N104" s="359">
        <v>26.4715</v>
      </c>
      <c r="O104" s="359">
        <v>25.4839</v>
      </c>
      <c r="P104" s="359">
        <v>24.5544</v>
      </c>
      <c r="Q104" s="359">
        <v>23.6966</v>
      </c>
      <c r="R104" s="359">
        <v>23.6966</v>
      </c>
    </row>
    <row r="105">
      <c r="A105" s="339" t="s">
        <v>882</v>
      </c>
      <c r="B105" s="339" t="s">
        <v>883</v>
      </c>
      <c r="C105" s="205" t="s">
        <v>791</v>
      </c>
      <c r="D105" s="358" t="s">
        <v>825</v>
      </c>
      <c r="E105" s="358" t="s">
        <v>793</v>
      </c>
      <c r="F105" s="358" t="s">
        <v>793</v>
      </c>
      <c r="G105" s="358" t="s">
        <v>768</v>
      </c>
      <c r="H105" s="359">
        <v>57.9864</v>
      </c>
      <c r="I105" s="359">
        <v>58.4167</v>
      </c>
      <c r="J105" s="359">
        <v>59.0148</v>
      </c>
      <c r="K105" s="359">
        <v>59.6191</v>
      </c>
      <c r="L105" s="359">
        <v>59.9979</v>
      </c>
      <c r="M105" s="359">
        <v>60.0999</v>
      </c>
      <c r="N105" s="359">
        <v>59.7117</v>
      </c>
      <c r="O105" s="359">
        <v>58.7947</v>
      </c>
      <c r="P105" s="359">
        <v>57.6676</v>
      </c>
      <c r="Q105" s="359">
        <v>56.4391</v>
      </c>
      <c r="R105" s="359">
        <v>56.4391</v>
      </c>
    </row>
    <row r="106">
      <c r="A106" s="339" t="s">
        <v>884</v>
      </c>
      <c r="B106" s="339" t="s">
        <v>885</v>
      </c>
      <c r="C106" s="205" t="s">
        <v>772</v>
      </c>
      <c r="D106" s="360"/>
      <c r="E106" s="358" t="s">
        <v>773</v>
      </c>
      <c r="F106" s="358" t="s">
        <v>773</v>
      </c>
      <c r="G106" s="358" t="s">
        <v>768</v>
      </c>
      <c r="H106" s="359">
        <v>18.4281</v>
      </c>
      <c r="I106" s="359">
        <v>18.3972</v>
      </c>
      <c r="J106" s="359">
        <v>18.2375</v>
      </c>
      <c r="K106" s="359">
        <v>17.9733</v>
      </c>
      <c r="L106" s="359">
        <v>17.625</v>
      </c>
      <c r="M106" s="359">
        <v>17.2238</v>
      </c>
      <c r="N106" s="359">
        <v>16.7679</v>
      </c>
      <c r="O106" s="359">
        <v>16.3546</v>
      </c>
      <c r="P106" s="359">
        <v>15.8818</v>
      </c>
      <c r="Q106" s="359">
        <v>15.4139</v>
      </c>
      <c r="R106" s="359">
        <v>15.4139</v>
      </c>
    </row>
    <row r="107">
      <c r="A107" s="339" t="s">
        <v>886</v>
      </c>
      <c r="B107" s="339" t="s">
        <v>887</v>
      </c>
      <c r="C107" s="205" t="s">
        <v>811</v>
      </c>
      <c r="D107" s="358" t="s">
        <v>822</v>
      </c>
      <c r="E107" s="358" t="s">
        <v>793</v>
      </c>
      <c r="F107" s="358" t="s">
        <v>781</v>
      </c>
      <c r="G107" s="358" t="s">
        <v>768</v>
      </c>
      <c r="H107" s="359">
        <v>3.7283</v>
      </c>
      <c r="I107" s="359">
        <v>3.6183</v>
      </c>
      <c r="J107" s="359">
        <v>3.5171</v>
      </c>
      <c r="K107" s="359">
        <v>3.4231</v>
      </c>
      <c r="L107" s="359">
        <v>3.3292</v>
      </c>
      <c r="M107" s="359">
        <v>3.23</v>
      </c>
      <c r="N107" s="359">
        <v>3.122</v>
      </c>
      <c r="O107" s="359">
        <v>3.0077</v>
      </c>
      <c r="P107" s="359">
        <v>2.8896</v>
      </c>
      <c r="Q107" s="359">
        <v>2.7733</v>
      </c>
      <c r="R107" s="359">
        <v>2.7733</v>
      </c>
    </row>
    <row r="108">
      <c r="A108" s="339" t="s">
        <v>888</v>
      </c>
      <c r="B108" s="339" t="s">
        <v>889</v>
      </c>
      <c r="C108" s="205" t="s">
        <v>784</v>
      </c>
      <c r="D108" s="358" t="s">
        <v>785</v>
      </c>
      <c r="E108" s="358" t="s">
        <v>786</v>
      </c>
      <c r="F108" s="358" t="s">
        <v>786</v>
      </c>
      <c r="G108" s="358" t="s">
        <v>768</v>
      </c>
      <c r="H108" s="359">
        <v>9.5928</v>
      </c>
      <c r="I108" s="359">
        <v>9.3117</v>
      </c>
      <c r="J108" s="359">
        <v>9.0979</v>
      </c>
      <c r="K108" s="359">
        <v>8.9522</v>
      </c>
      <c r="L108" s="359">
        <v>8.8634</v>
      </c>
      <c r="M108" s="359">
        <v>8.8268</v>
      </c>
      <c r="N108" s="359">
        <v>8.8144</v>
      </c>
      <c r="O108" s="359">
        <v>8.7887</v>
      </c>
      <c r="P108" s="359">
        <v>8.724</v>
      </c>
      <c r="Q108" s="359">
        <v>8.6093</v>
      </c>
      <c r="R108" s="359">
        <v>8.6093</v>
      </c>
    </row>
    <row r="109">
      <c r="A109" s="339" t="s">
        <v>890</v>
      </c>
      <c r="B109" s="339" t="s">
        <v>891</v>
      </c>
      <c r="C109" s="205" t="s">
        <v>811</v>
      </c>
      <c r="D109" s="358" t="s">
        <v>812</v>
      </c>
      <c r="E109" s="358" t="s">
        <v>793</v>
      </c>
      <c r="F109" s="358" t="s">
        <v>793</v>
      </c>
      <c r="G109" s="358" t="s">
        <v>768</v>
      </c>
      <c r="H109" s="359">
        <v>58.4011</v>
      </c>
      <c r="I109" s="359">
        <v>55.6384</v>
      </c>
      <c r="J109" s="359">
        <v>53.1427</v>
      </c>
      <c r="K109" s="359">
        <v>50.7732</v>
      </c>
      <c r="L109" s="359">
        <v>48.6961</v>
      </c>
      <c r="M109" s="359">
        <v>46.7866</v>
      </c>
      <c r="N109" s="359">
        <v>45.0474</v>
      </c>
      <c r="O109" s="359">
        <v>43.3452</v>
      </c>
      <c r="P109" s="359">
        <v>41.8202</v>
      </c>
      <c r="Q109" s="359">
        <v>40.3804</v>
      </c>
      <c r="R109" s="359">
        <v>40.3804</v>
      </c>
    </row>
    <row r="110">
      <c r="A110" s="339" t="s">
        <v>892</v>
      </c>
      <c r="B110" s="339" t="s">
        <v>893</v>
      </c>
      <c r="C110" s="205" t="s">
        <v>784</v>
      </c>
      <c r="D110" s="358" t="s">
        <v>785</v>
      </c>
      <c r="E110" s="358" t="s">
        <v>786</v>
      </c>
      <c r="F110" s="358" t="s">
        <v>786</v>
      </c>
      <c r="G110" s="358" t="s">
        <v>768</v>
      </c>
      <c r="H110" s="359">
        <v>12.3502</v>
      </c>
      <c r="I110" s="359">
        <v>12.4504</v>
      </c>
      <c r="J110" s="359">
        <v>12.6668</v>
      </c>
      <c r="K110" s="359">
        <v>12.9922</v>
      </c>
      <c r="L110" s="359">
        <v>13.4287</v>
      </c>
      <c r="M110" s="359">
        <v>13.9922</v>
      </c>
      <c r="N110" s="359">
        <v>14.6792</v>
      </c>
      <c r="O110" s="359">
        <v>15.4889</v>
      </c>
      <c r="P110" s="359">
        <v>16.3984</v>
      </c>
      <c r="Q110" s="359">
        <v>17.3519</v>
      </c>
      <c r="R110" s="359">
        <v>17.3519</v>
      </c>
    </row>
    <row r="111">
      <c r="A111" s="339" t="s">
        <v>528</v>
      </c>
      <c r="B111" s="339" t="s">
        <v>527</v>
      </c>
      <c r="C111" s="205" t="s">
        <v>465</v>
      </c>
      <c r="D111" s="360"/>
      <c r="E111" s="358" t="s">
        <v>797</v>
      </c>
      <c r="F111" s="358" t="s">
        <v>797</v>
      </c>
      <c r="G111" s="358" t="s">
        <v>768</v>
      </c>
      <c r="H111" s="359">
        <v>91.6907</v>
      </c>
      <c r="I111" s="359">
        <v>91.8928</v>
      </c>
      <c r="J111" s="359">
        <v>88.072</v>
      </c>
      <c r="K111" s="359">
        <v>86.024</v>
      </c>
      <c r="L111" s="359">
        <v>84.2605</v>
      </c>
      <c r="M111" s="359">
        <v>82.2634</v>
      </c>
      <c r="N111" s="359">
        <v>80.0279</v>
      </c>
      <c r="O111" s="359">
        <v>77.745</v>
      </c>
      <c r="P111" s="359">
        <v>75.4636</v>
      </c>
      <c r="Q111" s="359">
        <v>73.2022</v>
      </c>
      <c r="R111" s="359">
        <v>73.2022</v>
      </c>
    </row>
    <row r="112">
      <c r="A112" s="339" t="s">
        <v>894</v>
      </c>
      <c r="B112" s="339" t="s">
        <v>675</v>
      </c>
      <c r="C112" s="205" t="s">
        <v>784</v>
      </c>
      <c r="D112" s="358" t="s">
        <v>838</v>
      </c>
      <c r="E112" s="358" t="s">
        <v>786</v>
      </c>
      <c r="F112" s="358" t="s">
        <v>786</v>
      </c>
      <c r="G112" s="358" t="s">
        <v>768</v>
      </c>
      <c r="H112" s="359">
        <v>14.3761</v>
      </c>
      <c r="I112" s="359">
        <v>13.7984</v>
      </c>
      <c r="J112" s="359">
        <v>13.256</v>
      </c>
      <c r="K112" s="359">
        <v>12.7545</v>
      </c>
      <c r="L112" s="359">
        <v>12.3123</v>
      </c>
      <c r="M112" s="359">
        <v>11.9015</v>
      </c>
      <c r="N112" s="359">
        <v>11.4928</v>
      </c>
      <c r="O112" s="359">
        <v>11.0948</v>
      </c>
      <c r="P112" s="359">
        <v>10.6998</v>
      </c>
      <c r="Q112" s="359">
        <v>10.3371</v>
      </c>
      <c r="R112" s="359">
        <v>10.3371</v>
      </c>
    </row>
    <row r="113">
      <c r="A113" s="339" t="s">
        <v>895</v>
      </c>
      <c r="B113" s="339" t="s">
        <v>896</v>
      </c>
      <c r="C113" s="205" t="s">
        <v>772</v>
      </c>
      <c r="D113" s="360"/>
      <c r="E113" s="358" t="s">
        <v>773</v>
      </c>
      <c r="F113" s="358" t="s">
        <v>773</v>
      </c>
      <c r="G113" s="358" t="s">
        <v>768</v>
      </c>
      <c r="H113" s="359">
        <v>17.8706</v>
      </c>
      <c r="I113" s="359">
        <v>17.8276</v>
      </c>
      <c r="J113" s="359">
        <v>17.7817</v>
      </c>
      <c r="K113" s="359">
        <v>17.7427</v>
      </c>
      <c r="L113" s="359">
        <v>17.6902</v>
      </c>
      <c r="M113" s="359">
        <v>17.6353</v>
      </c>
      <c r="N113" s="359">
        <v>17.5781</v>
      </c>
      <c r="O113" s="359">
        <v>17.5145</v>
      </c>
      <c r="P113" s="359">
        <v>17.4196</v>
      </c>
      <c r="Q113" s="359">
        <v>17.3011</v>
      </c>
      <c r="R113" s="359">
        <v>17.3011</v>
      </c>
    </row>
    <row r="114">
      <c r="A114" s="339" t="s">
        <v>897</v>
      </c>
      <c r="B114" s="339" t="s">
        <v>677</v>
      </c>
      <c r="C114" s="205" t="s">
        <v>766</v>
      </c>
      <c r="D114" s="358" t="s">
        <v>767</v>
      </c>
      <c r="E114" s="358" t="s">
        <v>702</v>
      </c>
      <c r="F114" s="358" t="s">
        <v>702</v>
      </c>
      <c r="G114" s="358" t="s">
        <v>768</v>
      </c>
      <c r="H114" s="359">
        <v>9.8503</v>
      </c>
      <c r="I114" s="359">
        <v>9.3003</v>
      </c>
      <c r="J114" s="359">
        <v>8.7759</v>
      </c>
      <c r="K114" s="359">
        <v>8.3146</v>
      </c>
      <c r="L114" s="359">
        <v>7.9185</v>
      </c>
      <c r="M114" s="359">
        <v>7.5664</v>
      </c>
      <c r="N114" s="359">
        <v>7.2696</v>
      </c>
      <c r="O114" s="359">
        <v>6.984</v>
      </c>
      <c r="P114" s="359">
        <v>6.7206</v>
      </c>
      <c r="Q114" s="359">
        <v>6.4928</v>
      </c>
      <c r="R114" s="359">
        <v>6.4928</v>
      </c>
    </row>
    <row r="115">
      <c r="A115" s="339" t="s">
        <v>531</v>
      </c>
      <c r="B115" s="339" t="s">
        <v>337</v>
      </c>
      <c r="C115" s="205" t="s">
        <v>465</v>
      </c>
      <c r="D115" s="360"/>
      <c r="E115" s="358" t="s">
        <v>769</v>
      </c>
      <c r="F115" s="358" t="s">
        <v>769</v>
      </c>
      <c r="G115" s="358" t="s">
        <v>768</v>
      </c>
      <c r="H115" s="359">
        <v>83.7108</v>
      </c>
      <c r="I115" s="359">
        <v>83.0063</v>
      </c>
      <c r="J115" s="359">
        <v>82.1018</v>
      </c>
      <c r="K115" s="359">
        <v>77.7933</v>
      </c>
      <c r="L115" s="359">
        <v>75.958</v>
      </c>
      <c r="M115" s="359">
        <v>77.2126</v>
      </c>
      <c r="N115" s="359">
        <v>78.1293</v>
      </c>
      <c r="O115" s="359">
        <v>76.6028</v>
      </c>
      <c r="P115" s="359">
        <v>73.8685</v>
      </c>
      <c r="Q115" s="359">
        <v>72.1881</v>
      </c>
      <c r="R115" s="359">
        <v>72.1881</v>
      </c>
    </row>
    <row r="116">
      <c r="A116" s="339" t="s">
        <v>898</v>
      </c>
      <c r="B116" s="339" t="s">
        <v>678</v>
      </c>
      <c r="C116" s="205" t="s">
        <v>775</v>
      </c>
      <c r="D116" s="358" t="s">
        <v>776</v>
      </c>
      <c r="E116" s="358" t="s">
        <v>780</v>
      </c>
      <c r="F116" s="358" t="s">
        <v>781</v>
      </c>
      <c r="G116" s="358" t="s">
        <v>768</v>
      </c>
      <c r="H116" s="359">
        <v>5.0033</v>
      </c>
      <c r="I116" s="359">
        <v>4.9697</v>
      </c>
      <c r="J116" s="359">
        <v>4.9155</v>
      </c>
      <c r="K116" s="359">
        <v>4.6882</v>
      </c>
      <c r="L116" s="359">
        <v>4.3316</v>
      </c>
      <c r="M116" s="359">
        <v>3.9831</v>
      </c>
      <c r="N116" s="359">
        <v>3.7241</v>
      </c>
      <c r="O116" s="359">
        <v>3.5686</v>
      </c>
      <c r="P116" s="359">
        <v>3.5152</v>
      </c>
      <c r="Q116" s="359">
        <v>3.5339</v>
      </c>
      <c r="R116" s="359">
        <v>3.5339</v>
      </c>
    </row>
    <row r="117">
      <c r="A117" s="339" t="s">
        <v>899</v>
      </c>
      <c r="B117" s="339" t="s">
        <v>679</v>
      </c>
      <c r="C117" s="205" t="s">
        <v>775</v>
      </c>
      <c r="D117" s="358" t="s">
        <v>776</v>
      </c>
      <c r="E117" s="358" t="s">
        <v>780</v>
      </c>
      <c r="F117" s="358" t="s">
        <v>781</v>
      </c>
      <c r="G117" s="358" t="s">
        <v>768</v>
      </c>
      <c r="H117" s="359">
        <v>2.7074</v>
      </c>
      <c r="I117" s="359">
        <v>2.6967</v>
      </c>
      <c r="J117" s="359">
        <v>2.6942</v>
      </c>
      <c r="K117" s="359">
        <v>2.6997</v>
      </c>
      <c r="L117" s="359">
        <v>2.7098</v>
      </c>
      <c r="M117" s="359">
        <v>2.7223</v>
      </c>
      <c r="N117" s="359">
        <v>2.7293</v>
      </c>
      <c r="O117" s="359">
        <v>2.7226</v>
      </c>
      <c r="P117" s="359">
        <v>2.6949</v>
      </c>
      <c r="Q117" s="359">
        <v>2.6531</v>
      </c>
      <c r="R117" s="359">
        <v>2.6531</v>
      </c>
    </row>
    <row r="118">
      <c r="A118" s="339" t="s">
        <v>900</v>
      </c>
      <c r="B118" s="339" t="s">
        <v>680</v>
      </c>
      <c r="C118" s="205" t="s">
        <v>775</v>
      </c>
      <c r="D118" s="358" t="s">
        <v>776</v>
      </c>
      <c r="E118" s="358" t="s">
        <v>780</v>
      </c>
      <c r="F118" s="358" t="s">
        <v>781</v>
      </c>
      <c r="G118" s="358" t="s">
        <v>768</v>
      </c>
      <c r="H118" s="359">
        <v>6.0458</v>
      </c>
      <c r="I118" s="359">
        <v>5.523</v>
      </c>
      <c r="J118" s="359">
        <v>5.0749</v>
      </c>
      <c r="K118" s="359">
        <v>4.7284</v>
      </c>
      <c r="L118" s="359">
        <v>4.4473</v>
      </c>
      <c r="M118" s="359">
        <v>4.2006</v>
      </c>
      <c r="N118" s="359">
        <v>3.9628</v>
      </c>
      <c r="O118" s="359">
        <v>3.7188</v>
      </c>
      <c r="P118" s="359">
        <v>3.4616</v>
      </c>
      <c r="Q118" s="359">
        <v>3.2077</v>
      </c>
      <c r="R118" s="359">
        <v>3.2077</v>
      </c>
    </row>
    <row r="119">
      <c r="A119" s="339" t="s">
        <v>901</v>
      </c>
      <c r="B119" s="339" t="s">
        <v>681</v>
      </c>
      <c r="C119" s="205" t="s">
        <v>784</v>
      </c>
      <c r="D119" s="358" t="s">
        <v>838</v>
      </c>
      <c r="E119" s="358" t="s">
        <v>786</v>
      </c>
      <c r="F119" s="358" t="s">
        <v>786</v>
      </c>
      <c r="G119" s="358" t="s">
        <v>768</v>
      </c>
      <c r="H119" s="359">
        <v>26.2456</v>
      </c>
      <c r="I119" s="359">
        <v>24.8043</v>
      </c>
      <c r="J119" s="359">
        <v>23.4659</v>
      </c>
      <c r="K119" s="359">
        <v>22.2697</v>
      </c>
      <c r="L119" s="359">
        <v>21.2213</v>
      </c>
      <c r="M119" s="359">
        <v>20.2706</v>
      </c>
      <c r="N119" s="359">
        <v>19.4254</v>
      </c>
      <c r="O119" s="359">
        <v>18.6307</v>
      </c>
      <c r="P119" s="359">
        <v>17.947</v>
      </c>
      <c r="Q119" s="359">
        <v>17.2619</v>
      </c>
      <c r="R119" s="359">
        <v>17.2619</v>
      </c>
    </row>
    <row r="120">
      <c r="A120" s="339" t="s">
        <v>902</v>
      </c>
      <c r="B120" s="339" t="s">
        <v>903</v>
      </c>
      <c r="C120" s="205" t="s">
        <v>775</v>
      </c>
      <c r="D120" s="358" t="s">
        <v>776</v>
      </c>
      <c r="E120" s="358" t="s">
        <v>780</v>
      </c>
      <c r="F120" s="358" t="s">
        <v>781</v>
      </c>
      <c r="G120" s="358" t="s">
        <v>768</v>
      </c>
      <c r="H120" s="359">
        <v>3.722</v>
      </c>
      <c r="I120" s="359">
        <v>3.6188</v>
      </c>
      <c r="J120" s="359">
        <v>3.5156</v>
      </c>
      <c r="K120" s="359">
        <v>3.4104</v>
      </c>
      <c r="L120" s="359">
        <v>3.3079</v>
      </c>
      <c r="M120" s="359">
        <v>3.2015</v>
      </c>
      <c r="N120" s="359">
        <v>3.1141</v>
      </c>
      <c r="O120" s="359">
        <v>3.0144</v>
      </c>
      <c r="P120" s="359">
        <v>2.9183</v>
      </c>
      <c r="Q120" s="359">
        <v>2.8261</v>
      </c>
      <c r="R120" s="359">
        <v>2.8261</v>
      </c>
    </row>
    <row r="121">
      <c r="A121" s="339" t="s">
        <v>904</v>
      </c>
      <c r="B121" s="339" t="s">
        <v>905</v>
      </c>
      <c r="C121" s="205" t="s">
        <v>775</v>
      </c>
      <c r="D121" s="358" t="s">
        <v>776</v>
      </c>
      <c r="E121" s="358" t="s">
        <v>777</v>
      </c>
      <c r="F121" s="358" t="s">
        <v>778</v>
      </c>
      <c r="G121" s="358" t="s">
        <v>768</v>
      </c>
      <c r="H121" s="359">
        <v>16.2131</v>
      </c>
      <c r="I121" s="359">
        <v>15.8941</v>
      </c>
      <c r="J121" s="359">
        <v>15.6327</v>
      </c>
      <c r="K121" s="359">
        <v>15.3647</v>
      </c>
      <c r="L121" s="359">
        <v>15.1267</v>
      </c>
      <c r="M121" s="359">
        <v>14.9261</v>
      </c>
      <c r="N121" s="359">
        <v>14.7322</v>
      </c>
      <c r="O121" s="359">
        <v>14.5207</v>
      </c>
      <c r="P121" s="359">
        <v>14.3448</v>
      </c>
      <c r="Q121" s="359">
        <v>14.1573</v>
      </c>
      <c r="R121" s="359">
        <v>14.1573</v>
      </c>
    </row>
    <row r="122">
      <c r="A122" s="339" t="s">
        <v>533</v>
      </c>
      <c r="B122" s="339" t="s">
        <v>338</v>
      </c>
      <c r="C122" s="205" t="s">
        <v>465</v>
      </c>
      <c r="D122" s="360"/>
      <c r="E122" s="358" t="s">
        <v>769</v>
      </c>
      <c r="F122" s="358" t="s">
        <v>769</v>
      </c>
      <c r="G122" s="358" t="s">
        <v>768</v>
      </c>
      <c r="H122" s="359">
        <v>66.8041</v>
      </c>
      <c r="I122" s="359">
        <v>66.1822</v>
      </c>
      <c r="J122" s="359">
        <v>65.8245</v>
      </c>
      <c r="K122" s="359">
        <v>65.6566</v>
      </c>
      <c r="L122" s="359">
        <v>65.6604</v>
      </c>
      <c r="M122" s="359">
        <v>65.8352</v>
      </c>
      <c r="N122" s="359">
        <v>66.0819</v>
      </c>
      <c r="O122" s="359">
        <v>66.3055</v>
      </c>
      <c r="P122" s="359">
        <v>66.2897</v>
      </c>
      <c r="Q122" s="359">
        <v>65.7618</v>
      </c>
      <c r="R122" s="359">
        <v>65.7618</v>
      </c>
    </row>
    <row r="123">
      <c r="A123" s="339" t="s">
        <v>906</v>
      </c>
      <c r="B123" s="339" t="s">
        <v>907</v>
      </c>
      <c r="C123" s="205" t="s">
        <v>766</v>
      </c>
      <c r="D123" s="358" t="s">
        <v>767</v>
      </c>
      <c r="E123" s="358" t="s">
        <v>702</v>
      </c>
      <c r="F123" s="358" t="s">
        <v>702</v>
      </c>
      <c r="G123" s="358" t="s">
        <v>768</v>
      </c>
      <c r="H123" s="359">
        <v>11.3098</v>
      </c>
      <c r="I123" s="359">
        <v>10.5292</v>
      </c>
      <c r="J123" s="359">
        <v>9.7744</v>
      </c>
      <c r="K123" s="359">
        <v>9.0268</v>
      </c>
      <c r="L123" s="359">
        <v>8.2957</v>
      </c>
      <c r="M123" s="359">
        <v>7.6034</v>
      </c>
      <c r="N123" s="359">
        <v>6.9656</v>
      </c>
      <c r="O123" s="359">
        <v>6.4135</v>
      </c>
      <c r="P123" s="359">
        <v>5.9555</v>
      </c>
      <c r="Q123" s="359">
        <v>5.5786</v>
      </c>
      <c r="R123" s="359">
        <v>5.5786</v>
      </c>
    </row>
    <row r="124">
      <c r="A124" s="339" t="s">
        <v>908</v>
      </c>
      <c r="B124" s="339" t="s">
        <v>683</v>
      </c>
      <c r="C124" s="205" t="s">
        <v>772</v>
      </c>
      <c r="D124" s="360"/>
      <c r="E124" s="358" t="s">
        <v>773</v>
      </c>
      <c r="F124" s="358" t="s">
        <v>773</v>
      </c>
      <c r="G124" s="358" t="s">
        <v>768</v>
      </c>
      <c r="H124" s="359">
        <v>17.3446</v>
      </c>
      <c r="I124" s="359">
        <v>16.7836</v>
      </c>
      <c r="J124" s="359">
        <v>16.2421</v>
      </c>
      <c r="K124" s="359">
        <v>15.713</v>
      </c>
      <c r="L124" s="359">
        <v>15.2036</v>
      </c>
      <c r="M124" s="359">
        <v>14.7067</v>
      </c>
      <c r="N124" s="359">
        <v>14.22</v>
      </c>
      <c r="O124" s="359">
        <v>13.7493</v>
      </c>
      <c r="P124" s="359">
        <v>13.2847</v>
      </c>
      <c r="Q124" s="359">
        <v>12.8342</v>
      </c>
      <c r="R124" s="359">
        <v>12.8342</v>
      </c>
    </row>
    <row r="125">
      <c r="A125" s="339" t="s">
        <v>909</v>
      </c>
      <c r="B125" s="339" t="s">
        <v>910</v>
      </c>
      <c r="C125" s="205" t="s">
        <v>791</v>
      </c>
      <c r="D125" s="358" t="s">
        <v>825</v>
      </c>
      <c r="E125" s="358" t="s">
        <v>793</v>
      </c>
      <c r="F125" s="358" t="s">
        <v>793</v>
      </c>
      <c r="G125" s="358" t="s">
        <v>768</v>
      </c>
      <c r="H125" s="359">
        <v>37.3334</v>
      </c>
      <c r="I125" s="359">
        <v>36.4075</v>
      </c>
      <c r="J125" s="359">
        <v>35.4872</v>
      </c>
      <c r="K125" s="359">
        <v>34.5328</v>
      </c>
      <c r="L125" s="359">
        <v>33.6539</v>
      </c>
      <c r="M125" s="359">
        <v>32.7079</v>
      </c>
      <c r="N125" s="359">
        <v>31.7087</v>
      </c>
      <c r="O125" s="359">
        <v>30.6625</v>
      </c>
      <c r="P125" s="359">
        <v>29.6391</v>
      </c>
      <c r="Q125" s="359">
        <v>28.6409</v>
      </c>
      <c r="R125" s="359">
        <v>28.6409</v>
      </c>
    </row>
    <row r="126">
      <c r="A126" s="339" t="s">
        <v>911</v>
      </c>
      <c r="B126" s="339" t="s">
        <v>684</v>
      </c>
      <c r="C126" s="205" t="s">
        <v>775</v>
      </c>
      <c r="D126" s="358" t="s">
        <v>776</v>
      </c>
      <c r="E126" s="358" t="s">
        <v>777</v>
      </c>
      <c r="F126" s="358" t="s">
        <v>778</v>
      </c>
      <c r="G126" s="358" t="s">
        <v>768</v>
      </c>
      <c r="H126" s="359">
        <v>10.7494</v>
      </c>
      <c r="I126" s="359">
        <v>11.1748</v>
      </c>
      <c r="J126" s="359">
        <v>11.2461</v>
      </c>
      <c r="K126" s="359">
        <v>10.6385</v>
      </c>
      <c r="L126" s="359">
        <v>9.5074</v>
      </c>
      <c r="M126" s="359">
        <v>8.217</v>
      </c>
      <c r="N126" s="359">
        <v>7.0044</v>
      </c>
      <c r="O126" s="359">
        <v>5.9929</v>
      </c>
      <c r="P126" s="359">
        <v>5.2221</v>
      </c>
      <c r="Q126" s="359">
        <v>4.6446</v>
      </c>
      <c r="R126" s="359">
        <v>4.6446</v>
      </c>
    </row>
    <row r="127">
      <c r="A127" s="339" t="s">
        <v>537</v>
      </c>
      <c r="B127" s="339" t="s">
        <v>536</v>
      </c>
      <c r="C127" s="205" t="s">
        <v>465</v>
      </c>
      <c r="D127" s="360"/>
      <c r="E127" s="358" t="s">
        <v>797</v>
      </c>
      <c r="F127" s="358" t="s">
        <v>797</v>
      </c>
      <c r="G127" s="358" t="s">
        <v>768</v>
      </c>
      <c r="H127" s="359">
        <v>122.2525</v>
      </c>
      <c r="I127" s="359">
        <v>118.7803</v>
      </c>
      <c r="J127" s="359">
        <v>115.3198</v>
      </c>
      <c r="K127" s="359">
        <v>112.0366</v>
      </c>
      <c r="L127" s="359">
        <v>108.9334</v>
      </c>
      <c r="M127" s="359">
        <v>105.8442</v>
      </c>
      <c r="N127" s="359">
        <v>102.6725</v>
      </c>
      <c r="O127" s="359">
        <v>99.7126</v>
      </c>
      <c r="P127" s="359">
        <v>96.6658</v>
      </c>
      <c r="Q127" s="359">
        <v>93.7502</v>
      </c>
      <c r="R127" s="359">
        <v>93.7502</v>
      </c>
    </row>
    <row r="128">
      <c r="A128" s="339" t="s">
        <v>912</v>
      </c>
      <c r="B128" s="339" t="s">
        <v>685</v>
      </c>
      <c r="C128" s="205" t="s">
        <v>775</v>
      </c>
      <c r="D128" s="358" t="s">
        <v>776</v>
      </c>
      <c r="E128" s="358" t="s">
        <v>780</v>
      </c>
      <c r="F128" s="358" t="s">
        <v>781</v>
      </c>
      <c r="G128" s="358" t="s">
        <v>768</v>
      </c>
      <c r="H128" s="359">
        <v>6.745</v>
      </c>
      <c r="I128" s="359">
        <v>6.675</v>
      </c>
      <c r="J128" s="359">
        <v>6.5938</v>
      </c>
      <c r="K128" s="359">
        <v>6.4955</v>
      </c>
      <c r="L128" s="359">
        <v>6.3833</v>
      </c>
      <c r="M128" s="359">
        <v>6.2486</v>
      </c>
      <c r="N128" s="359">
        <v>6.1056</v>
      </c>
      <c r="O128" s="359">
        <v>5.956</v>
      </c>
      <c r="P128" s="359">
        <v>5.7944</v>
      </c>
      <c r="Q128" s="359">
        <v>5.6295</v>
      </c>
      <c r="R128" s="359">
        <v>5.6295</v>
      </c>
    </row>
    <row r="129">
      <c r="A129" s="339" t="s">
        <v>913</v>
      </c>
      <c r="B129" s="339" t="s">
        <v>686</v>
      </c>
      <c r="C129" s="205" t="s">
        <v>811</v>
      </c>
      <c r="D129" s="358" t="s">
        <v>812</v>
      </c>
      <c r="E129" s="358" t="s">
        <v>793</v>
      </c>
      <c r="F129" s="358" t="s">
        <v>793</v>
      </c>
      <c r="G129" s="358" t="s">
        <v>768</v>
      </c>
      <c r="H129" s="359">
        <v>55.5907</v>
      </c>
      <c r="I129" s="359">
        <v>53.4067</v>
      </c>
      <c r="J129" s="359">
        <v>51.2988</v>
      </c>
      <c r="K129" s="359">
        <v>49.4434</v>
      </c>
      <c r="L129" s="359">
        <v>47.729</v>
      </c>
      <c r="M129" s="359">
        <v>46.0178</v>
      </c>
      <c r="N129" s="359">
        <v>44.4617</v>
      </c>
      <c r="O129" s="359">
        <v>42.9196</v>
      </c>
      <c r="P129" s="359">
        <v>41.4507</v>
      </c>
      <c r="Q129" s="359">
        <v>40.0871</v>
      </c>
      <c r="R129" s="359">
        <v>40.0871</v>
      </c>
    </row>
    <row r="130">
      <c r="A130" s="339" t="s">
        <v>914</v>
      </c>
      <c r="B130" s="339" t="s">
        <v>687</v>
      </c>
      <c r="C130" s="205" t="s">
        <v>775</v>
      </c>
      <c r="D130" s="358" t="s">
        <v>776</v>
      </c>
      <c r="E130" s="358" t="s">
        <v>777</v>
      </c>
      <c r="F130" s="358" t="s">
        <v>778</v>
      </c>
      <c r="G130" s="358" t="s">
        <v>768</v>
      </c>
      <c r="H130" s="359">
        <v>4.9227</v>
      </c>
      <c r="I130" s="359">
        <v>4.4973</v>
      </c>
      <c r="J130" s="359">
        <v>4.1406</v>
      </c>
      <c r="K130" s="359">
        <v>3.8374</v>
      </c>
      <c r="L130" s="359">
        <v>3.5821</v>
      </c>
      <c r="M130" s="359">
        <v>3.3628</v>
      </c>
      <c r="N130" s="359">
        <v>3.1751</v>
      </c>
      <c r="O130" s="359">
        <v>3.0074</v>
      </c>
      <c r="P130" s="359">
        <v>2.8573</v>
      </c>
      <c r="Q130" s="359">
        <v>2.723</v>
      </c>
      <c r="R130" s="359">
        <v>2.723</v>
      </c>
    </row>
    <row r="131">
      <c r="A131" s="339" t="s">
        <v>915</v>
      </c>
      <c r="B131" s="339" t="s">
        <v>688</v>
      </c>
      <c r="C131" s="205" t="s">
        <v>811</v>
      </c>
      <c r="D131" s="358" t="s">
        <v>822</v>
      </c>
      <c r="E131" s="358" t="s">
        <v>793</v>
      </c>
      <c r="F131" s="358" t="s">
        <v>793</v>
      </c>
      <c r="G131" s="358" t="s">
        <v>768</v>
      </c>
      <c r="H131" s="359">
        <v>21.5182</v>
      </c>
      <c r="I131" s="359">
        <v>20.4345</v>
      </c>
      <c r="J131" s="359">
        <v>19.4506</v>
      </c>
      <c r="K131" s="359">
        <v>18.479</v>
      </c>
      <c r="L131" s="359">
        <v>17.4786</v>
      </c>
      <c r="M131" s="359">
        <v>16.4948</v>
      </c>
      <c r="N131" s="359">
        <v>15.5765</v>
      </c>
      <c r="O131" s="359">
        <v>14.743</v>
      </c>
      <c r="P131" s="359">
        <v>14.0228</v>
      </c>
      <c r="Q131" s="359">
        <v>13.4111</v>
      </c>
      <c r="R131" s="359">
        <v>13.4111</v>
      </c>
    </row>
    <row r="132">
      <c r="A132" s="339" t="s">
        <v>393</v>
      </c>
      <c r="B132" s="339" t="s">
        <v>76</v>
      </c>
      <c r="C132" s="205" t="s">
        <v>465</v>
      </c>
      <c r="D132" s="360"/>
      <c r="E132" s="358" t="s">
        <v>769</v>
      </c>
      <c r="F132" s="358" t="s">
        <v>769</v>
      </c>
      <c r="G132" s="358" t="s">
        <v>768</v>
      </c>
      <c r="H132" s="359">
        <v>91.2246</v>
      </c>
      <c r="I132" s="359">
        <v>87.3013</v>
      </c>
      <c r="J132" s="359">
        <v>82.7729</v>
      </c>
      <c r="K132" s="359">
        <v>79.3781</v>
      </c>
      <c r="L132" s="359">
        <v>76.9674</v>
      </c>
      <c r="M132" s="359">
        <v>74.7579</v>
      </c>
      <c r="N132" s="359">
        <v>72.0278</v>
      </c>
      <c r="O132" s="359">
        <v>70.1006</v>
      </c>
      <c r="P132" s="359">
        <v>68.0837</v>
      </c>
      <c r="Q132" s="359">
        <v>66.2141</v>
      </c>
      <c r="R132" s="359">
        <v>66.2141</v>
      </c>
    </row>
    <row r="133">
      <c r="A133" s="339" t="s">
        <v>541</v>
      </c>
      <c r="B133" s="339" t="s">
        <v>540</v>
      </c>
      <c r="C133" s="205" t="s">
        <v>465</v>
      </c>
      <c r="D133" s="360"/>
      <c r="E133" s="358" t="s">
        <v>797</v>
      </c>
      <c r="F133" s="358" t="s">
        <v>797</v>
      </c>
      <c r="G133" s="358" t="s">
        <v>768</v>
      </c>
      <c r="H133" s="359">
        <v>51.8896</v>
      </c>
      <c r="I133" s="359">
        <v>50.468</v>
      </c>
      <c r="J133" s="359">
        <v>49.005</v>
      </c>
      <c r="K133" s="359">
        <v>47.5488</v>
      </c>
      <c r="L133" s="359">
        <v>46.1019</v>
      </c>
      <c r="M133" s="359">
        <v>44.6299</v>
      </c>
      <c r="N133" s="359">
        <v>43.2362</v>
      </c>
      <c r="O133" s="359">
        <v>41.8423</v>
      </c>
      <c r="P133" s="359">
        <v>40.4855</v>
      </c>
      <c r="Q133" s="359">
        <v>39.1798</v>
      </c>
      <c r="R133" s="359">
        <v>39.1798</v>
      </c>
    </row>
    <row r="134">
      <c r="A134" s="339" t="s">
        <v>916</v>
      </c>
      <c r="B134" s="339" t="s">
        <v>917</v>
      </c>
      <c r="C134" s="205" t="s">
        <v>772</v>
      </c>
      <c r="D134" s="360"/>
      <c r="E134" s="358" t="s">
        <v>773</v>
      </c>
      <c r="F134" s="358" t="s">
        <v>773</v>
      </c>
      <c r="G134" s="358" t="s">
        <v>768</v>
      </c>
      <c r="H134" s="359">
        <v>9.0015</v>
      </c>
      <c r="I134" s="359">
        <v>8.7239</v>
      </c>
      <c r="J134" s="359">
        <v>8.4403</v>
      </c>
      <c r="K134" s="359">
        <v>8.1545</v>
      </c>
      <c r="L134" s="359">
        <v>7.8651</v>
      </c>
      <c r="M134" s="359">
        <v>7.6094</v>
      </c>
      <c r="N134" s="359">
        <v>7.355</v>
      </c>
      <c r="O134" s="359">
        <v>7.1115</v>
      </c>
      <c r="P134" s="359">
        <v>6.8779</v>
      </c>
      <c r="Q134" s="359">
        <v>6.6331</v>
      </c>
      <c r="R134" s="359">
        <v>6.6331</v>
      </c>
    </row>
    <row r="135">
      <c r="A135" s="339" t="s">
        <v>545</v>
      </c>
      <c r="B135" s="339" t="s">
        <v>544</v>
      </c>
      <c r="C135" s="205" t="s">
        <v>465</v>
      </c>
      <c r="D135" s="360"/>
      <c r="E135" s="358" t="s">
        <v>769</v>
      </c>
      <c r="F135" s="358" t="s">
        <v>781</v>
      </c>
      <c r="G135" s="358" t="s">
        <v>768</v>
      </c>
      <c r="H135" s="359">
        <v>14.8909</v>
      </c>
      <c r="I135" s="359">
        <v>14.7186</v>
      </c>
      <c r="J135" s="359">
        <v>14.6131</v>
      </c>
      <c r="K135" s="359">
        <v>14.7145</v>
      </c>
      <c r="L135" s="359">
        <v>14.9848</v>
      </c>
      <c r="M135" s="359">
        <v>15.3977</v>
      </c>
      <c r="N135" s="359">
        <v>15.7585</v>
      </c>
      <c r="O135" s="359">
        <v>15.8151</v>
      </c>
      <c r="P135" s="359">
        <v>15.4869</v>
      </c>
      <c r="Q135" s="359">
        <v>14.9614</v>
      </c>
      <c r="R135" s="359">
        <v>14.9614</v>
      </c>
    </row>
    <row r="136">
      <c r="A136" s="339" t="s">
        <v>394</v>
      </c>
      <c r="B136" s="339" t="s">
        <v>75</v>
      </c>
      <c r="C136" s="205" t="s">
        <v>465</v>
      </c>
      <c r="D136" s="360"/>
      <c r="E136" s="358" t="s">
        <v>769</v>
      </c>
      <c r="F136" s="358" t="s">
        <v>769</v>
      </c>
      <c r="G136" s="358" t="s">
        <v>768</v>
      </c>
      <c r="H136" s="359">
        <v>64.3031</v>
      </c>
      <c r="I136" s="359">
        <v>59.6217</v>
      </c>
      <c r="J136" s="359">
        <v>56.4146</v>
      </c>
      <c r="K136" s="359">
        <v>53.2405</v>
      </c>
      <c r="L136" s="359">
        <v>50.4041</v>
      </c>
      <c r="M136" s="359">
        <v>47.617</v>
      </c>
      <c r="N136" s="359">
        <v>45.4005</v>
      </c>
      <c r="O136" s="359">
        <v>43.1721</v>
      </c>
      <c r="P136" s="359">
        <v>41.4349</v>
      </c>
      <c r="Q136" s="359">
        <v>40.0934</v>
      </c>
      <c r="R136" s="359">
        <v>40.0934</v>
      </c>
    </row>
    <row r="137">
      <c r="A137" s="339" t="s">
        <v>918</v>
      </c>
      <c r="B137" s="339" t="s">
        <v>689</v>
      </c>
      <c r="C137" s="205" t="s">
        <v>811</v>
      </c>
      <c r="D137" s="358" t="s">
        <v>812</v>
      </c>
      <c r="E137" s="358" t="s">
        <v>793</v>
      </c>
      <c r="F137" s="358" t="s">
        <v>793</v>
      </c>
      <c r="G137" s="358" t="s">
        <v>768</v>
      </c>
      <c r="H137" s="359">
        <v>8.073</v>
      </c>
      <c r="I137" s="359">
        <v>8.1032</v>
      </c>
      <c r="J137" s="359">
        <v>8.1457</v>
      </c>
      <c r="K137" s="359">
        <v>8.1692</v>
      </c>
      <c r="L137" s="359">
        <v>8.1549</v>
      </c>
      <c r="M137" s="359">
        <v>8.1078</v>
      </c>
      <c r="N137" s="359">
        <v>8.0486</v>
      </c>
      <c r="O137" s="359">
        <v>7.9762</v>
      </c>
      <c r="P137" s="359">
        <v>7.906</v>
      </c>
      <c r="Q137" s="359">
        <v>7.8412</v>
      </c>
      <c r="R137" s="359">
        <v>7.8412</v>
      </c>
    </row>
    <row r="138">
      <c r="A138" s="339" t="s">
        <v>551</v>
      </c>
      <c r="B138" s="339" t="s">
        <v>550</v>
      </c>
      <c r="C138" s="205" t="s">
        <v>465</v>
      </c>
      <c r="D138" s="360"/>
      <c r="E138" s="358" t="s">
        <v>769</v>
      </c>
      <c r="F138" s="358" t="s">
        <v>769</v>
      </c>
      <c r="G138" s="358" t="s">
        <v>768</v>
      </c>
      <c r="H138" s="359">
        <v>48.0078</v>
      </c>
      <c r="I138" s="359">
        <v>45.3814</v>
      </c>
      <c r="J138" s="359">
        <v>45.9566</v>
      </c>
      <c r="K138" s="359">
        <v>45.2723</v>
      </c>
      <c r="L138" s="359">
        <v>43.9863</v>
      </c>
      <c r="M138" s="359">
        <v>43.1084</v>
      </c>
      <c r="N138" s="359">
        <v>41.5448</v>
      </c>
      <c r="O138" s="359">
        <v>40.0193</v>
      </c>
      <c r="P138" s="359">
        <v>38.9097</v>
      </c>
      <c r="Q138" s="359">
        <v>37.8761</v>
      </c>
      <c r="R138" s="359">
        <v>37.8761</v>
      </c>
    </row>
    <row r="139">
      <c r="A139" s="339" t="s">
        <v>555</v>
      </c>
      <c r="B139" s="339" t="s">
        <v>554</v>
      </c>
      <c r="C139" s="205" t="s">
        <v>465</v>
      </c>
      <c r="D139" s="360"/>
      <c r="E139" s="358" t="s">
        <v>797</v>
      </c>
      <c r="F139" s="358" t="s">
        <v>797</v>
      </c>
      <c r="G139" s="358" t="s">
        <v>768</v>
      </c>
      <c r="H139" s="359">
        <v>129.186</v>
      </c>
      <c r="I139" s="359">
        <v>127.7735</v>
      </c>
      <c r="J139" s="359">
        <v>126.5484</v>
      </c>
      <c r="K139" s="359">
        <v>125.4654</v>
      </c>
      <c r="L139" s="359">
        <v>124.3493</v>
      </c>
      <c r="M139" s="359">
        <v>123.1991</v>
      </c>
      <c r="N139" s="359">
        <v>122.2024</v>
      </c>
      <c r="O139" s="359">
        <v>121.0103</v>
      </c>
      <c r="P139" s="359">
        <v>119.2955</v>
      </c>
      <c r="Q139" s="359">
        <v>117.3444</v>
      </c>
      <c r="R139" s="359">
        <v>117.3444</v>
      </c>
    </row>
    <row r="140">
      <c r="A140" s="339" t="s">
        <v>557</v>
      </c>
      <c r="B140" s="339" t="s">
        <v>556</v>
      </c>
      <c r="C140" s="205" t="s">
        <v>465</v>
      </c>
      <c r="D140" s="360"/>
      <c r="E140" s="358" t="s">
        <v>797</v>
      </c>
      <c r="F140" s="358" t="s">
        <v>797</v>
      </c>
      <c r="G140" s="358" t="s">
        <v>768</v>
      </c>
      <c r="H140" s="359">
        <v>129.0701</v>
      </c>
      <c r="I140" s="359">
        <v>127.658</v>
      </c>
      <c r="J140" s="359">
        <v>126.2066</v>
      </c>
      <c r="K140" s="359">
        <v>124.5007</v>
      </c>
      <c r="L140" s="359">
        <v>122.3748</v>
      </c>
      <c r="M140" s="359">
        <v>119.9188</v>
      </c>
      <c r="N140" s="359">
        <v>116.9286</v>
      </c>
      <c r="O140" s="359">
        <v>113.942</v>
      </c>
      <c r="P140" s="359">
        <v>110.6188</v>
      </c>
      <c r="Q140" s="359">
        <v>107.1728</v>
      </c>
      <c r="R140" s="359">
        <v>107.1728</v>
      </c>
    </row>
    <row r="141">
      <c r="A141" s="339" t="s">
        <v>919</v>
      </c>
      <c r="B141" s="339" t="s">
        <v>690</v>
      </c>
      <c r="C141" s="205" t="s">
        <v>772</v>
      </c>
      <c r="D141" s="360"/>
      <c r="E141" s="358" t="s">
        <v>773</v>
      </c>
      <c r="F141" s="358" t="s">
        <v>773</v>
      </c>
      <c r="G141" s="358" t="s">
        <v>768</v>
      </c>
      <c r="H141" s="359">
        <v>20.8402</v>
      </c>
      <c r="I141" s="359">
        <v>20.0528</v>
      </c>
      <c r="J141" s="359">
        <v>19.3204</v>
      </c>
      <c r="K141" s="359">
        <v>18.6326</v>
      </c>
      <c r="L141" s="359">
        <v>17.993</v>
      </c>
      <c r="M141" s="359">
        <v>17.3822</v>
      </c>
      <c r="N141" s="359">
        <v>16.8074</v>
      </c>
      <c r="O141" s="359">
        <v>16.2611</v>
      </c>
      <c r="P141" s="359">
        <v>15.7231</v>
      </c>
      <c r="Q141" s="359">
        <v>15.2046</v>
      </c>
      <c r="R141" s="359">
        <v>15.2046</v>
      </c>
    </row>
    <row r="142">
      <c r="A142" s="339" t="s">
        <v>920</v>
      </c>
      <c r="B142" s="339" t="s">
        <v>921</v>
      </c>
      <c r="C142" s="205" t="s">
        <v>791</v>
      </c>
      <c r="D142" s="358" t="s">
        <v>825</v>
      </c>
      <c r="E142" s="358" t="s">
        <v>793</v>
      </c>
      <c r="F142" s="358" t="s">
        <v>793</v>
      </c>
      <c r="G142" s="358" t="s">
        <v>768</v>
      </c>
      <c r="H142" s="359">
        <v>32.961</v>
      </c>
      <c r="I142" s="359">
        <v>31.9316</v>
      </c>
      <c r="J142" s="359">
        <v>31.0037</v>
      </c>
      <c r="K142" s="359">
        <v>30.0676</v>
      </c>
      <c r="L142" s="359">
        <v>29.1734</v>
      </c>
      <c r="M142" s="359">
        <v>28.2489</v>
      </c>
      <c r="N142" s="359">
        <v>27.3159</v>
      </c>
      <c r="O142" s="359">
        <v>26.4541</v>
      </c>
      <c r="P142" s="359">
        <v>25.6184</v>
      </c>
      <c r="Q142" s="359">
        <v>24.8156</v>
      </c>
      <c r="R142" s="359">
        <v>24.8156</v>
      </c>
    </row>
    <row r="143">
      <c r="A143" s="339" t="s">
        <v>922</v>
      </c>
      <c r="B143" s="339" t="s">
        <v>923</v>
      </c>
      <c r="C143" s="205" t="s">
        <v>775</v>
      </c>
      <c r="D143" s="358" t="s">
        <v>776</v>
      </c>
      <c r="E143" s="358" t="s">
        <v>780</v>
      </c>
      <c r="F143" s="358" t="s">
        <v>781</v>
      </c>
      <c r="G143" s="358" t="s">
        <v>768</v>
      </c>
      <c r="H143" s="359">
        <v>4.1562</v>
      </c>
      <c r="I143" s="359">
        <v>4.107</v>
      </c>
      <c r="J143" s="359">
        <v>4.0741</v>
      </c>
      <c r="K143" s="359">
        <v>4.0545</v>
      </c>
      <c r="L143" s="359">
        <v>4.0429</v>
      </c>
      <c r="M143" s="359">
        <v>4.0331</v>
      </c>
      <c r="N143" s="359">
        <v>4.0168</v>
      </c>
      <c r="O143" s="359">
        <v>3.9929</v>
      </c>
      <c r="P143" s="359">
        <v>3.9588</v>
      </c>
      <c r="Q143" s="359">
        <v>3.9123</v>
      </c>
      <c r="R143" s="359">
        <v>3.9123</v>
      </c>
    </row>
    <row r="144">
      <c r="A144" s="339" t="s">
        <v>924</v>
      </c>
      <c r="B144" s="339" t="s">
        <v>692</v>
      </c>
      <c r="C144" s="205" t="s">
        <v>775</v>
      </c>
      <c r="D144" s="358" t="s">
        <v>776</v>
      </c>
      <c r="E144" s="358" t="s">
        <v>780</v>
      </c>
      <c r="F144" s="358" t="s">
        <v>781</v>
      </c>
      <c r="G144" s="358" t="s">
        <v>768</v>
      </c>
      <c r="H144" s="359">
        <v>2.8998</v>
      </c>
      <c r="I144" s="359">
        <v>2.801</v>
      </c>
      <c r="J144" s="359">
        <v>2.7104</v>
      </c>
      <c r="K144" s="359">
        <v>2.6238</v>
      </c>
      <c r="L144" s="359">
        <v>2.5378</v>
      </c>
      <c r="M144" s="359">
        <v>2.4553</v>
      </c>
      <c r="N144" s="359">
        <v>2.3762</v>
      </c>
      <c r="O144" s="359">
        <v>2.3019</v>
      </c>
      <c r="P144" s="359">
        <v>2.2315</v>
      </c>
      <c r="Q144" s="359">
        <v>2.1675</v>
      </c>
      <c r="R144" s="359">
        <v>2.1675</v>
      </c>
    </row>
    <row r="145">
      <c r="A145" s="339" t="s">
        <v>925</v>
      </c>
      <c r="B145" s="339" t="s">
        <v>693</v>
      </c>
      <c r="C145" s="205" t="s">
        <v>766</v>
      </c>
      <c r="D145" s="358" t="s">
        <v>767</v>
      </c>
      <c r="E145" s="358" t="s">
        <v>702</v>
      </c>
      <c r="F145" s="358" t="s">
        <v>702</v>
      </c>
      <c r="G145" s="358" t="s">
        <v>768</v>
      </c>
      <c r="H145" s="359">
        <v>41.8506</v>
      </c>
      <c r="I145" s="359">
        <v>39.9055</v>
      </c>
      <c r="J145" s="359">
        <v>38.0123</v>
      </c>
      <c r="K145" s="359">
        <v>36.186</v>
      </c>
      <c r="L145" s="359">
        <v>34.4666</v>
      </c>
      <c r="M145" s="359">
        <v>32.8309</v>
      </c>
      <c r="N145" s="359">
        <v>31.2866</v>
      </c>
      <c r="O145" s="359">
        <v>29.8229</v>
      </c>
      <c r="P145" s="359">
        <v>28.5059</v>
      </c>
      <c r="Q145" s="359">
        <v>27.343</v>
      </c>
      <c r="R145" s="359">
        <v>27.343</v>
      </c>
    </row>
    <row r="146">
      <c r="A146" s="339" t="s">
        <v>926</v>
      </c>
      <c r="B146" s="339" t="s">
        <v>927</v>
      </c>
      <c r="C146" s="205" t="s">
        <v>791</v>
      </c>
      <c r="D146" s="358" t="s">
        <v>825</v>
      </c>
      <c r="E146" s="358" t="s">
        <v>793</v>
      </c>
      <c r="F146" s="358" t="s">
        <v>793</v>
      </c>
      <c r="G146" s="358" t="s">
        <v>768</v>
      </c>
      <c r="H146" s="359">
        <v>35.0247</v>
      </c>
      <c r="I146" s="359">
        <v>34.0639</v>
      </c>
      <c r="J146" s="359">
        <v>33.1085</v>
      </c>
      <c r="K146" s="359">
        <v>32.1748</v>
      </c>
      <c r="L146" s="359">
        <v>31.2091</v>
      </c>
      <c r="M146" s="359">
        <v>30.14</v>
      </c>
      <c r="N146" s="359">
        <v>29.2097</v>
      </c>
      <c r="O146" s="359">
        <v>28.2687</v>
      </c>
      <c r="P146" s="359">
        <v>27.3293</v>
      </c>
      <c r="Q146" s="359">
        <v>26.489</v>
      </c>
      <c r="R146" s="359">
        <v>26.489</v>
      </c>
    </row>
    <row r="147">
      <c r="A147" s="339" t="s">
        <v>928</v>
      </c>
      <c r="B147" s="339" t="s">
        <v>929</v>
      </c>
      <c r="C147" s="205" t="s">
        <v>791</v>
      </c>
      <c r="D147" s="358" t="s">
        <v>792</v>
      </c>
      <c r="E147" s="358" t="s">
        <v>793</v>
      </c>
      <c r="F147" s="358" t="s">
        <v>781</v>
      </c>
      <c r="G147" s="358" t="s">
        <v>768</v>
      </c>
      <c r="H147" s="359">
        <v>5.8378</v>
      </c>
      <c r="I147" s="359">
        <v>5.6752</v>
      </c>
      <c r="J147" s="359">
        <v>5.5091</v>
      </c>
      <c r="K147" s="359">
        <v>5.3455</v>
      </c>
      <c r="L147" s="359">
        <v>5.191</v>
      </c>
      <c r="M147" s="359">
        <v>5.054</v>
      </c>
      <c r="N147" s="359">
        <v>4.9359</v>
      </c>
      <c r="O147" s="359">
        <v>4.8258</v>
      </c>
      <c r="P147" s="359">
        <v>4.7285</v>
      </c>
      <c r="Q147" s="359">
        <v>4.6274</v>
      </c>
      <c r="R147" s="359">
        <v>4.6274</v>
      </c>
    </row>
    <row r="148">
      <c r="A148" s="339" t="s">
        <v>930</v>
      </c>
      <c r="B148" s="339" t="s">
        <v>931</v>
      </c>
      <c r="C148" s="205" t="s">
        <v>784</v>
      </c>
      <c r="D148" s="358" t="s">
        <v>785</v>
      </c>
      <c r="E148" s="358" t="s">
        <v>786</v>
      </c>
      <c r="F148" s="358" t="s">
        <v>786</v>
      </c>
      <c r="G148" s="358" t="s">
        <v>768</v>
      </c>
      <c r="H148" s="359">
        <v>11.3296</v>
      </c>
      <c r="I148" s="359">
        <v>11.2373</v>
      </c>
      <c r="J148" s="359">
        <v>11.173</v>
      </c>
      <c r="K148" s="359">
        <v>11.1112</v>
      </c>
      <c r="L148" s="359">
        <v>11.0357</v>
      </c>
      <c r="M148" s="359">
        <v>10.9445</v>
      </c>
      <c r="N148" s="359">
        <v>10.842</v>
      </c>
      <c r="O148" s="359">
        <v>10.728</v>
      </c>
      <c r="P148" s="359">
        <v>10.6254</v>
      </c>
      <c r="Q148" s="359">
        <v>10.5229</v>
      </c>
      <c r="R148" s="359">
        <v>10.5229</v>
      </c>
    </row>
    <row r="149">
      <c r="A149" s="339" t="s">
        <v>932</v>
      </c>
      <c r="B149" s="339" t="s">
        <v>694</v>
      </c>
      <c r="C149" s="205" t="s">
        <v>766</v>
      </c>
      <c r="D149" s="358" t="s">
        <v>767</v>
      </c>
      <c r="E149" s="358" t="s">
        <v>702</v>
      </c>
      <c r="F149" s="358" t="s">
        <v>702</v>
      </c>
      <c r="G149" s="358" t="s">
        <v>768</v>
      </c>
      <c r="H149" s="359">
        <v>80.64</v>
      </c>
      <c r="I149" s="359">
        <v>78.3619</v>
      </c>
      <c r="J149" s="359">
        <v>76.101</v>
      </c>
      <c r="K149" s="359">
        <v>73.8152</v>
      </c>
      <c r="L149" s="359">
        <v>71.5935</v>
      </c>
      <c r="M149" s="359">
        <v>69.4369</v>
      </c>
      <c r="N149" s="359">
        <v>67.2747</v>
      </c>
      <c r="O149" s="359">
        <v>65.1204</v>
      </c>
      <c r="P149" s="359">
        <v>63.0094</v>
      </c>
      <c r="Q149" s="359">
        <v>60.9599</v>
      </c>
      <c r="R149" s="359">
        <v>60.9599</v>
      </c>
    </row>
    <row r="150">
      <c r="A150" s="339" t="s">
        <v>933</v>
      </c>
      <c r="B150" s="339" t="s">
        <v>695</v>
      </c>
      <c r="C150" s="205" t="s">
        <v>772</v>
      </c>
      <c r="D150" s="360"/>
      <c r="E150" s="358" t="s">
        <v>773</v>
      </c>
      <c r="F150" s="358" t="s">
        <v>773</v>
      </c>
      <c r="G150" s="358" t="s">
        <v>768</v>
      </c>
      <c r="H150" s="359">
        <v>17.4588</v>
      </c>
      <c r="I150" s="359">
        <v>17.2879</v>
      </c>
      <c r="J150" s="359">
        <v>17.1933</v>
      </c>
      <c r="K150" s="359">
        <v>17.1131</v>
      </c>
      <c r="L150" s="359">
        <v>16.9136</v>
      </c>
      <c r="M150" s="359">
        <v>16.4789</v>
      </c>
      <c r="N150" s="359">
        <v>15.8168</v>
      </c>
      <c r="O150" s="359">
        <v>15.0015</v>
      </c>
      <c r="P150" s="359">
        <v>14.1168</v>
      </c>
      <c r="Q150" s="359">
        <v>13.2616</v>
      </c>
      <c r="R150" s="359">
        <v>13.2616</v>
      </c>
    </row>
    <row r="151">
      <c r="A151" s="339" t="s">
        <v>934</v>
      </c>
      <c r="B151" s="339" t="s">
        <v>935</v>
      </c>
      <c r="C151" s="205" t="s">
        <v>772</v>
      </c>
      <c r="D151" s="360"/>
      <c r="E151" s="358" t="s">
        <v>773</v>
      </c>
      <c r="F151" s="358" t="s">
        <v>773</v>
      </c>
      <c r="G151" s="358" t="s">
        <v>768</v>
      </c>
      <c r="H151" s="359">
        <v>17.9094</v>
      </c>
      <c r="I151" s="359">
        <v>17.4183</v>
      </c>
      <c r="J151" s="359">
        <v>17.0268</v>
      </c>
      <c r="K151" s="359">
        <v>16.7129</v>
      </c>
      <c r="L151" s="359">
        <v>16.4553</v>
      </c>
      <c r="M151" s="359">
        <v>16.2243</v>
      </c>
      <c r="N151" s="359">
        <v>15.9858</v>
      </c>
      <c r="O151" s="359">
        <v>15.7479</v>
      </c>
      <c r="P151" s="359">
        <v>15.427</v>
      </c>
      <c r="Q151" s="359">
        <v>15.0742</v>
      </c>
      <c r="R151" s="359">
        <v>15.0742</v>
      </c>
    </row>
    <row r="152">
      <c r="A152" s="339" t="s">
        <v>936</v>
      </c>
      <c r="B152" s="339" t="s">
        <v>696</v>
      </c>
      <c r="C152" s="205" t="s">
        <v>811</v>
      </c>
      <c r="D152" s="358" t="s">
        <v>812</v>
      </c>
      <c r="E152" s="358" t="s">
        <v>793</v>
      </c>
      <c r="F152" s="358" t="s">
        <v>793</v>
      </c>
      <c r="G152" s="358" t="s">
        <v>768</v>
      </c>
      <c r="H152" s="359">
        <v>28.3267</v>
      </c>
      <c r="I152" s="359">
        <v>28.077</v>
      </c>
      <c r="J152" s="359">
        <v>27.8988</v>
      </c>
      <c r="K152" s="359">
        <v>27.8553</v>
      </c>
      <c r="L152" s="359">
        <v>27.8714</v>
      </c>
      <c r="M152" s="359">
        <v>27.9537</v>
      </c>
      <c r="N152" s="359">
        <v>28.0474</v>
      </c>
      <c r="O152" s="359">
        <v>28.0213</v>
      </c>
      <c r="P152" s="359">
        <v>27.8708</v>
      </c>
      <c r="Q152" s="359">
        <v>27.4988</v>
      </c>
      <c r="R152" s="359">
        <v>27.4988</v>
      </c>
    </row>
    <row r="153">
      <c r="A153" s="339" t="s">
        <v>937</v>
      </c>
      <c r="B153" s="339" t="s">
        <v>938</v>
      </c>
      <c r="C153" s="205" t="s">
        <v>791</v>
      </c>
      <c r="D153" s="358" t="s">
        <v>825</v>
      </c>
      <c r="E153" s="358" t="s">
        <v>793</v>
      </c>
      <c r="F153" s="358" t="s">
        <v>793</v>
      </c>
      <c r="G153" s="358" t="s">
        <v>768</v>
      </c>
      <c r="H153" s="359">
        <v>20.0732</v>
      </c>
      <c r="I153" s="359">
        <v>20.5827</v>
      </c>
      <c r="J153" s="359">
        <v>21.236</v>
      </c>
      <c r="K153" s="359">
        <v>21.9283</v>
      </c>
      <c r="L153" s="359">
        <v>22.6039</v>
      </c>
      <c r="M153" s="359">
        <v>23.0052</v>
      </c>
      <c r="N153" s="359">
        <v>23.1574</v>
      </c>
      <c r="O153" s="359">
        <v>23.0496</v>
      </c>
      <c r="P153" s="359">
        <v>22.7891</v>
      </c>
      <c r="Q153" s="359">
        <v>22.34</v>
      </c>
      <c r="R153" s="359">
        <v>22.34</v>
      </c>
    </row>
    <row r="154">
      <c r="A154" s="339" t="s">
        <v>939</v>
      </c>
      <c r="B154" s="339" t="s">
        <v>940</v>
      </c>
      <c r="C154" s="205" t="s">
        <v>791</v>
      </c>
      <c r="D154" s="358" t="s">
        <v>825</v>
      </c>
      <c r="E154" s="358" t="s">
        <v>793</v>
      </c>
      <c r="F154" s="358" t="s">
        <v>793</v>
      </c>
      <c r="G154" s="358" t="s">
        <v>768</v>
      </c>
      <c r="H154" s="359">
        <v>54.2605</v>
      </c>
      <c r="I154" s="359">
        <v>52.9</v>
      </c>
      <c r="J154" s="359">
        <v>51.5217</v>
      </c>
      <c r="K154" s="359">
        <v>50.0068</v>
      </c>
      <c r="L154" s="359">
        <v>48.4821</v>
      </c>
      <c r="M154" s="359">
        <v>47.061</v>
      </c>
      <c r="N154" s="359">
        <v>45.6043</v>
      </c>
      <c r="O154" s="359">
        <v>44.1856</v>
      </c>
      <c r="P154" s="359">
        <v>42.8542</v>
      </c>
      <c r="Q154" s="359">
        <v>41.3708</v>
      </c>
      <c r="R154" s="359">
        <v>41.3708</v>
      </c>
    </row>
    <row r="155">
      <c r="A155" s="339" t="s">
        <v>941</v>
      </c>
      <c r="B155" s="339" t="s">
        <v>697</v>
      </c>
      <c r="C155" s="205" t="s">
        <v>775</v>
      </c>
      <c r="D155" s="358" t="s">
        <v>776</v>
      </c>
      <c r="E155" s="358" t="s">
        <v>780</v>
      </c>
      <c r="F155" s="358" t="s">
        <v>781</v>
      </c>
      <c r="G155" s="358" t="s">
        <v>768</v>
      </c>
      <c r="H155" s="359">
        <v>5.215</v>
      </c>
      <c r="I155" s="359">
        <v>5.0448</v>
      </c>
      <c r="J155" s="359">
        <v>4.8945</v>
      </c>
      <c r="K155" s="359">
        <v>4.7582</v>
      </c>
      <c r="L155" s="359">
        <v>4.6347</v>
      </c>
      <c r="M155" s="359">
        <v>4.5265</v>
      </c>
      <c r="N155" s="359">
        <v>4.4412</v>
      </c>
      <c r="O155" s="359">
        <v>4.3898</v>
      </c>
      <c r="P155" s="359">
        <v>4.3893</v>
      </c>
      <c r="Q155" s="359">
        <v>4.4403</v>
      </c>
      <c r="R155" s="359">
        <v>4.4403</v>
      </c>
    </row>
    <row r="156">
      <c r="A156" s="339" t="s">
        <v>942</v>
      </c>
      <c r="B156" s="339" t="s">
        <v>943</v>
      </c>
      <c r="C156" s="205" t="s">
        <v>811</v>
      </c>
      <c r="D156" s="358" t="s">
        <v>822</v>
      </c>
      <c r="E156" s="358" t="s">
        <v>793</v>
      </c>
      <c r="F156" s="358" t="s">
        <v>793</v>
      </c>
      <c r="G156" s="358" t="s">
        <v>768</v>
      </c>
      <c r="H156" s="359">
        <v>23.9369</v>
      </c>
      <c r="I156" s="359">
        <v>22.3471</v>
      </c>
      <c r="J156" s="359">
        <v>21.071</v>
      </c>
      <c r="K156" s="359">
        <v>20.3879</v>
      </c>
      <c r="L156" s="359">
        <v>18.9854</v>
      </c>
      <c r="M156" s="359">
        <v>18.2544</v>
      </c>
      <c r="N156" s="359">
        <v>17.2536</v>
      </c>
      <c r="O156" s="359">
        <v>16.4816</v>
      </c>
      <c r="P156" s="359">
        <v>15.7504</v>
      </c>
      <c r="Q156" s="359">
        <v>17.0199</v>
      </c>
      <c r="R156" s="359">
        <v>17.0199</v>
      </c>
    </row>
    <row r="157">
      <c r="A157" s="339" t="s">
        <v>944</v>
      </c>
      <c r="B157" s="339" t="s">
        <v>698</v>
      </c>
      <c r="C157" s="205" t="s">
        <v>775</v>
      </c>
      <c r="D157" s="358" t="s">
        <v>776</v>
      </c>
      <c r="E157" s="358" t="s">
        <v>780</v>
      </c>
      <c r="F157" s="358" t="s">
        <v>781</v>
      </c>
      <c r="G157" s="358" t="s">
        <v>768</v>
      </c>
      <c r="H157" s="359">
        <v>3.6637</v>
      </c>
      <c r="I157" s="359">
        <v>3.6501</v>
      </c>
      <c r="J157" s="359">
        <v>3.6416</v>
      </c>
      <c r="K157" s="359">
        <v>3.6263</v>
      </c>
      <c r="L157" s="359">
        <v>3.5936</v>
      </c>
      <c r="M157" s="359">
        <v>3.5367</v>
      </c>
      <c r="N157" s="359">
        <v>3.4521</v>
      </c>
      <c r="O157" s="359">
        <v>3.3508</v>
      </c>
      <c r="P157" s="359">
        <v>3.2487</v>
      </c>
      <c r="Q157" s="359">
        <v>3.1604</v>
      </c>
      <c r="R157" s="359">
        <v>3.1604</v>
      </c>
    </row>
    <row r="158">
      <c r="A158" s="339" t="s">
        <v>945</v>
      </c>
      <c r="B158" s="339" t="s">
        <v>699</v>
      </c>
      <c r="C158" s="205" t="s">
        <v>772</v>
      </c>
      <c r="D158" s="360"/>
      <c r="E158" s="358" t="s">
        <v>773</v>
      </c>
      <c r="F158" s="358" t="s">
        <v>773</v>
      </c>
      <c r="G158" s="358" t="s">
        <v>768</v>
      </c>
      <c r="H158" s="359">
        <v>23.5977</v>
      </c>
      <c r="I158" s="359">
        <v>22.8779</v>
      </c>
      <c r="J158" s="359">
        <v>22.1239</v>
      </c>
      <c r="K158" s="359">
        <v>21.4532</v>
      </c>
      <c r="L158" s="359">
        <v>20.7833</v>
      </c>
      <c r="M158" s="359">
        <v>20.0841</v>
      </c>
      <c r="N158" s="359">
        <v>19.442</v>
      </c>
      <c r="O158" s="359">
        <v>18.6966</v>
      </c>
      <c r="P158" s="359">
        <v>18.07</v>
      </c>
      <c r="Q158" s="359">
        <v>17.4461</v>
      </c>
      <c r="R158" s="359">
        <v>17.4461</v>
      </c>
    </row>
    <row r="159">
      <c r="A159" s="339" t="s">
        <v>946</v>
      </c>
      <c r="B159" s="339" t="s">
        <v>947</v>
      </c>
      <c r="C159" s="205" t="s">
        <v>784</v>
      </c>
      <c r="D159" s="358" t="s">
        <v>785</v>
      </c>
      <c r="E159" s="358" t="s">
        <v>786</v>
      </c>
      <c r="F159" s="358" t="s">
        <v>786</v>
      </c>
      <c r="G159" s="358" t="s">
        <v>768</v>
      </c>
      <c r="H159" s="359">
        <v>19.7828</v>
      </c>
      <c r="I159" s="359">
        <v>21.3316</v>
      </c>
      <c r="J159" s="359">
        <v>18.3771</v>
      </c>
      <c r="K159" s="359">
        <v>17.7133</v>
      </c>
      <c r="L159" s="359">
        <v>17.0553</v>
      </c>
      <c r="M159" s="359">
        <v>16.4502</v>
      </c>
      <c r="N159" s="359">
        <v>15.8743</v>
      </c>
      <c r="O159" s="359">
        <v>15.3294</v>
      </c>
      <c r="P159" s="359">
        <v>14.8139</v>
      </c>
      <c r="Q159" s="359">
        <v>14.3351</v>
      </c>
      <c r="R159" s="359">
        <v>14.3351</v>
      </c>
    </row>
    <row r="160">
      <c r="A160" s="339" t="s">
        <v>948</v>
      </c>
      <c r="B160" s="339" t="s">
        <v>949</v>
      </c>
      <c r="C160" s="205" t="s">
        <v>784</v>
      </c>
      <c r="D160" s="358" t="s">
        <v>785</v>
      </c>
      <c r="E160" s="358" t="s">
        <v>786</v>
      </c>
      <c r="F160" s="358" t="s">
        <v>786</v>
      </c>
      <c r="G160" s="358" t="s">
        <v>768</v>
      </c>
      <c r="H160" s="359">
        <v>8.4073</v>
      </c>
      <c r="I160" s="359">
        <v>8.0999</v>
      </c>
      <c r="J160" s="359">
        <v>7.7451</v>
      </c>
      <c r="K160" s="359">
        <v>7.3558</v>
      </c>
      <c r="L160" s="359">
        <v>6.9592</v>
      </c>
      <c r="M160" s="359">
        <v>6.5694</v>
      </c>
      <c r="N160" s="359">
        <v>6.1998</v>
      </c>
      <c r="O160" s="359">
        <v>5.8503</v>
      </c>
      <c r="P160" s="359">
        <v>5.531</v>
      </c>
      <c r="Q160" s="359">
        <v>5.2462</v>
      </c>
      <c r="R160" s="359">
        <v>5.2462</v>
      </c>
    </row>
    <row r="161">
      <c r="A161" s="339" t="s">
        <v>950</v>
      </c>
      <c r="B161" s="339" t="s">
        <v>951</v>
      </c>
      <c r="C161" s="205" t="s">
        <v>775</v>
      </c>
      <c r="D161" s="358" t="s">
        <v>776</v>
      </c>
      <c r="E161" s="358" t="s">
        <v>777</v>
      </c>
      <c r="F161" s="358" t="s">
        <v>778</v>
      </c>
      <c r="G161" s="358" t="s">
        <v>768</v>
      </c>
      <c r="H161" s="359">
        <v>16.2343</v>
      </c>
      <c r="I161" s="359">
        <v>15.2277</v>
      </c>
      <c r="J161" s="359">
        <v>14.2967</v>
      </c>
      <c r="K161" s="359">
        <v>13.4361</v>
      </c>
      <c r="L161" s="359">
        <v>12.6246</v>
      </c>
      <c r="M161" s="359">
        <v>11.8685</v>
      </c>
      <c r="N161" s="359">
        <v>11.1655</v>
      </c>
      <c r="O161" s="359">
        <v>10.5364</v>
      </c>
      <c r="P161" s="359">
        <v>9.9956</v>
      </c>
      <c r="Q161" s="359">
        <v>9.5146</v>
      </c>
      <c r="R161" s="359">
        <v>9.5146</v>
      </c>
    </row>
    <row r="162">
      <c r="A162" s="339" t="s">
        <v>952</v>
      </c>
      <c r="B162" s="339" t="s">
        <v>700</v>
      </c>
      <c r="C162" s="205" t="s">
        <v>775</v>
      </c>
      <c r="D162" s="358" t="s">
        <v>776</v>
      </c>
      <c r="E162" s="358" t="s">
        <v>777</v>
      </c>
      <c r="F162" s="358" t="s">
        <v>778</v>
      </c>
      <c r="G162" s="358" t="s">
        <v>768</v>
      </c>
      <c r="H162" s="359">
        <v>10.5934</v>
      </c>
      <c r="I162" s="359">
        <v>9.895</v>
      </c>
      <c r="J162" s="359">
        <v>9.1731</v>
      </c>
      <c r="K162" s="359">
        <v>8.4839</v>
      </c>
      <c r="L162" s="359">
        <v>7.8646</v>
      </c>
      <c r="M162" s="359">
        <v>7.3128</v>
      </c>
      <c r="N162" s="359">
        <v>6.8332</v>
      </c>
      <c r="O162" s="359">
        <v>6.5159</v>
      </c>
      <c r="P162" s="359">
        <v>6.4808</v>
      </c>
      <c r="Q162" s="359">
        <v>6.7528</v>
      </c>
      <c r="R162" s="359">
        <v>6.7528</v>
      </c>
    </row>
    <row r="163">
      <c r="A163" s="339" t="s">
        <v>953</v>
      </c>
      <c r="B163" s="339" t="s">
        <v>701</v>
      </c>
      <c r="C163" s="205" t="s">
        <v>775</v>
      </c>
      <c r="D163" s="358" t="s">
        <v>776</v>
      </c>
      <c r="E163" s="358" t="s">
        <v>777</v>
      </c>
      <c r="F163" s="358" t="s">
        <v>781</v>
      </c>
      <c r="G163" s="358" t="s">
        <v>768</v>
      </c>
      <c r="H163" s="359">
        <v>9.4713</v>
      </c>
      <c r="I163" s="359">
        <v>8.9275</v>
      </c>
      <c r="J163" s="359">
        <v>8.2511</v>
      </c>
      <c r="K163" s="359">
        <v>7.5447</v>
      </c>
      <c r="L163" s="359">
        <v>6.8984</v>
      </c>
      <c r="M163" s="359">
        <v>6.3312</v>
      </c>
      <c r="N163" s="359">
        <v>5.8383</v>
      </c>
      <c r="O163" s="359">
        <v>5.4127</v>
      </c>
      <c r="P163" s="359">
        <v>5.0539</v>
      </c>
      <c r="Q163" s="359">
        <v>4.752</v>
      </c>
      <c r="R163" s="359">
        <v>4.752</v>
      </c>
    </row>
    <row r="164">
      <c r="A164" s="339" t="s">
        <v>395</v>
      </c>
      <c r="B164" s="339" t="s">
        <v>77</v>
      </c>
      <c r="C164" s="205" t="s">
        <v>465</v>
      </c>
      <c r="D164" s="360"/>
      <c r="E164" s="358" t="s">
        <v>769</v>
      </c>
      <c r="F164" s="358" t="s">
        <v>769</v>
      </c>
      <c r="G164" s="358" t="s">
        <v>768</v>
      </c>
      <c r="H164" s="359">
        <v>51.9978</v>
      </c>
      <c r="I164" s="359">
        <v>49.63</v>
      </c>
      <c r="J164" s="359">
        <v>47.6674</v>
      </c>
      <c r="K164" s="359">
        <v>46.0679</v>
      </c>
      <c r="L164" s="359">
        <v>44.7029</v>
      </c>
      <c r="M164" s="359">
        <v>43.3926</v>
      </c>
      <c r="N164" s="359">
        <v>42.0355</v>
      </c>
      <c r="O164" s="359">
        <v>40.5451</v>
      </c>
      <c r="P164" s="359">
        <v>39.1954</v>
      </c>
      <c r="Q164" s="359">
        <v>38.0244</v>
      </c>
      <c r="R164" s="359">
        <v>38.0244</v>
      </c>
    </row>
    <row r="165">
      <c r="A165" s="339" t="s">
        <v>954</v>
      </c>
      <c r="B165" s="339" t="s">
        <v>703</v>
      </c>
      <c r="C165" s="205" t="s">
        <v>784</v>
      </c>
      <c r="D165" s="358" t="s">
        <v>785</v>
      </c>
      <c r="E165" s="358" t="s">
        <v>786</v>
      </c>
      <c r="F165" s="358" t="s">
        <v>786</v>
      </c>
      <c r="G165" s="358" t="s">
        <v>768</v>
      </c>
      <c r="H165" s="359">
        <v>10.204</v>
      </c>
      <c r="I165" s="359">
        <v>9.6102</v>
      </c>
      <c r="J165" s="359">
        <v>9.0597</v>
      </c>
      <c r="K165" s="359">
        <v>8.5515</v>
      </c>
      <c r="L165" s="359">
        <v>8.0798</v>
      </c>
      <c r="M165" s="359">
        <v>7.6578</v>
      </c>
      <c r="N165" s="359">
        <v>7.2948</v>
      </c>
      <c r="O165" s="359">
        <v>6.9774</v>
      </c>
      <c r="P165" s="359">
        <v>6.6885</v>
      </c>
      <c r="Q165" s="359">
        <v>6.431</v>
      </c>
      <c r="R165" s="359">
        <v>6.431</v>
      </c>
    </row>
    <row r="166">
      <c r="A166" s="339" t="s">
        <v>562</v>
      </c>
      <c r="B166" s="339" t="s">
        <v>561</v>
      </c>
      <c r="C166" s="205" t="s">
        <v>784</v>
      </c>
      <c r="D166" s="358" t="s">
        <v>838</v>
      </c>
      <c r="E166" s="358" t="s">
        <v>769</v>
      </c>
      <c r="F166" s="358" t="s">
        <v>786</v>
      </c>
      <c r="G166" s="358" t="s">
        <v>768</v>
      </c>
      <c r="H166" s="359">
        <v>68.529</v>
      </c>
      <c r="I166" s="359">
        <v>66.5752</v>
      </c>
      <c r="J166" s="359">
        <v>64.7025</v>
      </c>
      <c r="K166" s="359">
        <v>62.7465</v>
      </c>
      <c r="L166" s="359">
        <v>60.7753</v>
      </c>
      <c r="M166" s="359">
        <v>58.9507</v>
      </c>
      <c r="N166" s="359">
        <v>57.1055</v>
      </c>
      <c r="O166" s="359">
        <v>55.2973</v>
      </c>
      <c r="P166" s="359">
        <v>53.4377</v>
      </c>
      <c r="Q166" s="359">
        <v>51.562</v>
      </c>
      <c r="R166" s="359">
        <v>51.562</v>
      </c>
    </row>
    <row r="167">
      <c r="A167" s="339" t="s">
        <v>565</v>
      </c>
      <c r="B167" s="339" t="s">
        <v>564</v>
      </c>
      <c r="C167" s="205" t="s">
        <v>465</v>
      </c>
      <c r="D167" s="360"/>
      <c r="E167" s="358" t="s">
        <v>797</v>
      </c>
      <c r="F167" s="358" t="s">
        <v>797</v>
      </c>
      <c r="G167" s="358" t="s">
        <v>768</v>
      </c>
      <c r="H167" s="359">
        <v>56.589</v>
      </c>
      <c r="I167" s="359">
        <v>53.7146</v>
      </c>
      <c r="J167" s="359">
        <v>50.9435</v>
      </c>
      <c r="K167" s="359">
        <v>48.3165</v>
      </c>
      <c r="L167" s="359">
        <v>45.9114</v>
      </c>
      <c r="M167" s="359">
        <v>43.6961</v>
      </c>
      <c r="N167" s="359">
        <v>41.7817</v>
      </c>
      <c r="O167" s="359">
        <v>39.9745</v>
      </c>
      <c r="P167" s="359">
        <v>38.4165</v>
      </c>
      <c r="Q167" s="359">
        <v>36.9657</v>
      </c>
      <c r="R167" s="359">
        <v>36.9657</v>
      </c>
    </row>
    <row r="168">
      <c r="A168" s="339" t="s">
        <v>955</v>
      </c>
      <c r="B168" s="339" t="s">
        <v>704</v>
      </c>
      <c r="C168" s="205" t="s">
        <v>811</v>
      </c>
      <c r="D168" s="358" t="s">
        <v>812</v>
      </c>
      <c r="E168" s="358" t="s">
        <v>793</v>
      </c>
      <c r="F168" s="358" t="s">
        <v>781</v>
      </c>
      <c r="G168" s="358" t="s">
        <v>768</v>
      </c>
      <c r="H168" s="359">
        <v>2.7601</v>
      </c>
      <c r="I168" s="359">
        <v>2.7379</v>
      </c>
      <c r="J168" s="359">
        <v>2.7142</v>
      </c>
      <c r="K168" s="359">
        <v>2.6759</v>
      </c>
      <c r="L168" s="359">
        <v>2.6202</v>
      </c>
      <c r="M168" s="359">
        <v>2.5436</v>
      </c>
      <c r="N168" s="359">
        <v>2.4474</v>
      </c>
      <c r="O168" s="359">
        <v>2.3428</v>
      </c>
      <c r="P168" s="359">
        <v>2.2429</v>
      </c>
      <c r="Q168" s="359">
        <v>2.1522</v>
      </c>
      <c r="R168" s="359">
        <v>2.1522</v>
      </c>
    </row>
    <row r="169">
      <c r="A169" s="339" t="s">
        <v>956</v>
      </c>
      <c r="B169" s="339" t="s">
        <v>957</v>
      </c>
      <c r="C169" s="205" t="s">
        <v>791</v>
      </c>
      <c r="D169" s="358" t="s">
        <v>825</v>
      </c>
      <c r="E169" s="358" t="s">
        <v>793</v>
      </c>
      <c r="F169" s="358" t="s">
        <v>793</v>
      </c>
      <c r="G169" s="358" t="s">
        <v>768</v>
      </c>
      <c r="H169" s="359">
        <v>24.2825</v>
      </c>
      <c r="I169" s="359">
        <v>23.5505</v>
      </c>
      <c r="J169" s="359">
        <v>22.8384</v>
      </c>
      <c r="K169" s="359">
        <v>22.1617</v>
      </c>
      <c r="L169" s="359">
        <v>21.4876</v>
      </c>
      <c r="M169" s="359">
        <v>20.7775</v>
      </c>
      <c r="N169" s="359">
        <v>20.1238</v>
      </c>
      <c r="O169" s="359">
        <v>19.4924</v>
      </c>
      <c r="P169" s="359">
        <v>18.8614</v>
      </c>
      <c r="Q169" s="359">
        <v>18.2842</v>
      </c>
      <c r="R169" s="359">
        <v>18.2842</v>
      </c>
    </row>
    <row r="170">
      <c r="A170" s="339" t="s">
        <v>567</v>
      </c>
      <c r="B170" s="339" t="s">
        <v>566</v>
      </c>
      <c r="C170" s="205" t="s">
        <v>465</v>
      </c>
      <c r="D170" s="360"/>
      <c r="E170" s="358" t="s">
        <v>797</v>
      </c>
      <c r="F170" s="358" t="s">
        <v>797</v>
      </c>
      <c r="G170" s="358" t="s">
        <v>768</v>
      </c>
      <c r="H170" s="359">
        <v>141.5696</v>
      </c>
      <c r="I170" s="359">
        <v>139.6066</v>
      </c>
      <c r="J170" s="359">
        <v>140.5355</v>
      </c>
      <c r="K170" s="359">
        <v>125.7</v>
      </c>
      <c r="L170" s="359">
        <v>120.9957</v>
      </c>
      <c r="M170" s="359">
        <v>116.5765</v>
      </c>
      <c r="N170" s="359">
        <v>112.1986</v>
      </c>
      <c r="O170" s="359">
        <v>108.2489</v>
      </c>
      <c r="P170" s="359">
        <v>104.4089</v>
      </c>
      <c r="Q170" s="359">
        <v>100.8466</v>
      </c>
      <c r="R170" s="359">
        <v>100.8466</v>
      </c>
    </row>
    <row r="171">
      <c r="A171" s="339" t="s">
        <v>958</v>
      </c>
      <c r="B171" s="339" t="s">
        <v>705</v>
      </c>
      <c r="C171" s="205" t="s">
        <v>772</v>
      </c>
      <c r="D171" s="360"/>
      <c r="E171" s="358" t="s">
        <v>773</v>
      </c>
      <c r="F171" s="358" t="s">
        <v>773</v>
      </c>
      <c r="G171" s="358" t="s">
        <v>768</v>
      </c>
      <c r="H171" s="359">
        <v>16.6203</v>
      </c>
      <c r="I171" s="359">
        <v>15.9559</v>
      </c>
      <c r="J171" s="359">
        <v>15.3303</v>
      </c>
      <c r="K171" s="359">
        <v>14.7354</v>
      </c>
      <c r="L171" s="359">
        <v>14.1981</v>
      </c>
      <c r="M171" s="359">
        <v>13.6625</v>
      </c>
      <c r="N171" s="359">
        <v>13.1812</v>
      </c>
      <c r="O171" s="359">
        <v>12.7301</v>
      </c>
      <c r="P171" s="359">
        <v>12.3009</v>
      </c>
      <c r="Q171" s="359">
        <v>11.8734</v>
      </c>
      <c r="R171" s="359">
        <v>11.8734</v>
      </c>
    </row>
    <row r="172">
      <c r="A172" s="339" t="s">
        <v>959</v>
      </c>
      <c r="B172" s="339" t="s">
        <v>960</v>
      </c>
      <c r="C172" s="205" t="s">
        <v>775</v>
      </c>
      <c r="D172" s="358" t="s">
        <v>776</v>
      </c>
      <c r="E172" s="358" t="s">
        <v>780</v>
      </c>
      <c r="F172" s="358" t="s">
        <v>781</v>
      </c>
      <c r="G172" s="358" t="s">
        <v>768</v>
      </c>
      <c r="H172" s="359">
        <v>2.2294</v>
      </c>
      <c r="I172" s="359">
        <v>2.109</v>
      </c>
      <c r="J172" s="359">
        <v>1.9997</v>
      </c>
      <c r="K172" s="359">
        <v>1.898</v>
      </c>
      <c r="L172" s="359">
        <v>1.804</v>
      </c>
      <c r="M172" s="359">
        <v>1.7164</v>
      </c>
      <c r="N172" s="359">
        <v>1.6425</v>
      </c>
      <c r="O172" s="359">
        <v>1.5801</v>
      </c>
      <c r="P172" s="359">
        <v>1.5173</v>
      </c>
      <c r="Q172" s="359">
        <v>1.4606</v>
      </c>
      <c r="R172" s="359">
        <v>1.4606</v>
      </c>
    </row>
    <row r="173">
      <c r="A173" s="339" t="s">
        <v>961</v>
      </c>
      <c r="B173" s="339" t="s">
        <v>962</v>
      </c>
      <c r="C173" s="205" t="s">
        <v>465</v>
      </c>
      <c r="D173" s="360"/>
      <c r="E173" s="358" t="s">
        <v>769</v>
      </c>
      <c r="F173" s="358" t="s">
        <v>769</v>
      </c>
      <c r="G173" s="358" t="s">
        <v>768</v>
      </c>
      <c r="H173" s="359">
        <v>141.336</v>
      </c>
      <c r="I173" s="359">
        <v>136.9553</v>
      </c>
      <c r="J173" s="359">
        <v>132.6309</v>
      </c>
      <c r="K173" s="359">
        <v>128.549</v>
      </c>
      <c r="L173" s="359">
        <v>124.2332</v>
      </c>
      <c r="M173" s="359">
        <v>120.2429</v>
      </c>
      <c r="N173" s="359">
        <v>116.5408</v>
      </c>
      <c r="O173" s="359">
        <v>112.8739</v>
      </c>
      <c r="P173" s="359">
        <v>109.3592</v>
      </c>
      <c r="Q173" s="359">
        <v>106.133</v>
      </c>
      <c r="R173" s="359">
        <v>106.133</v>
      </c>
    </row>
    <row r="174">
      <c r="A174" s="339" t="s">
        <v>963</v>
      </c>
      <c r="B174" s="339" t="s">
        <v>706</v>
      </c>
      <c r="C174" s="205" t="s">
        <v>775</v>
      </c>
      <c r="D174" s="358" t="s">
        <v>776</v>
      </c>
      <c r="E174" s="358" t="s">
        <v>777</v>
      </c>
      <c r="F174" s="358" t="s">
        <v>778</v>
      </c>
      <c r="G174" s="358" t="s">
        <v>768</v>
      </c>
      <c r="H174" s="359">
        <v>6.851</v>
      </c>
      <c r="I174" s="359">
        <v>6.5563</v>
      </c>
      <c r="J174" s="359">
        <v>6.2755</v>
      </c>
      <c r="K174" s="359">
        <v>6.0554</v>
      </c>
      <c r="L174" s="359">
        <v>5.9097</v>
      </c>
      <c r="M174" s="359">
        <v>5.8023</v>
      </c>
      <c r="N174" s="359">
        <v>5.6913</v>
      </c>
      <c r="O174" s="359">
        <v>5.5471</v>
      </c>
      <c r="P174" s="359">
        <v>5.3437</v>
      </c>
      <c r="Q174" s="359">
        <v>5.0787</v>
      </c>
      <c r="R174" s="359">
        <v>5.0787</v>
      </c>
    </row>
    <row r="175">
      <c r="A175" s="339" t="s">
        <v>571</v>
      </c>
      <c r="B175" s="339" t="s">
        <v>570</v>
      </c>
      <c r="C175" s="205" t="s">
        <v>465</v>
      </c>
      <c r="D175" s="360"/>
      <c r="E175" s="358" t="s">
        <v>769</v>
      </c>
      <c r="F175" s="358" t="s">
        <v>769</v>
      </c>
      <c r="G175" s="358" t="s">
        <v>768</v>
      </c>
      <c r="H175" s="359">
        <v>99.2393</v>
      </c>
      <c r="I175" s="359">
        <v>98.7999</v>
      </c>
      <c r="J175" s="359">
        <v>98.7726</v>
      </c>
      <c r="K175" s="359">
        <v>98.7726</v>
      </c>
      <c r="L175" s="359">
        <v>98.7726</v>
      </c>
      <c r="M175" s="359">
        <v>98.7726</v>
      </c>
      <c r="N175" s="359">
        <v>98.7726</v>
      </c>
      <c r="O175" s="359">
        <v>98.7726</v>
      </c>
      <c r="P175" s="359">
        <v>98.7726</v>
      </c>
      <c r="Q175" s="359">
        <v>98.7726</v>
      </c>
      <c r="R175" s="359">
        <v>98.7726</v>
      </c>
    </row>
    <row r="176">
      <c r="A176" s="339" t="s">
        <v>575</v>
      </c>
      <c r="B176" s="339" t="s">
        <v>574</v>
      </c>
      <c r="C176" s="205" t="s">
        <v>465</v>
      </c>
      <c r="D176" s="360"/>
      <c r="E176" s="358" t="s">
        <v>797</v>
      </c>
      <c r="F176" s="358" t="s">
        <v>797</v>
      </c>
      <c r="G176" s="358" t="s">
        <v>768</v>
      </c>
      <c r="H176" s="359">
        <v>27.6646</v>
      </c>
      <c r="I176" s="359">
        <v>25.2868</v>
      </c>
      <c r="J176" s="359">
        <v>23.0757</v>
      </c>
      <c r="K176" s="359">
        <v>21.1001</v>
      </c>
      <c r="L176" s="359">
        <v>19.3829</v>
      </c>
      <c r="M176" s="359">
        <v>18.0022</v>
      </c>
      <c r="N176" s="359">
        <v>16.8707</v>
      </c>
      <c r="O176" s="359">
        <v>15.9492</v>
      </c>
      <c r="P176" s="359">
        <v>15.1265</v>
      </c>
      <c r="Q176" s="359">
        <v>14.4557</v>
      </c>
      <c r="R176" s="359">
        <v>14.4557</v>
      </c>
    </row>
    <row r="177">
      <c r="A177" s="339" t="s">
        <v>964</v>
      </c>
      <c r="B177" s="339" t="s">
        <v>965</v>
      </c>
      <c r="C177" s="205" t="s">
        <v>772</v>
      </c>
      <c r="D177" s="360"/>
      <c r="E177" s="358" t="s">
        <v>773</v>
      </c>
      <c r="F177" s="358" t="s">
        <v>773</v>
      </c>
      <c r="G177" s="358" t="s">
        <v>768</v>
      </c>
      <c r="H177" s="359">
        <v>21.5296</v>
      </c>
      <c r="I177" s="359">
        <v>20.9989</v>
      </c>
      <c r="J177" s="359">
        <v>20.4576</v>
      </c>
      <c r="K177" s="359">
        <v>19.9524</v>
      </c>
      <c r="L177" s="359">
        <v>19.3854</v>
      </c>
      <c r="M177" s="359">
        <v>18.8088</v>
      </c>
      <c r="N177" s="359">
        <v>18.2518</v>
      </c>
      <c r="O177" s="359">
        <v>17.7254</v>
      </c>
      <c r="P177" s="359">
        <v>17.1833</v>
      </c>
      <c r="Q177" s="359">
        <v>16.6032</v>
      </c>
      <c r="R177" s="359">
        <v>16.6032</v>
      </c>
    </row>
    <row r="178">
      <c r="A178" s="339" t="s">
        <v>966</v>
      </c>
      <c r="B178" s="339" t="s">
        <v>967</v>
      </c>
      <c r="C178" s="205" t="s">
        <v>775</v>
      </c>
      <c r="D178" s="358" t="s">
        <v>776</v>
      </c>
      <c r="E178" s="358" t="s">
        <v>780</v>
      </c>
      <c r="F178" s="358" t="s">
        <v>781</v>
      </c>
      <c r="G178" s="358" t="s">
        <v>768</v>
      </c>
      <c r="H178" s="359">
        <v>6.4394</v>
      </c>
      <c r="I178" s="359">
        <v>6.3293</v>
      </c>
      <c r="J178" s="359">
        <v>6.2213</v>
      </c>
      <c r="K178" s="359">
        <v>6.1217</v>
      </c>
      <c r="L178" s="359">
        <v>6.0326</v>
      </c>
      <c r="M178" s="359">
        <v>5.9632</v>
      </c>
      <c r="N178" s="359">
        <v>5.9169</v>
      </c>
      <c r="O178" s="359">
        <v>5.8891</v>
      </c>
      <c r="P178" s="359">
        <v>5.8799</v>
      </c>
      <c r="Q178" s="359">
        <v>5.8765</v>
      </c>
      <c r="R178" s="359">
        <v>5.8765</v>
      </c>
    </row>
    <row r="179">
      <c r="A179" s="339" t="s">
        <v>968</v>
      </c>
      <c r="B179" s="339" t="s">
        <v>708</v>
      </c>
      <c r="C179" s="205" t="s">
        <v>775</v>
      </c>
      <c r="D179" s="358" t="s">
        <v>776</v>
      </c>
      <c r="E179" s="358" t="s">
        <v>780</v>
      </c>
      <c r="F179" s="358" t="s">
        <v>781</v>
      </c>
      <c r="G179" s="358" t="s">
        <v>768</v>
      </c>
      <c r="H179" s="359">
        <v>2.8079</v>
      </c>
      <c r="I179" s="359">
        <v>2.708</v>
      </c>
      <c r="J179" s="359">
        <v>2.6246</v>
      </c>
      <c r="K179" s="359">
        <v>2.556</v>
      </c>
      <c r="L179" s="359">
        <v>2.4969</v>
      </c>
      <c r="M179" s="359">
        <v>2.449</v>
      </c>
      <c r="N179" s="359">
        <v>2.4134</v>
      </c>
      <c r="O179" s="359">
        <v>2.3817</v>
      </c>
      <c r="P179" s="359">
        <v>2.3527</v>
      </c>
      <c r="Q179" s="359">
        <v>2.3191</v>
      </c>
      <c r="R179" s="359">
        <v>2.3191</v>
      </c>
    </row>
    <row r="180">
      <c r="A180" s="339" t="s">
        <v>969</v>
      </c>
      <c r="B180" s="339" t="s">
        <v>709</v>
      </c>
      <c r="C180" s="205" t="s">
        <v>775</v>
      </c>
      <c r="D180" s="358" t="s">
        <v>776</v>
      </c>
      <c r="E180" s="358" t="s">
        <v>780</v>
      </c>
      <c r="F180" s="358" t="s">
        <v>781</v>
      </c>
      <c r="G180" s="358" t="s">
        <v>768</v>
      </c>
      <c r="H180" s="359">
        <v>2.9391</v>
      </c>
      <c r="I180" s="359">
        <v>2.9079</v>
      </c>
      <c r="J180" s="359">
        <v>2.8703</v>
      </c>
      <c r="K180" s="359">
        <v>2.8214</v>
      </c>
      <c r="L180" s="359">
        <v>2.7638</v>
      </c>
      <c r="M180" s="359">
        <v>2.6999</v>
      </c>
      <c r="N180" s="359">
        <v>2.6389</v>
      </c>
      <c r="O180" s="359">
        <v>2.5829</v>
      </c>
      <c r="P180" s="359">
        <v>2.531</v>
      </c>
      <c r="Q180" s="359">
        <v>2.4856</v>
      </c>
      <c r="R180" s="359">
        <v>2.4856</v>
      </c>
    </row>
    <row r="181">
      <c r="A181" s="339" t="s">
        <v>577</v>
      </c>
      <c r="B181" s="339" t="s">
        <v>576</v>
      </c>
      <c r="C181" s="205" t="s">
        <v>465</v>
      </c>
      <c r="D181" s="360"/>
      <c r="E181" s="358" t="s">
        <v>769</v>
      </c>
      <c r="F181" s="358" t="s">
        <v>769</v>
      </c>
      <c r="G181" s="358" t="s">
        <v>768</v>
      </c>
      <c r="H181" s="359">
        <v>67.1998</v>
      </c>
      <c r="I181" s="359">
        <v>67.1881</v>
      </c>
      <c r="J181" s="359">
        <v>63.4702</v>
      </c>
      <c r="K181" s="359">
        <v>60.6487</v>
      </c>
      <c r="L181" s="359">
        <v>62.1053</v>
      </c>
      <c r="M181" s="359">
        <v>58.367</v>
      </c>
      <c r="N181" s="359">
        <v>55.6265</v>
      </c>
      <c r="O181" s="359">
        <v>55.0315</v>
      </c>
      <c r="P181" s="359">
        <v>51.5819</v>
      </c>
      <c r="Q181" s="359">
        <v>50.0359</v>
      </c>
      <c r="R181" s="359">
        <v>50.0359</v>
      </c>
    </row>
    <row r="182">
      <c r="A182" s="339" t="s">
        <v>579</v>
      </c>
      <c r="B182" s="339" t="s">
        <v>578</v>
      </c>
      <c r="C182" s="205" t="s">
        <v>465</v>
      </c>
      <c r="D182" s="360"/>
      <c r="E182" s="358" t="s">
        <v>769</v>
      </c>
      <c r="F182" s="358" t="s">
        <v>781</v>
      </c>
      <c r="G182" s="358" t="s">
        <v>768</v>
      </c>
      <c r="H182" s="359">
        <v>14.3828</v>
      </c>
      <c r="I182" s="359">
        <v>14.4713</v>
      </c>
      <c r="J182" s="359">
        <v>14.56</v>
      </c>
      <c r="K182" s="359">
        <v>14.6294</v>
      </c>
      <c r="L182" s="359">
        <v>14.7056</v>
      </c>
      <c r="M182" s="359">
        <v>14.7668</v>
      </c>
      <c r="N182" s="359">
        <v>14.8208</v>
      </c>
      <c r="O182" s="359">
        <v>14.8254</v>
      </c>
      <c r="P182" s="359">
        <v>14.7281</v>
      </c>
      <c r="Q182" s="359">
        <v>14.5154</v>
      </c>
      <c r="R182" s="359">
        <v>14.5154</v>
      </c>
    </row>
    <row r="183">
      <c r="A183" s="339" t="s">
        <v>970</v>
      </c>
      <c r="B183" s="339" t="s">
        <v>971</v>
      </c>
      <c r="C183" s="205" t="s">
        <v>784</v>
      </c>
      <c r="D183" s="358" t="s">
        <v>785</v>
      </c>
      <c r="E183" s="358" t="s">
        <v>786</v>
      </c>
      <c r="F183" s="358" t="s">
        <v>786</v>
      </c>
      <c r="G183" s="358" t="s">
        <v>768</v>
      </c>
      <c r="H183" s="359">
        <v>48.6474</v>
      </c>
      <c r="I183" s="359">
        <v>45.6646</v>
      </c>
      <c r="J183" s="359">
        <v>43.921</v>
      </c>
      <c r="K183" s="359">
        <v>34.7481</v>
      </c>
      <c r="L183" s="359">
        <v>37.4364</v>
      </c>
      <c r="M183" s="359">
        <v>40.4608</v>
      </c>
      <c r="N183" s="359">
        <v>26.9886</v>
      </c>
      <c r="O183" s="359">
        <v>22.6597</v>
      </c>
      <c r="P183" s="359">
        <v>21.6464</v>
      </c>
      <c r="Q183" s="359">
        <v>21.4392</v>
      </c>
      <c r="R183" s="359">
        <v>21.4392</v>
      </c>
    </row>
    <row r="184">
      <c r="A184" s="339" t="s">
        <v>972</v>
      </c>
      <c r="B184" s="339" t="s">
        <v>973</v>
      </c>
      <c r="C184" s="205" t="s">
        <v>772</v>
      </c>
      <c r="D184" s="360"/>
      <c r="E184" s="358" t="s">
        <v>773</v>
      </c>
      <c r="F184" s="358" t="s">
        <v>773</v>
      </c>
      <c r="G184" s="358" t="s">
        <v>768</v>
      </c>
      <c r="H184" s="359">
        <v>7.1452</v>
      </c>
      <c r="I184" s="359">
        <v>7.0259</v>
      </c>
      <c r="J184" s="359">
        <v>6.9189</v>
      </c>
      <c r="K184" s="359">
        <v>6.8274</v>
      </c>
      <c r="L184" s="359">
        <v>6.7028</v>
      </c>
      <c r="M184" s="359">
        <v>6.5626</v>
      </c>
      <c r="N184" s="359">
        <v>6.4175</v>
      </c>
      <c r="O184" s="359">
        <v>6.252</v>
      </c>
      <c r="P184" s="359">
        <v>6.0877</v>
      </c>
      <c r="Q184" s="359">
        <v>5.9109</v>
      </c>
      <c r="R184" s="359">
        <v>5.9109</v>
      </c>
    </row>
    <row r="185">
      <c r="A185" s="339" t="s">
        <v>583</v>
      </c>
      <c r="B185" s="339" t="s">
        <v>582</v>
      </c>
      <c r="C185" s="205" t="s">
        <v>465</v>
      </c>
      <c r="D185" s="360"/>
      <c r="E185" s="358" t="s">
        <v>797</v>
      </c>
      <c r="F185" s="358" t="s">
        <v>797</v>
      </c>
      <c r="G185" s="358" t="s">
        <v>768</v>
      </c>
      <c r="H185" s="359">
        <v>135.8373</v>
      </c>
      <c r="I185" s="359">
        <v>132.2303</v>
      </c>
      <c r="J185" s="359">
        <v>128.5965</v>
      </c>
      <c r="K185" s="359">
        <v>124.9751</v>
      </c>
      <c r="L185" s="359">
        <v>121.2412</v>
      </c>
      <c r="M185" s="359">
        <v>117.2228</v>
      </c>
      <c r="N185" s="359">
        <v>113.5111</v>
      </c>
      <c r="O185" s="359">
        <v>109.8449</v>
      </c>
      <c r="P185" s="359">
        <v>106.3822</v>
      </c>
      <c r="Q185" s="359">
        <v>102.8563</v>
      </c>
      <c r="R185" s="359">
        <v>102.8563</v>
      </c>
    </row>
    <row r="186">
      <c r="A186" s="339" t="s">
        <v>586</v>
      </c>
      <c r="B186" s="339" t="s">
        <v>585</v>
      </c>
      <c r="C186" s="205" t="s">
        <v>465</v>
      </c>
      <c r="D186" s="360"/>
      <c r="E186" s="358" t="s">
        <v>797</v>
      </c>
      <c r="F186" s="358" t="s">
        <v>797</v>
      </c>
      <c r="G186" s="358" t="s">
        <v>768</v>
      </c>
      <c r="H186" s="359">
        <v>80.8459</v>
      </c>
      <c r="I186" s="359">
        <v>78.2438</v>
      </c>
      <c r="J186" s="359">
        <v>75.768</v>
      </c>
      <c r="K186" s="359">
        <v>73.3949</v>
      </c>
      <c r="L186" s="359">
        <v>71.0374</v>
      </c>
      <c r="M186" s="359">
        <v>68.8126</v>
      </c>
      <c r="N186" s="359">
        <v>66.5265</v>
      </c>
      <c r="O186" s="359">
        <v>64.4024</v>
      </c>
      <c r="P186" s="359">
        <v>62.3857</v>
      </c>
      <c r="Q186" s="359">
        <v>60.3797</v>
      </c>
      <c r="R186" s="359">
        <v>60.3797</v>
      </c>
    </row>
    <row r="187">
      <c r="A187" s="339" t="s">
        <v>974</v>
      </c>
      <c r="B187" s="339" t="s">
        <v>710</v>
      </c>
      <c r="C187" s="205" t="s">
        <v>811</v>
      </c>
      <c r="D187" s="358" t="s">
        <v>812</v>
      </c>
      <c r="E187" s="358" t="s">
        <v>793</v>
      </c>
      <c r="F187" s="358" t="s">
        <v>793</v>
      </c>
      <c r="G187" s="358" t="s">
        <v>768</v>
      </c>
      <c r="H187" s="359">
        <v>11.1031</v>
      </c>
      <c r="I187" s="359">
        <v>10.6927</v>
      </c>
      <c r="J187" s="359">
        <v>10.3355</v>
      </c>
      <c r="K187" s="359">
        <v>9.9893</v>
      </c>
      <c r="L187" s="359">
        <v>9.6432</v>
      </c>
      <c r="M187" s="359">
        <v>9.3338</v>
      </c>
      <c r="N187" s="359">
        <v>9.015</v>
      </c>
      <c r="O187" s="359">
        <v>8.6958</v>
      </c>
      <c r="P187" s="359">
        <v>8.3979</v>
      </c>
      <c r="Q187" s="359">
        <v>8.1317</v>
      </c>
      <c r="R187" s="359">
        <v>8.1317</v>
      </c>
    </row>
    <row r="188">
      <c r="A188" s="339" t="s">
        <v>975</v>
      </c>
      <c r="B188" s="339" t="s">
        <v>976</v>
      </c>
      <c r="C188" s="205" t="s">
        <v>766</v>
      </c>
      <c r="D188" s="358" t="s">
        <v>878</v>
      </c>
      <c r="E188" s="358" t="s">
        <v>777</v>
      </c>
      <c r="F188" s="358" t="s">
        <v>778</v>
      </c>
      <c r="G188" s="358" t="s">
        <v>768</v>
      </c>
      <c r="H188" s="359">
        <v>39.4533</v>
      </c>
      <c r="I188" s="359">
        <v>38.5346</v>
      </c>
      <c r="J188" s="359">
        <v>37.5789</v>
      </c>
      <c r="K188" s="359">
        <v>36.6035</v>
      </c>
      <c r="L188" s="359">
        <v>35.5867</v>
      </c>
      <c r="M188" s="359">
        <v>34.4941</v>
      </c>
      <c r="N188" s="359">
        <v>33.4839</v>
      </c>
      <c r="O188" s="359">
        <v>32.4242</v>
      </c>
      <c r="P188" s="359">
        <v>31.3634</v>
      </c>
      <c r="Q188" s="359">
        <v>30.3291</v>
      </c>
      <c r="R188" s="359">
        <v>30.3291</v>
      </c>
    </row>
    <row r="189">
      <c r="A189" s="339" t="s">
        <v>977</v>
      </c>
      <c r="B189" s="339" t="s">
        <v>978</v>
      </c>
      <c r="C189" s="205" t="s">
        <v>766</v>
      </c>
      <c r="D189" s="358" t="s">
        <v>878</v>
      </c>
      <c r="E189" s="358" t="s">
        <v>777</v>
      </c>
      <c r="F189" s="358" t="s">
        <v>778</v>
      </c>
      <c r="G189" s="358" t="s">
        <v>768</v>
      </c>
      <c r="H189" s="359">
        <v>42.0231</v>
      </c>
      <c r="I189" s="359">
        <v>42.2296</v>
      </c>
      <c r="J189" s="359">
        <v>42.4917</v>
      </c>
      <c r="K189" s="359">
        <v>42.8819</v>
      </c>
      <c r="L189" s="359">
        <v>43.194</v>
      </c>
      <c r="M189" s="359">
        <v>43.196</v>
      </c>
      <c r="N189" s="359">
        <v>42.8271</v>
      </c>
      <c r="O189" s="359">
        <v>42.1565</v>
      </c>
      <c r="P189" s="359">
        <v>41.3602</v>
      </c>
      <c r="Q189" s="359">
        <v>40.3902</v>
      </c>
      <c r="R189" s="359">
        <v>40.3902</v>
      </c>
    </row>
    <row r="190">
      <c r="A190" s="339" t="s">
        <v>979</v>
      </c>
      <c r="B190" s="339" t="s">
        <v>980</v>
      </c>
      <c r="C190" s="205" t="s">
        <v>811</v>
      </c>
      <c r="D190" s="358" t="s">
        <v>812</v>
      </c>
      <c r="E190" s="358" t="s">
        <v>793</v>
      </c>
      <c r="F190" s="358" t="s">
        <v>793</v>
      </c>
      <c r="G190" s="358" t="s">
        <v>768</v>
      </c>
      <c r="H190" s="359">
        <v>65.2704</v>
      </c>
      <c r="I190" s="359">
        <v>63.418</v>
      </c>
      <c r="J190" s="359">
        <v>61.5532</v>
      </c>
      <c r="K190" s="359">
        <v>59.5821</v>
      </c>
      <c r="L190" s="359">
        <v>57.747</v>
      </c>
      <c r="M190" s="359">
        <v>55.9003</v>
      </c>
      <c r="N190" s="359">
        <v>53.9336</v>
      </c>
      <c r="O190" s="359">
        <v>52.124</v>
      </c>
      <c r="P190" s="359">
        <v>50.3011</v>
      </c>
      <c r="Q190" s="359">
        <v>48.5769</v>
      </c>
      <c r="R190" s="359">
        <v>48.5769</v>
      </c>
    </row>
    <row r="191">
      <c r="A191" s="339" t="s">
        <v>981</v>
      </c>
      <c r="B191" s="339" t="s">
        <v>982</v>
      </c>
      <c r="C191" s="205" t="s">
        <v>791</v>
      </c>
      <c r="D191" s="358" t="s">
        <v>825</v>
      </c>
      <c r="E191" s="358" t="s">
        <v>793</v>
      </c>
      <c r="F191" s="358" t="s">
        <v>793</v>
      </c>
      <c r="G191" s="358" t="s">
        <v>768</v>
      </c>
      <c r="H191" s="359">
        <v>12.6576</v>
      </c>
      <c r="I191" s="359">
        <v>12.5441</v>
      </c>
      <c r="J191" s="359">
        <v>12.4242</v>
      </c>
      <c r="K191" s="359">
        <v>12.3392</v>
      </c>
      <c r="L191" s="359">
        <v>12.2068</v>
      </c>
      <c r="M191" s="359">
        <v>12.026</v>
      </c>
      <c r="N191" s="359">
        <v>11.7893</v>
      </c>
      <c r="O191" s="359">
        <v>11.5338</v>
      </c>
      <c r="P191" s="359">
        <v>11.2195</v>
      </c>
      <c r="Q191" s="359">
        <v>10.934</v>
      </c>
      <c r="R191" s="359">
        <v>10.934</v>
      </c>
    </row>
    <row r="192">
      <c r="A192" s="339" t="s">
        <v>983</v>
      </c>
      <c r="B192" s="339" t="s">
        <v>984</v>
      </c>
      <c r="C192" s="205" t="s">
        <v>772</v>
      </c>
      <c r="D192" s="360"/>
      <c r="E192" s="358" t="s">
        <v>773</v>
      </c>
      <c r="F192" s="358" t="s">
        <v>773</v>
      </c>
      <c r="G192" s="358" t="s">
        <v>768</v>
      </c>
      <c r="H192" s="359">
        <v>20.4448</v>
      </c>
      <c r="I192" s="359">
        <v>19.8454</v>
      </c>
      <c r="J192" s="359">
        <v>19.2736</v>
      </c>
      <c r="K192" s="359">
        <v>18.733</v>
      </c>
      <c r="L192" s="359">
        <v>18.1261</v>
      </c>
      <c r="M192" s="359">
        <v>17.5509</v>
      </c>
      <c r="N192" s="359">
        <v>17.0231</v>
      </c>
      <c r="O192" s="359">
        <v>16.4857</v>
      </c>
      <c r="P192" s="359">
        <v>15.9409</v>
      </c>
      <c r="Q192" s="359">
        <v>15.4358</v>
      </c>
      <c r="R192" s="359">
        <v>15.4358</v>
      </c>
    </row>
    <row r="193">
      <c r="A193" s="339" t="s">
        <v>985</v>
      </c>
      <c r="B193" s="339" t="s">
        <v>711</v>
      </c>
      <c r="C193" s="205" t="s">
        <v>784</v>
      </c>
      <c r="D193" s="358" t="s">
        <v>838</v>
      </c>
      <c r="E193" s="358" t="s">
        <v>786</v>
      </c>
      <c r="F193" s="358" t="s">
        <v>786</v>
      </c>
      <c r="G193" s="358" t="s">
        <v>768</v>
      </c>
      <c r="H193" s="359">
        <v>18.2319</v>
      </c>
      <c r="I193" s="359">
        <v>17.9734</v>
      </c>
      <c r="J193" s="359">
        <v>17.6004</v>
      </c>
      <c r="K193" s="359">
        <v>17.0679</v>
      </c>
      <c r="L193" s="359">
        <v>16.3381</v>
      </c>
      <c r="M193" s="359">
        <v>15.4216</v>
      </c>
      <c r="N193" s="359">
        <v>14.3852</v>
      </c>
      <c r="O193" s="359">
        <v>13.3048</v>
      </c>
      <c r="P193" s="359">
        <v>12.3067</v>
      </c>
      <c r="Q193" s="359">
        <v>11.4618</v>
      </c>
      <c r="R193" s="359">
        <v>11.4618</v>
      </c>
    </row>
    <row r="194">
      <c r="A194" s="339" t="s">
        <v>986</v>
      </c>
      <c r="B194" s="339" t="s">
        <v>987</v>
      </c>
      <c r="C194" s="205" t="s">
        <v>784</v>
      </c>
      <c r="D194" s="358" t="s">
        <v>785</v>
      </c>
      <c r="E194" s="358" t="s">
        <v>777</v>
      </c>
      <c r="F194" s="358" t="s">
        <v>778</v>
      </c>
      <c r="G194" s="358" t="s">
        <v>768</v>
      </c>
      <c r="H194" s="359">
        <v>14.8523</v>
      </c>
      <c r="I194" s="359">
        <v>14.0415</v>
      </c>
      <c r="J194" s="359">
        <v>13.3098</v>
      </c>
      <c r="K194" s="359">
        <v>12.6503</v>
      </c>
      <c r="L194" s="359">
        <v>12.0483</v>
      </c>
      <c r="M194" s="359">
        <v>11.4977</v>
      </c>
      <c r="N194" s="359">
        <v>10.9857</v>
      </c>
      <c r="O194" s="359">
        <v>10.5085</v>
      </c>
      <c r="P194" s="359">
        <v>10.0557</v>
      </c>
      <c r="Q194" s="359">
        <v>9.6306</v>
      </c>
      <c r="R194" s="359">
        <v>9.6306</v>
      </c>
    </row>
    <row r="195">
      <c r="A195" s="339" t="s">
        <v>988</v>
      </c>
      <c r="B195" s="339" t="s">
        <v>989</v>
      </c>
      <c r="C195" s="205" t="s">
        <v>791</v>
      </c>
      <c r="D195" s="358" t="s">
        <v>825</v>
      </c>
      <c r="E195" s="358" t="s">
        <v>793</v>
      </c>
      <c r="F195" s="358" t="s">
        <v>793</v>
      </c>
      <c r="G195" s="358" t="s">
        <v>768</v>
      </c>
      <c r="H195" s="359">
        <v>27.8477</v>
      </c>
      <c r="I195" s="359">
        <v>26.849</v>
      </c>
      <c r="J195" s="359">
        <v>25.9423</v>
      </c>
      <c r="K195" s="359">
        <v>25.061</v>
      </c>
      <c r="L195" s="359">
        <v>24.1582</v>
      </c>
      <c r="M195" s="359">
        <v>23.3197</v>
      </c>
      <c r="N195" s="359">
        <v>22.4972</v>
      </c>
      <c r="O195" s="359">
        <v>21.7391</v>
      </c>
      <c r="P195" s="359">
        <v>21.0277</v>
      </c>
      <c r="Q195" s="359">
        <v>20.3719</v>
      </c>
      <c r="R195" s="359">
        <v>20.3719</v>
      </c>
    </row>
    <row r="196">
      <c r="A196" s="339" t="s">
        <v>587</v>
      </c>
      <c r="B196" s="205" t="s">
        <v>339</v>
      </c>
      <c r="C196" s="205" t="s">
        <v>465</v>
      </c>
      <c r="D196" s="360"/>
      <c r="E196" s="358" t="s">
        <v>769</v>
      </c>
      <c r="F196" s="358" t="s">
        <v>769</v>
      </c>
      <c r="G196" s="358" t="s">
        <v>768</v>
      </c>
      <c r="H196" s="359">
        <v>59.4097</v>
      </c>
      <c r="I196" s="359">
        <v>56.6678</v>
      </c>
      <c r="J196" s="359">
        <v>54.7142</v>
      </c>
      <c r="K196" s="359">
        <v>52.3824</v>
      </c>
      <c r="L196" s="359">
        <v>50.1748</v>
      </c>
      <c r="M196" s="359">
        <v>47.8895</v>
      </c>
      <c r="N196" s="359">
        <v>46.0465</v>
      </c>
      <c r="O196" s="359">
        <v>44.2401</v>
      </c>
      <c r="P196" s="359">
        <v>42.1092</v>
      </c>
      <c r="Q196" s="359">
        <v>40.5112</v>
      </c>
      <c r="R196" s="359">
        <v>40.5112</v>
      </c>
    </row>
    <row r="197">
      <c r="A197" s="339" t="s">
        <v>396</v>
      </c>
      <c r="B197" s="339" t="s">
        <v>78</v>
      </c>
      <c r="C197" s="205" t="s">
        <v>465</v>
      </c>
      <c r="D197" s="360"/>
      <c r="E197" s="358" t="s">
        <v>769</v>
      </c>
      <c r="F197" s="358" t="s">
        <v>769</v>
      </c>
      <c r="G197" s="358" t="s">
        <v>768</v>
      </c>
      <c r="H197" s="359">
        <v>62.2504</v>
      </c>
      <c r="I197" s="359">
        <v>58.8546</v>
      </c>
      <c r="J197" s="359">
        <v>55.8101</v>
      </c>
      <c r="K197" s="359">
        <v>52.5975</v>
      </c>
      <c r="L197" s="359">
        <v>50.0448</v>
      </c>
      <c r="M197" s="359">
        <v>47.6886</v>
      </c>
      <c r="N197" s="359">
        <v>45.5365</v>
      </c>
      <c r="O197" s="359">
        <v>43.5759</v>
      </c>
      <c r="P197" s="359">
        <v>41.9859</v>
      </c>
      <c r="Q197" s="359">
        <v>40.5296</v>
      </c>
      <c r="R197" s="359">
        <v>40.5296</v>
      </c>
    </row>
    <row r="198">
      <c r="A198" s="339" t="s">
        <v>990</v>
      </c>
      <c r="B198" s="339" t="s">
        <v>713</v>
      </c>
      <c r="C198" s="205" t="s">
        <v>775</v>
      </c>
      <c r="D198" s="358" t="s">
        <v>776</v>
      </c>
      <c r="E198" s="358" t="s">
        <v>777</v>
      </c>
      <c r="F198" s="358" t="s">
        <v>778</v>
      </c>
      <c r="G198" s="358" t="s">
        <v>768</v>
      </c>
      <c r="H198" s="359">
        <v>10.1872</v>
      </c>
      <c r="I198" s="359">
        <v>9.7911</v>
      </c>
      <c r="J198" s="359">
        <v>9.4493</v>
      </c>
      <c r="K198" s="359">
        <v>9.1546</v>
      </c>
      <c r="L198" s="359">
        <v>8.9007</v>
      </c>
      <c r="M198" s="359">
        <v>8.685</v>
      </c>
      <c r="N198" s="359">
        <v>8.5018</v>
      </c>
      <c r="O198" s="359">
        <v>8.3519</v>
      </c>
      <c r="P198" s="359">
        <v>8.2236</v>
      </c>
      <c r="Q198" s="359">
        <v>8.5164</v>
      </c>
      <c r="R198" s="359">
        <v>8.5164</v>
      </c>
    </row>
    <row r="199">
      <c r="A199" s="339" t="s">
        <v>991</v>
      </c>
      <c r="B199" s="339" t="s">
        <v>714</v>
      </c>
      <c r="C199" s="205" t="s">
        <v>772</v>
      </c>
      <c r="D199" s="360"/>
      <c r="E199" s="358" t="s">
        <v>773</v>
      </c>
      <c r="F199" s="358" t="s">
        <v>773</v>
      </c>
      <c r="G199" s="358" t="s">
        <v>768</v>
      </c>
      <c r="H199" s="359">
        <v>9.6773</v>
      </c>
      <c r="I199" s="359">
        <v>9.3127</v>
      </c>
      <c r="J199" s="359">
        <v>8.9059</v>
      </c>
      <c r="K199" s="359">
        <v>8.4758</v>
      </c>
      <c r="L199" s="359">
        <v>8.048</v>
      </c>
      <c r="M199" s="359">
        <v>7.6561</v>
      </c>
      <c r="N199" s="359">
        <v>7.3247</v>
      </c>
      <c r="O199" s="359">
        <v>7.0475</v>
      </c>
      <c r="P199" s="359">
        <v>6.8225</v>
      </c>
      <c r="Q199" s="359">
        <v>6.6241</v>
      </c>
      <c r="R199" s="359">
        <v>6.6241</v>
      </c>
    </row>
    <row r="200">
      <c r="A200" s="339" t="s">
        <v>992</v>
      </c>
      <c r="B200" s="339" t="s">
        <v>993</v>
      </c>
      <c r="C200" s="205" t="s">
        <v>775</v>
      </c>
      <c r="D200" s="358" t="s">
        <v>817</v>
      </c>
      <c r="E200" s="358" t="s">
        <v>818</v>
      </c>
      <c r="F200" s="358" t="s">
        <v>781</v>
      </c>
      <c r="G200" s="358" t="s">
        <v>768</v>
      </c>
      <c r="H200" s="359">
        <v>6.9708</v>
      </c>
      <c r="I200" s="359">
        <v>6.8724</v>
      </c>
      <c r="J200" s="359">
        <v>6.7812</v>
      </c>
      <c r="K200" s="359">
        <v>6.6943</v>
      </c>
      <c r="L200" s="359">
        <v>6.6108</v>
      </c>
      <c r="M200" s="359">
        <v>6.5314</v>
      </c>
      <c r="N200" s="359">
        <v>6.4564</v>
      </c>
      <c r="O200" s="359">
        <v>6.3887</v>
      </c>
      <c r="P200" s="359">
        <v>6.3253</v>
      </c>
      <c r="Q200" s="359">
        <v>6.2515</v>
      </c>
      <c r="R200" s="359">
        <v>6.2515</v>
      </c>
    </row>
    <row r="201">
      <c r="A201" s="339" t="s">
        <v>994</v>
      </c>
      <c r="B201" s="339" t="s">
        <v>715</v>
      </c>
      <c r="C201" s="205" t="s">
        <v>766</v>
      </c>
      <c r="D201" s="358" t="s">
        <v>878</v>
      </c>
      <c r="E201" s="358" t="s">
        <v>777</v>
      </c>
      <c r="F201" s="358" t="s">
        <v>778</v>
      </c>
      <c r="G201" s="358" t="s">
        <v>768</v>
      </c>
      <c r="H201" s="359">
        <v>23.296</v>
      </c>
      <c r="I201" s="359">
        <v>21.467</v>
      </c>
      <c r="J201" s="359">
        <v>19.8731</v>
      </c>
      <c r="K201" s="359">
        <v>18.5028</v>
      </c>
      <c r="L201" s="359">
        <v>17.3426</v>
      </c>
      <c r="M201" s="359">
        <v>16.365</v>
      </c>
      <c r="N201" s="359">
        <v>15.5048</v>
      </c>
      <c r="O201" s="359">
        <v>14.7251</v>
      </c>
      <c r="P201" s="359">
        <v>13.9939</v>
      </c>
      <c r="Q201" s="359">
        <v>13.3369</v>
      </c>
      <c r="R201" s="359">
        <v>13.3369</v>
      </c>
    </row>
    <row r="202">
      <c r="A202" s="339" t="s">
        <v>995</v>
      </c>
      <c r="B202" s="339" t="s">
        <v>996</v>
      </c>
      <c r="C202" s="205" t="s">
        <v>772</v>
      </c>
      <c r="D202" s="360"/>
      <c r="E202" s="358" t="s">
        <v>773</v>
      </c>
      <c r="F202" s="358" t="s">
        <v>773</v>
      </c>
      <c r="G202" s="358" t="s">
        <v>768</v>
      </c>
      <c r="H202" s="359">
        <v>18.5184</v>
      </c>
      <c r="I202" s="359">
        <v>17.5274</v>
      </c>
      <c r="J202" s="359">
        <v>16.5277</v>
      </c>
      <c r="K202" s="359">
        <v>15.5437</v>
      </c>
      <c r="L202" s="359">
        <v>14.5805</v>
      </c>
      <c r="M202" s="359">
        <v>13.6635</v>
      </c>
      <c r="N202" s="359">
        <v>12.8167</v>
      </c>
      <c r="O202" s="359">
        <v>12.0797</v>
      </c>
      <c r="P202" s="359">
        <v>11.4473</v>
      </c>
      <c r="Q202" s="359">
        <v>10.8999</v>
      </c>
      <c r="R202" s="359">
        <v>10.8999</v>
      </c>
    </row>
    <row r="203">
      <c r="A203" s="339" t="s">
        <v>997</v>
      </c>
      <c r="B203" s="339" t="s">
        <v>998</v>
      </c>
      <c r="C203" s="205" t="s">
        <v>772</v>
      </c>
      <c r="D203" s="360"/>
      <c r="E203" s="358" t="s">
        <v>773</v>
      </c>
      <c r="F203" s="358" t="s">
        <v>773</v>
      </c>
      <c r="G203" s="358" t="s">
        <v>768</v>
      </c>
      <c r="H203" s="359">
        <v>17.7691</v>
      </c>
      <c r="I203" s="359">
        <v>18.1665</v>
      </c>
      <c r="J203" s="359">
        <v>19.1273</v>
      </c>
      <c r="K203" s="359">
        <v>24.2152</v>
      </c>
      <c r="L203" s="359">
        <v>24.2131</v>
      </c>
      <c r="M203" s="359">
        <v>24.2133</v>
      </c>
      <c r="N203" s="359">
        <v>24.2133</v>
      </c>
      <c r="O203" s="359">
        <v>24.2133</v>
      </c>
      <c r="P203" s="359">
        <v>24.2133</v>
      </c>
      <c r="Q203" s="359">
        <v>24.2133</v>
      </c>
      <c r="R203" s="359">
        <v>24.2133</v>
      </c>
    </row>
    <row r="204">
      <c r="A204" s="339" t="s">
        <v>999</v>
      </c>
      <c r="B204" s="339" t="s">
        <v>1000</v>
      </c>
      <c r="C204" s="205" t="s">
        <v>772</v>
      </c>
      <c r="D204" s="360"/>
      <c r="E204" s="358" t="s">
        <v>773</v>
      </c>
      <c r="F204" s="358" t="s">
        <v>773</v>
      </c>
      <c r="G204" s="358" t="s">
        <v>768</v>
      </c>
      <c r="H204" s="359">
        <v>15.6555</v>
      </c>
      <c r="I204" s="359">
        <v>15.5735</v>
      </c>
      <c r="J204" s="359">
        <v>15.4279</v>
      </c>
      <c r="K204" s="359">
        <v>15.2028</v>
      </c>
      <c r="L204" s="359">
        <v>14.9042</v>
      </c>
      <c r="M204" s="359">
        <v>14.5493</v>
      </c>
      <c r="N204" s="359">
        <v>14.1754</v>
      </c>
      <c r="O204" s="359">
        <v>13.8465</v>
      </c>
      <c r="P204" s="359">
        <v>13.4962</v>
      </c>
      <c r="Q204" s="359">
        <v>13.0854</v>
      </c>
      <c r="R204" s="359">
        <v>13.0854</v>
      </c>
    </row>
    <row r="205">
      <c r="A205" s="339" t="s">
        <v>1001</v>
      </c>
      <c r="B205" s="339" t="s">
        <v>717</v>
      </c>
      <c r="C205" s="205" t="s">
        <v>811</v>
      </c>
      <c r="D205" s="358" t="s">
        <v>812</v>
      </c>
      <c r="E205" s="358" t="s">
        <v>793</v>
      </c>
      <c r="F205" s="358" t="s">
        <v>793</v>
      </c>
      <c r="G205" s="358" t="s">
        <v>768</v>
      </c>
      <c r="H205" s="359">
        <v>22.341</v>
      </c>
      <c r="I205" s="359">
        <v>22.1369</v>
      </c>
      <c r="J205" s="359">
        <v>21.9258</v>
      </c>
      <c r="K205" s="359">
        <v>21.707</v>
      </c>
      <c r="L205" s="359">
        <v>21.5069</v>
      </c>
      <c r="M205" s="359">
        <v>21.3136</v>
      </c>
      <c r="N205" s="359">
        <v>21.1107</v>
      </c>
      <c r="O205" s="359">
        <v>20.8997</v>
      </c>
      <c r="P205" s="359">
        <v>20.648</v>
      </c>
      <c r="Q205" s="359">
        <v>20.347</v>
      </c>
      <c r="R205" s="359">
        <v>20.347</v>
      </c>
    </row>
    <row r="206">
      <c r="A206" s="339" t="s">
        <v>1002</v>
      </c>
      <c r="B206" s="339" t="s">
        <v>1003</v>
      </c>
      <c r="C206" s="205" t="s">
        <v>791</v>
      </c>
      <c r="D206" s="358" t="s">
        <v>825</v>
      </c>
      <c r="E206" s="358" t="s">
        <v>793</v>
      </c>
      <c r="F206" s="358" t="s">
        <v>793</v>
      </c>
      <c r="G206" s="358" t="s">
        <v>768</v>
      </c>
      <c r="H206" s="359">
        <v>21.7682</v>
      </c>
      <c r="I206" s="359">
        <v>21.3321</v>
      </c>
      <c r="J206" s="359">
        <v>21.0108</v>
      </c>
      <c r="K206" s="359">
        <v>20.7538</v>
      </c>
      <c r="L206" s="359">
        <v>20.449</v>
      </c>
      <c r="M206" s="359">
        <v>20.0416</v>
      </c>
      <c r="N206" s="359">
        <v>19.6591</v>
      </c>
      <c r="O206" s="359">
        <v>19.1681</v>
      </c>
      <c r="P206" s="359">
        <v>18.6811</v>
      </c>
      <c r="Q206" s="359">
        <v>18.1714</v>
      </c>
      <c r="R206" s="359">
        <v>18.1714</v>
      </c>
    </row>
    <row r="207">
      <c r="A207" s="339" t="s">
        <v>1004</v>
      </c>
      <c r="B207" s="339" t="s">
        <v>718</v>
      </c>
      <c r="C207" s="205" t="s">
        <v>791</v>
      </c>
      <c r="D207" s="358" t="s">
        <v>825</v>
      </c>
      <c r="E207" s="358" t="s">
        <v>793</v>
      </c>
      <c r="F207" s="358" t="s">
        <v>793</v>
      </c>
      <c r="G207" s="358" t="s">
        <v>768</v>
      </c>
      <c r="H207" s="359">
        <v>18.9</v>
      </c>
      <c r="I207" s="359">
        <v>18.7241</v>
      </c>
      <c r="J207" s="359">
        <v>18.5367</v>
      </c>
      <c r="K207" s="359">
        <v>18.3559</v>
      </c>
      <c r="L207" s="359">
        <v>18.1433</v>
      </c>
      <c r="M207" s="359">
        <v>17.8427</v>
      </c>
      <c r="N207" s="359">
        <v>20.2512</v>
      </c>
      <c r="O207" s="359">
        <v>17.0536</v>
      </c>
      <c r="P207" s="359">
        <v>16.6023</v>
      </c>
      <c r="Q207" s="359">
        <v>16.1072</v>
      </c>
      <c r="R207" s="359">
        <v>16.1072</v>
      </c>
    </row>
    <row r="208">
      <c r="A208" s="339" t="s">
        <v>1005</v>
      </c>
      <c r="B208" s="339" t="s">
        <v>1006</v>
      </c>
      <c r="C208" s="205" t="s">
        <v>784</v>
      </c>
      <c r="D208" s="358" t="s">
        <v>785</v>
      </c>
      <c r="E208" s="358" t="s">
        <v>786</v>
      </c>
      <c r="F208" s="358" t="s">
        <v>786</v>
      </c>
      <c r="G208" s="358" t="s">
        <v>768</v>
      </c>
      <c r="H208" s="359">
        <v>49.6729</v>
      </c>
      <c r="I208" s="359">
        <v>48.6223</v>
      </c>
      <c r="J208" s="359">
        <v>49.3276</v>
      </c>
      <c r="K208" s="359">
        <v>47.9464</v>
      </c>
      <c r="L208" s="359">
        <v>46.8101</v>
      </c>
      <c r="M208" s="359">
        <v>47.1663</v>
      </c>
      <c r="N208" s="359">
        <v>46.1604</v>
      </c>
      <c r="O208" s="359">
        <v>43.4573</v>
      </c>
      <c r="P208" s="359">
        <v>44.6062</v>
      </c>
      <c r="Q208" s="359">
        <v>41.3129</v>
      </c>
      <c r="R208" s="359">
        <v>41.3129</v>
      </c>
    </row>
    <row r="209">
      <c r="A209" s="339" t="s">
        <v>592</v>
      </c>
      <c r="B209" s="339" t="s">
        <v>591</v>
      </c>
      <c r="C209" s="205" t="s">
        <v>465</v>
      </c>
      <c r="D209" s="360"/>
      <c r="E209" s="358" t="s">
        <v>769</v>
      </c>
      <c r="F209" s="358" t="s">
        <v>769</v>
      </c>
      <c r="G209" s="358" t="s">
        <v>768</v>
      </c>
      <c r="H209" s="359">
        <v>39.7984</v>
      </c>
      <c r="I209" s="359">
        <v>38.5853</v>
      </c>
      <c r="J209" s="359">
        <v>37.8231</v>
      </c>
      <c r="K209" s="359">
        <v>37.1595</v>
      </c>
      <c r="L209" s="359">
        <v>36.5988</v>
      </c>
      <c r="M209" s="359">
        <v>36.0732</v>
      </c>
      <c r="N209" s="359">
        <v>35.5739</v>
      </c>
      <c r="O209" s="359">
        <v>35.268</v>
      </c>
      <c r="P209" s="359">
        <v>34.7046</v>
      </c>
      <c r="Q209" s="359">
        <v>34.5396</v>
      </c>
      <c r="R209" s="359">
        <v>34.5396</v>
      </c>
    </row>
    <row r="210">
      <c r="A210" s="339" t="s">
        <v>595</v>
      </c>
      <c r="B210" s="339" t="s">
        <v>340</v>
      </c>
      <c r="C210" s="205" t="s">
        <v>465</v>
      </c>
      <c r="D210" s="360"/>
      <c r="E210" s="358" t="s">
        <v>769</v>
      </c>
      <c r="F210" s="358" t="s">
        <v>769</v>
      </c>
      <c r="G210" s="358" t="s">
        <v>768</v>
      </c>
      <c r="H210" s="359">
        <v>71.6421</v>
      </c>
      <c r="I210" s="359">
        <v>69.2043</v>
      </c>
      <c r="J210" s="359">
        <v>68.0389</v>
      </c>
      <c r="K210" s="359">
        <v>65.0512</v>
      </c>
      <c r="L210" s="359">
        <v>63.8101</v>
      </c>
      <c r="M210" s="359">
        <v>63.9533</v>
      </c>
      <c r="N210" s="359">
        <v>62.2712</v>
      </c>
      <c r="O210" s="359">
        <v>59.2651</v>
      </c>
      <c r="P210" s="359">
        <v>57.1591</v>
      </c>
      <c r="Q210" s="359">
        <v>55.5551</v>
      </c>
      <c r="R210" s="359">
        <v>55.5551</v>
      </c>
    </row>
    <row r="211">
      <c r="A211" s="339" t="s">
        <v>598</v>
      </c>
      <c r="B211" s="339" t="s">
        <v>341</v>
      </c>
      <c r="C211" s="205" t="s">
        <v>465</v>
      </c>
      <c r="D211" s="360"/>
      <c r="E211" s="358" t="s">
        <v>769</v>
      </c>
      <c r="F211" s="358" t="s">
        <v>769</v>
      </c>
      <c r="G211" s="358" t="s">
        <v>768</v>
      </c>
      <c r="H211" s="359">
        <v>65.8815</v>
      </c>
      <c r="I211" s="359">
        <v>62.2907</v>
      </c>
      <c r="J211" s="359">
        <v>60.1697</v>
      </c>
      <c r="K211" s="359">
        <v>57.4929</v>
      </c>
      <c r="L211" s="359">
        <v>55.7896</v>
      </c>
      <c r="M211" s="359">
        <v>53.3732</v>
      </c>
      <c r="N211" s="359">
        <v>52.3766</v>
      </c>
      <c r="O211" s="359">
        <v>51.4317</v>
      </c>
      <c r="P211" s="359">
        <v>49.0875</v>
      </c>
      <c r="Q211" s="359">
        <v>47.7291</v>
      </c>
      <c r="R211" s="359">
        <v>47.7291</v>
      </c>
    </row>
  </sheetData>
  <mergeCells count="7">
    <mergeCell ref="A1:B1"/>
    <mergeCell ref="A2:B2"/>
    <mergeCell ref="A4:G4"/>
    <mergeCell ref="A5:G5"/>
    <mergeCell ref="A7:F7"/>
    <mergeCell ref="A8:B8"/>
    <mergeCell ref="A10:G10"/>
  </mergeCells>
  <hyperlinks>
    <hyperlink r:id="rId1" ref="B11"/>
  </hyperlinks>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sheetPr>
  <sheetViews>
    <sheetView workbookViewId="0"/>
  </sheetViews>
  <sheetFormatPr customHeight="1" defaultColWidth="17.29" defaultRowHeight="15.0"/>
  <cols>
    <col customWidth="1" min="1" max="1" width="48.14"/>
  </cols>
  <sheetData>
    <row r="1">
      <c r="A1" s="50" t="s">
        <v>1007</v>
      </c>
      <c r="B1" s="52"/>
      <c r="C1" s="52"/>
      <c r="D1" s="52"/>
      <c r="E1" s="52"/>
      <c r="F1" s="52"/>
      <c r="G1" s="52"/>
      <c r="H1" s="52"/>
      <c r="I1" s="52"/>
      <c r="J1" s="52"/>
      <c r="K1" s="52"/>
      <c r="L1" s="52"/>
      <c r="M1" s="52"/>
      <c r="N1" s="52"/>
      <c r="O1" s="52"/>
      <c r="P1" s="52"/>
      <c r="Q1" s="52"/>
      <c r="R1" s="52"/>
      <c r="S1" s="52"/>
      <c r="T1" s="52"/>
      <c r="U1" s="52"/>
      <c r="V1" s="52"/>
      <c r="W1" s="52"/>
      <c r="X1" s="52"/>
      <c r="Y1" s="52"/>
      <c r="Z1" s="52"/>
      <c r="AA1" s="52"/>
    </row>
    <row r="2">
      <c r="B2" s="361" t="s">
        <v>74</v>
      </c>
      <c r="C2" s="361" t="s">
        <v>75</v>
      </c>
      <c r="D2" s="361" t="s">
        <v>76</v>
      </c>
      <c r="E2" s="361" t="s">
        <v>77</v>
      </c>
      <c r="F2" s="361" t="s">
        <v>78</v>
      </c>
    </row>
    <row r="3">
      <c r="B3" s="53" t="s">
        <v>1008</v>
      </c>
      <c r="C3" s="53" t="s">
        <v>1009</v>
      </c>
      <c r="D3" s="53" t="s">
        <v>1009</v>
      </c>
      <c r="E3" s="53" t="s">
        <v>1010</v>
      </c>
      <c r="F3" s="53" t="s">
        <v>1011</v>
      </c>
    </row>
    <row r="4">
      <c r="A4" s="53" t="s">
        <v>1012</v>
      </c>
      <c r="B4" s="25">
        <v>0.24</v>
      </c>
      <c r="C4" s="182"/>
      <c r="D4" s="25"/>
      <c r="E4" s="25">
        <v>0.41</v>
      </c>
      <c r="F4" s="182">
        <f t="shared" ref="F4:F15" si="1">E4</f>
        <v>0.41</v>
      </c>
    </row>
    <row r="5">
      <c r="A5" s="53" t="s">
        <v>1013</v>
      </c>
      <c r="B5" s="25">
        <v>0.24</v>
      </c>
      <c r="C5" s="182"/>
      <c r="D5" s="25"/>
      <c r="E5" s="25">
        <v>0.56</v>
      </c>
      <c r="F5" s="182">
        <f t="shared" si="1"/>
        <v>0.56</v>
      </c>
    </row>
    <row r="6">
      <c r="A6" s="53" t="s">
        <v>1014</v>
      </c>
      <c r="B6" s="25">
        <v>0.65</v>
      </c>
      <c r="C6" s="182"/>
      <c r="D6" s="25"/>
      <c r="E6" s="25">
        <v>0.76</v>
      </c>
      <c r="F6" s="182">
        <f t="shared" si="1"/>
        <v>0.76</v>
      </c>
    </row>
    <row r="7">
      <c r="A7" s="53" t="s">
        <v>1015</v>
      </c>
      <c r="B7" s="25">
        <v>0.65</v>
      </c>
      <c r="C7" s="182"/>
      <c r="D7" s="25"/>
      <c r="E7" s="25">
        <v>0.91</v>
      </c>
      <c r="F7" s="182">
        <f t="shared" si="1"/>
        <v>0.91</v>
      </c>
    </row>
    <row r="8">
      <c r="A8" s="53" t="s">
        <v>1016</v>
      </c>
      <c r="B8" s="25">
        <v>0.65</v>
      </c>
      <c r="C8" s="182"/>
      <c r="D8" s="25"/>
      <c r="E8" s="25">
        <v>1.03</v>
      </c>
      <c r="F8" s="182">
        <f t="shared" si="1"/>
        <v>1.03</v>
      </c>
    </row>
    <row r="9">
      <c r="A9" s="53" t="s">
        <v>1017</v>
      </c>
      <c r="B9" s="25">
        <v>1.0</v>
      </c>
      <c r="C9" s="182"/>
      <c r="D9" s="25"/>
      <c r="E9" s="25">
        <v>1.05</v>
      </c>
      <c r="F9" s="182">
        <f t="shared" si="1"/>
        <v>1.05</v>
      </c>
    </row>
    <row r="10">
      <c r="A10" s="53" t="s">
        <v>1018</v>
      </c>
      <c r="B10" s="25">
        <v>1.0</v>
      </c>
      <c r="C10" s="182"/>
      <c r="D10" s="25"/>
      <c r="E10" s="25">
        <v>1.03</v>
      </c>
      <c r="F10" s="182">
        <f t="shared" si="1"/>
        <v>1.03</v>
      </c>
    </row>
    <row r="11">
      <c r="A11" s="53" t="s">
        <v>1019</v>
      </c>
      <c r="B11" s="25">
        <v>1.0</v>
      </c>
      <c r="C11" s="182"/>
      <c r="D11" s="25"/>
      <c r="E11" s="25">
        <v>1.0</v>
      </c>
      <c r="F11" s="182">
        <f t="shared" si="1"/>
        <v>1</v>
      </c>
    </row>
    <row r="12">
      <c r="A12" s="53" t="s">
        <v>1020</v>
      </c>
      <c r="B12" s="25">
        <v>1.0</v>
      </c>
      <c r="C12" s="182"/>
      <c r="D12" s="25"/>
      <c r="E12" s="25">
        <v>0.95</v>
      </c>
      <c r="F12" s="182">
        <f t="shared" si="1"/>
        <v>0.95</v>
      </c>
    </row>
    <row r="13">
      <c r="A13" s="53" t="s">
        <v>1021</v>
      </c>
      <c r="B13" s="25">
        <v>1.0</v>
      </c>
      <c r="C13" s="182"/>
      <c r="D13" s="25"/>
      <c r="E13" s="25">
        <v>0.9</v>
      </c>
      <c r="F13" s="182">
        <f t="shared" si="1"/>
        <v>0.9</v>
      </c>
    </row>
    <row r="14">
      <c r="A14" s="53" t="s">
        <v>1022</v>
      </c>
      <c r="B14" s="25">
        <v>1.0</v>
      </c>
      <c r="C14" s="182"/>
      <c r="D14" s="25"/>
      <c r="E14" s="25">
        <v>0.85</v>
      </c>
      <c r="F14" s="182">
        <f t="shared" si="1"/>
        <v>0.85</v>
      </c>
    </row>
    <row r="15">
      <c r="A15" s="53" t="s">
        <v>1023</v>
      </c>
      <c r="B15" s="25">
        <v>1.0</v>
      </c>
      <c r="C15" s="182"/>
      <c r="D15" s="25"/>
      <c r="E15" s="25">
        <v>0.7</v>
      </c>
      <c r="F15" s="182">
        <f t="shared" si="1"/>
        <v>0.7</v>
      </c>
    </row>
    <row r="17">
      <c r="A17" s="50" t="s">
        <v>1024</v>
      </c>
      <c r="B17" s="52"/>
      <c r="C17" s="52"/>
      <c r="D17" s="52"/>
      <c r="E17" s="52"/>
      <c r="F17" s="52"/>
      <c r="G17" s="52"/>
      <c r="H17" s="52"/>
      <c r="I17" s="52"/>
      <c r="J17" s="52"/>
      <c r="K17" s="52"/>
      <c r="L17" s="52"/>
      <c r="M17" s="52"/>
      <c r="N17" s="52"/>
      <c r="O17" s="52"/>
      <c r="P17" s="52"/>
      <c r="Q17" s="52"/>
      <c r="R17" s="52"/>
      <c r="S17" s="52"/>
      <c r="T17" s="52"/>
      <c r="U17" s="52"/>
      <c r="V17" s="52"/>
      <c r="W17" s="52"/>
      <c r="X17" s="52"/>
      <c r="Y17" s="52"/>
      <c r="Z17" s="52"/>
      <c r="AA17" s="52"/>
    </row>
    <row r="18">
      <c r="A18" s="198" t="s">
        <v>1025</v>
      </c>
    </row>
    <row r="19">
      <c r="B19" s="165" t="s">
        <v>1026</v>
      </c>
      <c r="C19" s="165" t="s">
        <v>75</v>
      </c>
      <c r="D19" s="165" t="s">
        <v>1027</v>
      </c>
      <c r="E19" s="165" t="s">
        <v>1028</v>
      </c>
      <c r="F19" s="165" t="s">
        <v>78</v>
      </c>
    </row>
    <row r="20">
      <c r="A20" s="321" t="s">
        <v>1029</v>
      </c>
      <c r="B20" s="197">
        <v>6958267.0</v>
      </c>
      <c r="C20" s="197">
        <v>3086308.0</v>
      </c>
      <c r="D20" s="362">
        <v>5468526.0</v>
      </c>
      <c r="E20" s="197">
        <v>1935500.0</v>
      </c>
      <c r="F20" s="197">
        <v>7868837.0</v>
      </c>
    </row>
    <row r="21">
      <c r="A21" s="363" t="s">
        <v>1030</v>
      </c>
      <c r="B21" s="197">
        <v>6707809.0</v>
      </c>
      <c r="C21" s="197">
        <v>2868379.0</v>
      </c>
      <c r="D21" s="362">
        <v>4848905.0</v>
      </c>
      <c r="E21" s="197">
        <v>1781999.0</v>
      </c>
      <c r="F21" s="197">
        <v>6969764.0</v>
      </c>
    </row>
    <row r="22">
      <c r="A22" s="363" t="s">
        <v>1031</v>
      </c>
      <c r="B22" s="197">
        <v>6762490.0</v>
      </c>
      <c r="C22" s="197">
        <v>2736479.0</v>
      </c>
      <c r="D22" s="362">
        <v>4357090.0</v>
      </c>
      <c r="E22" s="197">
        <v>1647846.0</v>
      </c>
      <c r="F22" s="197">
        <v>6320416.0</v>
      </c>
    </row>
    <row r="23">
      <c r="A23" s="321" t="s">
        <v>1032</v>
      </c>
      <c r="B23" s="197">
        <v>6153117.0</v>
      </c>
      <c r="C23" s="197">
        <v>2435364.0</v>
      </c>
      <c r="D23" s="362">
        <v>3680377.0</v>
      </c>
      <c r="E23" s="197">
        <v>1567486.0</v>
      </c>
      <c r="F23" s="197">
        <v>5599896.0</v>
      </c>
    </row>
    <row r="24">
      <c r="A24" s="321" t="s">
        <v>1033</v>
      </c>
      <c r="B24" s="197">
        <v>5205957.0</v>
      </c>
      <c r="C24" s="197">
        <v>1959474.0</v>
      </c>
      <c r="D24" s="362">
        <v>3185810.0</v>
      </c>
      <c r="E24" s="197">
        <v>1331799.0</v>
      </c>
      <c r="F24" s="197">
        <v>4806951.0</v>
      </c>
    </row>
    <row r="25">
      <c r="A25" s="321" t="s">
        <v>1034</v>
      </c>
      <c r="B25" s="197">
        <v>4398474.0</v>
      </c>
      <c r="C25" s="197">
        <v>1587884.0</v>
      </c>
      <c r="D25" s="362">
        <v>2663864.0</v>
      </c>
      <c r="E25" s="197">
        <v>1132559.0</v>
      </c>
      <c r="F25" s="197">
        <v>4011450.0</v>
      </c>
    </row>
    <row r="26">
      <c r="A26" s="321" t="s">
        <v>1035</v>
      </c>
      <c r="B26" s="197">
        <v>3976138.0</v>
      </c>
      <c r="C26" s="197">
        <v>1334932.0</v>
      </c>
      <c r="D26" s="362">
        <v>2212567.0</v>
      </c>
      <c r="E26" s="197">
        <v>1027836.0</v>
      </c>
      <c r="F26" s="197">
        <v>3115028.0</v>
      </c>
    </row>
    <row r="27">
      <c r="A27" s="321" t="s">
        <v>1036</v>
      </c>
      <c r="B27" s="197">
        <v>3432045.0</v>
      </c>
      <c r="C27" s="197">
        <v>1179103.0</v>
      </c>
      <c r="D27" s="362">
        <v>1795101.0</v>
      </c>
      <c r="E27" s="197">
        <v>949682.0</v>
      </c>
      <c r="F27" s="197">
        <v>2268319.0</v>
      </c>
    </row>
    <row r="28">
      <c r="A28" s="321" t="s">
        <v>1037</v>
      </c>
      <c r="B28" s="197">
        <v>2757060.0</v>
      </c>
      <c r="C28" s="197">
        <v>977902.0</v>
      </c>
      <c r="D28" s="362">
        <v>1426843.0</v>
      </c>
      <c r="E28" s="197">
        <v>756672.0</v>
      </c>
      <c r="F28" s="197">
        <v>1685295.0</v>
      </c>
    </row>
    <row r="29">
      <c r="A29" s="321" t="s">
        <v>1038</v>
      </c>
      <c r="B29" s="197">
        <v>2175625.0</v>
      </c>
      <c r="C29" s="197">
        <v>661392.0</v>
      </c>
      <c r="D29" s="362">
        <v>1202675.0</v>
      </c>
      <c r="E29" s="197">
        <v>510029.0</v>
      </c>
      <c r="F29" s="197">
        <v>1355288.0</v>
      </c>
    </row>
    <row r="30">
      <c r="A30" s="321" t="s">
        <v>1039</v>
      </c>
      <c r="B30" s="197">
        <v>1717850.0</v>
      </c>
      <c r="C30" s="197">
        <v>452845.0</v>
      </c>
      <c r="D30" s="362">
        <v>955689.0</v>
      </c>
      <c r="E30" s="197">
        <v>392198.0</v>
      </c>
      <c r="F30" s="197">
        <v>1088896.0</v>
      </c>
    </row>
    <row r="31">
      <c r="A31" s="321" t="s">
        <v>1040</v>
      </c>
      <c r="B31" s="197">
        <v>1305188.0</v>
      </c>
      <c r="C31" s="197">
        <v>342181.0</v>
      </c>
      <c r="D31" s="362">
        <v>692230.0</v>
      </c>
      <c r="E31" s="197">
        <v>316827.0</v>
      </c>
      <c r="F31" s="197">
        <v>795674.0</v>
      </c>
    </row>
    <row r="32">
      <c r="A32" s="321" t="s">
        <v>1041</v>
      </c>
      <c r="B32" s="197">
        <v>925224.0</v>
      </c>
      <c r="C32" s="197">
        <v>250762.0</v>
      </c>
      <c r="D32" s="362">
        <v>536006.0</v>
      </c>
      <c r="E32" s="197">
        <v>283288.0</v>
      </c>
      <c r="F32" s="197">
        <v>563327.0</v>
      </c>
    </row>
    <row r="33">
      <c r="A33" s="321" t="s">
        <v>1042</v>
      </c>
      <c r="B33" s="197">
        <v>609383.0</v>
      </c>
      <c r="C33" s="197">
        <v>173820.0</v>
      </c>
      <c r="D33" s="362">
        <v>396865.0</v>
      </c>
      <c r="E33" s="197">
        <v>206307.0</v>
      </c>
      <c r="F33" s="197">
        <v>391831.0</v>
      </c>
    </row>
    <row r="34">
      <c r="A34" s="321" t="s">
        <v>1043</v>
      </c>
      <c r="B34" s="197">
        <v>405663.0</v>
      </c>
      <c r="C34" s="197">
        <v>136219.0</v>
      </c>
      <c r="D34" s="362">
        <v>255836.0</v>
      </c>
      <c r="E34" s="197">
        <v>128110.0</v>
      </c>
      <c r="F34" s="197">
        <v>243801.0</v>
      </c>
    </row>
    <row r="35">
      <c r="A35" s="321" t="s">
        <v>1044</v>
      </c>
      <c r="B35" s="197">
        <v>259098.0</v>
      </c>
      <c r="C35" s="197">
        <v>109137.0</v>
      </c>
      <c r="D35" s="362">
        <v>136078.0</v>
      </c>
      <c r="E35" s="197">
        <v>67050.0</v>
      </c>
      <c r="F35" s="197">
        <v>104004.0</v>
      </c>
    </row>
    <row r="36">
      <c r="A36" s="321" t="s">
        <v>1045</v>
      </c>
      <c r="B36" s="197">
        <v>151648.0</v>
      </c>
      <c r="C36" s="197">
        <v>65202.0</v>
      </c>
      <c r="D36" s="362">
        <v>60232.0</v>
      </c>
      <c r="E36" s="197">
        <v>37260.0</v>
      </c>
      <c r="F36" s="197">
        <v>42338.0</v>
      </c>
    </row>
    <row r="37">
      <c r="A37" s="321" t="s">
        <v>1046</v>
      </c>
      <c r="B37" s="197">
        <v>79863.0</v>
      </c>
      <c r="C37" s="197">
        <v>31655.0</v>
      </c>
      <c r="D37" s="362">
        <v>18184.0</v>
      </c>
      <c r="E37" s="197">
        <v>15892.0</v>
      </c>
      <c r="F37" s="197">
        <v>14368.0</v>
      </c>
    </row>
    <row r="38">
      <c r="A38" s="321" t="s">
        <v>1047</v>
      </c>
      <c r="B38" s="197">
        <v>32637.0</v>
      </c>
      <c r="C38" s="197">
        <v>12177.0</v>
      </c>
      <c r="D38" s="362">
        <v>3914.0</v>
      </c>
      <c r="E38" s="197">
        <v>5246.0</v>
      </c>
      <c r="F38" s="197">
        <v>3409.0</v>
      </c>
    </row>
    <row r="39">
      <c r="A39" s="321" t="s">
        <v>1048</v>
      </c>
      <c r="B39" s="197">
        <v>10550.0</v>
      </c>
      <c r="C39" s="197">
        <v>3343.0</v>
      </c>
      <c r="D39" s="362">
        <v>517.0</v>
      </c>
      <c r="E39" s="197">
        <v>943.0</v>
      </c>
      <c r="F39" s="197">
        <v>583.0</v>
      </c>
    </row>
    <row r="40">
      <c r="A40" s="321" t="s">
        <v>1049</v>
      </c>
      <c r="B40" s="197">
        <v>3389.0</v>
      </c>
      <c r="C40" s="197">
        <v>748.0</v>
      </c>
      <c r="D40" s="362">
        <v>36.0</v>
      </c>
      <c r="E40" s="197">
        <v>145.0</v>
      </c>
      <c r="F40" s="197">
        <v>99.0</v>
      </c>
    </row>
    <row r="41">
      <c r="A41" s="191" t="s">
        <v>1050</v>
      </c>
      <c r="B41" s="364">
        <f t="shared" ref="B41:F41" si="2">SUM(B20:B40)</f>
        <v>54027475</v>
      </c>
      <c r="C41" s="364">
        <f t="shared" si="2"/>
        <v>20405306</v>
      </c>
      <c r="D41" s="364">
        <f t="shared" si="2"/>
        <v>33897345</v>
      </c>
      <c r="E41" s="364">
        <f t="shared" si="2"/>
        <v>14094674</v>
      </c>
      <c r="F41" s="364">
        <f t="shared" si="2"/>
        <v>47249574</v>
      </c>
      <c r="AA41" s="365"/>
    </row>
    <row r="43">
      <c r="A43" s="97" t="s">
        <v>1051</v>
      </c>
    </row>
    <row r="44">
      <c r="A44" s="53" t="s">
        <v>1052</v>
      </c>
      <c r="B44" s="90"/>
      <c r="C44" s="90"/>
      <c r="D44" s="90"/>
      <c r="E44" s="90"/>
      <c r="F44" s="90"/>
    </row>
    <row r="45">
      <c r="A45" s="53" t="s">
        <v>1012</v>
      </c>
      <c r="B45" s="90">
        <f t="shared" ref="B45:F45" si="3">B20/5</f>
        <v>1391653.4</v>
      </c>
      <c r="C45" s="90">
        <f t="shared" si="3"/>
        <v>617261.6</v>
      </c>
      <c r="D45" s="90">
        <f t="shared" si="3"/>
        <v>1093705.2</v>
      </c>
      <c r="E45" s="90">
        <f t="shared" si="3"/>
        <v>387100</v>
      </c>
      <c r="F45" s="90">
        <f t="shared" si="3"/>
        <v>1573767.4</v>
      </c>
    </row>
    <row r="46">
      <c r="A46" s="53" t="s">
        <v>1013</v>
      </c>
      <c r="B46" s="90">
        <f t="shared" ref="B46:F46" si="4">B20*(4/5)</f>
        <v>5566613.6</v>
      </c>
      <c r="C46" s="90">
        <f t="shared" si="4"/>
        <v>2469046.4</v>
      </c>
      <c r="D46" s="90">
        <f t="shared" si="4"/>
        <v>4374820.8</v>
      </c>
      <c r="E46" s="90">
        <f t="shared" si="4"/>
        <v>1548400</v>
      </c>
      <c r="F46" s="90">
        <f t="shared" si="4"/>
        <v>6295069.6</v>
      </c>
    </row>
    <row r="47">
      <c r="A47" s="53" t="s">
        <v>1014</v>
      </c>
      <c r="B47" s="90">
        <f t="shared" ref="B47:F47" si="5">(B20/5)+B21*(2/5)</f>
        <v>4074777</v>
      </c>
      <c r="C47" s="90">
        <f t="shared" si="5"/>
        <v>1764613.2</v>
      </c>
      <c r="D47" s="90">
        <f t="shared" si="5"/>
        <v>3033267.2</v>
      </c>
      <c r="E47" s="90">
        <f t="shared" si="5"/>
        <v>1099899.6</v>
      </c>
      <c r="F47" s="90">
        <f t="shared" si="5"/>
        <v>4361673</v>
      </c>
    </row>
    <row r="48">
      <c r="A48" s="53" t="s">
        <v>1015</v>
      </c>
      <c r="B48" s="90">
        <f t="shared" ref="B48:F48" si="6">B21*(3/5)</f>
        <v>4024685.4</v>
      </c>
      <c r="C48" s="90">
        <f t="shared" si="6"/>
        <v>1721027.4</v>
      </c>
      <c r="D48" s="90">
        <f t="shared" si="6"/>
        <v>2909343</v>
      </c>
      <c r="E48" s="90">
        <f t="shared" si="6"/>
        <v>1069199.4</v>
      </c>
      <c r="F48" s="90">
        <f t="shared" si="6"/>
        <v>4181858.4</v>
      </c>
    </row>
    <row r="49">
      <c r="A49" s="53" t="s">
        <v>1016</v>
      </c>
      <c r="B49" s="90">
        <f t="shared" ref="B49:F49" si="7">B22*(3/5)</f>
        <v>4057494</v>
      </c>
      <c r="C49" s="90">
        <f t="shared" si="7"/>
        <v>1641887.4</v>
      </c>
      <c r="D49" s="90">
        <f t="shared" si="7"/>
        <v>2614254</v>
      </c>
      <c r="E49" s="90">
        <f t="shared" si="7"/>
        <v>988707.6</v>
      </c>
      <c r="F49" s="90">
        <f t="shared" si="7"/>
        <v>3792249.6</v>
      </c>
    </row>
    <row r="50">
      <c r="A50" s="53" t="s">
        <v>1017</v>
      </c>
      <c r="B50" s="90">
        <f t="shared" ref="B50:F50" si="8">B22*(2/5)+B23*(1/5)</f>
        <v>3935619.4</v>
      </c>
      <c r="C50" s="90">
        <f t="shared" si="8"/>
        <v>1581664.4</v>
      </c>
      <c r="D50" s="90">
        <f t="shared" si="8"/>
        <v>2478911.4</v>
      </c>
      <c r="E50" s="90">
        <f t="shared" si="8"/>
        <v>972635.6</v>
      </c>
      <c r="F50" s="90">
        <f t="shared" si="8"/>
        <v>3648145.6</v>
      </c>
    </row>
    <row r="51">
      <c r="A51" s="53" t="s">
        <v>1018</v>
      </c>
      <c r="B51" s="90">
        <f t="shared" ref="B51:F51" si="9">B23*(4/5)</f>
        <v>4922493.6</v>
      </c>
      <c r="C51" s="90">
        <f t="shared" si="9"/>
        <v>1948291.2</v>
      </c>
      <c r="D51" s="90">
        <f t="shared" si="9"/>
        <v>2944301.6</v>
      </c>
      <c r="E51" s="90">
        <f t="shared" si="9"/>
        <v>1253988.8</v>
      </c>
      <c r="F51" s="90">
        <f t="shared" si="9"/>
        <v>4479916.8</v>
      </c>
    </row>
    <row r="52">
      <c r="A52" s="53" t="s">
        <v>1019</v>
      </c>
      <c r="B52" s="90">
        <f t="shared" ref="B52:F52" si="10">SUM(B24:B27)</f>
        <v>17012614</v>
      </c>
      <c r="C52" s="90">
        <f t="shared" si="10"/>
        <v>6061393</v>
      </c>
      <c r="D52" s="90">
        <f t="shared" si="10"/>
        <v>9857342</v>
      </c>
      <c r="E52" s="90">
        <f t="shared" si="10"/>
        <v>4441876</v>
      </c>
      <c r="F52" s="90">
        <f t="shared" si="10"/>
        <v>14201748</v>
      </c>
    </row>
    <row r="53">
      <c r="A53" s="53" t="s">
        <v>1020</v>
      </c>
      <c r="B53" s="90">
        <f t="shared" ref="B53:F53" si="11">SUM(B28:B29)</f>
        <v>4932685</v>
      </c>
      <c r="C53" s="90">
        <f t="shared" si="11"/>
        <v>1639294</v>
      </c>
      <c r="D53" s="90">
        <f t="shared" si="11"/>
        <v>2629518</v>
      </c>
      <c r="E53" s="90">
        <f t="shared" si="11"/>
        <v>1266701</v>
      </c>
      <c r="F53" s="90">
        <f t="shared" si="11"/>
        <v>3040583</v>
      </c>
    </row>
    <row r="54">
      <c r="A54" s="53" t="s">
        <v>1021</v>
      </c>
      <c r="B54" s="90">
        <f t="shared" ref="B54:F54" si="12">SUM(B30:B31)</f>
        <v>3023038</v>
      </c>
      <c r="C54" s="90">
        <f t="shared" si="12"/>
        <v>795026</v>
      </c>
      <c r="D54" s="90">
        <f t="shared" si="12"/>
        <v>1647919</v>
      </c>
      <c r="E54" s="90">
        <f t="shared" si="12"/>
        <v>709025</v>
      </c>
      <c r="F54" s="90">
        <f t="shared" si="12"/>
        <v>1884570</v>
      </c>
    </row>
    <row r="55">
      <c r="A55" s="53" t="s">
        <v>1022</v>
      </c>
      <c r="B55" s="90">
        <f t="shared" ref="B55:F55" si="13">SUM(B32:B33)</f>
        <v>1534607</v>
      </c>
      <c r="C55" s="90">
        <f t="shared" si="13"/>
        <v>424582</v>
      </c>
      <c r="D55" s="90">
        <f t="shared" si="13"/>
        <v>932871</v>
      </c>
      <c r="E55" s="90">
        <f t="shared" si="13"/>
        <v>489595</v>
      </c>
      <c r="F55" s="90">
        <f t="shared" si="13"/>
        <v>955158</v>
      </c>
    </row>
    <row r="56">
      <c r="A56" s="53" t="s">
        <v>1023</v>
      </c>
      <c r="B56" s="90">
        <f t="shared" ref="B56:F56" si="14">SUM(B34:B40)</f>
        <v>942848</v>
      </c>
      <c r="C56" s="90">
        <f t="shared" si="14"/>
        <v>358481</v>
      </c>
      <c r="D56" s="90">
        <f t="shared" si="14"/>
        <v>474797</v>
      </c>
      <c r="E56" s="90">
        <f t="shared" si="14"/>
        <v>254646</v>
      </c>
      <c r="F56" s="90">
        <f t="shared" si="14"/>
        <v>408602</v>
      </c>
    </row>
    <row r="58">
      <c r="A58" s="97" t="s">
        <v>1053</v>
      </c>
    </row>
    <row r="59">
      <c r="A59" s="53" t="s">
        <v>1012</v>
      </c>
      <c r="B59" s="99">
        <f t="shared" ref="B59:F59" si="15">B45/B$41</f>
        <v>0.02575825356</v>
      </c>
      <c r="C59" s="99">
        <f t="shared" si="15"/>
        <v>0.03025005359</v>
      </c>
      <c r="D59" s="99">
        <f t="shared" si="15"/>
        <v>0.03226521723</v>
      </c>
      <c r="E59" s="99">
        <f t="shared" si="15"/>
        <v>0.0274642748</v>
      </c>
      <c r="F59" s="99">
        <f t="shared" si="15"/>
        <v>0.03330754686</v>
      </c>
    </row>
    <row r="60">
      <c r="A60" s="53" t="s">
        <v>1013</v>
      </c>
      <c r="B60" s="99">
        <f t="shared" ref="B60:F60" si="16">B46/B$41</f>
        <v>0.1030330142</v>
      </c>
      <c r="C60" s="99">
        <f t="shared" si="16"/>
        <v>0.1210002144</v>
      </c>
      <c r="D60" s="99">
        <f t="shared" si="16"/>
        <v>0.1290608689</v>
      </c>
      <c r="E60" s="99">
        <f t="shared" si="16"/>
        <v>0.1098570992</v>
      </c>
      <c r="F60" s="99">
        <f t="shared" si="16"/>
        <v>0.1332301874</v>
      </c>
    </row>
    <row r="61">
      <c r="A61" s="53" t="s">
        <v>1014</v>
      </c>
      <c r="B61" s="99">
        <f t="shared" ref="B61:F61" si="17">B47/B$41</f>
        <v>0.07542045968</v>
      </c>
      <c r="C61" s="99">
        <f t="shared" si="17"/>
        <v>0.08647815426</v>
      </c>
      <c r="D61" s="99">
        <f t="shared" si="17"/>
        <v>0.08948391681</v>
      </c>
      <c r="E61" s="99">
        <f t="shared" si="17"/>
        <v>0.07803654061</v>
      </c>
      <c r="F61" s="99">
        <f t="shared" si="17"/>
        <v>0.09231137195</v>
      </c>
    </row>
    <row r="62">
      <c r="A62" s="53" t="s">
        <v>1015</v>
      </c>
      <c r="B62" s="99">
        <f t="shared" ref="B62:F62" si="18">B48/B$41</f>
        <v>0.07449330919</v>
      </c>
      <c r="C62" s="99">
        <f t="shared" si="18"/>
        <v>0.08434215101</v>
      </c>
      <c r="D62" s="99">
        <f t="shared" si="18"/>
        <v>0.08582804936</v>
      </c>
      <c r="E62" s="99">
        <f t="shared" si="18"/>
        <v>0.07585839871</v>
      </c>
      <c r="F62" s="99">
        <f t="shared" si="18"/>
        <v>0.08850573764</v>
      </c>
    </row>
    <row r="63">
      <c r="A63" s="53" t="s">
        <v>1016</v>
      </c>
      <c r="B63" s="99">
        <f t="shared" ref="B63:F63" si="19">B49/B$41</f>
        <v>0.07510056689</v>
      </c>
      <c r="C63" s="99">
        <f t="shared" si="19"/>
        <v>0.08046374801</v>
      </c>
      <c r="D63" s="99">
        <f t="shared" si="19"/>
        <v>0.07712267731</v>
      </c>
      <c r="E63" s="99">
        <f t="shared" si="19"/>
        <v>0.07014760327</v>
      </c>
      <c r="F63" s="99">
        <f t="shared" si="19"/>
        <v>0.08025997441</v>
      </c>
    </row>
    <row r="64">
      <c r="A64" s="53" t="s">
        <v>1017</v>
      </c>
      <c r="B64" s="99">
        <f t="shared" ref="B64:F64" si="20">B50/B$41</f>
        <v>0.07284477759</v>
      </c>
      <c r="C64" s="99">
        <f t="shared" si="20"/>
        <v>0.0775124078</v>
      </c>
      <c r="D64" s="99">
        <f t="shared" si="20"/>
        <v>0.07312995752</v>
      </c>
      <c r="E64" s="99">
        <f t="shared" si="20"/>
        <v>0.06900731439</v>
      </c>
      <c r="F64" s="99">
        <f t="shared" si="20"/>
        <v>0.0772101268</v>
      </c>
    </row>
    <row r="65">
      <c r="A65" s="53" t="s">
        <v>1018</v>
      </c>
      <c r="B65" s="99">
        <f t="shared" ref="B65:F65" si="21">B51/B$41</f>
        <v>0.09111093198</v>
      </c>
      <c r="C65" s="99">
        <f t="shared" si="21"/>
        <v>0.09547963652</v>
      </c>
      <c r="D65" s="99">
        <f t="shared" si="21"/>
        <v>0.08685935727</v>
      </c>
      <c r="E65" s="99">
        <f t="shared" si="21"/>
        <v>0.08896898218</v>
      </c>
      <c r="F65" s="99">
        <f t="shared" si="21"/>
        <v>0.0948139088</v>
      </c>
    </row>
    <row r="66">
      <c r="A66" s="53" t="s">
        <v>1019</v>
      </c>
      <c r="B66" s="99">
        <f t="shared" ref="B66:F66" si="22">B52/B$41</f>
        <v>0.3148881935</v>
      </c>
      <c r="C66" s="99">
        <f t="shared" si="22"/>
        <v>0.2970498458</v>
      </c>
      <c r="D66" s="99">
        <f t="shared" si="22"/>
        <v>0.2907998252</v>
      </c>
      <c r="E66" s="99">
        <f t="shared" si="22"/>
        <v>0.3151457068</v>
      </c>
      <c r="F66" s="99">
        <f t="shared" si="22"/>
        <v>0.3005688051</v>
      </c>
    </row>
    <row r="67">
      <c r="A67" s="53" t="s">
        <v>1020</v>
      </c>
      <c r="B67" s="99">
        <f t="shared" ref="B67:F67" si="23">B53/B$41</f>
        <v>0.09129956564</v>
      </c>
      <c r="C67" s="99">
        <f t="shared" si="23"/>
        <v>0.08033665361</v>
      </c>
      <c r="D67" s="99">
        <f t="shared" si="23"/>
        <v>0.07757297806</v>
      </c>
      <c r="E67" s="99">
        <f t="shared" si="23"/>
        <v>0.08987089733</v>
      </c>
      <c r="F67" s="99">
        <f t="shared" si="23"/>
        <v>0.06435154315</v>
      </c>
    </row>
    <row r="68">
      <c r="A68" s="53" t="s">
        <v>1021</v>
      </c>
      <c r="B68" s="99">
        <f t="shared" ref="B68:F68" si="24">B54/B$41</f>
        <v>0.05595371614</v>
      </c>
      <c r="C68" s="99">
        <f t="shared" si="24"/>
        <v>0.03896172888</v>
      </c>
      <c r="D68" s="99">
        <f t="shared" si="24"/>
        <v>0.0486149874</v>
      </c>
      <c r="E68" s="99">
        <f t="shared" si="24"/>
        <v>0.05030446252</v>
      </c>
      <c r="F68" s="99">
        <f t="shared" si="24"/>
        <v>0.03988543897</v>
      </c>
    </row>
    <row r="69">
      <c r="A69" s="53" t="s">
        <v>1022</v>
      </c>
      <c r="B69" s="99">
        <f t="shared" ref="B69:F69" si="25">B55/B$41</f>
        <v>0.0284041962</v>
      </c>
      <c r="C69" s="99">
        <f t="shared" si="25"/>
        <v>0.02080743117</v>
      </c>
      <c r="D69" s="99">
        <f t="shared" si="25"/>
        <v>0.02752047395</v>
      </c>
      <c r="E69" s="99">
        <f t="shared" si="25"/>
        <v>0.03473617056</v>
      </c>
      <c r="F69" s="99">
        <f t="shared" si="25"/>
        <v>0.02021516638</v>
      </c>
    </row>
    <row r="70">
      <c r="A70" s="53" t="s">
        <v>1023</v>
      </c>
      <c r="B70" s="99">
        <f t="shared" ref="B70:F70" si="26">B56/B$41</f>
        <v>0.01745126901</v>
      </c>
      <c r="C70" s="99">
        <f t="shared" si="26"/>
        <v>0.01756802863</v>
      </c>
      <c r="D70" s="99">
        <f t="shared" si="26"/>
        <v>0.01400690821</v>
      </c>
      <c r="E70" s="99">
        <f t="shared" si="26"/>
        <v>0.01806682439</v>
      </c>
      <c r="F70" s="99">
        <f t="shared" si="26"/>
        <v>0.008647739343</v>
      </c>
    </row>
    <row r="72">
      <c r="A72" s="50" t="s">
        <v>1054</v>
      </c>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row>
    <row r="74">
      <c r="A74" s="53" t="s">
        <v>86</v>
      </c>
      <c r="B74" s="182">
        <f>Baseline!B4</f>
        <v>4.2</v>
      </c>
      <c r="C74" s="182">
        <f>Baseline!C4</f>
        <v>4.5</v>
      </c>
      <c r="D74" s="182">
        <f>Baseline!D4</f>
        <v>4.4</v>
      </c>
      <c r="E74" s="182">
        <f>Baseline!E4</f>
        <v>4.3</v>
      </c>
      <c r="F74" s="182">
        <f>Baseline!F4</f>
        <v>4.8</v>
      </c>
    </row>
    <row r="75">
      <c r="A75" s="53" t="s">
        <v>1055</v>
      </c>
    </row>
    <row r="76">
      <c r="A76" s="53" t="s">
        <v>1012</v>
      </c>
      <c r="B76" s="186">
        <f t="shared" ref="B76:F76" si="27">B$74*B59</f>
        <v>0.1081846649</v>
      </c>
      <c r="C76" s="186">
        <f t="shared" si="27"/>
        <v>0.1361252412</v>
      </c>
      <c r="D76" s="186">
        <f t="shared" si="27"/>
        <v>0.1419669558</v>
      </c>
      <c r="E76" s="186">
        <f t="shared" si="27"/>
        <v>0.1180963817</v>
      </c>
      <c r="F76" s="186">
        <f t="shared" si="27"/>
        <v>0.1598762249</v>
      </c>
    </row>
    <row r="77">
      <c r="A77" s="53" t="s">
        <v>1013</v>
      </c>
      <c r="B77" s="186">
        <f t="shared" ref="B77:F77" si="28">B$74*B60</f>
        <v>0.4327386597</v>
      </c>
      <c r="C77" s="186">
        <f t="shared" si="28"/>
        <v>0.5445009646</v>
      </c>
      <c r="D77" s="186">
        <f t="shared" si="28"/>
        <v>0.5678678233</v>
      </c>
      <c r="E77" s="186">
        <f t="shared" si="28"/>
        <v>0.4723855266</v>
      </c>
      <c r="F77" s="186">
        <f t="shared" si="28"/>
        <v>0.6395048997</v>
      </c>
    </row>
    <row r="78">
      <c r="A78" s="53" t="s">
        <v>1014</v>
      </c>
      <c r="B78" s="186">
        <f t="shared" ref="B78:F78" si="29">B$74*B61</f>
        <v>0.3167659307</v>
      </c>
      <c r="C78" s="186">
        <f t="shared" si="29"/>
        <v>0.3891516942</v>
      </c>
      <c r="D78" s="186">
        <f t="shared" si="29"/>
        <v>0.393729234</v>
      </c>
      <c r="E78" s="186">
        <f t="shared" si="29"/>
        <v>0.3355571246</v>
      </c>
      <c r="F78" s="186">
        <f t="shared" si="29"/>
        <v>0.4430945854</v>
      </c>
    </row>
    <row r="79">
      <c r="A79" s="53" t="s">
        <v>1015</v>
      </c>
      <c r="B79" s="186">
        <f t="shared" ref="B79:F79" si="30">B$74*B62</f>
        <v>0.3128718986</v>
      </c>
      <c r="C79" s="186">
        <f t="shared" si="30"/>
        <v>0.3795396795</v>
      </c>
      <c r="D79" s="186">
        <f t="shared" si="30"/>
        <v>0.3776434172</v>
      </c>
      <c r="E79" s="186">
        <f t="shared" si="30"/>
        <v>0.3261911145</v>
      </c>
      <c r="F79" s="186">
        <f t="shared" si="30"/>
        <v>0.4248275407</v>
      </c>
    </row>
    <row r="80">
      <c r="A80" s="53" t="s">
        <v>1016</v>
      </c>
      <c r="B80" s="186">
        <f t="shared" ref="B80:F80" si="31">B$74*B63</f>
        <v>0.3154223809</v>
      </c>
      <c r="C80" s="186">
        <f t="shared" si="31"/>
        <v>0.362086866</v>
      </c>
      <c r="D80" s="186">
        <f t="shared" si="31"/>
        <v>0.3393397802</v>
      </c>
      <c r="E80" s="186">
        <f t="shared" si="31"/>
        <v>0.3016346941</v>
      </c>
      <c r="F80" s="186">
        <f t="shared" si="31"/>
        <v>0.3852478772</v>
      </c>
    </row>
    <row r="81">
      <c r="A81" s="53" t="s">
        <v>1017</v>
      </c>
      <c r="B81" s="186">
        <f t="shared" ref="B81:F81" si="32">B$74*B64</f>
        <v>0.3059480659</v>
      </c>
      <c r="C81" s="186">
        <f t="shared" si="32"/>
        <v>0.3488058351</v>
      </c>
      <c r="D81" s="186">
        <f t="shared" si="32"/>
        <v>0.3217718131</v>
      </c>
      <c r="E81" s="186">
        <f t="shared" si="32"/>
        <v>0.2967314519</v>
      </c>
      <c r="F81" s="186">
        <f t="shared" si="32"/>
        <v>0.3706086087</v>
      </c>
    </row>
    <row r="82">
      <c r="A82" s="53" t="s">
        <v>1018</v>
      </c>
      <c r="B82" s="186">
        <f t="shared" ref="B82:F82" si="33">B$74*B65</f>
        <v>0.3826659143</v>
      </c>
      <c r="C82" s="186">
        <f t="shared" si="33"/>
        <v>0.4296583643</v>
      </c>
      <c r="D82" s="186">
        <f t="shared" si="33"/>
        <v>0.382181172</v>
      </c>
      <c r="E82" s="186">
        <f t="shared" si="33"/>
        <v>0.3825666234</v>
      </c>
      <c r="F82" s="186">
        <f t="shared" si="33"/>
        <v>0.4551067622</v>
      </c>
    </row>
    <row r="83">
      <c r="A83" s="53" t="s">
        <v>1019</v>
      </c>
      <c r="B83" s="186">
        <f t="shared" ref="B83:F83" si="34">B$74*B66</f>
        <v>1.322530413</v>
      </c>
      <c r="C83" s="186">
        <f t="shared" si="34"/>
        <v>1.336724306</v>
      </c>
      <c r="D83" s="186">
        <f t="shared" si="34"/>
        <v>1.279519231</v>
      </c>
      <c r="E83" s="186">
        <f t="shared" si="34"/>
        <v>1.355126539</v>
      </c>
      <c r="F83" s="186">
        <f t="shared" si="34"/>
        <v>1.442730265</v>
      </c>
    </row>
    <row r="84">
      <c r="A84" s="53" t="s">
        <v>1020</v>
      </c>
      <c r="B84" s="186">
        <f t="shared" ref="B84:F84" si="35">B$74*B67</f>
        <v>0.3834581757</v>
      </c>
      <c r="C84" s="186">
        <f t="shared" si="35"/>
        <v>0.3615149413</v>
      </c>
      <c r="D84" s="186">
        <f t="shared" si="35"/>
        <v>0.3413211035</v>
      </c>
      <c r="E84" s="186">
        <f t="shared" si="35"/>
        <v>0.3864448585</v>
      </c>
      <c r="F84" s="186">
        <f t="shared" si="35"/>
        <v>0.3088874071</v>
      </c>
    </row>
    <row r="85">
      <c r="A85" s="53" t="s">
        <v>1021</v>
      </c>
      <c r="B85" s="186">
        <f t="shared" ref="B85:F85" si="36">B$74*B68</f>
        <v>0.2350056078</v>
      </c>
      <c r="C85" s="186">
        <f t="shared" si="36"/>
        <v>0.1753277799</v>
      </c>
      <c r="D85" s="186">
        <f t="shared" si="36"/>
        <v>0.2139059446</v>
      </c>
      <c r="E85" s="186">
        <f t="shared" si="36"/>
        <v>0.2163091888</v>
      </c>
      <c r="F85" s="186">
        <f t="shared" si="36"/>
        <v>0.191450107</v>
      </c>
    </row>
    <row r="86">
      <c r="A86" s="53" t="s">
        <v>1022</v>
      </c>
      <c r="B86" s="186">
        <f t="shared" ref="B86:F86" si="37">B$74*B69</f>
        <v>0.119297624</v>
      </c>
      <c r="C86" s="186">
        <f t="shared" si="37"/>
        <v>0.09363344024</v>
      </c>
      <c r="D86" s="186">
        <f t="shared" si="37"/>
        <v>0.1210900854</v>
      </c>
      <c r="E86" s="186">
        <f t="shared" si="37"/>
        <v>0.1493655334</v>
      </c>
      <c r="F86" s="186">
        <f t="shared" si="37"/>
        <v>0.09703279864</v>
      </c>
    </row>
    <row r="87">
      <c r="A87" s="53" t="s">
        <v>1023</v>
      </c>
      <c r="B87" s="186">
        <f t="shared" ref="B87:F87" si="38">B$74*B70</f>
        <v>0.07329532983</v>
      </c>
      <c r="C87" s="186">
        <f t="shared" si="38"/>
        <v>0.07905612883</v>
      </c>
      <c r="D87" s="186">
        <f t="shared" si="38"/>
        <v>0.06163039613</v>
      </c>
      <c r="E87" s="186">
        <f t="shared" si="38"/>
        <v>0.07768734488</v>
      </c>
      <c r="F87" s="186">
        <f t="shared" si="38"/>
        <v>0.04150914884</v>
      </c>
    </row>
    <row r="88">
      <c r="A88" s="53" t="s">
        <v>1056</v>
      </c>
      <c r="B88" s="214">
        <f>SUMPRODUCT(B4:B15,B76:B87)</f>
        <v>3.566311865</v>
      </c>
      <c r="C88" s="214"/>
      <c r="D88" s="214"/>
      <c r="E88" s="214">
        <f t="shared" ref="E88:F88" si="39">SUMPRODUCT(E4:E15,E76:E87)</f>
        <v>3.979377391</v>
      </c>
      <c r="F88" s="214">
        <f t="shared" si="39"/>
        <v>4.421733941</v>
      </c>
    </row>
    <row r="90">
      <c r="A90" s="191" t="s">
        <v>1057</v>
      </c>
      <c r="B90" s="99">
        <f>B88/B74</f>
        <v>0.8491218725</v>
      </c>
      <c r="C90" s="25" t="s">
        <v>1058</v>
      </c>
      <c r="D90" s="25" t="s">
        <v>1058</v>
      </c>
      <c r="E90" s="99">
        <f t="shared" ref="E90:F90" si="40">E88/E74</f>
        <v>0.9254366026</v>
      </c>
      <c r="F90" s="99">
        <f t="shared" si="40"/>
        <v>0.9211945711</v>
      </c>
    </row>
    <row r="92">
      <c r="B92" s="366"/>
    </row>
  </sheetData>
  <hyperlinks>
    <hyperlink r:id="rId1" ref="B2"/>
    <hyperlink r:id="rId2" ref="C2"/>
    <hyperlink r:id="rId3" ref="D2"/>
    <hyperlink r:id="rId4" ref="E2"/>
    <hyperlink r:id="rId5" ref="F2"/>
    <hyperlink r:id="rId6" ref="A18"/>
  </hyperlinks>
  <drawing r:id="rId7"/>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sheetPr>
  <sheetViews>
    <sheetView workbookViewId="0"/>
  </sheetViews>
  <sheetFormatPr customHeight="1" defaultColWidth="17.29" defaultRowHeight="15.0"/>
  <cols>
    <col customWidth="1" min="1" max="1" width="28.43"/>
    <col customWidth="1" min="2" max="2" width="23.71"/>
    <col customWidth="1" min="3" max="3" width="22.86"/>
    <col customWidth="1" min="9" max="9" width="29.43"/>
    <col customWidth="1" min="10" max="10" width="18.86"/>
  </cols>
  <sheetData>
    <row r="1">
      <c r="A1" s="50" t="s">
        <v>62</v>
      </c>
      <c r="B1" s="52"/>
      <c r="C1" s="52"/>
      <c r="D1" s="52"/>
      <c r="E1" s="52"/>
      <c r="F1" s="52"/>
      <c r="G1" s="52"/>
      <c r="H1" s="52"/>
      <c r="I1" s="52"/>
      <c r="J1" s="52"/>
      <c r="K1" s="52"/>
      <c r="L1" s="52"/>
      <c r="M1" s="52"/>
      <c r="N1" s="52"/>
      <c r="O1" s="52"/>
      <c r="P1" s="52"/>
      <c r="Q1" s="52"/>
      <c r="R1" s="52"/>
      <c r="S1" s="52"/>
      <c r="T1" s="52"/>
      <c r="U1" s="52"/>
      <c r="V1" s="52"/>
      <c r="W1" s="52"/>
      <c r="X1" s="52"/>
      <c r="Y1" s="52"/>
      <c r="Z1" s="52"/>
    </row>
    <row r="2">
      <c r="A2" s="198" t="s">
        <v>1059</v>
      </c>
    </row>
    <row r="3">
      <c r="A3" s="367" t="s">
        <v>1060</v>
      </c>
      <c r="B3" s="368" t="s">
        <v>72</v>
      </c>
      <c r="C3" s="367" t="s">
        <v>1061</v>
      </c>
      <c r="D3" s="369" t="s">
        <v>1062</v>
      </c>
      <c r="E3" s="368" t="s">
        <v>1063</v>
      </c>
      <c r="F3" s="368" t="s">
        <v>1064</v>
      </c>
      <c r="G3" s="368" t="s">
        <v>1065</v>
      </c>
      <c r="H3" s="368" t="s">
        <v>1066</v>
      </c>
      <c r="I3" s="368" t="s">
        <v>1067</v>
      </c>
      <c r="J3" s="368" t="s">
        <v>1068</v>
      </c>
      <c r="K3" s="191" t="s">
        <v>1069</v>
      </c>
      <c r="L3" s="191" t="s">
        <v>1070</v>
      </c>
      <c r="M3" s="191" t="s">
        <v>156</v>
      </c>
    </row>
    <row r="4">
      <c r="A4" s="370" t="s">
        <v>1071</v>
      </c>
      <c r="B4" s="371" t="s">
        <v>622</v>
      </c>
      <c r="C4" s="372" t="s">
        <v>1072</v>
      </c>
      <c r="D4" s="373">
        <v>2009.0</v>
      </c>
      <c r="E4" s="371" t="s">
        <v>1073</v>
      </c>
      <c r="F4" s="371" t="s">
        <v>1074</v>
      </c>
      <c r="G4" s="371" t="s">
        <v>1075</v>
      </c>
      <c r="H4" s="374">
        <v>0.78</v>
      </c>
      <c r="I4" s="371" t="s">
        <v>1076</v>
      </c>
      <c r="J4" s="371" t="s">
        <v>1077</v>
      </c>
      <c r="K4" s="53" t="s">
        <v>1078</v>
      </c>
      <c r="L4" s="25">
        <v>1.78</v>
      </c>
      <c r="M4" s="53" t="s">
        <v>1079</v>
      </c>
    </row>
    <row r="5">
      <c r="A5" s="370" t="s">
        <v>1080</v>
      </c>
      <c r="B5" s="371" t="s">
        <v>622</v>
      </c>
      <c r="C5" s="372" t="s">
        <v>1072</v>
      </c>
      <c r="D5" s="373" t="s">
        <v>1081</v>
      </c>
      <c r="E5" s="372" t="s">
        <v>1082</v>
      </c>
      <c r="F5" s="371" t="s">
        <v>1083</v>
      </c>
      <c r="G5" s="371" t="s">
        <v>1075</v>
      </c>
      <c r="H5" s="374">
        <v>1.04</v>
      </c>
      <c r="I5" s="371" t="s">
        <v>1084</v>
      </c>
      <c r="J5" s="371" t="s">
        <v>1077</v>
      </c>
      <c r="K5" s="53" t="s">
        <v>1085</v>
      </c>
      <c r="L5" s="25">
        <v>1.04</v>
      </c>
    </row>
    <row r="6">
      <c r="A6" s="370" t="s">
        <v>1086</v>
      </c>
      <c r="B6" s="371" t="s">
        <v>513</v>
      </c>
      <c r="C6" s="372" t="s">
        <v>1087</v>
      </c>
      <c r="D6" s="373">
        <v>2007.0</v>
      </c>
      <c r="E6" s="372" t="s">
        <v>1082</v>
      </c>
      <c r="F6" s="371" t="s">
        <v>1074</v>
      </c>
      <c r="G6" s="371" t="s">
        <v>1088</v>
      </c>
      <c r="H6" s="374" t="s">
        <v>1089</v>
      </c>
      <c r="I6" s="371" t="s">
        <v>1090</v>
      </c>
      <c r="J6" s="371" t="s">
        <v>1077</v>
      </c>
      <c r="K6" s="53" t="s">
        <v>1091</v>
      </c>
      <c r="L6" s="25">
        <v>1.42</v>
      </c>
      <c r="M6" s="53" t="s">
        <v>1092</v>
      </c>
    </row>
    <row r="7">
      <c r="A7" s="370" t="s">
        <v>1093</v>
      </c>
      <c r="B7" s="371" t="s">
        <v>893</v>
      </c>
      <c r="C7" s="372" t="s">
        <v>1094</v>
      </c>
      <c r="D7" s="373">
        <v>2014.0</v>
      </c>
      <c r="E7" s="372" t="s">
        <v>1095</v>
      </c>
      <c r="F7" s="371" t="s">
        <v>35</v>
      </c>
      <c r="G7" s="371" t="s">
        <v>1075</v>
      </c>
      <c r="H7" s="374" t="s">
        <v>1096</v>
      </c>
      <c r="I7" s="371" t="s">
        <v>1097</v>
      </c>
      <c r="J7" s="371" t="s">
        <v>1077</v>
      </c>
      <c r="K7" s="53" t="s">
        <v>1098</v>
      </c>
      <c r="L7" s="25">
        <v>2.13</v>
      </c>
    </row>
    <row r="8">
      <c r="A8" s="370" t="s">
        <v>1086</v>
      </c>
      <c r="B8" s="371" t="s">
        <v>75</v>
      </c>
      <c r="C8" s="372" t="s">
        <v>1099</v>
      </c>
      <c r="D8" s="373">
        <v>2004.0</v>
      </c>
      <c r="E8" s="371" t="s">
        <v>1082</v>
      </c>
      <c r="F8" s="371" t="s">
        <v>35</v>
      </c>
      <c r="G8" s="371" t="s">
        <v>1088</v>
      </c>
      <c r="H8" s="374" t="s">
        <v>1100</v>
      </c>
      <c r="I8" s="371" t="s">
        <v>1090</v>
      </c>
      <c r="J8" s="371" t="s">
        <v>1077</v>
      </c>
      <c r="K8" s="53" t="s">
        <v>1101</v>
      </c>
      <c r="L8" s="25">
        <v>1.47</v>
      </c>
      <c r="M8" s="53" t="s">
        <v>1092</v>
      </c>
    </row>
    <row r="9">
      <c r="A9" s="370" t="s">
        <v>1102</v>
      </c>
      <c r="B9" s="371" t="s">
        <v>591</v>
      </c>
      <c r="C9" s="371" t="s">
        <v>1103</v>
      </c>
      <c r="D9" s="373">
        <v>2009.0</v>
      </c>
      <c r="E9" s="371" t="s">
        <v>1104</v>
      </c>
      <c r="F9" s="371" t="s">
        <v>1105</v>
      </c>
      <c r="G9" s="371" t="s">
        <v>1075</v>
      </c>
      <c r="H9" s="374" t="s">
        <v>1106</v>
      </c>
      <c r="I9" s="371" t="s">
        <v>1107</v>
      </c>
      <c r="J9" s="371" t="s">
        <v>1077</v>
      </c>
      <c r="K9" s="53" t="s">
        <v>1108</v>
      </c>
      <c r="L9" s="182"/>
      <c r="M9" s="53" t="s">
        <v>1109</v>
      </c>
    </row>
    <row r="10">
      <c r="A10" s="370" t="s">
        <v>1110</v>
      </c>
      <c r="B10" s="372" t="s">
        <v>622</v>
      </c>
      <c r="C10" s="371" t="s">
        <v>1111</v>
      </c>
      <c r="D10" s="373">
        <v>2020.0</v>
      </c>
      <c r="E10" s="371" t="s">
        <v>1112</v>
      </c>
      <c r="F10" s="371" t="s">
        <v>1113</v>
      </c>
      <c r="G10" s="371" t="s">
        <v>1114</v>
      </c>
      <c r="H10" s="374" t="s">
        <v>1115</v>
      </c>
      <c r="I10" s="371" t="s">
        <v>1116</v>
      </c>
      <c r="J10" s="371" t="s">
        <v>1117</v>
      </c>
      <c r="K10" s="53" t="s">
        <v>1118</v>
      </c>
      <c r="L10" s="212">
        <v>1.0</v>
      </c>
      <c r="M10" s="53" t="s">
        <v>1119</v>
      </c>
    </row>
    <row r="11">
      <c r="A11" s="370" t="s">
        <v>1120</v>
      </c>
      <c r="B11" s="371" t="s">
        <v>622</v>
      </c>
      <c r="C11" s="371" t="s">
        <v>1072</v>
      </c>
      <c r="D11" s="373" t="s">
        <v>1121</v>
      </c>
      <c r="E11" s="371" t="s">
        <v>1122</v>
      </c>
      <c r="F11" s="371" t="s">
        <v>35</v>
      </c>
      <c r="G11" s="371" t="s">
        <v>1123</v>
      </c>
      <c r="H11" s="374" t="s">
        <v>1124</v>
      </c>
      <c r="I11" s="371" t="s">
        <v>1125</v>
      </c>
      <c r="J11" s="371" t="s">
        <v>1117</v>
      </c>
      <c r="K11" s="53" t="s">
        <v>1126</v>
      </c>
      <c r="L11" s="182"/>
      <c r="M11" s="53" t="s">
        <v>1127</v>
      </c>
    </row>
    <row r="12">
      <c r="A12" s="370" t="s">
        <v>1128</v>
      </c>
      <c r="B12" s="371" t="s">
        <v>622</v>
      </c>
      <c r="C12" s="371" t="s">
        <v>1072</v>
      </c>
      <c r="D12" s="373" t="s">
        <v>1129</v>
      </c>
      <c r="E12" s="371" t="s">
        <v>1130</v>
      </c>
      <c r="F12" s="371" t="s">
        <v>1131</v>
      </c>
      <c r="G12" s="371" t="s">
        <v>1132</v>
      </c>
      <c r="H12" s="374" t="s">
        <v>1133</v>
      </c>
      <c r="I12" s="371" t="s">
        <v>1134</v>
      </c>
      <c r="J12" s="371" t="s">
        <v>1117</v>
      </c>
      <c r="L12" s="182"/>
      <c r="M12" s="53" t="s">
        <v>1109</v>
      </c>
    </row>
    <row r="13">
      <c r="A13" s="370" t="s">
        <v>1135</v>
      </c>
      <c r="B13" s="371" t="s">
        <v>631</v>
      </c>
      <c r="C13" s="371" t="s">
        <v>1136</v>
      </c>
      <c r="D13" s="373" t="s">
        <v>1137</v>
      </c>
      <c r="E13" s="371" t="s">
        <v>1138</v>
      </c>
      <c r="F13" s="371" t="s">
        <v>35</v>
      </c>
      <c r="G13" s="371" t="s">
        <v>1139</v>
      </c>
      <c r="H13" s="374" t="s">
        <v>1140</v>
      </c>
      <c r="I13" s="371" t="s">
        <v>1141</v>
      </c>
      <c r="J13" s="371" t="s">
        <v>1117</v>
      </c>
      <c r="L13" s="182"/>
      <c r="M13" s="53" t="s">
        <v>1109</v>
      </c>
    </row>
    <row r="14">
      <c r="A14" s="370" t="s">
        <v>1142</v>
      </c>
      <c r="B14" s="371" t="s">
        <v>336</v>
      </c>
      <c r="C14" s="371" t="s">
        <v>1143</v>
      </c>
      <c r="D14" s="375">
        <v>2012.0</v>
      </c>
      <c r="E14" s="371" t="s">
        <v>1144</v>
      </c>
      <c r="F14" s="371" t="s">
        <v>1074</v>
      </c>
      <c r="G14" s="371" t="s">
        <v>1145</v>
      </c>
      <c r="H14" s="374" t="s">
        <v>1146</v>
      </c>
      <c r="I14" s="371" t="s">
        <v>1147</v>
      </c>
      <c r="J14" s="371" t="s">
        <v>1117</v>
      </c>
      <c r="K14" s="53" t="s">
        <v>1148</v>
      </c>
      <c r="M14" s="53" t="s">
        <v>1149</v>
      </c>
    </row>
    <row r="15">
      <c r="A15" s="370" t="s">
        <v>1150</v>
      </c>
      <c r="B15" s="371" t="s">
        <v>336</v>
      </c>
      <c r="C15" s="371" t="s">
        <v>1151</v>
      </c>
      <c r="D15" s="375">
        <v>2011.0</v>
      </c>
      <c r="E15" s="371" t="s">
        <v>1144</v>
      </c>
      <c r="F15" s="371" t="s">
        <v>1074</v>
      </c>
      <c r="G15" s="371" t="s">
        <v>1145</v>
      </c>
      <c r="H15" s="374" t="s">
        <v>1152</v>
      </c>
      <c r="I15" s="371" t="s">
        <v>1147</v>
      </c>
      <c r="J15" s="371" t="s">
        <v>1117</v>
      </c>
      <c r="K15" s="53" t="s">
        <v>1153</v>
      </c>
      <c r="L15" s="25">
        <v>1.54</v>
      </c>
      <c r="M15" s="53" t="s">
        <v>1154</v>
      </c>
    </row>
    <row r="16">
      <c r="A16" s="370" t="s">
        <v>1155</v>
      </c>
      <c r="B16" s="371" t="s">
        <v>513</v>
      </c>
      <c r="C16" s="371" t="s">
        <v>1087</v>
      </c>
      <c r="D16" s="375" t="s">
        <v>1156</v>
      </c>
      <c r="E16" s="371" t="s">
        <v>1144</v>
      </c>
      <c r="F16" s="371" t="s">
        <v>1074</v>
      </c>
      <c r="G16" s="371" t="s">
        <v>1145</v>
      </c>
      <c r="H16" s="374" t="s">
        <v>1157</v>
      </c>
      <c r="I16" s="371" t="s">
        <v>1147</v>
      </c>
      <c r="J16" s="371" t="s">
        <v>1117</v>
      </c>
      <c r="K16" s="53" t="s">
        <v>1158</v>
      </c>
      <c r="L16" s="25">
        <v>1.5</v>
      </c>
    </row>
    <row r="17">
      <c r="A17" s="370" t="s">
        <v>1159</v>
      </c>
      <c r="B17" s="371" t="s">
        <v>74</v>
      </c>
      <c r="C17" s="371" t="s">
        <v>1160</v>
      </c>
      <c r="D17" s="375">
        <v>2011.0</v>
      </c>
      <c r="E17" s="371" t="s">
        <v>1144</v>
      </c>
      <c r="F17" s="371" t="s">
        <v>1074</v>
      </c>
      <c r="G17" s="371" t="s">
        <v>1145</v>
      </c>
      <c r="H17" s="374" t="s">
        <v>1161</v>
      </c>
      <c r="I17" s="371" t="s">
        <v>1147</v>
      </c>
      <c r="J17" s="371" t="s">
        <v>1117</v>
      </c>
      <c r="K17" s="53" t="s">
        <v>1162</v>
      </c>
      <c r="L17" s="25">
        <v>1.22</v>
      </c>
    </row>
    <row r="18">
      <c r="A18" s="370" t="s">
        <v>1163</v>
      </c>
      <c r="B18" s="371" t="s">
        <v>74</v>
      </c>
      <c r="C18" s="371" t="s">
        <v>1164</v>
      </c>
      <c r="D18" s="375" t="s">
        <v>1165</v>
      </c>
      <c r="E18" s="371" t="s">
        <v>1166</v>
      </c>
      <c r="F18" s="371" t="s">
        <v>1083</v>
      </c>
      <c r="G18" s="371" t="s">
        <v>1167</v>
      </c>
      <c r="H18" s="374" t="s">
        <v>1168</v>
      </c>
      <c r="I18" s="371" t="s">
        <v>1169</v>
      </c>
      <c r="J18" s="371" t="s">
        <v>1117</v>
      </c>
      <c r="K18" s="53" t="s">
        <v>1170</v>
      </c>
      <c r="L18" s="25">
        <v>2.5</v>
      </c>
    </row>
    <row r="19">
      <c r="A19" s="370" t="s">
        <v>1150</v>
      </c>
      <c r="B19" s="371" t="s">
        <v>74</v>
      </c>
      <c r="C19" s="371" t="s">
        <v>1171</v>
      </c>
      <c r="D19" s="375" t="s">
        <v>1172</v>
      </c>
      <c r="E19" s="371" t="s">
        <v>1144</v>
      </c>
      <c r="F19" s="371" t="s">
        <v>1074</v>
      </c>
      <c r="G19" s="371" t="s">
        <v>1167</v>
      </c>
      <c r="H19" s="374" t="s">
        <v>1173</v>
      </c>
      <c r="I19" s="371" t="s">
        <v>1147</v>
      </c>
      <c r="J19" s="371" t="s">
        <v>1117</v>
      </c>
      <c r="K19" s="53" t="s">
        <v>1153</v>
      </c>
      <c r="L19" s="25">
        <v>1.08</v>
      </c>
      <c r="M19" s="53" t="s">
        <v>1174</v>
      </c>
    </row>
    <row r="20">
      <c r="A20" s="370" t="s">
        <v>1150</v>
      </c>
      <c r="B20" s="371" t="s">
        <v>337</v>
      </c>
      <c r="C20" s="371" t="s">
        <v>1175</v>
      </c>
      <c r="D20" s="375">
        <v>2009.0</v>
      </c>
      <c r="E20" s="371" t="s">
        <v>1144</v>
      </c>
      <c r="F20" s="371" t="s">
        <v>1074</v>
      </c>
      <c r="G20" s="371" t="s">
        <v>1145</v>
      </c>
      <c r="H20" s="374" t="s">
        <v>1176</v>
      </c>
      <c r="I20" s="371" t="s">
        <v>1147</v>
      </c>
      <c r="J20" s="371" t="s">
        <v>1117</v>
      </c>
      <c r="K20" s="53" t="s">
        <v>1153</v>
      </c>
      <c r="L20" s="25">
        <v>1.36</v>
      </c>
      <c r="M20" s="53" t="s">
        <v>1174</v>
      </c>
    </row>
    <row r="21">
      <c r="A21" s="370" t="s">
        <v>1177</v>
      </c>
      <c r="B21" s="371" t="s">
        <v>337</v>
      </c>
      <c r="C21" s="371" t="s">
        <v>1175</v>
      </c>
      <c r="D21" s="375">
        <v>2009.0</v>
      </c>
      <c r="E21" s="371" t="s">
        <v>1144</v>
      </c>
      <c r="F21" s="371" t="s">
        <v>1074</v>
      </c>
      <c r="G21" s="371" t="s">
        <v>1145</v>
      </c>
      <c r="H21" s="374" t="s">
        <v>1178</v>
      </c>
      <c r="I21" s="371" t="s">
        <v>1147</v>
      </c>
      <c r="J21" s="371" t="s">
        <v>1117</v>
      </c>
      <c r="K21" s="53" t="s">
        <v>1179</v>
      </c>
      <c r="L21" s="25">
        <v>1.53</v>
      </c>
    </row>
    <row r="22">
      <c r="A22" s="370" t="s">
        <v>1150</v>
      </c>
      <c r="B22" s="371" t="s">
        <v>75</v>
      </c>
      <c r="C22" s="371" t="s">
        <v>1099</v>
      </c>
      <c r="D22" s="375">
        <v>2006.0</v>
      </c>
      <c r="E22" s="371" t="s">
        <v>1144</v>
      </c>
      <c r="F22" s="371" t="s">
        <v>1074</v>
      </c>
      <c r="G22" s="371" t="s">
        <v>1145</v>
      </c>
      <c r="H22" s="374" t="s">
        <v>1180</v>
      </c>
      <c r="I22" s="371" t="s">
        <v>1147</v>
      </c>
      <c r="J22" s="371" t="s">
        <v>1117</v>
      </c>
      <c r="K22" s="53" t="s">
        <v>1153</v>
      </c>
      <c r="L22" s="25">
        <v>1.18</v>
      </c>
      <c r="M22" s="53" t="s">
        <v>1174</v>
      </c>
    </row>
    <row r="23">
      <c r="A23" s="370" t="s">
        <v>1181</v>
      </c>
      <c r="B23" s="371" t="s">
        <v>75</v>
      </c>
      <c r="C23" s="371" t="s">
        <v>1182</v>
      </c>
      <c r="D23" s="375" t="s">
        <v>1183</v>
      </c>
      <c r="E23" s="371" t="s">
        <v>1073</v>
      </c>
      <c r="F23" s="371" t="s">
        <v>35</v>
      </c>
      <c r="G23" s="371" t="s">
        <v>1184</v>
      </c>
      <c r="H23" s="374" t="s">
        <v>1185</v>
      </c>
      <c r="I23" s="371" t="s">
        <v>1186</v>
      </c>
      <c r="J23" s="371" t="s">
        <v>1117</v>
      </c>
      <c r="K23" s="53" t="s">
        <v>1187</v>
      </c>
      <c r="L23" s="25">
        <v>2.02</v>
      </c>
      <c r="M23" s="53" t="s">
        <v>1188</v>
      </c>
    </row>
    <row r="24">
      <c r="A24" s="370" t="s">
        <v>1189</v>
      </c>
      <c r="B24" s="371" t="s">
        <v>77</v>
      </c>
      <c r="C24" s="371" t="s">
        <v>1190</v>
      </c>
      <c r="D24" s="375" t="s">
        <v>1191</v>
      </c>
      <c r="E24" s="371" t="s">
        <v>1144</v>
      </c>
      <c r="F24" s="371" t="s">
        <v>35</v>
      </c>
      <c r="G24" s="371" t="s">
        <v>1192</v>
      </c>
      <c r="H24" s="374" t="s">
        <v>1193</v>
      </c>
      <c r="I24" s="371" t="s">
        <v>1194</v>
      </c>
      <c r="J24" s="371" t="s">
        <v>1117</v>
      </c>
      <c r="K24" s="53" t="s">
        <v>1195</v>
      </c>
      <c r="L24" s="25">
        <v>1.73</v>
      </c>
      <c r="M24" s="53" t="s">
        <v>1196</v>
      </c>
    </row>
    <row r="25">
      <c r="A25" s="370" t="s">
        <v>1155</v>
      </c>
      <c r="B25" s="371" t="s">
        <v>340</v>
      </c>
      <c r="C25" s="371" t="s">
        <v>1175</v>
      </c>
      <c r="D25" s="375" t="s">
        <v>1156</v>
      </c>
      <c r="E25" s="371" t="s">
        <v>1144</v>
      </c>
      <c r="F25" s="371" t="s">
        <v>1074</v>
      </c>
      <c r="G25" s="371" t="s">
        <v>1145</v>
      </c>
      <c r="H25" s="374" t="s">
        <v>1197</v>
      </c>
      <c r="I25" s="371" t="s">
        <v>1147</v>
      </c>
      <c r="J25" s="371" t="s">
        <v>1117</v>
      </c>
      <c r="K25" s="53" t="s">
        <v>1198</v>
      </c>
      <c r="L25" s="25">
        <v>1.34</v>
      </c>
    </row>
    <row r="26">
      <c r="A26" s="370" t="s">
        <v>1150</v>
      </c>
      <c r="B26" s="371" t="s">
        <v>341</v>
      </c>
      <c r="C26" s="371" t="s">
        <v>1199</v>
      </c>
      <c r="D26" s="375">
        <v>2011.0</v>
      </c>
      <c r="E26" s="371" t="s">
        <v>1144</v>
      </c>
      <c r="F26" s="371" t="s">
        <v>1074</v>
      </c>
      <c r="G26" s="371" t="s">
        <v>1145</v>
      </c>
      <c r="H26" s="374" t="s">
        <v>1200</v>
      </c>
      <c r="I26" s="371" t="s">
        <v>1147</v>
      </c>
      <c r="J26" s="371" t="s">
        <v>1117</v>
      </c>
      <c r="K26" s="53" t="s">
        <v>1153</v>
      </c>
      <c r="L26" s="25">
        <v>1.4</v>
      </c>
      <c r="M26" s="53" t="s">
        <v>1174</v>
      </c>
    </row>
    <row r="27">
      <c r="A27" s="370" t="s">
        <v>1201</v>
      </c>
      <c r="B27" s="371" t="s">
        <v>341</v>
      </c>
      <c r="C27" s="371" t="s">
        <v>1202</v>
      </c>
      <c r="D27" s="375" t="s">
        <v>1203</v>
      </c>
      <c r="E27" s="371" t="s">
        <v>1073</v>
      </c>
      <c r="F27" s="371" t="s">
        <v>35</v>
      </c>
      <c r="G27" s="371" t="s">
        <v>1167</v>
      </c>
      <c r="H27" s="374" t="s">
        <v>1204</v>
      </c>
      <c r="I27" s="371" t="s">
        <v>1186</v>
      </c>
      <c r="J27" s="371" t="s">
        <v>1117</v>
      </c>
      <c r="K27" s="53" t="s">
        <v>1205</v>
      </c>
      <c r="L27" s="25">
        <v>2.59</v>
      </c>
    </row>
    <row r="28">
      <c r="A28" s="370" t="s">
        <v>1206</v>
      </c>
      <c r="B28" s="371" t="s">
        <v>683</v>
      </c>
      <c r="C28" s="371" t="s">
        <v>1207</v>
      </c>
      <c r="D28" s="375" t="s">
        <v>1208</v>
      </c>
      <c r="E28" s="371" t="s">
        <v>1209</v>
      </c>
      <c r="F28" s="371" t="s">
        <v>1210</v>
      </c>
      <c r="G28" s="371" t="s">
        <v>1211</v>
      </c>
      <c r="H28" s="374" t="s">
        <v>1212</v>
      </c>
      <c r="I28" s="371" t="s">
        <v>1213</v>
      </c>
      <c r="J28" s="371" t="s">
        <v>1214</v>
      </c>
      <c r="L28" s="182"/>
      <c r="M28" s="53" t="s">
        <v>1109</v>
      </c>
    </row>
    <row r="29">
      <c r="A29" s="370" t="s">
        <v>1215</v>
      </c>
      <c r="B29" s="371" t="s">
        <v>683</v>
      </c>
      <c r="C29" s="371" t="s">
        <v>1207</v>
      </c>
      <c r="D29" s="375" t="s">
        <v>1216</v>
      </c>
      <c r="E29" s="371" t="s">
        <v>1217</v>
      </c>
      <c r="F29" s="371" t="s">
        <v>1218</v>
      </c>
      <c r="G29" s="376" t="s">
        <v>1219</v>
      </c>
      <c r="H29" s="374">
        <v>0.11</v>
      </c>
      <c r="I29" s="371" t="s">
        <v>1220</v>
      </c>
      <c r="J29" s="371" t="s">
        <v>1214</v>
      </c>
      <c r="L29" s="182"/>
      <c r="M29" s="53" t="s">
        <v>1109</v>
      </c>
    </row>
    <row r="30">
      <c r="A30" s="370" t="s">
        <v>1221</v>
      </c>
      <c r="B30" s="371" t="s">
        <v>683</v>
      </c>
      <c r="C30" s="371" t="s">
        <v>1222</v>
      </c>
      <c r="D30" s="375" t="s">
        <v>1223</v>
      </c>
      <c r="E30" s="371" t="s">
        <v>1224</v>
      </c>
      <c r="F30" s="371" t="s">
        <v>35</v>
      </c>
      <c r="G30" s="371" t="s">
        <v>1225</v>
      </c>
      <c r="H30" s="374">
        <v>2.0</v>
      </c>
      <c r="I30" s="371" t="s">
        <v>1226</v>
      </c>
      <c r="J30" s="371" t="s">
        <v>1214</v>
      </c>
      <c r="L30" s="25">
        <v>2.0</v>
      </c>
    </row>
    <row r="31">
      <c r="A31" s="370" t="s">
        <v>1227</v>
      </c>
      <c r="B31" s="371" t="s">
        <v>683</v>
      </c>
      <c r="C31" s="371" t="s">
        <v>1222</v>
      </c>
      <c r="D31" s="375" t="s">
        <v>1223</v>
      </c>
      <c r="E31" s="371" t="s">
        <v>1228</v>
      </c>
      <c r="F31" s="371" t="s">
        <v>35</v>
      </c>
      <c r="G31" s="371" t="s">
        <v>1225</v>
      </c>
      <c r="H31" s="374" t="s">
        <v>1229</v>
      </c>
      <c r="I31" s="371" t="s">
        <v>1226</v>
      </c>
      <c r="J31" s="371" t="s">
        <v>1214</v>
      </c>
      <c r="K31" s="53" t="s">
        <v>1230</v>
      </c>
      <c r="L31" s="25">
        <v>2.05</v>
      </c>
      <c r="M31" s="53" t="s">
        <v>1196</v>
      </c>
    </row>
    <row r="32">
      <c r="A32" s="370" t="s">
        <v>1231</v>
      </c>
      <c r="B32" s="53" t="s">
        <v>622</v>
      </c>
      <c r="C32" s="53" t="s">
        <v>1072</v>
      </c>
      <c r="D32" s="53" t="s">
        <v>1232</v>
      </c>
      <c r="G32" s="371" t="s">
        <v>1114</v>
      </c>
      <c r="H32" s="25">
        <v>2.2</v>
      </c>
      <c r="K32" s="53" t="s">
        <v>1233</v>
      </c>
      <c r="L32" s="25">
        <v>2.2</v>
      </c>
    </row>
    <row r="33">
      <c r="H33" s="191"/>
      <c r="L33" s="182"/>
    </row>
    <row r="34">
      <c r="A34" s="191"/>
      <c r="B34" s="195" t="s">
        <v>1066</v>
      </c>
      <c r="C34" s="165"/>
      <c r="L34" s="182"/>
    </row>
    <row r="35">
      <c r="A35" s="377" t="s">
        <v>1110</v>
      </c>
      <c r="B35" s="378">
        <f>L10</f>
        <v>1</v>
      </c>
      <c r="C35" s="87"/>
      <c r="L35" s="182"/>
    </row>
    <row r="36">
      <c r="A36" s="377" t="s">
        <v>1080</v>
      </c>
      <c r="B36" s="378">
        <f>L5</f>
        <v>1.04</v>
      </c>
      <c r="C36" s="87"/>
      <c r="L36" s="182"/>
    </row>
    <row r="37">
      <c r="A37" s="377" t="s">
        <v>1234</v>
      </c>
      <c r="B37" s="378">
        <f>L19</f>
        <v>1.08</v>
      </c>
      <c r="C37" s="87"/>
      <c r="L37" s="182"/>
    </row>
    <row r="38">
      <c r="A38" s="377" t="s">
        <v>1235</v>
      </c>
      <c r="B38" s="378">
        <f>L22</f>
        <v>1.18</v>
      </c>
      <c r="C38" s="87"/>
      <c r="L38" s="182"/>
    </row>
    <row r="39">
      <c r="A39" s="377" t="s">
        <v>1159</v>
      </c>
      <c r="B39" s="378">
        <f>L17</f>
        <v>1.22</v>
      </c>
      <c r="C39" s="87"/>
      <c r="L39" s="182"/>
    </row>
    <row r="40">
      <c r="A40" s="377" t="s">
        <v>1236</v>
      </c>
      <c r="B40" s="378">
        <f>GE!C17</f>
        <v>1.28986312</v>
      </c>
      <c r="C40" s="87"/>
      <c r="L40" s="182"/>
    </row>
    <row r="41">
      <c r="A41" s="377" t="s">
        <v>1155</v>
      </c>
      <c r="B41" s="378">
        <f>L25</f>
        <v>1.34</v>
      </c>
      <c r="C41" s="87"/>
      <c r="L41" s="182"/>
    </row>
    <row r="42">
      <c r="A42" s="377" t="s">
        <v>1237</v>
      </c>
      <c r="B42" s="378">
        <f>L20</f>
        <v>1.36</v>
      </c>
      <c r="C42" s="87"/>
      <c r="L42" s="182"/>
    </row>
    <row r="43">
      <c r="A43" s="377" t="s">
        <v>1238</v>
      </c>
      <c r="B43" s="378">
        <f>L26</f>
        <v>1.4</v>
      </c>
      <c r="C43" s="87"/>
      <c r="L43" s="182"/>
    </row>
    <row r="44">
      <c r="A44" s="377" t="s">
        <v>1086</v>
      </c>
      <c r="B44" s="378">
        <f>L6</f>
        <v>1.42</v>
      </c>
      <c r="C44" s="87"/>
      <c r="L44" s="182"/>
    </row>
    <row r="45">
      <c r="A45" s="377" t="s">
        <v>1239</v>
      </c>
      <c r="B45" s="378">
        <f>GE!B17</f>
        <v>1.36812928</v>
      </c>
      <c r="C45" s="87"/>
      <c r="L45" s="182"/>
    </row>
    <row r="46">
      <c r="A46" s="377" t="s">
        <v>1086</v>
      </c>
      <c r="B46" s="378">
        <f>L8</f>
        <v>1.47</v>
      </c>
      <c r="C46" s="87"/>
      <c r="L46" s="182"/>
    </row>
    <row r="47">
      <c r="A47" s="377" t="s">
        <v>1155</v>
      </c>
      <c r="B47" s="378">
        <f>L16</f>
        <v>1.5</v>
      </c>
      <c r="C47" s="87"/>
      <c r="L47" s="182"/>
    </row>
    <row r="48">
      <c r="A48" s="377" t="s">
        <v>1177</v>
      </c>
      <c r="B48" s="378">
        <f>L21</f>
        <v>1.53</v>
      </c>
      <c r="C48" s="87"/>
      <c r="L48" s="182"/>
    </row>
    <row r="49">
      <c r="A49" s="377" t="s">
        <v>1240</v>
      </c>
      <c r="B49" s="378">
        <f>L15</f>
        <v>1.54</v>
      </c>
      <c r="C49" s="87"/>
      <c r="L49" s="182"/>
    </row>
    <row r="50">
      <c r="A50" s="377" t="s">
        <v>1189</v>
      </c>
      <c r="B50" s="378">
        <f>L24</f>
        <v>1.73</v>
      </c>
      <c r="C50" s="87"/>
      <c r="L50" s="182"/>
    </row>
    <row r="51">
      <c r="A51" s="377" t="s">
        <v>1071</v>
      </c>
      <c r="B51" s="378">
        <f>L4</f>
        <v>1.78</v>
      </c>
      <c r="C51" s="87"/>
      <c r="L51" s="182"/>
    </row>
    <row r="52">
      <c r="A52" s="377" t="s">
        <v>1221</v>
      </c>
      <c r="B52" s="378">
        <f>L30</f>
        <v>2</v>
      </c>
      <c r="C52" s="87"/>
      <c r="L52" s="182"/>
    </row>
    <row r="53">
      <c r="A53" s="377" t="s">
        <v>1181</v>
      </c>
      <c r="B53" s="378">
        <f>L23</f>
        <v>2.02</v>
      </c>
      <c r="C53" s="87"/>
      <c r="L53" s="182"/>
    </row>
    <row r="54">
      <c r="A54" s="377" t="s">
        <v>1227</v>
      </c>
      <c r="B54" s="378">
        <f>L31</f>
        <v>2.05</v>
      </c>
      <c r="C54" s="87"/>
      <c r="L54" s="182"/>
    </row>
    <row r="55">
      <c r="A55" s="377" t="s">
        <v>1093</v>
      </c>
      <c r="B55" s="378">
        <f>L7</f>
        <v>2.13</v>
      </c>
      <c r="C55" s="87"/>
      <c r="L55" s="182"/>
    </row>
    <row r="56">
      <c r="A56" s="377" t="s">
        <v>1231</v>
      </c>
      <c r="B56" s="378">
        <f>L32</f>
        <v>2.2</v>
      </c>
      <c r="C56" s="87"/>
      <c r="L56" s="182"/>
    </row>
    <row r="57">
      <c r="A57" s="377" t="s">
        <v>1163</v>
      </c>
      <c r="B57" s="378">
        <f>L18</f>
        <v>2.5</v>
      </c>
      <c r="C57" s="87"/>
      <c r="L57" s="182"/>
    </row>
    <row r="58">
      <c r="A58" s="377" t="s">
        <v>1201</v>
      </c>
      <c r="B58" s="378">
        <f>L27</f>
        <v>2.59</v>
      </c>
      <c r="C58" s="87"/>
      <c r="L58" s="182"/>
    </row>
    <row r="59">
      <c r="A59" s="191"/>
      <c r="B59" s="214"/>
      <c r="L59" s="182"/>
    </row>
    <row r="60">
      <c r="A60" s="170" t="s">
        <v>1241</v>
      </c>
      <c r="B60" s="379">
        <f>MIN($B$35:$B$58)</f>
        <v>1</v>
      </c>
      <c r="L60" s="182"/>
    </row>
    <row r="61">
      <c r="A61" s="175" t="s">
        <v>1242</v>
      </c>
      <c r="B61" s="380">
        <f>MAX($B$35:$B$58)</f>
        <v>2.59</v>
      </c>
      <c r="L61" s="182"/>
    </row>
    <row r="62">
      <c r="A62" s="175" t="s">
        <v>1243</v>
      </c>
      <c r="B62" s="380">
        <f>AVERAGE($B$35:$B$58)</f>
        <v>1.614083017</v>
      </c>
      <c r="L62" s="182"/>
    </row>
    <row r="63">
      <c r="A63" s="381" t="s">
        <v>768</v>
      </c>
      <c r="B63" s="382">
        <f>MEDIAN($B$35:$B$58)</f>
        <v>1.485</v>
      </c>
      <c r="L63" s="182"/>
    </row>
    <row r="64">
      <c r="L64" s="182"/>
    </row>
    <row r="65">
      <c r="L65" s="182"/>
    </row>
    <row r="66">
      <c r="L66" s="182"/>
    </row>
    <row r="67">
      <c r="L67" s="182"/>
    </row>
    <row r="68">
      <c r="L68" s="182"/>
    </row>
    <row r="69">
      <c r="L69" s="182"/>
    </row>
    <row r="70">
      <c r="L70" s="182"/>
    </row>
    <row r="71">
      <c r="L71" s="182"/>
    </row>
    <row r="72">
      <c r="L72" s="182"/>
    </row>
    <row r="73">
      <c r="L73" s="182"/>
    </row>
    <row r="74">
      <c r="L74" s="182"/>
    </row>
    <row r="75">
      <c r="L75" s="182"/>
    </row>
    <row r="76">
      <c r="L76" s="182"/>
    </row>
    <row r="77">
      <c r="L77" s="182"/>
    </row>
    <row r="78">
      <c r="L78" s="182"/>
    </row>
    <row r="79">
      <c r="L79" s="182"/>
    </row>
    <row r="80">
      <c r="L80" s="182"/>
    </row>
    <row r="81">
      <c r="L81" s="182"/>
    </row>
    <row r="82">
      <c r="L82" s="182"/>
    </row>
    <row r="83">
      <c r="L83" s="182"/>
    </row>
    <row r="84">
      <c r="L84" s="182"/>
    </row>
    <row r="85">
      <c r="L85" s="182"/>
    </row>
    <row r="86">
      <c r="L86" s="182"/>
    </row>
    <row r="87">
      <c r="L87" s="182"/>
    </row>
    <row r="88">
      <c r="L88" s="182"/>
    </row>
    <row r="89">
      <c r="L89" s="182"/>
    </row>
    <row r="90">
      <c r="L90" s="182"/>
    </row>
    <row r="91">
      <c r="L91" s="182"/>
    </row>
    <row r="92">
      <c r="L92" s="182"/>
    </row>
    <row r="93">
      <c r="L93" s="182"/>
    </row>
    <row r="94">
      <c r="L94" s="182"/>
    </row>
    <row r="95">
      <c r="L95" s="182"/>
    </row>
    <row r="96">
      <c r="L96" s="182"/>
    </row>
    <row r="97">
      <c r="L97" s="182"/>
    </row>
    <row r="98">
      <c r="L98" s="182"/>
    </row>
    <row r="99">
      <c r="L99" s="182"/>
    </row>
    <row r="100">
      <c r="L100" s="182"/>
    </row>
    <row r="101">
      <c r="L101" s="182"/>
    </row>
    <row r="102">
      <c r="L102" s="182"/>
    </row>
    <row r="103">
      <c r="L103" s="182"/>
    </row>
    <row r="104">
      <c r="L104" s="182"/>
    </row>
    <row r="105">
      <c r="L105" s="182"/>
    </row>
    <row r="106">
      <c r="L106" s="182"/>
    </row>
    <row r="107">
      <c r="L107" s="182"/>
    </row>
    <row r="108">
      <c r="L108" s="182"/>
    </row>
    <row r="109">
      <c r="L109" s="182"/>
    </row>
    <row r="110">
      <c r="L110" s="182"/>
    </row>
    <row r="111">
      <c r="L111" s="182"/>
    </row>
    <row r="112">
      <c r="L112" s="182"/>
    </row>
    <row r="113">
      <c r="L113" s="182"/>
    </row>
    <row r="114">
      <c r="L114" s="182"/>
    </row>
    <row r="115">
      <c r="L115" s="182"/>
    </row>
    <row r="116">
      <c r="L116" s="182"/>
    </row>
    <row r="117">
      <c r="L117" s="182"/>
    </row>
    <row r="118">
      <c r="L118" s="182"/>
    </row>
    <row r="119">
      <c r="L119" s="182"/>
    </row>
    <row r="120">
      <c r="L120" s="182"/>
    </row>
    <row r="121">
      <c r="L121" s="182"/>
    </row>
    <row r="122">
      <c r="L122" s="182"/>
    </row>
    <row r="123">
      <c r="L123" s="182"/>
    </row>
    <row r="124">
      <c r="L124" s="182"/>
    </row>
    <row r="125">
      <c r="L125" s="182"/>
    </row>
    <row r="126">
      <c r="L126" s="182"/>
    </row>
    <row r="127">
      <c r="L127" s="182"/>
    </row>
    <row r="128">
      <c r="L128" s="182"/>
    </row>
    <row r="129">
      <c r="L129" s="182"/>
    </row>
    <row r="130">
      <c r="L130" s="182"/>
    </row>
    <row r="131">
      <c r="L131" s="182"/>
    </row>
    <row r="132">
      <c r="L132" s="182"/>
    </row>
    <row r="133">
      <c r="L133" s="182"/>
    </row>
    <row r="134">
      <c r="L134" s="182"/>
    </row>
    <row r="135">
      <c r="L135" s="182"/>
    </row>
    <row r="136">
      <c r="L136" s="182"/>
    </row>
    <row r="137">
      <c r="L137" s="182"/>
    </row>
    <row r="138">
      <c r="L138" s="182"/>
    </row>
    <row r="139">
      <c r="L139" s="182"/>
    </row>
    <row r="140">
      <c r="L140" s="182"/>
    </row>
    <row r="141">
      <c r="L141" s="182"/>
    </row>
    <row r="142">
      <c r="L142" s="182"/>
    </row>
    <row r="143">
      <c r="L143" s="182"/>
    </row>
    <row r="144">
      <c r="L144" s="182"/>
    </row>
    <row r="145">
      <c r="L145" s="182"/>
    </row>
    <row r="146">
      <c r="L146" s="182"/>
    </row>
    <row r="147">
      <c r="L147" s="182"/>
    </row>
    <row r="148">
      <c r="L148" s="182"/>
    </row>
    <row r="149">
      <c r="L149" s="182"/>
    </row>
    <row r="150">
      <c r="L150" s="182"/>
    </row>
    <row r="151">
      <c r="L151" s="182"/>
    </row>
    <row r="152">
      <c r="L152" s="182"/>
    </row>
    <row r="153">
      <c r="L153" s="182"/>
    </row>
    <row r="154">
      <c r="L154" s="182"/>
    </row>
    <row r="155">
      <c r="L155" s="182"/>
    </row>
    <row r="156">
      <c r="L156" s="182"/>
    </row>
    <row r="157">
      <c r="L157" s="182"/>
    </row>
    <row r="158">
      <c r="L158" s="182"/>
    </row>
    <row r="159">
      <c r="L159" s="182"/>
    </row>
    <row r="160">
      <c r="L160" s="182"/>
    </row>
    <row r="161">
      <c r="L161" s="182"/>
    </row>
    <row r="162">
      <c r="L162" s="182"/>
    </row>
    <row r="163">
      <c r="L163" s="182"/>
    </row>
    <row r="164">
      <c r="L164" s="182"/>
    </row>
    <row r="165">
      <c r="L165" s="182"/>
    </row>
    <row r="166">
      <c r="L166" s="182"/>
    </row>
    <row r="167">
      <c r="L167" s="182"/>
    </row>
    <row r="168">
      <c r="L168" s="182"/>
    </row>
    <row r="169">
      <c r="L169" s="182"/>
    </row>
    <row r="170">
      <c r="L170" s="182"/>
    </row>
    <row r="171">
      <c r="L171" s="182"/>
    </row>
    <row r="172">
      <c r="L172" s="182"/>
    </row>
    <row r="173">
      <c r="L173" s="182"/>
    </row>
    <row r="174">
      <c r="L174" s="182"/>
    </row>
    <row r="175">
      <c r="L175" s="182"/>
    </row>
    <row r="176">
      <c r="L176" s="182"/>
    </row>
    <row r="177">
      <c r="L177" s="182"/>
    </row>
    <row r="178">
      <c r="L178" s="182"/>
    </row>
    <row r="179">
      <c r="L179" s="182"/>
    </row>
    <row r="180">
      <c r="L180" s="182"/>
    </row>
    <row r="181">
      <c r="L181" s="182"/>
    </row>
    <row r="182">
      <c r="L182" s="182"/>
    </row>
    <row r="183">
      <c r="L183" s="182"/>
    </row>
    <row r="184">
      <c r="L184" s="182"/>
    </row>
    <row r="185">
      <c r="L185" s="182"/>
    </row>
    <row r="186">
      <c r="L186" s="182"/>
    </row>
    <row r="187">
      <c r="L187" s="182"/>
    </row>
    <row r="188">
      <c r="L188" s="182"/>
    </row>
    <row r="189">
      <c r="L189" s="182"/>
    </row>
    <row r="190">
      <c r="L190" s="182"/>
    </row>
    <row r="191">
      <c r="L191" s="182"/>
    </row>
    <row r="192">
      <c r="L192" s="182"/>
    </row>
    <row r="193">
      <c r="L193" s="182"/>
    </row>
    <row r="194">
      <c r="L194" s="182"/>
    </row>
    <row r="195">
      <c r="L195" s="182"/>
    </row>
    <row r="196">
      <c r="L196" s="182"/>
    </row>
    <row r="197">
      <c r="L197" s="182"/>
    </row>
    <row r="198">
      <c r="L198" s="182"/>
    </row>
    <row r="199">
      <c r="L199" s="182"/>
    </row>
    <row r="200">
      <c r="L200" s="182"/>
    </row>
    <row r="201">
      <c r="L201" s="182"/>
    </row>
    <row r="202">
      <c r="L202" s="182"/>
    </row>
    <row r="203">
      <c r="L203" s="182"/>
    </row>
    <row r="204">
      <c r="L204" s="182"/>
    </row>
    <row r="205">
      <c r="L205" s="182"/>
    </row>
    <row r="206">
      <c r="L206" s="182"/>
    </row>
    <row r="207">
      <c r="L207" s="182"/>
    </row>
    <row r="208">
      <c r="L208" s="182"/>
    </row>
    <row r="209">
      <c r="L209" s="182"/>
    </row>
    <row r="210">
      <c r="L210" s="182"/>
    </row>
    <row r="211">
      <c r="L211" s="182"/>
    </row>
    <row r="212">
      <c r="L212" s="182"/>
    </row>
    <row r="213">
      <c r="L213" s="182"/>
    </row>
    <row r="214">
      <c r="L214" s="182"/>
    </row>
    <row r="215">
      <c r="L215" s="182"/>
    </row>
    <row r="216">
      <c r="L216" s="182"/>
    </row>
    <row r="217">
      <c r="L217" s="182"/>
    </row>
    <row r="218">
      <c r="L218" s="182"/>
    </row>
    <row r="219">
      <c r="L219" s="182"/>
    </row>
    <row r="220">
      <c r="L220" s="182"/>
    </row>
    <row r="221">
      <c r="L221" s="182"/>
    </row>
    <row r="222">
      <c r="L222" s="182"/>
    </row>
    <row r="223">
      <c r="L223" s="182"/>
    </row>
    <row r="224">
      <c r="L224" s="182"/>
    </row>
    <row r="225">
      <c r="L225" s="182"/>
    </row>
    <row r="226">
      <c r="L226" s="182"/>
    </row>
    <row r="227">
      <c r="L227" s="182"/>
    </row>
    <row r="228">
      <c r="L228" s="182"/>
    </row>
    <row r="229">
      <c r="L229" s="182"/>
    </row>
    <row r="230">
      <c r="L230" s="182"/>
    </row>
    <row r="231">
      <c r="L231" s="182"/>
    </row>
    <row r="232">
      <c r="L232" s="182"/>
    </row>
    <row r="233">
      <c r="L233" s="182"/>
    </row>
    <row r="234">
      <c r="L234" s="182"/>
    </row>
    <row r="235">
      <c r="L235" s="182"/>
    </row>
    <row r="236">
      <c r="L236" s="182"/>
    </row>
    <row r="237">
      <c r="L237" s="182"/>
    </row>
    <row r="238">
      <c r="L238" s="182"/>
    </row>
    <row r="239">
      <c r="L239" s="182"/>
    </row>
    <row r="240">
      <c r="L240" s="182"/>
    </row>
    <row r="241">
      <c r="L241" s="182"/>
    </row>
    <row r="242">
      <c r="L242" s="182"/>
    </row>
    <row r="243">
      <c r="L243" s="182"/>
    </row>
    <row r="244">
      <c r="L244" s="182"/>
    </row>
    <row r="245">
      <c r="L245" s="182"/>
    </row>
    <row r="246">
      <c r="L246" s="182"/>
    </row>
    <row r="247">
      <c r="L247" s="182"/>
    </row>
    <row r="248">
      <c r="L248" s="182"/>
    </row>
    <row r="249">
      <c r="L249" s="182"/>
    </row>
    <row r="250">
      <c r="L250" s="182"/>
    </row>
    <row r="251">
      <c r="L251" s="182"/>
    </row>
    <row r="252">
      <c r="L252" s="182"/>
    </row>
    <row r="253">
      <c r="L253" s="182"/>
    </row>
    <row r="254">
      <c r="L254" s="182"/>
    </row>
    <row r="255">
      <c r="L255" s="182"/>
    </row>
    <row r="256">
      <c r="L256" s="182"/>
    </row>
    <row r="257">
      <c r="L257" s="182"/>
    </row>
    <row r="258">
      <c r="L258" s="182"/>
    </row>
    <row r="259">
      <c r="L259" s="182"/>
    </row>
    <row r="260">
      <c r="L260" s="182"/>
    </row>
    <row r="261">
      <c r="L261" s="182"/>
    </row>
    <row r="262">
      <c r="L262" s="182"/>
    </row>
    <row r="263">
      <c r="L263" s="182"/>
    </row>
    <row r="264">
      <c r="L264" s="182"/>
    </row>
    <row r="265">
      <c r="L265" s="182"/>
    </row>
    <row r="266">
      <c r="L266" s="182"/>
    </row>
    <row r="267">
      <c r="L267" s="182"/>
    </row>
    <row r="268">
      <c r="L268" s="182"/>
    </row>
    <row r="269">
      <c r="L269" s="182"/>
    </row>
    <row r="270">
      <c r="L270" s="182"/>
    </row>
    <row r="271">
      <c r="L271" s="182"/>
    </row>
    <row r="272">
      <c r="L272" s="182"/>
    </row>
    <row r="273">
      <c r="L273" s="182"/>
    </row>
    <row r="274">
      <c r="L274" s="182"/>
    </row>
    <row r="275">
      <c r="L275" s="182"/>
    </row>
    <row r="276">
      <c r="L276" s="182"/>
    </row>
    <row r="277">
      <c r="L277" s="182"/>
    </row>
    <row r="278">
      <c r="L278" s="182"/>
    </row>
    <row r="279">
      <c r="L279" s="182"/>
    </row>
    <row r="280">
      <c r="L280" s="182"/>
    </row>
    <row r="281">
      <c r="L281" s="182"/>
    </row>
    <row r="282">
      <c r="L282" s="182"/>
    </row>
    <row r="283">
      <c r="L283" s="182"/>
    </row>
    <row r="284">
      <c r="L284" s="182"/>
    </row>
    <row r="285">
      <c r="L285" s="182"/>
    </row>
    <row r="286">
      <c r="L286" s="182"/>
    </row>
    <row r="287">
      <c r="L287" s="182"/>
    </row>
    <row r="288">
      <c r="L288" s="182"/>
    </row>
    <row r="289">
      <c r="L289" s="182"/>
    </row>
    <row r="290">
      <c r="L290" s="182"/>
    </row>
    <row r="291">
      <c r="L291" s="182"/>
    </row>
    <row r="292">
      <c r="L292" s="182"/>
    </row>
    <row r="293">
      <c r="L293" s="182"/>
    </row>
    <row r="294">
      <c r="L294" s="182"/>
    </row>
    <row r="295">
      <c r="L295" s="182"/>
    </row>
    <row r="296">
      <c r="L296" s="182"/>
    </row>
    <row r="297">
      <c r="L297" s="182"/>
    </row>
    <row r="298">
      <c r="L298" s="182"/>
    </row>
    <row r="299">
      <c r="L299" s="182"/>
    </row>
    <row r="300">
      <c r="L300" s="182"/>
    </row>
    <row r="301">
      <c r="L301" s="182"/>
    </row>
    <row r="302">
      <c r="L302" s="182"/>
    </row>
    <row r="303">
      <c r="L303" s="182"/>
    </row>
    <row r="304">
      <c r="L304" s="182"/>
    </row>
    <row r="305">
      <c r="L305" s="182"/>
    </row>
    <row r="306">
      <c r="L306" s="182"/>
    </row>
    <row r="307">
      <c r="L307" s="182"/>
    </row>
    <row r="308">
      <c r="L308" s="182"/>
    </row>
    <row r="309">
      <c r="L309" s="182"/>
    </row>
    <row r="310">
      <c r="L310" s="182"/>
    </row>
    <row r="311">
      <c r="L311" s="182"/>
    </row>
    <row r="312">
      <c r="L312" s="182"/>
    </row>
    <row r="313">
      <c r="L313" s="182"/>
    </row>
    <row r="314">
      <c r="L314" s="182"/>
    </row>
    <row r="315">
      <c r="L315" s="182"/>
    </row>
    <row r="316">
      <c r="L316" s="182"/>
    </row>
    <row r="317">
      <c r="L317" s="182"/>
    </row>
    <row r="318">
      <c r="L318" s="182"/>
    </row>
    <row r="319">
      <c r="L319" s="182"/>
    </row>
    <row r="320">
      <c r="L320" s="182"/>
    </row>
    <row r="321">
      <c r="L321" s="182"/>
    </row>
    <row r="322">
      <c r="L322" s="182"/>
    </row>
    <row r="323">
      <c r="L323" s="182"/>
    </row>
    <row r="324">
      <c r="L324" s="182"/>
    </row>
    <row r="325">
      <c r="L325" s="182"/>
    </row>
    <row r="326">
      <c r="L326" s="182"/>
    </row>
    <row r="327">
      <c r="L327" s="182"/>
    </row>
    <row r="328">
      <c r="L328" s="182"/>
    </row>
    <row r="329">
      <c r="L329" s="182"/>
    </row>
    <row r="330">
      <c r="L330" s="182"/>
    </row>
    <row r="331">
      <c r="L331" s="182"/>
    </row>
    <row r="332">
      <c r="L332" s="182"/>
    </row>
    <row r="333">
      <c r="L333" s="182"/>
    </row>
    <row r="334">
      <c r="L334" s="182"/>
    </row>
    <row r="335">
      <c r="L335" s="182"/>
    </row>
    <row r="336">
      <c r="L336" s="182"/>
    </row>
    <row r="337">
      <c r="L337" s="182"/>
    </row>
    <row r="338">
      <c r="L338" s="182"/>
    </row>
    <row r="339">
      <c r="L339" s="182"/>
    </row>
    <row r="340">
      <c r="L340" s="182"/>
    </row>
    <row r="341">
      <c r="L341" s="182"/>
    </row>
    <row r="342">
      <c r="L342" s="182"/>
    </row>
    <row r="343">
      <c r="L343" s="182"/>
    </row>
    <row r="344">
      <c r="L344" s="182"/>
    </row>
    <row r="345">
      <c r="L345" s="182"/>
    </row>
    <row r="346">
      <c r="L346" s="182"/>
    </row>
    <row r="347">
      <c r="L347" s="182"/>
    </row>
    <row r="348">
      <c r="L348" s="182"/>
    </row>
    <row r="349">
      <c r="L349" s="182"/>
    </row>
    <row r="350">
      <c r="L350" s="182"/>
    </row>
    <row r="351">
      <c r="L351" s="182"/>
    </row>
    <row r="352">
      <c r="L352" s="182"/>
    </row>
    <row r="353">
      <c r="L353" s="182"/>
    </row>
    <row r="354">
      <c r="L354" s="182"/>
    </row>
    <row r="355">
      <c r="L355" s="182"/>
    </row>
    <row r="356">
      <c r="L356" s="182"/>
    </row>
    <row r="357">
      <c r="L357" s="182"/>
    </row>
    <row r="358">
      <c r="L358" s="182"/>
    </row>
    <row r="359">
      <c r="L359" s="182"/>
    </row>
    <row r="360">
      <c r="L360" s="182"/>
    </row>
    <row r="361">
      <c r="L361" s="182"/>
    </row>
    <row r="362">
      <c r="L362" s="182"/>
    </row>
    <row r="363">
      <c r="L363" s="182"/>
    </row>
    <row r="364">
      <c r="L364" s="182"/>
    </row>
    <row r="365">
      <c r="L365" s="182"/>
    </row>
    <row r="366">
      <c r="L366" s="182"/>
    </row>
    <row r="367">
      <c r="L367" s="182"/>
    </row>
    <row r="368">
      <c r="L368" s="182"/>
    </row>
    <row r="369">
      <c r="L369" s="182"/>
    </row>
    <row r="370">
      <c r="L370" s="182"/>
    </row>
    <row r="371">
      <c r="L371" s="182"/>
    </row>
    <row r="372">
      <c r="L372" s="182"/>
    </row>
    <row r="373">
      <c r="L373" s="182"/>
    </row>
    <row r="374">
      <c r="L374" s="182"/>
    </row>
    <row r="375">
      <c r="L375" s="182"/>
    </row>
    <row r="376">
      <c r="L376" s="182"/>
    </row>
    <row r="377">
      <c r="L377" s="182"/>
    </row>
    <row r="378">
      <c r="L378" s="182"/>
    </row>
    <row r="379">
      <c r="L379" s="182"/>
    </row>
    <row r="380">
      <c r="L380" s="182"/>
    </row>
    <row r="381">
      <c r="L381" s="182"/>
    </row>
    <row r="382">
      <c r="L382" s="182"/>
    </row>
    <row r="383">
      <c r="L383" s="182"/>
    </row>
    <row r="384">
      <c r="L384" s="182"/>
    </row>
    <row r="385">
      <c r="L385" s="182"/>
    </row>
    <row r="386">
      <c r="L386" s="182"/>
    </row>
    <row r="387">
      <c r="L387" s="182"/>
    </row>
    <row r="388">
      <c r="L388" s="182"/>
    </row>
    <row r="389">
      <c r="L389" s="182"/>
    </row>
    <row r="390">
      <c r="L390" s="182"/>
    </row>
    <row r="391">
      <c r="L391" s="182"/>
    </row>
    <row r="392">
      <c r="L392" s="182"/>
    </row>
    <row r="393">
      <c r="L393" s="182"/>
    </row>
    <row r="394">
      <c r="L394" s="182"/>
    </row>
    <row r="395">
      <c r="L395" s="182"/>
    </row>
    <row r="396">
      <c r="L396" s="182"/>
    </row>
    <row r="397">
      <c r="L397" s="182"/>
    </row>
    <row r="398">
      <c r="L398" s="182"/>
    </row>
    <row r="399">
      <c r="L399" s="182"/>
    </row>
    <row r="400">
      <c r="L400" s="182"/>
    </row>
    <row r="401">
      <c r="L401" s="182"/>
    </row>
    <row r="402">
      <c r="L402" s="182"/>
    </row>
    <row r="403">
      <c r="L403" s="182"/>
    </row>
    <row r="404">
      <c r="L404" s="182"/>
    </row>
    <row r="405">
      <c r="L405" s="182"/>
    </row>
    <row r="406">
      <c r="L406" s="182"/>
    </row>
    <row r="407">
      <c r="L407" s="182"/>
    </row>
    <row r="408">
      <c r="L408" s="182"/>
    </row>
    <row r="409">
      <c r="L409" s="182"/>
    </row>
    <row r="410">
      <c r="L410" s="182"/>
    </row>
    <row r="411">
      <c r="L411" s="182"/>
    </row>
    <row r="412">
      <c r="L412" s="182"/>
    </row>
    <row r="413">
      <c r="L413" s="182"/>
    </row>
    <row r="414">
      <c r="L414" s="182"/>
    </row>
    <row r="415">
      <c r="L415" s="182"/>
    </row>
    <row r="416">
      <c r="L416" s="182"/>
    </row>
    <row r="417">
      <c r="L417" s="182"/>
    </row>
    <row r="418">
      <c r="L418" s="182"/>
    </row>
    <row r="419">
      <c r="L419" s="182"/>
    </row>
    <row r="420">
      <c r="L420" s="182"/>
    </row>
    <row r="421">
      <c r="L421" s="182"/>
    </row>
    <row r="422">
      <c r="L422" s="182"/>
    </row>
    <row r="423">
      <c r="L423" s="182"/>
    </row>
    <row r="424">
      <c r="L424" s="182"/>
    </row>
    <row r="425">
      <c r="L425" s="182"/>
    </row>
    <row r="426">
      <c r="L426" s="182"/>
    </row>
    <row r="427">
      <c r="L427" s="182"/>
    </row>
    <row r="428">
      <c r="L428" s="182"/>
    </row>
    <row r="429">
      <c r="L429" s="182"/>
    </row>
    <row r="430">
      <c r="L430" s="182"/>
    </row>
    <row r="431">
      <c r="L431" s="182"/>
    </row>
    <row r="432">
      <c r="L432" s="182"/>
    </row>
    <row r="433">
      <c r="L433" s="182"/>
    </row>
    <row r="434">
      <c r="L434" s="182"/>
    </row>
    <row r="435">
      <c r="L435" s="182"/>
    </row>
    <row r="436">
      <c r="L436" s="182"/>
    </row>
    <row r="437">
      <c r="L437" s="182"/>
    </row>
    <row r="438">
      <c r="L438" s="182"/>
    </row>
    <row r="439">
      <c r="L439" s="182"/>
    </row>
    <row r="440">
      <c r="L440" s="182"/>
    </row>
    <row r="441">
      <c r="L441" s="182"/>
    </row>
    <row r="442">
      <c r="L442" s="182"/>
    </row>
    <row r="443">
      <c r="L443" s="182"/>
    </row>
    <row r="444">
      <c r="L444" s="182"/>
    </row>
    <row r="445">
      <c r="L445" s="182"/>
    </row>
    <row r="446">
      <c r="L446" s="182"/>
    </row>
    <row r="447">
      <c r="L447" s="182"/>
    </row>
    <row r="448">
      <c r="L448" s="182"/>
    </row>
    <row r="449">
      <c r="L449" s="182"/>
    </row>
    <row r="450">
      <c r="L450" s="182"/>
    </row>
    <row r="451">
      <c r="L451" s="182"/>
    </row>
    <row r="452">
      <c r="L452" s="182"/>
    </row>
    <row r="453">
      <c r="L453" s="182"/>
    </row>
    <row r="454">
      <c r="L454" s="182"/>
    </row>
    <row r="455">
      <c r="L455" s="182"/>
    </row>
    <row r="456">
      <c r="L456" s="182"/>
    </row>
    <row r="457">
      <c r="L457" s="182"/>
    </row>
    <row r="458">
      <c r="L458" s="182"/>
    </row>
    <row r="459">
      <c r="L459" s="182"/>
    </row>
    <row r="460">
      <c r="L460" s="182"/>
    </row>
    <row r="461">
      <c r="L461" s="182"/>
    </row>
    <row r="462">
      <c r="L462" s="182"/>
    </row>
    <row r="463">
      <c r="L463" s="182"/>
    </row>
    <row r="464">
      <c r="L464" s="182"/>
    </row>
    <row r="465">
      <c r="L465" s="182"/>
    </row>
    <row r="466">
      <c r="L466" s="182"/>
    </row>
    <row r="467">
      <c r="L467" s="182"/>
    </row>
    <row r="468">
      <c r="L468" s="182"/>
    </row>
    <row r="469">
      <c r="L469" s="182"/>
    </row>
    <row r="470">
      <c r="L470" s="182"/>
    </row>
    <row r="471">
      <c r="L471" s="182"/>
    </row>
    <row r="472">
      <c r="L472" s="182"/>
    </row>
    <row r="473">
      <c r="L473" s="182"/>
    </row>
    <row r="474">
      <c r="L474" s="182"/>
    </row>
    <row r="475">
      <c r="L475" s="182"/>
    </row>
    <row r="476">
      <c r="L476" s="182"/>
    </row>
    <row r="477">
      <c r="L477" s="182"/>
    </row>
    <row r="478">
      <c r="L478" s="182"/>
    </row>
    <row r="479">
      <c r="L479" s="182"/>
    </row>
    <row r="480">
      <c r="L480" s="182"/>
    </row>
    <row r="481">
      <c r="L481" s="182"/>
    </row>
    <row r="482">
      <c r="L482" s="182"/>
    </row>
    <row r="483">
      <c r="L483" s="182"/>
    </row>
    <row r="484">
      <c r="L484" s="182"/>
    </row>
    <row r="485">
      <c r="L485" s="182"/>
    </row>
    <row r="486">
      <c r="L486" s="182"/>
    </row>
    <row r="487">
      <c r="L487" s="182"/>
    </row>
    <row r="488">
      <c r="L488" s="182"/>
    </row>
    <row r="489">
      <c r="L489" s="182"/>
    </row>
    <row r="490">
      <c r="L490" s="182"/>
    </row>
    <row r="491">
      <c r="L491" s="182"/>
    </row>
    <row r="492">
      <c r="L492" s="182"/>
    </row>
    <row r="493">
      <c r="L493" s="182"/>
    </row>
    <row r="494">
      <c r="L494" s="182"/>
    </row>
    <row r="495">
      <c r="L495" s="182"/>
    </row>
    <row r="496">
      <c r="L496" s="182"/>
    </row>
    <row r="497">
      <c r="L497" s="182"/>
    </row>
    <row r="498">
      <c r="L498" s="182"/>
    </row>
    <row r="499">
      <c r="L499" s="182"/>
    </row>
    <row r="500">
      <c r="L500" s="182"/>
    </row>
    <row r="501">
      <c r="L501" s="182"/>
    </row>
    <row r="502">
      <c r="L502" s="182"/>
    </row>
    <row r="503">
      <c r="L503" s="182"/>
    </row>
    <row r="504">
      <c r="L504" s="182"/>
    </row>
    <row r="505">
      <c r="L505" s="182"/>
    </row>
    <row r="506">
      <c r="L506" s="182"/>
    </row>
    <row r="507">
      <c r="L507" s="182"/>
    </row>
    <row r="508">
      <c r="L508" s="182"/>
    </row>
    <row r="509">
      <c r="L509" s="182"/>
    </row>
    <row r="510">
      <c r="L510" s="182"/>
    </row>
    <row r="511">
      <c r="L511" s="182"/>
    </row>
    <row r="512">
      <c r="L512" s="182"/>
    </row>
    <row r="513">
      <c r="L513" s="182"/>
    </row>
    <row r="514">
      <c r="L514" s="182"/>
    </row>
    <row r="515">
      <c r="L515" s="182"/>
    </row>
    <row r="516">
      <c r="L516" s="182"/>
    </row>
    <row r="517">
      <c r="L517" s="182"/>
    </row>
    <row r="518">
      <c r="L518" s="182"/>
    </row>
    <row r="519">
      <c r="L519" s="182"/>
    </row>
    <row r="520">
      <c r="L520" s="182"/>
    </row>
    <row r="521">
      <c r="L521" s="182"/>
    </row>
    <row r="522">
      <c r="L522" s="182"/>
    </row>
    <row r="523">
      <c r="L523" s="182"/>
    </row>
    <row r="524">
      <c r="L524" s="182"/>
    </row>
    <row r="525">
      <c r="L525" s="182"/>
    </row>
    <row r="526">
      <c r="L526" s="182"/>
    </row>
    <row r="527">
      <c r="L527" s="182"/>
    </row>
    <row r="528">
      <c r="L528" s="182"/>
    </row>
    <row r="529">
      <c r="L529" s="182"/>
    </row>
    <row r="530">
      <c r="L530" s="182"/>
    </row>
    <row r="531">
      <c r="L531" s="182"/>
    </row>
    <row r="532">
      <c r="L532" s="182"/>
    </row>
    <row r="533">
      <c r="L533" s="182"/>
    </row>
    <row r="534">
      <c r="L534" s="182"/>
    </row>
    <row r="535">
      <c r="L535" s="182"/>
    </row>
    <row r="536">
      <c r="L536" s="182"/>
    </row>
    <row r="537">
      <c r="L537" s="182"/>
    </row>
    <row r="538">
      <c r="L538" s="182"/>
    </row>
    <row r="539">
      <c r="L539" s="182"/>
    </row>
    <row r="540">
      <c r="L540" s="182"/>
    </row>
    <row r="541">
      <c r="L541" s="182"/>
    </row>
    <row r="542">
      <c r="L542" s="182"/>
    </row>
    <row r="543">
      <c r="L543" s="182"/>
    </row>
    <row r="544">
      <c r="L544" s="182"/>
    </row>
    <row r="545">
      <c r="L545" s="182"/>
    </row>
    <row r="546">
      <c r="L546" s="182"/>
    </row>
    <row r="547">
      <c r="L547" s="182"/>
    </row>
    <row r="548">
      <c r="L548" s="182"/>
    </row>
    <row r="549">
      <c r="L549" s="182"/>
    </row>
    <row r="550">
      <c r="L550" s="182"/>
    </row>
    <row r="551">
      <c r="L551" s="182"/>
    </row>
    <row r="552">
      <c r="L552" s="182"/>
    </row>
    <row r="553">
      <c r="L553" s="182"/>
    </row>
    <row r="554">
      <c r="L554" s="182"/>
    </row>
    <row r="555">
      <c r="L555" s="182"/>
    </row>
    <row r="556">
      <c r="L556" s="182"/>
    </row>
    <row r="557">
      <c r="L557" s="182"/>
    </row>
    <row r="558">
      <c r="L558" s="182"/>
    </row>
    <row r="559">
      <c r="L559" s="182"/>
    </row>
    <row r="560">
      <c r="L560" s="182"/>
    </row>
    <row r="561">
      <c r="L561" s="182"/>
    </row>
    <row r="562">
      <c r="L562" s="182"/>
    </row>
    <row r="563">
      <c r="L563" s="182"/>
    </row>
    <row r="564">
      <c r="L564" s="182"/>
    </row>
    <row r="565">
      <c r="L565" s="182"/>
    </row>
    <row r="566">
      <c r="L566" s="182"/>
    </row>
    <row r="567">
      <c r="L567" s="182"/>
    </row>
    <row r="568">
      <c r="L568" s="182"/>
    </row>
    <row r="569">
      <c r="L569" s="182"/>
    </row>
    <row r="570">
      <c r="L570" s="182"/>
    </row>
    <row r="571">
      <c r="L571" s="182"/>
    </row>
    <row r="572">
      <c r="L572" s="182"/>
    </row>
    <row r="573">
      <c r="L573" s="182"/>
    </row>
    <row r="574">
      <c r="L574" s="182"/>
    </row>
    <row r="575">
      <c r="L575" s="182"/>
    </row>
    <row r="576">
      <c r="L576" s="182"/>
    </row>
    <row r="577">
      <c r="L577" s="182"/>
    </row>
    <row r="578">
      <c r="L578" s="182"/>
    </row>
    <row r="579">
      <c r="L579" s="182"/>
    </row>
    <row r="580">
      <c r="L580" s="182"/>
    </row>
    <row r="581">
      <c r="L581" s="182"/>
    </row>
    <row r="582">
      <c r="L582" s="182"/>
    </row>
    <row r="583">
      <c r="L583" s="182"/>
    </row>
    <row r="584">
      <c r="L584" s="182"/>
    </row>
    <row r="585">
      <c r="L585" s="182"/>
    </row>
    <row r="586">
      <c r="L586" s="182"/>
    </row>
    <row r="587">
      <c r="L587" s="182"/>
    </row>
    <row r="588">
      <c r="L588" s="182"/>
    </row>
    <row r="589">
      <c r="L589" s="182"/>
    </row>
    <row r="590">
      <c r="L590" s="182"/>
    </row>
    <row r="591">
      <c r="L591" s="182"/>
    </row>
    <row r="592">
      <c r="L592" s="182"/>
    </row>
    <row r="593">
      <c r="L593" s="182"/>
    </row>
    <row r="594">
      <c r="L594" s="182"/>
    </row>
    <row r="595">
      <c r="L595" s="182"/>
    </row>
    <row r="596">
      <c r="L596" s="182"/>
    </row>
    <row r="597">
      <c r="L597" s="182"/>
    </row>
    <row r="598">
      <c r="L598" s="182"/>
    </row>
    <row r="599">
      <c r="L599" s="182"/>
    </row>
    <row r="600">
      <c r="L600" s="182"/>
    </row>
    <row r="601">
      <c r="L601" s="182"/>
    </row>
    <row r="602">
      <c r="L602" s="182"/>
    </row>
    <row r="603">
      <c r="L603" s="182"/>
    </row>
    <row r="604">
      <c r="L604" s="182"/>
    </row>
    <row r="605">
      <c r="L605" s="182"/>
    </row>
    <row r="606">
      <c r="L606" s="182"/>
    </row>
    <row r="607">
      <c r="L607" s="182"/>
    </row>
    <row r="608">
      <c r="L608" s="182"/>
    </row>
    <row r="609">
      <c r="L609" s="182"/>
    </row>
    <row r="610">
      <c r="L610" s="182"/>
    </row>
    <row r="611">
      <c r="L611" s="182"/>
    </row>
    <row r="612">
      <c r="L612" s="182"/>
    </row>
    <row r="613">
      <c r="L613" s="182"/>
    </row>
    <row r="614">
      <c r="L614" s="182"/>
    </row>
    <row r="615">
      <c r="L615" s="182"/>
    </row>
    <row r="616">
      <c r="L616" s="182"/>
    </row>
    <row r="617">
      <c r="L617" s="182"/>
    </row>
    <row r="618">
      <c r="L618" s="182"/>
    </row>
    <row r="619">
      <c r="L619" s="182"/>
    </row>
    <row r="620">
      <c r="L620" s="182"/>
    </row>
    <row r="621">
      <c r="L621" s="182"/>
    </row>
    <row r="622">
      <c r="L622" s="182"/>
    </row>
    <row r="623">
      <c r="L623" s="182"/>
    </row>
    <row r="624">
      <c r="L624" s="182"/>
    </row>
    <row r="625">
      <c r="L625" s="182"/>
    </row>
    <row r="626">
      <c r="L626" s="182"/>
    </row>
    <row r="627">
      <c r="L627" s="182"/>
    </row>
    <row r="628">
      <c r="L628" s="182"/>
    </row>
    <row r="629">
      <c r="L629" s="182"/>
    </row>
    <row r="630">
      <c r="L630" s="182"/>
    </row>
    <row r="631">
      <c r="L631" s="182"/>
    </row>
    <row r="632">
      <c r="L632" s="182"/>
    </row>
    <row r="633">
      <c r="L633" s="182"/>
    </row>
    <row r="634">
      <c r="L634" s="182"/>
    </row>
    <row r="635">
      <c r="L635" s="182"/>
    </row>
    <row r="636">
      <c r="L636" s="182"/>
    </row>
    <row r="637">
      <c r="L637" s="182"/>
    </row>
    <row r="638">
      <c r="L638" s="182"/>
    </row>
    <row r="639">
      <c r="L639" s="182"/>
    </row>
    <row r="640">
      <c r="L640" s="182"/>
    </row>
    <row r="641">
      <c r="L641" s="182"/>
    </row>
    <row r="642">
      <c r="L642" s="182"/>
    </row>
    <row r="643">
      <c r="L643" s="182"/>
    </row>
    <row r="644">
      <c r="L644" s="182"/>
    </row>
    <row r="645">
      <c r="L645" s="182"/>
    </row>
    <row r="646">
      <c r="L646" s="182"/>
    </row>
    <row r="647">
      <c r="L647" s="182"/>
    </row>
    <row r="648">
      <c r="L648" s="182"/>
    </row>
    <row r="649">
      <c r="L649" s="182"/>
    </row>
    <row r="650">
      <c r="L650" s="182"/>
    </row>
    <row r="651">
      <c r="L651" s="182"/>
    </row>
    <row r="652">
      <c r="L652" s="182"/>
    </row>
    <row r="653">
      <c r="L653" s="182"/>
    </row>
    <row r="654">
      <c r="L654" s="182"/>
    </row>
    <row r="655">
      <c r="L655" s="182"/>
    </row>
    <row r="656">
      <c r="L656" s="182"/>
    </row>
    <row r="657">
      <c r="L657" s="182"/>
    </row>
    <row r="658">
      <c r="L658" s="182"/>
    </row>
    <row r="659">
      <c r="L659" s="182"/>
    </row>
    <row r="660">
      <c r="L660" s="182"/>
    </row>
    <row r="661">
      <c r="L661" s="182"/>
    </row>
    <row r="662">
      <c r="L662" s="182"/>
    </row>
    <row r="663">
      <c r="L663" s="182"/>
    </row>
    <row r="664">
      <c r="L664" s="182"/>
    </row>
    <row r="665">
      <c r="L665" s="182"/>
    </row>
    <row r="666">
      <c r="L666" s="182"/>
    </row>
    <row r="667">
      <c r="L667" s="182"/>
    </row>
    <row r="668">
      <c r="L668" s="182"/>
    </row>
    <row r="669">
      <c r="L669" s="182"/>
    </row>
    <row r="670">
      <c r="L670" s="182"/>
    </row>
    <row r="671">
      <c r="L671" s="182"/>
    </row>
    <row r="672">
      <c r="L672" s="182"/>
    </row>
    <row r="673">
      <c r="L673" s="182"/>
    </row>
    <row r="674">
      <c r="L674" s="182"/>
    </row>
    <row r="675">
      <c r="L675" s="182"/>
    </row>
    <row r="676">
      <c r="L676" s="182"/>
    </row>
    <row r="677">
      <c r="L677" s="182"/>
    </row>
    <row r="678">
      <c r="L678" s="182"/>
    </row>
    <row r="679">
      <c r="L679" s="182"/>
    </row>
    <row r="680">
      <c r="L680" s="182"/>
    </row>
    <row r="681">
      <c r="L681" s="182"/>
    </row>
    <row r="682">
      <c r="L682" s="182"/>
    </row>
    <row r="683">
      <c r="L683" s="182"/>
    </row>
    <row r="684">
      <c r="L684" s="182"/>
    </row>
    <row r="685">
      <c r="L685" s="182"/>
    </row>
    <row r="686">
      <c r="L686" s="182"/>
    </row>
    <row r="687">
      <c r="L687" s="182"/>
    </row>
    <row r="688">
      <c r="L688" s="182"/>
    </row>
    <row r="689">
      <c r="L689" s="182"/>
    </row>
    <row r="690">
      <c r="L690" s="182"/>
    </row>
    <row r="691">
      <c r="L691" s="182"/>
    </row>
    <row r="692">
      <c r="L692" s="182"/>
    </row>
    <row r="693">
      <c r="L693" s="182"/>
    </row>
    <row r="694">
      <c r="L694" s="182"/>
    </row>
    <row r="695">
      <c r="L695" s="182"/>
    </row>
    <row r="696">
      <c r="L696" s="182"/>
    </row>
    <row r="697">
      <c r="L697" s="182"/>
    </row>
    <row r="698">
      <c r="L698" s="182"/>
    </row>
    <row r="699">
      <c r="L699" s="182"/>
    </row>
    <row r="700">
      <c r="L700" s="182"/>
    </row>
    <row r="701">
      <c r="L701" s="182"/>
    </row>
    <row r="702">
      <c r="L702" s="182"/>
    </row>
    <row r="703">
      <c r="L703" s="182"/>
    </row>
    <row r="704">
      <c r="L704" s="182"/>
    </row>
    <row r="705">
      <c r="L705" s="182"/>
    </row>
    <row r="706">
      <c r="L706" s="182"/>
    </row>
    <row r="707">
      <c r="L707" s="182"/>
    </row>
    <row r="708">
      <c r="L708" s="182"/>
    </row>
    <row r="709">
      <c r="L709" s="182"/>
    </row>
    <row r="710">
      <c r="L710" s="182"/>
    </row>
    <row r="711">
      <c r="L711" s="182"/>
    </row>
    <row r="712">
      <c r="L712" s="182"/>
    </row>
    <row r="713">
      <c r="L713" s="182"/>
    </row>
    <row r="714">
      <c r="L714" s="182"/>
    </row>
    <row r="715">
      <c r="L715" s="182"/>
    </row>
    <row r="716">
      <c r="L716" s="182"/>
    </row>
    <row r="717">
      <c r="L717" s="182"/>
    </row>
    <row r="718">
      <c r="L718" s="182"/>
    </row>
    <row r="719">
      <c r="L719" s="182"/>
    </row>
    <row r="720">
      <c r="L720" s="182"/>
    </row>
    <row r="721">
      <c r="L721" s="182"/>
    </row>
    <row r="722">
      <c r="L722" s="182"/>
    </row>
    <row r="723">
      <c r="L723" s="182"/>
    </row>
    <row r="724">
      <c r="L724" s="182"/>
    </row>
    <row r="725">
      <c r="L725" s="182"/>
    </row>
    <row r="726">
      <c r="L726" s="182"/>
    </row>
    <row r="727">
      <c r="L727" s="182"/>
    </row>
    <row r="728">
      <c r="L728" s="182"/>
    </row>
    <row r="729">
      <c r="L729" s="182"/>
    </row>
    <row r="730">
      <c r="L730" s="182"/>
    </row>
    <row r="731">
      <c r="L731" s="182"/>
    </row>
    <row r="732">
      <c r="L732" s="182"/>
    </row>
    <row r="733">
      <c r="L733" s="182"/>
    </row>
    <row r="734">
      <c r="L734" s="182"/>
    </row>
    <row r="735">
      <c r="L735" s="182"/>
    </row>
    <row r="736">
      <c r="L736" s="182"/>
    </row>
    <row r="737">
      <c r="L737" s="182"/>
    </row>
    <row r="738">
      <c r="L738" s="182"/>
    </row>
    <row r="739">
      <c r="L739" s="182"/>
    </row>
    <row r="740">
      <c r="L740" s="182"/>
    </row>
    <row r="741">
      <c r="L741" s="182"/>
    </row>
    <row r="742">
      <c r="L742" s="182"/>
    </row>
    <row r="743">
      <c r="L743" s="182"/>
    </row>
    <row r="744">
      <c r="L744" s="182"/>
    </row>
    <row r="745">
      <c r="L745" s="182"/>
    </row>
    <row r="746">
      <c r="L746" s="182"/>
    </row>
    <row r="747">
      <c r="L747" s="182"/>
    </row>
    <row r="748">
      <c r="L748" s="182"/>
    </row>
    <row r="749">
      <c r="L749" s="182"/>
    </row>
    <row r="750">
      <c r="L750" s="182"/>
    </row>
    <row r="751">
      <c r="L751" s="182"/>
    </row>
    <row r="752">
      <c r="L752" s="182"/>
    </row>
    <row r="753">
      <c r="L753" s="182"/>
    </row>
    <row r="754">
      <c r="L754" s="182"/>
    </row>
    <row r="755">
      <c r="L755" s="182"/>
    </row>
    <row r="756">
      <c r="L756" s="182"/>
    </row>
    <row r="757">
      <c r="L757" s="182"/>
    </row>
    <row r="758">
      <c r="L758" s="182"/>
    </row>
    <row r="759">
      <c r="L759" s="182"/>
    </row>
    <row r="760">
      <c r="L760" s="182"/>
    </row>
    <row r="761">
      <c r="L761" s="182"/>
    </row>
    <row r="762">
      <c r="L762" s="182"/>
    </row>
    <row r="763">
      <c r="L763" s="182"/>
    </row>
    <row r="764">
      <c r="L764" s="182"/>
    </row>
    <row r="765">
      <c r="L765" s="182"/>
    </row>
    <row r="766">
      <c r="L766" s="182"/>
    </row>
    <row r="767">
      <c r="L767" s="182"/>
    </row>
    <row r="768">
      <c r="L768" s="182"/>
    </row>
    <row r="769">
      <c r="L769" s="182"/>
    </row>
    <row r="770">
      <c r="L770" s="182"/>
    </row>
    <row r="771">
      <c r="L771" s="182"/>
    </row>
    <row r="772">
      <c r="L772" s="182"/>
    </row>
    <row r="773">
      <c r="L773" s="182"/>
    </row>
    <row r="774">
      <c r="L774" s="182"/>
    </row>
    <row r="775">
      <c r="L775" s="182"/>
    </row>
    <row r="776">
      <c r="L776" s="182"/>
    </row>
    <row r="777">
      <c r="L777" s="182"/>
    </row>
    <row r="778">
      <c r="L778" s="182"/>
    </row>
    <row r="779">
      <c r="L779" s="182"/>
    </row>
    <row r="780">
      <c r="L780" s="182"/>
    </row>
    <row r="781">
      <c r="L781" s="182"/>
    </row>
    <row r="782">
      <c r="L782" s="182"/>
    </row>
    <row r="783">
      <c r="L783" s="182"/>
    </row>
    <row r="784">
      <c r="L784" s="182"/>
    </row>
    <row r="785">
      <c r="L785" s="182"/>
    </row>
    <row r="786">
      <c r="L786" s="182"/>
    </row>
    <row r="787">
      <c r="L787" s="182"/>
    </row>
    <row r="788">
      <c r="L788" s="182"/>
    </row>
    <row r="789">
      <c r="L789" s="182"/>
    </row>
    <row r="790">
      <c r="L790" s="182"/>
    </row>
    <row r="791">
      <c r="L791" s="182"/>
    </row>
    <row r="792">
      <c r="L792" s="182"/>
    </row>
    <row r="793">
      <c r="L793" s="182"/>
    </row>
    <row r="794">
      <c r="L794" s="182"/>
    </row>
    <row r="795">
      <c r="L795" s="182"/>
    </row>
    <row r="796">
      <c r="L796" s="182"/>
    </row>
    <row r="797">
      <c r="L797" s="182"/>
    </row>
    <row r="798">
      <c r="L798" s="182"/>
    </row>
    <row r="799">
      <c r="L799" s="182"/>
    </row>
    <row r="800">
      <c r="L800" s="182"/>
    </row>
    <row r="801">
      <c r="L801" s="182"/>
    </row>
    <row r="802">
      <c r="L802" s="182"/>
    </row>
    <row r="803">
      <c r="L803" s="182"/>
    </row>
    <row r="804">
      <c r="L804" s="182"/>
    </row>
    <row r="805">
      <c r="L805" s="182"/>
    </row>
    <row r="806">
      <c r="L806" s="182"/>
    </row>
    <row r="807">
      <c r="L807" s="182"/>
    </row>
    <row r="808">
      <c r="L808" s="182"/>
    </row>
    <row r="809">
      <c r="L809" s="182"/>
    </row>
    <row r="810">
      <c r="L810" s="182"/>
    </row>
    <row r="811">
      <c r="L811" s="182"/>
    </row>
    <row r="812">
      <c r="L812" s="182"/>
    </row>
    <row r="813">
      <c r="L813" s="182"/>
    </row>
    <row r="814">
      <c r="L814" s="182"/>
    </row>
    <row r="815">
      <c r="L815" s="182"/>
    </row>
    <row r="816">
      <c r="L816" s="182"/>
    </row>
    <row r="817">
      <c r="L817" s="182"/>
    </row>
    <row r="818">
      <c r="L818" s="182"/>
    </row>
    <row r="819">
      <c r="L819" s="182"/>
    </row>
    <row r="820">
      <c r="L820" s="182"/>
    </row>
    <row r="821">
      <c r="L821" s="182"/>
    </row>
    <row r="822">
      <c r="L822" s="182"/>
    </row>
    <row r="823">
      <c r="L823" s="182"/>
    </row>
    <row r="824">
      <c r="L824" s="182"/>
    </row>
    <row r="825">
      <c r="L825" s="182"/>
    </row>
    <row r="826">
      <c r="L826" s="182"/>
    </row>
    <row r="827">
      <c r="L827" s="182"/>
    </row>
    <row r="828">
      <c r="L828" s="182"/>
    </row>
    <row r="829">
      <c r="L829" s="182"/>
    </row>
    <row r="830">
      <c r="L830" s="182"/>
    </row>
    <row r="831">
      <c r="L831" s="182"/>
    </row>
    <row r="832">
      <c r="L832" s="182"/>
    </row>
    <row r="833">
      <c r="L833" s="182"/>
    </row>
    <row r="834">
      <c r="L834" s="182"/>
    </row>
    <row r="835">
      <c r="L835" s="182"/>
    </row>
    <row r="836">
      <c r="L836" s="182"/>
    </row>
    <row r="837">
      <c r="L837" s="182"/>
    </row>
    <row r="838">
      <c r="L838" s="182"/>
    </row>
    <row r="839">
      <c r="L839" s="182"/>
    </row>
    <row r="840">
      <c r="L840" s="182"/>
    </row>
    <row r="841">
      <c r="L841" s="182"/>
    </row>
    <row r="842">
      <c r="L842" s="182"/>
    </row>
    <row r="843">
      <c r="L843" s="182"/>
    </row>
    <row r="844">
      <c r="L844" s="182"/>
    </row>
    <row r="845">
      <c r="L845" s="182"/>
    </row>
    <row r="846">
      <c r="L846" s="182"/>
    </row>
    <row r="847">
      <c r="L847" s="182"/>
    </row>
    <row r="848">
      <c r="L848" s="182"/>
    </row>
    <row r="849">
      <c r="L849" s="182"/>
    </row>
    <row r="850">
      <c r="L850" s="182"/>
    </row>
    <row r="851">
      <c r="L851" s="182"/>
    </row>
    <row r="852">
      <c r="L852" s="182"/>
    </row>
    <row r="853">
      <c r="L853" s="182"/>
    </row>
    <row r="854">
      <c r="L854" s="182"/>
    </row>
    <row r="855">
      <c r="L855" s="182"/>
    </row>
    <row r="856">
      <c r="L856" s="182"/>
    </row>
    <row r="857">
      <c r="L857" s="182"/>
    </row>
    <row r="858">
      <c r="L858" s="182"/>
    </row>
    <row r="859">
      <c r="L859" s="182"/>
    </row>
    <row r="860">
      <c r="L860" s="182"/>
    </row>
    <row r="861">
      <c r="L861" s="182"/>
    </row>
    <row r="862">
      <c r="L862" s="182"/>
    </row>
    <row r="863">
      <c r="L863" s="182"/>
    </row>
    <row r="864">
      <c r="L864" s="182"/>
    </row>
    <row r="865">
      <c r="L865" s="182"/>
    </row>
    <row r="866">
      <c r="L866" s="182"/>
    </row>
    <row r="867">
      <c r="L867" s="182"/>
    </row>
    <row r="868">
      <c r="L868" s="182"/>
    </row>
    <row r="869">
      <c r="L869" s="182"/>
    </row>
    <row r="870">
      <c r="L870" s="182"/>
    </row>
    <row r="871">
      <c r="L871" s="182"/>
    </row>
    <row r="872">
      <c r="L872" s="182"/>
    </row>
    <row r="873">
      <c r="L873" s="182"/>
    </row>
    <row r="874">
      <c r="L874" s="182"/>
    </row>
    <row r="875">
      <c r="L875" s="182"/>
    </row>
    <row r="876">
      <c r="L876" s="182"/>
    </row>
    <row r="877">
      <c r="L877" s="182"/>
    </row>
    <row r="878">
      <c r="L878" s="182"/>
    </row>
    <row r="879">
      <c r="L879" s="182"/>
    </row>
    <row r="880">
      <c r="L880" s="182"/>
    </row>
    <row r="881">
      <c r="L881" s="182"/>
    </row>
    <row r="882">
      <c r="L882" s="182"/>
    </row>
    <row r="883">
      <c r="L883" s="182"/>
    </row>
    <row r="884">
      <c r="L884" s="182"/>
    </row>
    <row r="885">
      <c r="L885" s="182"/>
    </row>
    <row r="886">
      <c r="L886" s="182"/>
    </row>
    <row r="887">
      <c r="L887" s="182"/>
    </row>
    <row r="888">
      <c r="L888" s="182"/>
    </row>
    <row r="889">
      <c r="L889" s="182"/>
    </row>
    <row r="890">
      <c r="L890" s="182"/>
    </row>
    <row r="891">
      <c r="L891" s="182"/>
    </row>
    <row r="892">
      <c r="L892" s="182"/>
    </row>
    <row r="893">
      <c r="L893" s="182"/>
    </row>
    <row r="894">
      <c r="L894" s="182"/>
    </row>
    <row r="895">
      <c r="L895" s="182"/>
    </row>
    <row r="896">
      <c r="L896" s="182"/>
    </row>
    <row r="897">
      <c r="L897" s="182"/>
    </row>
    <row r="898">
      <c r="L898" s="182"/>
    </row>
    <row r="899">
      <c r="L899" s="182"/>
    </row>
    <row r="900">
      <c r="L900" s="182"/>
    </row>
    <row r="901">
      <c r="L901" s="182"/>
    </row>
    <row r="902">
      <c r="L902" s="182"/>
    </row>
    <row r="903">
      <c r="L903" s="182"/>
    </row>
    <row r="904">
      <c r="L904" s="182"/>
    </row>
    <row r="905">
      <c r="L905" s="182"/>
    </row>
    <row r="906">
      <c r="L906" s="182"/>
    </row>
    <row r="907">
      <c r="L907" s="182"/>
    </row>
    <row r="908">
      <c r="L908" s="182"/>
    </row>
    <row r="909">
      <c r="L909" s="182"/>
    </row>
    <row r="910">
      <c r="L910" s="182"/>
    </row>
    <row r="911">
      <c r="L911" s="182"/>
    </row>
    <row r="912">
      <c r="L912" s="182"/>
    </row>
    <row r="913">
      <c r="L913" s="182"/>
    </row>
    <row r="914">
      <c r="L914" s="182"/>
    </row>
    <row r="915">
      <c r="L915" s="182"/>
    </row>
    <row r="916">
      <c r="L916" s="182"/>
    </row>
    <row r="917">
      <c r="L917" s="182"/>
    </row>
    <row r="918">
      <c r="L918" s="182"/>
    </row>
    <row r="919">
      <c r="L919" s="182"/>
    </row>
    <row r="920">
      <c r="L920" s="182"/>
    </row>
    <row r="921">
      <c r="L921" s="182"/>
    </row>
    <row r="922">
      <c r="L922" s="182"/>
    </row>
    <row r="923">
      <c r="L923" s="182"/>
    </row>
    <row r="924">
      <c r="L924" s="182"/>
    </row>
    <row r="925">
      <c r="L925" s="182"/>
    </row>
    <row r="926">
      <c r="L926" s="182"/>
    </row>
    <row r="927">
      <c r="L927" s="182"/>
    </row>
    <row r="928">
      <c r="L928" s="182"/>
    </row>
    <row r="929">
      <c r="L929" s="182"/>
    </row>
    <row r="930">
      <c r="L930" s="182"/>
    </row>
    <row r="931">
      <c r="L931" s="182"/>
    </row>
    <row r="932">
      <c r="L932" s="182"/>
    </row>
    <row r="933">
      <c r="L933" s="182"/>
    </row>
    <row r="934">
      <c r="L934" s="182"/>
    </row>
  </sheetData>
  <hyperlinks>
    <hyperlink r:id="rId2" ref="A2"/>
    <hyperlink r:id="rId3" location="page=37" ref="A4"/>
    <hyperlink r:id="rId4" ref="A5"/>
    <hyperlink r:id="rId5" ref="A6"/>
    <hyperlink r:id="rId6" location=":~:text=The%20program%20has%20significant%20multiplier,(e.g.%2C%20food%20parcels)." ref="A7"/>
    <hyperlink r:id="rId7" ref="A8"/>
    <hyperlink r:id="rId8" ref="A9"/>
    <hyperlink r:id="rId9" location=":~:text=We%20estimate%20the%20subnational%20employment,the%20range%20of%200.5%2D1.5." ref="A10"/>
    <hyperlink r:id="rId10" ref="A11"/>
    <hyperlink r:id="rId11" ref="A12"/>
    <hyperlink r:id="rId12" ref="A13"/>
    <hyperlink r:id="rId13" location=":~:text=The%20local%20economy%2Dwide%20impact%20evaluation%20(LEWIE)%20methodology%20was,beneficiary%20and%20non%2Dbeneficiary%20households." ref="A14"/>
    <hyperlink r:id="rId14" ref="A15"/>
    <hyperlink r:id="rId15" location=":~:text=3.-,The%20Local%20Economy%2DWide%20Impact%20Evaluation,and%20D)%20in%20rural%20Ghana." ref="A16"/>
    <hyperlink r:id="rId16" ref="A17"/>
    <hyperlink r:id="rId17" ref="A18"/>
    <hyperlink r:id="rId18" ref="A19"/>
    <hyperlink r:id="rId19" ref="A20"/>
    <hyperlink r:id="rId20" ref="A21"/>
    <hyperlink r:id="rId21" ref="A22"/>
    <hyperlink r:id="rId22" ref="A23"/>
    <hyperlink r:id="rId23" ref="A24"/>
    <hyperlink r:id="rId24" location=":~:text=The%20Local%20Economy%2DWide%20Impact%20Evaluation%20(LEWIE)%20methodology%20is,to%20include%20larger%20regions%20and" ref="A25"/>
    <hyperlink r:id="rId25" ref="A26"/>
    <hyperlink r:id="rId26" ref="A27"/>
    <hyperlink r:id="rId27" ref="A28"/>
    <hyperlink r:id="rId28" ref="A29"/>
    <hyperlink r:id="rId29" ref="A30"/>
    <hyperlink r:id="rId30" ref="A31"/>
    <hyperlink r:id="rId31" ref="A32"/>
  </hyperlinks>
  <drawing r:id="rId32"/>
  <legacyDrawing r:id="rId3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sheetPr>
  <sheetViews>
    <sheetView workbookViewId="0">
      <pane ySplit="2.0" topLeftCell="A3" activePane="bottomLeft" state="frozen"/>
      <selection activeCell="B4" sqref="B4" pane="bottomLeft"/>
    </sheetView>
  </sheetViews>
  <sheetFormatPr customHeight="1" defaultColWidth="17.29" defaultRowHeight="15.0"/>
  <cols>
    <col customWidth="1" min="4" max="4" width="20.29"/>
  </cols>
  <sheetData>
    <row r="1">
      <c r="A1" s="383" t="s">
        <v>1244</v>
      </c>
      <c r="B1" s="384"/>
      <c r="C1" s="384"/>
      <c r="D1" s="384"/>
      <c r="E1" s="384"/>
      <c r="F1" s="384"/>
      <c r="G1" s="384"/>
      <c r="H1" s="384"/>
      <c r="I1" s="384"/>
      <c r="J1" s="384"/>
      <c r="K1" s="385"/>
    </row>
    <row r="2">
      <c r="A2" s="384" t="s">
        <v>72</v>
      </c>
      <c r="B2" s="384" t="s">
        <v>1061</v>
      </c>
      <c r="C2" s="384" t="s">
        <v>1245</v>
      </c>
      <c r="D2" s="384" t="s">
        <v>1246</v>
      </c>
      <c r="E2" s="384" t="s">
        <v>1247</v>
      </c>
      <c r="F2" s="384" t="s">
        <v>1248</v>
      </c>
      <c r="G2" s="384" t="s">
        <v>1249</v>
      </c>
      <c r="H2" s="384" t="s">
        <v>1250</v>
      </c>
      <c r="I2" s="384" t="s">
        <v>1251</v>
      </c>
      <c r="J2" s="384" t="s">
        <v>1252</v>
      </c>
      <c r="K2" s="385"/>
    </row>
    <row r="3">
      <c r="A3" s="386" t="s">
        <v>671</v>
      </c>
      <c r="B3" s="386" t="s">
        <v>1253</v>
      </c>
      <c r="C3" s="386">
        <v>2004.0</v>
      </c>
      <c r="D3" s="386" t="s">
        <v>1254</v>
      </c>
      <c r="E3" s="387">
        <v>60.0</v>
      </c>
      <c r="F3" s="386" t="s">
        <v>1255</v>
      </c>
      <c r="G3" s="388">
        <v>719987.0</v>
      </c>
      <c r="H3" s="386" t="s">
        <v>1256</v>
      </c>
      <c r="I3" s="389">
        <v>0.22</v>
      </c>
      <c r="J3" s="389">
        <v>0.04</v>
      </c>
      <c r="K3" s="385"/>
    </row>
    <row r="4">
      <c r="A4" s="386" t="s">
        <v>671</v>
      </c>
      <c r="B4" s="386" t="s">
        <v>1257</v>
      </c>
      <c r="C4" s="386">
        <v>2015.0</v>
      </c>
      <c r="D4" s="386" t="s">
        <v>1258</v>
      </c>
      <c r="E4" s="386"/>
      <c r="F4" s="386" t="s">
        <v>1259</v>
      </c>
      <c r="G4" s="388">
        <v>25548.0</v>
      </c>
      <c r="H4" s="386" t="s">
        <v>1256</v>
      </c>
      <c r="I4" s="389">
        <v>0.01</v>
      </c>
      <c r="J4" s="386" t="s">
        <v>1260</v>
      </c>
      <c r="K4" s="385"/>
    </row>
    <row r="5">
      <c r="A5" s="386" t="s">
        <v>492</v>
      </c>
      <c r="B5" s="386" t="s">
        <v>1261</v>
      </c>
      <c r="C5" s="386">
        <v>2015.0</v>
      </c>
      <c r="D5" s="386" t="s">
        <v>1262</v>
      </c>
      <c r="E5" s="387">
        <v>360.0</v>
      </c>
      <c r="F5" s="386" t="s">
        <v>1263</v>
      </c>
      <c r="G5" s="388">
        <v>634756.0</v>
      </c>
      <c r="H5" s="386" t="s">
        <v>1264</v>
      </c>
      <c r="I5" s="389">
        <v>0.1</v>
      </c>
      <c r="J5" s="389">
        <v>0.11</v>
      </c>
      <c r="K5" s="385"/>
    </row>
    <row r="6">
      <c r="A6" s="386" t="s">
        <v>497</v>
      </c>
      <c r="B6" s="386" t="s">
        <v>1265</v>
      </c>
      <c r="C6" s="386">
        <v>2010.0</v>
      </c>
      <c r="D6" s="386" t="s">
        <v>1266</v>
      </c>
      <c r="E6" s="387">
        <v>720.0</v>
      </c>
      <c r="F6" s="386" t="s">
        <v>1267</v>
      </c>
      <c r="G6" s="388">
        <v>172000.0</v>
      </c>
      <c r="H6" s="386" t="s">
        <v>1268</v>
      </c>
      <c r="I6" s="389">
        <v>0.07</v>
      </c>
      <c r="J6" s="389">
        <v>0.27</v>
      </c>
      <c r="K6" s="385"/>
    </row>
    <row r="7">
      <c r="A7" s="386" t="s">
        <v>497</v>
      </c>
      <c r="B7" s="386" t="s">
        <v>1269</v>
      </c>
      <c r="C7" s="386">
        <v>2015.0</v>
      </c>
      <c r="D7" s="386" t="s">
        <v>1270</v>
      </c>
      <c r="E7" s="387">
        <v>652.0</v>
      </c>
      <c r="F7" s="386" t="s">
        <v>1271</v>
      </c>
      <c r="G7" s="388">
        <v>161579.0</v>
      </c>
      <c r="H7" s="386" t="s">
        <v>1272</v>
      </c>
      <c r="I7" s="389">
        <v>0.09</v>
      </c>
      <c r="J7" s="389">
        <v>0.2</v>
      </c>
      <c r="K7" s="385"/>
    </row>
    <row r="8">
      <c r="A8" s="386" t="s">
        <v>639</v>
      </c>
      <c r="B8" s="386" t="s">
        <v>1273</v>
      </c>
      <c r="C8" s="386">
        <v>2006.0</v>
      </c>
      <c r="D8" s="386" t="s">
        <v>1274</v>
      </c>
      <c r="E8" s="387">
        <v>1116.0</v>
      </c>
      <c r="F8" s="386" t="s">
        <v>1275</v>
      </c>
      <c r="G8" s="388">
        <v>864542.0</v>
      </c>
      <c r="H8" s="386" t="s">
        <v>1276</v>
      </c>
      <c r="I8" s="389">
        <v>1.0</v>
      </c>
      <c r="J8" s="389">
        <v>0.13</v>
      </c>
      <c r="K8" s="385"/>
    </row>
    <row r="9">
      <c r="A9" s="386" t="s">
        <v>336</v>
      </c>
      <c r="B9" s="386" t="s">
        <v>1277</v>
      </c>
      <c r="C9" s="386">
        <v>2006.0</v>
      </c>
      <c r="D9" s="386" t="s">
        <v>1278</v>
      </c>
      <c r="E9" s="387">
        <v>33.0</v>
      </c>
      <c r="F9" s="386" t="s">
        <v>1279</v>
      </c>
      <c r="G9" s="388">
        <v>4.6E7</v>
      </c>
      <c r="H9" s="386" t="s">
        <v>1280</v>
      </c>
      <c r="I9" s="389">
        <v>1.0</v>
      </c>
      <c r="J9" s="389">
        <v>0.1</v>
      </c>
      <c r="K9" s="385"/>
    </row>
    <row r="10">
      <c r="A10" s="386" t="s">
        <v>336</v>
      </c>
      <c r="B10" s="386" t="s">
        <v>1281</v>
      </c>
      <c r="C10" s="386">
        <v>2012.0</v>
      </c>
      <c r="D10" s="386" t="s">
        <v>1262</v>
      </c>
      <c r="E10" s="387">
        <v>804.0</v>
      </c>
      <c r="F10" s="386" t="s">
        <v>1282</v>
      </c>
      <c r="G10" s="388">
        <v>17705.0</v>
      </c>
      <c r="H10" s="386" t="s">
        <v>1283</v>
      </c>
      <c r="I10" s="386" t="s">
        <v>1284</v>
      </c>
      <c r="J10" s="389">
        <v>0.66</v>
      </c>
      <c r="K10" s="385"/>
    </row>
    <row r="11">
      <c r="A11" s="386" t="s">
        <v>658</v>
      </c>
      <c r="B11" s="386" t="s">
        <v>1285</v>
      </c>
      <c r="C11" s="386">
        <v>2013.0</v>
      </c>
      <c r="D11" s="386" t="s">
        <v>1286</v>
      </c>
      <c r="E11" s="387">
        <v>56.0</v>
      </c>
      <c r="F11" s="386" t="s">
        <v>1287</v>
      </c>
      <c r="G11" s="388">
        <v>423429.0</v>
      </c>
      <c r="H11" s="386" t="s">
        <v>1288</v>
      </c>
      <c r="I11" s="389">
        <v>0.16</v>
      </c>
      <c r="J11" s="389">
        <v>0.03</v>
      </c>
      <c r="K11" s="385"/>
    </row>
    <row r="12">
      <c r="A12" s="386" t="s">
        <v>660</v>
      </c>
      <c r="B12" s="386" t="s">
        <v>1289</v>
      </c>
      <c r="C12" s="386">
        <v>2008.0</v>
      </c>
      <c r="D12" s="386" t="s">
        <v>1290</v>
      </c>
      <c r="E12" s="387">
        <v>280.0</v>
      </c>
      <c r="F12" s="386" t="s">
        <v>1291</v>
      </c>
      <c r="G12" s="388">
        <v>2.3156716E7</v>
      </c>
      <c r="H12" s="386" t="s">
        <v>1292</v>
      </c>
      <c r="I12" s="389">
        <v>0.46</v>
      </c>
      <c r="J12" s="389">
        <v>0.08</v>
      </c>
      <c r="K12" s="385"/>
    </row>
    <row r="13">
      <c r="A13" s="386" t="s">
        <v>660</v>
      </c>
      <c r="B13" s="386" t="s">
        <v>1293</v>
      </c>
      <c r="C13" s="386">
        <v>2009.0</v>
      </c>
      <c r="D13" s="386" t="s">
        <v>1294</v>
      </c>
      <c r="E13" s="387">
        <v>75.0</v>
      </c>
      <c r="F13" s="386" t="s">
        <v>1295</v>
      </c>
      <c r="G13" s="388">
        <v>7.8732835E7</v>
      </c>
      <c r="H13" s="386" t="s">
        <v>1296</v>
      </c>
      <c r="I13" s="389">
        <v>1.0</v>
      </c>
      <c r="J13" s="389">
        <v>0.02</v>
      </c>
      <c r="K13" s="385"/>
    </row>
    <row r="14">
      <c r="A14" s="386" t="s">
        <v>660</v>
      </c>
      <c r="B14" s="386" t="s">
        <v>1297</v>
      </c>
      <c r="C14" s="386">
        <v>2010.0</v>
      </c>
      <c r="D14" s="386" t="s">
        <v>1298</v>
      </c>
      <c r="E14" s="387">
        <v>75.0</v>
      </c>
      <c r="F14" s="386" t="s">
        <v>1299</v>
      </c>
      <c r="G14" s="388">
        <v>634377.0</v>
      </c>
      <c r="H14" s="386" t="s">
        <v>1300</v>
      </c>
      <c r="I14" s="389">
        <v>0.02</v>
      </c>
      <c r="J14" s="389">
        <v>0.02</v>
      </c>
      <c r="K14" s="385"/>
    </row>
    <row r="15">
      <c r="A15" s="386" t="s">
        <v>660</v>
      </c>
      <c r="B15" s="386" t="s">
        <v>1301</v>
      </c>
      <c r="C15" s="386" t="s">
        <v>1302</v>
      </c>
      <c r="D15" s="386" t="s">
        <v>1303</v>
      </c>
      <c r="E15" s="387">
        <v>75.0</v>
      </c>
      <c r="F15" s="386" t="s">
        <v>1304</v>
      </c>
      <c r="G15" s="388">
        <v>6.3078048E7</v>
      </c>
      <c r="H15" s="386" t="s">
        <v>1305</v>
      </c>
      <c r="I15" s="389">
        <v>1.0</v>
      </c>
      <c r="J15" s="389">
        <v>0.02</v>
      </c>
      <c r="K15" s="385"/>
    </row>
    <row r="16">
      <c r="A16" s="386" t="s">
        <v>337</v>
      </c>
      <c r="B16" s="386" t="s">
        <v>1306</v>
      </c>
      <c r="C16" s="386">
        <v>2006.0</v>
      </c>
      <c r="D16" s="386" t="s">
        <v>1307</v>
      </c>
      <c r="E16" s="387">
        <v>480.0</v>
      </c>
      <c r="F16" s="386" t="s">
        <v>1308</v>
      </c>
      <c r="G16" s="388">
        <v>276378.0</v>
      </c>
      <c r="H16" s="386" t="s">
        <v>1309</v>
      </c>
      <c r="I16" s="389">
        <v>0.21</v>
      </c>
      <c r="J16" s="389">
        <v>0.27</v>
      </c>
      <c r="K16" s="385"/>
    </row>
    <row r="17">
      <c r="A17" s="386" t="s">
        <v>337</v>
      </c>
      <c r="B17" s="386" t="s">
        <v>1310</v>
      </c>
      <c r="C17" s="386">
        <v>2010.0</v>
      </c>
      <c r="D17" s="386" t="s">
        <v>1311</v>
      </c>
      <c r="E17" s="387">
        <v>600.0</v>
      </c>
      <c r="F17" s="386" t="s">
        <v>1312</v>
      </c>
      <c r="G17" s="388">
        <v>117600.0</v>
      </c>
      <c r="H17" s="386" t="s">
        <v>1309</v>
      </c>
      <c r="I17" s="389">
        <v>0.09</v>
      </c>
      <c r="J17" s="389">
        <v>0.28</v>
      </c>
      <c r="K17" s="385"/>
    </row>
    <row r="18">
      <c r="A18" s="386" t="s">
        <v>75</v>
      </c>
      <c r="B18" s="386" t="s">
        <v>1313</v>
      </c>
      <c r="C18" s="386">
        <v>2007.0</v>
      </c>
      <c r="D18" s="386" t="s">
        <v>1262</v>
      </c>
      <c r="E18" s="387">
        <v>66.0</v>
      </c>
      <c r="F18" s="386" t="s">
        <v>1314</v>
      </c>
      <c r="G18" s="388">
        <v>782561.0</v>
      </c>
      <c r="H18" s="386" t="s">
        <v>1315</v>
      </c>
      <c r="I18" s="389">
        <v>0.06</v>
      </c>
      <c r="J18" s="389">
        <v>0.08</v>
      </c>
      <c r="K18" s="385"/>
    </row>
    <row r="19">
      <c r="A19" s="386" t="s">
        <v>686</v>
      </c>
      <c r="B19" s="386" t="s">
        <v>1316</v>
      </c>
      <c r="C19" s="386">
        <v>2010.0</v>
      </c>
      <c r="D19" s="386" t="s">
        <v>1317</v>
      </c>
      <c r="E19" s="387">
        <v>120.0</v>
      </c>
      <c r="F19" s="386" t="s">
        <v>1318</v>
      </c>
      <c r="G19" s="388">
        <v>810968.0</v>
      </c>
      <c r="H19" s="386" t="s">
        <v>1319</v>
      </c>
      <c r="I19" s="389">
        <v>0.31</v>
      </c>
      <c r="J19" s="389">
        <v>0.1</v>
      </c>
      <c r="K19" s="385"/>
    </row>
    <row r="20">
      <c r="A20" s="386" t="s">
        <v>935</v>
      </c>
      <c r="B20" s="386" t="s">
        <v>1320</v>
      </c>
      <c r="C20" s="386">
        <v>2006.0</v>
      </c>
      <c r="D20" s="386" t="s">
        <v>1321</v>
      </c>
      <c r="E20" s="387">
        <v>366.0</v>
      </c>
      <c r="F20" s="386" t="s">
        <v>1322</v>
      </c>
      <c r="G20" s="388">
        <v>1561292.0</v>
      </c>
      <c r="H20" s="386" t="s">
        <v>1323</v>
      </c>
      <c r="I20" s="389">
        <v>0.31</v>
      </c>
      <c r="J20" s="389">
        <v>0.05</v>
      </c>
      <c r="K20" s="385"/>
    </row>
    <row r="21">
      <c r="A21" s="386" t="s">
        <v>935</v>
      </c>
      <c r="B21" s="386" t="s">
        <v>1324</v>
      </c>
      <c r="C21" s="386">
        <v>2012.0</v>
      </c>
      <c r="D21" s="386" t="s">
        <v>1325</v>
      </c>
      <c r="E21" s="387">
        <v>462.0</v>
      </c>
      <c r="F21" s="386" t="s">
        <v>1326</v>
      </c>
      <c r="G21" s="388">
        <v>2041945.0</v>
      </c>
      <c r="H21" s="386" t="s">
        <v>1327</v>
      </c>
      <c r="I21" s="389">
        <v>1.0</v>
      </c>
      <c r="J21" s="389">
        <v>0.07</v>
      </c>
      <c r="K21" s="385"/>
    </row>
    <row r="22">
      <c r="A22" s="386" t="s">
        <v>935</v>
      </c>
      <c r="B22" s="386" t="s">
        <v>1328</v>
      </c>
      <c r="C22" s="386">
        <v>2018.0</v>
      </c>
      <c r="D22" s="386" t="s">
        <v>1329</v>
      </c>
      <c r="E22" s="387">
        <v>276.0</v>
      </c>
      <c r="F22" s="386" t="s">
        <v>1330</v>
      </c>
      <c r="G22" s="388">
        <v>74375.0</v>
      </c>
      <c r="H22" s="386" t="s">
        <v>1331</v>
      </c>
      <c r="I22" s="389">
        <v>0.07</v>
      </c>
      <c r="J22" s="389">
        <v>0.04</v>
      </c>
      <c r="K22" s="385"/>
    </row>
    <row r="23">
      <c r="A23" s="386" t="s">
        <v>564</v>
      </c>
      <c r="B23" s="386" t="s">
        <v>1332</v>
      </c>
      <c r="C23" s="386">
        <v>2009.0</v>
      </c>
      <c r="D23" s="386" t="s">
        <v>1333</v>
      </c>
      <c r="E23" s="387">
        <v>343.0</v>
      </c>
      <c r="F23" s="386" t="s">
        <v>1334</v>
      </c>
      <c r="G23" s="388">
        <v>46264.0</v>
      </c>
      <c r="H23" s="386" t="s">
        <v>1335</v>
      </c>
      <c r="I23" s="389">
        <v>0.01</v>
      </c>
      <c r="J23" s="389">
        <v>0.26</v>
      </c>
      <c r="K23" s="385"/>
    </row>
    <row r="24">
      <c r="A24" s="386" t="s">
        <v>564</v>
      </c>
      <c r="B24" s="386" t="s">
        <v>1336</v>
      </c>
      <c r="C24" s="386">
        <v>2014.0</v>
      </c>
      <c r="D24" s="386" t="s">
        <v>1337</v>
      </c>
      <c r="E24" s="387">
        <v>169.0</v>
      </c>
      <c r="F24" s="386" t="s">
        <v>1338</v>
      </c>
      <c r="G24" s="388">
        <v>1664945.0</v>
      </c>
      <c r="H24" s="386" t="s">
        <v>1339</v>
      </c>
      <c r="I24" s="389">
        <v>0.3</v>
      </c>
      <c r="J24" s="389">
        <v>0.14</v>
      </c>
      <c r="K24" s="385"/>
    </row>
    <row r="25">
      <c r="A25" s="386" t="s">
        <v>339</v>
      </c>
      <c r="B25" s="386" t="s">
        <v>1340</v>
      </c>
      <c r="C25" s="386">
        <v>2011.0</v>
      </c>
      <c r="D25" s="386" t="s">
        <v>1341</v>
      </c>
      <c r="E25" s="387">
        <v>432.0</v>
      </c>
      <c r="F25" s="386" t="s">
        <v>1342</v>
      </c>
      <c r="G25" s="388">
        <v>13000.0</v>
      </c>
      <c r="H25" s="386" t="s">
        <v>1343</v>
      </c>
      <c r="I25" s="386" t="s">
        <v>1344</v>
      </c>
      <c r="J25" s="389">
        <v>0.19</v>
      </c>
      <c r="K25" s="385"/>
    </row>
    <row r="26">
      <c r="A26" s="386" t="s">
        <v>339</v>
      </c>
      <c r="B26" s="386" t="s">
        <v>1345</v>
      </c>
      <c r="C26" s="386" t="s">
        <v>1346</v>
      </c>
      <c r="D26" s="386" t="s">
        <v>1347</v>
      </c>
      <c r="E26" s="387">
        <v>276.0</v>
      </c>
      <c r="F26" s="386" t="s">
        <v>1348</v>
      </c>
      <c r="G26" s="388">
        <v>5164623.0</v>
      </c>
      <c r="H26" s="386" t="s">
        <v>1349</v>
      </c>
      <c r="I26" s="389">
        <v>0.2</v>
      </c>
      <c r="J26" s="389">
        <v>0.12</v>
      </c>
      <c r="K26" s="385"/>
    </row>
    <row r="27">
      <c r="A27" s="386" t="s">
        <v>980</v>
      </c>
      <c r="B27" s="386" t="s">
        <v>1350</v>
      </c>
      <c r="C27" s="386">
        <v>2009.0</v>
      </c>
      <c r="D27" s="386" t="s">
        <v>1351</v>
      </c>
      <c r="E27" s="387">
        <v>360.0</v>
      </c>
      <c r="F27" s="386" t="s">
        <v>1352</v>
      </c>
      <c r="G27" s="388">
        <v>496696.0</v>
      </c>
      <c r="H27" s="386" t="s">
        <v>1353</v>
      </c>
      <c r="I27" s="389">
        <v>1.0</v>
      </c>
      <c r="J27" s="389">
        <v>0.27</v>
      </c>
      <c r="K27" s="385"/>
    </row>
    <row r="28">
      <c r="A28" s="386" t="s">
        <v>980</v>
      </c>
      <c r="B28" s="386" t="s">
        <v>1354</v>
      </c>
      <c r="C28" s="386">
        <v>2009.0</v>
      </c>
      <c r="D28" s="386" t="s">
        <v>1355</v>
      </c>
      <c r="E28" s="387">
        <v>180.0</v>
      </c>
      <c r="F28" s="386" t="s">
        <v>1356</v>
      </c>
      <c r="G28" s="388">
        <v>284941.0</v>
      </c>
      <c r="H28" s="386" t="s">
        <v>1353</v>
      </c>
      <c r="I28" s="389">
        <v>0.61</v>
      </c>
      <c r="J28" s="389">
        <v>0.14</v>
      </c>
      <c r="K28" s="385"/>
    </row>
    <row r="29">
      <c r="A29" s="386" t="s">
        <v>78</v>
      </c>
      <c r="B29" s="386" t="s">
        <v>1357</v>
      </c>
      <c r="C29" s="386">
        <v>2011.0</v>
      </c>
      <c r="D29" s="386" t="s">
        <v>1358</v>
      </c>
      <c r="E29" s="387">
        <v>96.0</v>
      </c>
      <c r="F29" s="386" t="s">
        <v>1359</v>
      </c>
      <c r="G29" s="388">
        <v>675000.0</v>
      </c>
      <c r="H29" s="386" t="s">
        <v>1360</v>
      </c>
      <c r="I29" s="389">
        <v>0.04</v>
      </c>
      <c r="J29" s="389">
        <v>0.04</v>
      </c>
      <c r="K29" s="385"/>
    </row>
    <row r="30">
      <c r="A30" s="386" t="s">
        <v>78</v>
      </c>
      <c r="B30" s="386" t="s">
        <v>1361</v>
      </c>
      <c r="C30" s="386">
        <v>2011.0</v>
      </c>
      <c r="D30" s="386" t="s">
        <v>1362</v>
      </c>
      <c r="E30" s="386"/>
      <c r="F30" s="386" t="s">
        <v>1363</v>
      </c>
      <c r="G30" s="388">
        <v>510138.0</v>
      </c>
      <c r="H30" s="386" t="s">
        <v>1360</v>
      </c>
      <c r="I30" s="389">
        <v>0.03</v>
      </c>
      <c r="J30" s="386" t="s">
        <v>1260</v>
      </c>
      <c r="K30" s="385"/>
    </row>
    <row r="31">
      <c r="A31" s="386" t="s">
        <v>340</v>
      </c>
      <c r="B31" s="386" t="s">
        <v>1364</v>
      </c>
      <c r="C31" s="386">
        <v>2011.0</v>
      </c>
      <c r="D31" s="386" t="s">
        <v>1365</v>
      </c>
      <c r="E31" s="387">
        <v>36.0</v>
      </c>
      <c r="F31" s="386" t="s">
        <v>1366</v>
      </c>
      <c r="G31" s="388">
        <v>2600000.0</v>
      </c>
      <c r="H31" s="386" t="s">
        <v>1367</v>
      </c>
      <c r="I31" s="389">
        <v>0.24</v>
      </c>
      <c r="J31" s="389">
        <v>0.01</v>
      </c>
      <c r="K31" s="385"/>
    </row>
    <row r="32">
      <c r="A32" s="385"/>
      <c r="B32" s="385"/>
      <c r="C32" s="385"/>
      <c r="D32" s="385"/>
      <c r="E32" s="385"/>
      <c r="F32" s="385"/>
      <c r="G32" s="385"/>
      <c r="H32" s="385"/>
      <c r="I32" s="385"/>
      <c r="J32" s="385"/>
      <c r="K32" s="385"/>
    </row>
    <row r="33">
      <c r="A33" s="385"/>
      <c r="B33" s="385"/>
      <c r="C33" s="385"/>
      <c r="D33" s="386" t="s">
        <v>1368</v>
      </c>
      <c r="E33" s="390">
        <f>MEDIAN(E3:E31)</f>
        <v>276</v>
      </c>
      <c r="F33" s="385"/>
      <c r="G33" s="385"/>
      <c r="H33" s="385"/>
      <c r="I33" s="385"/>
      <c r="J33" s="385"/>
      <c r="K33" s="385"/>
    </row>
    <row r="34">
      <c r="A34" s="385"/>
      <c r="B34" s="385"/>
      <c r="C34" s="385"/>
      <c r="D34" s="386" t="s">
        <v>1369</v>
      </c>
      <c r="E34" s="390">
        <f>AVERAGE(E3:E31)</f>
        <v>317.3333333</v>
      </c>
      <c r="F34" s="385"/>
      <c r="G34" s="385"/>
      <c r="H34" s="385"/>
      <c r="I34" s="385"/>
      <c r="J34" s="385"/>
      <c r="K34" s="385"/>
    </row>
    <row r="35">
      <c r="A35" s="385"/>
      <c r="B35" s="385"/>
      <c r="C35" s="385"/>
      <c r="D35" s="385"/>
      <c r="E35" s="385"/>
      <c r="F35" s="385"/>
      <c r="G35" s="385"/>
      <c r="H35" s="385"/>
      <c r="I35" s="385"/>
      <c r="J35" s="385"/>
      <c r="K35" s="385"/>
    </row>
    <row r="36">
      <c r="A36" s="385"/>
      <c r="B36" s="385"/>
      <c r="C36" s="385"/>
      <c r="D36" s="385"/>
      <c r="E36" s="385"/>
      <c r="F36" s="385"/>
      <c r="G36" s="385"/>
      <c r="H36" s="385"/>
      <c r="I36" s="385"/>
      <c r="J36" s="385"/>
      <c r="K36" s="385"/>
    </row>
    <row r="37">
      <c r="A37" s="385"/>
      <c r="B37" s="385"/>
      <c r="C37" s="385"/>
      <c r="D37" s="385"/>
      <c r="E37" s="385"/>
      <c r="F37" s="385"/>
      <c r="G37" s="385"/>
      <c r="H37" s="385"/>
      <c r="I37" s="385"/>
      <c r="J37" s="385"/>
      <c r="K37" s="385"/>
    </row>
    <row r="38">
      <c r="A38" s="385"/>
      <c r="B38" s="385"/>
      <c r="C38" s="385"/>
      <c r="D38" s="385"/>
      <c r="E38" s="385"/>
      <c r="F38" s="385"/>
      <c r="G38" s="385"/>
      <c r="H38" s="385"/>
      <c r="I38" s="385"/>
      <c r="J38" s="385"/>
      <c r="K38" s="385"/>
    </row>
    <row r="39">
      <c r="A39" s="385"/>
      <c r="B39" s="385"/>
      <c r="C39" s="385"/>
      <c r="D39" s="385"/>
      <c r="E39" s="385"/>
      <c r="F39" s="385"/>
      <c r="G39" s="385"/>
      <c r="H39" s="385"/>
      <c r="I39" s="385"/>
      <c r="J39" s="385"/>
      <c r="K39" s="385"/>
    </row>
    <row r="40">
      <c r="A40" s="385"/>
      <c r="B40" s="385"/>
      <c r="C40" s="385"/>
      <c r="D40" s="385"/>
      <c r="E40" s="385"/>
      <c r="F40" s="385"/>
      <c r="G40" s="385"/>
      <c r="H40" s="385"/>
      <c r="I40" s="385"/>
      <c r="J40" s="385"/>
      <c r="K40" s="385"/>
    </row>
    <row r="41">
      <c r="A41" s="385"/>
      <c r="B41" s="385"/>
      <c r="C41" s="385"/>
      <c r="D41" s="385"/>
      <c r="E41" s="385"/>
      <c r="F41" s="385"/>
      <c r="G41" s="385"/>
      <c r="H41" s="385"/>
      <c r="I41" s="385"/>
      <c r="J41" s="385"/>
      <c r="K41" s="385"/>
    </row>
    <row r="42">
      <c r="A42" s="385"/>
      <c r="B42" s="385"/>
      <c r="C42" s="385"/>
      <c r="D42" s="385"/>
      <c r="E42" s="385"/>
      <c r="F42" s="385"/>
      <c r="G42" s="385"/>
      <c r="H42" s="385"/>
      <c r="I42" s="385"/>
      <c r="J42" s="385"/>
      <c r="K42" s="385"/>
    </row>
    <row r="43">
      <c r="A43" s="385"/>
      <c r="B43" s="385"/>
      <c r="C43" s="385"/>
      <c r="D43" s="385"/>
      <c r="E43" s="385"/>
      <c r="F43" s="385"/>
      <c r="G43" s="385"/>
      <c r="H43" s="385"/>
      <c r="I43" s="385"/>
      <c r="J43" s="385"/>
      <c r="K43" s="385"/>
    </row>
    <row r="44">
      <c r="A44" s="385"/>
      <c r="B44" s="385"/>
      <c r="C44" s="385"/>
      <c r="D44" s="385"/>
      <c r="E44" s="385"/>
      <c r="F44" s="385"/>
      <c r="G44" s="385"/>
      <c r="H44" s="385"/>
      <c r="I44" s="385"/>
      <c r="J44" s="385"/>
      <c r="K44" s="385"/>
    </row>
    <row r="45">
      <c r="A45" s="385"/>
      <c r="B45" s="385"/>
      <c r="C45" s="385"/>
      <c r="D45" s="385"/>
      <c r="E45" s="385"/>
      <c r="F45" s="385"/>
      <c r="G45" s="385"/>
      <c r="H45" s="385"/>
      <c r="I45" s="385"/>
      <c r="J45" s="385"/>
      <c r="K45" s="385"/>
    </row>
    <row r="46">
      <c r="A46" s="385"/>
      <c r="B46" s="385"/>
      <c r="C46" s="385"/>
      <c r="D46" s="385"/>
      <c r="E46" s="385"/>
      <c r="F46" s="385"/>
      <c r="G46" s="385"/>
      <c r="H46" s="385"/>
      <c r="I46" s="385"/>
      <c r="J46" s="385"/>
      <c r="K46" s="385"/>
    </row>
    <row r="47">
      <c r="A47" s="385"/>
      <c r="B47" s="385"/>
      <c r="C47" s="385"/>
      <c r="D47" s="385"/>
      <c r="E47" s="385"/>
      <c r="F47" s="385"/>
      <c r="G47" s="385"/>
      <c r="H47" s="385"/>
      <c r="I47" s="385"/>
      <c r="J47" s="385"/>
      <c r="K47" s="385"/>
    </row>
    <row r="48">
      <c r="A48" s="385"/>
      <c r="B48" s="385"/>
      <c r="C48" s="385"/>
      <c r="D48" s="385"/>
      <c r="E48" s="385"/>
      <c r="F48" s="385"/>
      <c r="G48" s="385"/>
      <c r="H48" s="385"/>
      <c r="I48" s="385"/>
      <c r="J48" s="385"/>
      <c r="K48" s="385"/>
    </row>
    <row r="49">
      <c r="A49" s="385"/>
      <c r="B49" s="385"/>
      <c r="C49" s="385"/>
      <c r="D49" s="385"/>
      <c r="E49" s="385"/>
      <c r="F49" s="385"/>
      <c r="G49" s="385"/>
      <c r="H49" s="385"/>
      <c r="I49" s="385"/>
      <c r="J49" s="385"/>
      <c r="K49" s="385"/>
    </row>
    <row r="50">
      <c r="A50" s="385"/>
      <c r="B50" s="385"/>
      <c r="C50" s="385"/>
      <c r="D50" s="385"/>
      <c r="E50" s="385"/>
      <c r="F50" s="385"/>
      <c r="G50" s="385"/>
      <c r="H50" s="385"/>
      <c r="I50" s="385"/>
      <c r="J50" s="385"/>
      <c r="K50" s="385"/>
    </row>
    <row r="51">
      <c r="A51" s="385"/>
      <c r="B51" s="385"/>
      <c r="C51" s="385"/>
      <c r="D51" s="385"/>
      <c r="E51" s="385"/>
      <c r="F51" s="385"/>
      <c r="G51" s="385"/>
      <c r="H51" s="385"/>
      <c r="I51" s="385"/>
      <c r="J51" s="385"/>
      <c r="K51" s="385"/>
    </row>
    <row r="52">
      <c r="A52" s="385"/>
      <c r="B52" s="385"/>
      <c r="C52" s="385"/>
      <c r="D52" s="385"/>
      <c r="E52" s="385"/>
      <c r="F52" s="385"/>
      <c r="G52" s="385"/>
      <c r="H52" s="385"/>
      <c r="I52" s="385"/>
      <c r="J52" s="385"/>
      <c r="K52" s="385"/>
    </row>
    <row r="53">
      <c r="A53" s="385"/>
      <c r="B53" s="385"/>
      <c r="C53" s="385"/>
      <c r="D53" s="385"/>
      <c r="E53" s="385"/>
      <c r="F53" s="385"/>
      <c r="G53" s="385"/>
      <c r="H53" s="385"/>
      <c r="I53" s="385"/>
      <c r="J53" s="385"/>
      <c r="K53" s="385"/>
    </row>
    <row r="54">
      <c r="A54" s="385"/>
      <c r="B54" s="385"/>
      <c r="C54" s="385"/>
      <c r="D54" s="385"/>
      <c r="E54" s="385"/>
      <c r="F54" s="385"/>
      <c r="G54" s="385"/>
      <c r="H54" s="385"/>
      <c r="I54" s="385"/>
      <c r="J54" s="385"/>
      <c r="K54" s="385"/>
    </row>
    <row r="55">
      <c r="A55" s="385"/>
      <c r="B55" s="385"/>
      <c r="C55" s="385"/>
      <c r="D55" s="385"/>
      <c r="E55" s="385"/>
      <c r="F55" s="385"/>
      <c r="G55" s="385"/>
      <c r="H55" s="385"/>
      <c r="I55" s="385"/>
      <c r="J55" s="385"/>
      <c r="K55" s="385"/>
    </row>
    <row r="56">
      <c r="A56" s="385"/>
      <c r="B56" s="385"/>
      <c r="C56" s="385"/>
      <c r="D56" s="385"/>
      <c r="E56" s="385"/>
      <c r="F56" s="385"/>
      <c r="G56" s="385"/>
      <c r="H56" s="385"/>
      <c r="I56" s="385"/>
      <c r="J56" s="385"/>
      <c r="K56" s="385"/>
    </row>
    <row r="57">
      <c r="A57" s="385"/>
      <c r="B57" s="385"/>
      <c r="C57" s="385"/>
      <c r="D57" s="385"/>
      <c r="E57" s="385"/>
      <c r="F57" s="385"/>
      <c r="G57" s="385"/>
      <c r="H57" s="385"/>
      <c r="I57" s="385"/>
      <c r="J57" s="385"/>
      <c r="K57" s="385"/>
    </row>
    <row r="58">
      <c r="A58" s="385"/>
      <c r="B58" s="385"/>
      <c r="C58" s="385"/>
      <c r="D58" s="385"/>
      <c r="E58" s="385"/>
      <c r="F58" s="385"/>
      <c r="G58" s="385"/>
      <c r="H58" s="385"/>
      <c r="I58" s="385"/>
      <c r="J58" s="385"/>
      <c r="K58" s="385"/>
    </row>
    <row r="59">
      <c r="A59" s="385"/>
      <c r="B59" s="385"/>
      <c r="C59" s="385"/>
      <c r="D59" s="385"/>
      <c r="E59" s="385"/>
      <c r="F59" s="385"/>
      <c r="G59" s="385"/>
      <c r="H59" s="385"/>
      <c r="I59" s="385"/>
      <c r="J59" s="385"/>
      <c r="K59" s="385"/>
    </row>
    <row r="60">
      <c r="A60" s="385"/>
      <c r="B60" s="385"/>
      <c r="C60" s="385"/>
      <c r="D60" s="385"/>
      <c r="E60" s="385"/>
      <c r="F60" s="385"/>
      <c r="G60" s="385"/>
      <c r="H60" s="385"/>
      <c r="I60" s="385"/>
      <c r="J60" s="385"/>
      <c r="K60" s="385"/>
    </row>
    <row r="61">
      <c r="A61" s="385"/>
      <c r="B61" s="385"/>
      <c r="C61" s="385"/>
      <c r="D61" s="385"/>
      <c r="E61" s="385"/>
      <c r="F61" s="385"/>
      <c r="G61" s="385"/>
      <c r="H61" s="385"/>
      <c r="I61" s="385"/>
      <c r="J61" s="385"/>
      <c r="K61" s="385"/>
    </row>
    <row r="62">
      <c r="A62" s="385"/>
      <c r="B62" s="385"/>
      <c r="C62" s="385"/>
      <c r="D62" s="385"/>
      <c r="E62" s="385"/>
      <c r="F62" s="385"/>
      <c r="G62" s="385"/>
      <c r="H62" s="385"/>
      <c r="I62" s="385"/>
      <c r="J62" s="385"/>
      <c r="K62" s="385"/>
    </row>
    <row r="63">
      <c r="A63" s="385"/>
      <c r="B63" s="385"/>
      <c r="C63" s="385"/>
      <c r="D63" s="385"/>
      <c r="E63" s="385"/>
      <c r="F63" s="385"/>
      <c r="G63" s="385"/>
      <c r="H63" s="385"/>
      <c r="I63" s="385"/>
      <c r="J63" s="385"/>
      <c r="K63" s="385"/>
    </row>
    <row r="64">
      <c r="A64" s="385"/>
      <c r="B64" s="385"/>
      <c r="C64" s="385"/>
      <c r="D64" s="385"/>
      <c r="E64" s="385"/>
      <c r="F64" s="385"/>
      <c r="G64" s="385"/>
      <c r="H64" s="385"/>
      <c r="I64" s="385"/>
      <c r="J64" s="385"/>
      <c r="K64" s="385"/>
    </row>
    <row r="65">
      <c r="A65" s="385"/>
      <c r="B65" s="385"/>
      <c r="C65" s="385"/>
      <c r="D65" s="385"/>
      <c r="E65" s="385"/>
      <c r="F65" s="385"/>
      <c r="G65" s="385"/>
      <c r="H65" s="385"/>
      <c r="I65" s="385"/>
      <c r="J65" s="385"/>
      <c r="K65" s="385"/>
    </row>
    <row r="66">
      <c r="A66" s="385"/>
      <c r="B66" s="385"/>
      <c r="C66" s="385"/>
      <c r="D66" s="385"/>
      <c r="E66" s="385"/>
      <c r="F66" s="385"/>
      <c r="G66" s="385"/>
      <c r="H66" s="385"/>
      <c r="I66" s="385"/>
      <c r="J66" s="385"/>
      <c r="K66" s="385"/>
    </row>
    <row r="67">
      <c r="A67" s="385"/>
      <c r="B67" s="385"/>
      <c r="C67" s="385"/>
      <c r="D67" s="385"/>
      <c r="E67" s="385"/>
      <c r="F67" s="385"/>
      <c r="G67" s="385"/>
      <c r="H67" s="385"/>
      <c r="I67" s="385"/>
      <c r="J67" s="385"/>
      <c r="K67" s="385"/>
    </row>
    <row r="68">
      <c r="A68" s="385"/>
      <c r="B68" s="385"/>
      <c r="C68" s="385"/>
      <c r="D68" s="385"/>
      <c r="E68" s="385"/>
      <c r="F68" s="385"/>
      <c r="G68" s="385"/>
      <c r="H68" s="385"/>
      <c r="I68" s="385"/>
      <c r="J68" s="385"/>
      <c r="K68" s="385"/>
    </row>
    <row r="69">
      <c r="A69" s="385"/>
      <c r="B69" s="385"/>
      <c r="C69" s="385"/>
      <c r="D69" s="385"/>
      <c r="E69" s="385"/>
      <c r="F69" s="385"/>
      <c r="G69" s="385"/>
      <c r="H69" s="385"/>
      <c r="I69" s="385"/>
      <c r="J69" s="385"/>
      <c r="K69" s="385"/>
    </row>
    <row r="70">
      <c r="A70" s="385"/>
      <c r="B70" s="385"/>
      <c r="C70" s="385"/>
      <c r="D70" s="385"/>
      <c r="E70" s="385"/>
      <c r="F70" s="385"/>
      <c r="G70" s="385"/>
      <c r="H70" s="385"/>
      <c r="I70" s="385"/>
      <c r="J70" s="385"/>
      <c r="K70" s="385"/>
    </row>
    <row r="71">
      <c r="A71" s="385"/>
      <c r="B71" s="385"/>
      <c r="C71" s="385"/>
      <c r="D71" s="385"/>
      <c r="E71" s="385"/>
      <c r="F71" s="385"/>
      <c r="G71" s="385"/>
      <c r="H71" s="385"/>
      <c r="I71" s="385"/>
      <c r="J71" s="385"/>
      <c r="K71" s="385"/>
    </row>
    <row r="72">
      <c r="A72" s="385"/>
      <c r="B72" s="385"/>
      <c r="C72" s="385"/>
      <c r="D72" s="385"/>
      <c r="E72" s="385"/>
      <c r="F72" s="385"/>
      <c r="G72" s="385"/>
      <c r="H72" s="385"/>
      <c r="I72" s="385"/>
      <c r="J72" s="385"/>
      <c r="K72" s="385"/>
    </row>
    <row r="73">
      <c r="A73" s="385"/>
      <c r="B73" s="385"/>
      <c r="C73" s="385"/>
      <c r="D73" s="385"/>
      <c r="E73" s="385"/>
      <c r="F73" s="385"/>
      <c r="G73" s="385"/>
      <c r="H73" s="385"/>
      <c r="I73" s="385"/>
      <c r="J73" s="385"/>
      <c r="K73" s="385"/>
    </row>
    <row r="74">
      <c r="A74" s="385"/>
      <c r="B74" s="385"/>
      <c r="C74" s="385"/>
      <c r="D74" s="385"/>
      <c r="E74" s="385"/>
      <c r="F74" s="385"/>
      <c r="G74" s="385"/>
      <c r="H74" s="385"/>
      <c r="I74" s="385"/>
      <c r="J74" s="385"/>
      <c r="K74" s="385"/>
    </row>
    <row r="75">
      <c r="A75" s="385"/>
      <c r="B75" s="385"/>
      <c r="C75" s="385"/>
      <c r="D75" s="385"/>
      <c r="E75" s="385"/>
      <c r="F75" s="385"/>
      <c r="G75" s="385"/>
      <c r="H75" s="385"/>
      <c r="I75" s="385"/>
      <c r="J75" s="385"/>
      <c r="K75" s="385"/>
    </row>
    <row r="76">
      <c r="A76" s="385"/>
      <c r="B76" s="385"/>
      <c r="C76" s="385"/>
      <c r="D76" s="385"/>
      <c r="E76" s="385"/>
      <c r="F76" s="385"/>
      <c r="G76" s="385"/>
      <c r="H76" s="385"/>
      <c r="I76" s="385"/>
      <c r="J76" s="385"/>
      <c r="K76" s="385"/>
    </row>
    <row r="77">
      <c r="A77" s="385"/>
      <c r="B77" s="385"/>
      <c r="C77" s="385"/>
      <c r="D77" s="385"/>
      <c r="E77" s="385"/>
      <c r="F77" s="385"/>
      <c r="G77" s="385"/>
      <c r="H77" s="385"/>
      <c r="I77" s="385"/>
      <c r="J77" s="385"/>
      <c r="K77" s="385"/>
    </row>
    <row r="78">
      <c r="A78" s="385"/>
      <c r="B78" s="385"/>
      <c r="C78" s="385"/>
      <c r="D78" s="385"/>
      <c r="E78" s="385"/>
      <c r="F78" s="385"/>
      <c r="G78" s="385"/>
      <c r="H78" s="385"/>
      <c r="I78" s="385"/>
      <c r="J78" s="385"/>
      <c r="K78" s="385"/>
    </row>
    <row r="79">
      <c r="A79" s="385"/>
      <c r="B79" s="385"/>
      <c r="C79" s="385"/>
      <c r="D79" s="385"/>
      <c r="E79" s="385"/>
      <c r="F79" s="385"/>
      <c r="G79" s="385"/>
      <c r="H79" s="385"/>
      <c r="I79" s="385"/>
      <c r="J79" s="385"/>
      <c r="K79" s="385"/>
    </row>
    <row r="80">
      <c r="A80" s="385"/>
      <c r="B80" s="385"/>
      <c r="C80" s="385"/>
      <c r="D80" s="385"/>
      <c r="E80" s="385"/>
      <c r="F80" s="385"/>
      <c r="G80" s="385"/>
      <c r="H80" s="385"/>
      <c r="I80" s="385"/>
      <c r="J80" s="385"/>
      <c r="K80" s="385"/>
    </row>
    <row r="81">
      <c r="A81" s="385"/>
      <c r="B81" s="385"/>
      <c r="C81" s="385"/>
      <c r="D81" s="385"/>
      <c r="E81" s="385"/>
      <c r="F81" s="385"/>
      <c r="G81" s="385"/>
      <c r="H81" s="385"/>
      <c r="I81" s="385"/>
      <c r="J81" s="385"/>
      <c r="K81" s="385"/>
    </row>
    <row r="82">
      <c r="A82" s="385"/>
      <c r="B82" s="385"/>
      <c r="C82" s="385"/>
      <c r="D82" s="385"/>
      <c r="E82" s="385"/>
      <c r="F82" s="385"/>
      <c r="G82" s="385"/>
      <c r="H82" s="385"/>
      <c r="I82" s="385"/>
      <c r="J82" s="385"/>
      <c r="K82" s="385"/>
    </row>
    <row r="83">
      <c r="A83" s="385"/>
      <c r="B83" s="385"/>
      <c r="C83" s="385"/>
      <c r="D83" s="385"/>
      <c r="E83" s="385"/>
      <c r="F83" s="385"/>
      <c r="G83" s="385"/>
      <c r="H83" s="385"/>
      <c r="I83" s="385"/>
      <c r="J83" s="385"/>
      <c r="K83" s="385"/>
    </row>
    <row r="84">
      <c r="A84" s="385"/>
      <c r="B84" s="385"/>
      <c r="C84" s="385"/>
      <c r="D84" s="385"/>
      <c r="E84" s="385"/>
      <c r="F84" s="385"/>
      <c r="G84" s="385"/>
      <c r="H84" s="385"/>
      <c r="I84" s="385"/>
      <c r="J84" s="385"/>
      <c r="K84" s="385"/>
    </row>
    <row r="85">
      <c r="A85" s="385"/>
      <c r="B85" s="385"/>
      <c r="C85" s="385"/>
      <c r="D85" s="385"/>
      <c r="E85" s="385"/>
      <c r="F85" s="385"/>
      <c r="G85" s="385"/>
      <c r="H85" s="385"/>
      <c r="I85" s="385"/>
      <c r="J85" s="385"/>
      <c r="K85" s="385"/>
    </row>
    <row r="86">
      <c r="A86" s="385"/>
      <c r="B86" s="385"/>
      <c r="C86" s="385"/>
      <c r="D86" s="385"/>
      <c r="E86" s="385"/>
      <c r="F86" s="385"/>
      <c r="G86" s="385"/>
      <c r="H86" s="385"/>
      <c r="I86" s="385"/>
      <c r="J86" s="385"/>
      <c r="K86" s="385"/>
    </row>
    <row r="87">
      <c r="A87" s="385"/>
      <c r="B87" s="385"/>
      <c r="C87" s="385"/>
      <c r="D87" s="385"/>
      <c r="E87" s="385"/>
      <c r="F87" s="385"/>
      <c r="G87" s="385"/>
      <c r="H87" s="385"/>
      <c r="I87" s="385"/>
      <c r="J87" s="385"/>
      <c r="K87" s="385"/>
    </row>
    <row r="88">
      <c r="A88" s="385"/>
      <c r="B88" s="385"/>
      <c r="C88" s="385"/>
      <c r="D88" s="385"/>
      <c r="E88" s="385"/>
      <c r="F88" s="385"/>
      <c r="G88" s="385"/>
      <c r="H88" s="385"/>
      <c r="I88" s="385"/>
      <c r="J88" s="385"/>
      <c r="K88" s="385"/>
    </row>
    <row r="89">
      <c r="A89" s="385"/>
      <c r="B89" s="385"/>
      <c r="C89" s="385"/>
      <c r="D89" s="385"/>
      <c r="E89" s="385"/>
      <c r="F89" s="385"/>
      <c r="G89" s="385"/>
      <c r="H89" s="385"/>
      <c r="I89" s="385"/>
      <c r="J89" s="385"/>
      <c r="K89" s="385"/>
    </row>
    <row r="90">
      <c r="A90" s="385"/>
      <c r="B90" s="385"/>
      <c r="C90" s="385"/>
      <c r="D90" s="385"/>
      <c r="E90" s="385"/>
      <c r="F90" s="385"/>
      <c r="G90" s="385"/>
      <c r="H90" s="385"/>
      <c r="I90" s="385"/>
      <c r="J90" s="385"/>
      <c r="K90" s="385"/>
    </row>
    <row r="91">
      <c r="A91" s="385"/>
      <c r="B91" s="385"/>
      <c r="C91" s="385"/>
      <c r="D91" s="385"/>
      <c r="E91" s="385"/>
      <c r="F91" s="385"/>
      <c r="G91" s="385"/>
      <c r="H91" s="385"/>
      <c r="I91" s="385"/>
      <c r="J91" s="385"/>
      <c r="K91" s="385"/>
    </row>
    <row r="92">
      <c r="A92" s="385"/>
      <c r="B92" s="385"/>
      <c r="C92" s="385"/>
      <c r="D92" s="385"/>
      <c r="E92" s="385"/>
      <c r="F92" s="385"/>
      <c r="G92" s="385"/>
      <c r="H92" s="385"/>
      <c r="I92" s="385"/>
      <c r="J92" s="385"/>
      <c r="K92" s="385"/>
    </row>
    <row r="93">
      <c r="A93" s="385"/>
      <c r="B93" s="385"/>
      <c r="C93" s="385"/>
      <c r="D93" s="385"/>
      <c r="E93" s="385"/>
      <c r="F93" s="385"/>
      <c r="G93" s="385"/>
      <c r="H93" s="385"/>
      <c r="I93" s="385"/>
      <c r="J93" s="385"/>
      <c r="K93" s="385"/>
    </row>
    <row r="94">
      <c r="A94" s="385"/>
      <c r="B94" s="385"/>
      <c r="C94" s="385"/>
      <c r="D94" s="385"/>
      <c r="E94" s="385"/>
      <c r="F94" s="385"/>
      <c r="G94" s="385"/>
      <c r="H94" s="385"/>
      <c r="I94" s="385"/>
      <c r="J94" s="385"/>
      <c r="K94" s="385"/>
    </row>
    <row r="95">
      <c r="A95" s="385"/>
      <c r="B95" s="385"/>
      <c r="C95" s="385"/>
      <c r="D95" s="385"/>
      <c r="E95" s="385"/>
      <c r="F95" s="385"/>
      <c r="G95" s="385"/>
      <c r="H95" s="385"/>
      <c r="I95" s="385"/>
      <c r="J95" s="385"/>
      <c r="K95" s="385"/>
    </row>
    <row r="96">
      <c r="A96" s="385"/>
      <c r="B96" s="385"/>
      <c r="C96" s="385"/>
      <c r="D96" s="385"/>
      <c r="E96" s="385"/>
      <c r="F96" s="385"/>
      <c r="G96" s="385"/>
      <c r="H96" s="385"/>
      <c r="I96" s="385"/>
      <c r="J96" s="385"/>
      <c r="K96" s="385"/>
    </row>
    <row r="97">
      <c r="A97" s="385"/>
      <c r="B97" s="385"/>
      <c r="C97" s="385"/>
      <c r="D97" s="385"/>
      <c r="E97" s="385"/>
      <c r="F97" s="385"/>
      <c r="G97" s="385"/>
      <c r="H97" s="385"/>
      <c r="I97" s="385"/>
      <c r="J97" s="385"/>
      <c r="K97" s="385"/>
    </row>
    <row r="98">
      <c r="A98" s="385"/>
      <c r="B98" s="385"/>
      <c r="C98" s="385"/>
      <c r="D98" s="385"/>
      <c r="E98" s="385"/>
      <c r="F98" s="385"/>
      <c r="G98" s="385"/>
      <c r="H98" s="385"/>
      <c r="I98" s="385"/>
      <c r="J98" s="385"/>
      <c r="K98" s="385"/>
    </row>
    <row r="99">
      <c r="A99" s="385"/>
      <c r="B99" s="385"/>
      <c r="C99" s="385"/>
      <c r="D99" s="385"/>
      <c r="E99" s="385"/>
      <c r="F99" s="385"/>
      <c r="G99" s="385"/>
      <c r="H99" s="385"/>
      <c r="I99" s="385"/>
      <c r="J99" s="385"/>
      <c r="K99" s="385"/>
    </row>
    <row r="100">
      <c r="A100" s="385"/>
      <c r="B100" s="385"/>
      <c r="C100" s="385"/>
      <c r="D100" s="385"/>
      <c r="E100" s="385"/>
      <c r="F100" s="385"/>
      <c r="G100" s="385"/>
      <c r="H100" s="385"/>
      <c r="I100" s="385"/>
      <c r="J100" s="385"/>
      <c r="K100" s="385"/>
    </row>
    <row r="101">
      <c r="A101" s="385"/>
      <c r="B101" s="385"/>
      <c r="C101" s="385"/>
      <c r="D101" s="385"/>
      <c r="E101" s="385"/>
      <c r="F101" s="385"/>
      <c r="G101" s="385"/>
      <c r="H101" s="385"/>
      <c r="I101" s="385"/>
      <c r="J101" s="385"/>
      <c r="K101" s="385"/>
    </row>
    <row r="102">
      <c r="A102" s="385"/>
      <c r="B102" s="385"/>
      <c r="C102" s="385"/>
      <c r="D102" s="385"/>
      <c r="E102" s="385"/>
      <c r="F102" s="385"/>
      <c r="G102" s="385"/>
      <c r="H102" s="385"/>
      <c r="I102" s="385"/>
      <c r="J102" s="385"/>
      <c r="K102" s="385"/>
    </row>
    <row r="103">
      <c r="A103" s="385"/>
      <c r="B103" s="385"/>
      <c r="C103" s="385"/>
      <c r="D103" s="385"/>
      <c r="E103" s="385"/>
      <c r="F103" s="385"/>
      <c r="G103" s="385"/>
      <c r="H103" s="385"/>
      <c r="I103" s="385"/>
      <c r="J103" s="385"/>
      <c r="K103" s="385"/>
    </row>
    <row r="104">
      <c r="A104" s="385"/>
      <c r="B104" s="385"/>
      <c r="C104" s="385"/>
      <c r="D104" s="385"/>
      <c r="E104" s="385"/>
      <c r="F104" s="385"/>
      <c r="G104" s="385"/>
      <c r="H104" s="385"/>
      <c r="I104" s="385"/>
      <c r="J104" s="385"/>
      <c r="K104" s="385"/>
    </row>
    <row r="105">
      <c r="A105" s="385"/>
      <c r="B105" s="385"/>
      <c r="C105" s="385"/>
      <c r="D105" s="385"/>
      <c r="E105" s="385"/>
      <c r="F105" s="385"/>
      <c r="G105" s="385"/>
      <c r="H105" s="385"/>
      <c r="I105" s="385"/>
      <c r="J105" s="385"/>
      <c r="K105" s="385"/>
    </row>
    <row r="106">
      <c r="A106" s="385"/>
      <c r="B106" s="385"/>
      <c r="C106" s="385"/>
      <c r="D106" s="385"/>
      <c r="E106" s="385"/>
      <c r="F106" s="385"/>
      <c r="G106" s="385"/>
      <c r="H106" s="385"/>
      <c r="I106" s="385"/>
      <c r="J106" s="385"/>
      <c r="K106" s="385"/>
    </row>
    <row r="107">
      <c r="A107" s="385"/>
      <c r="B107" s="385"/>
      <c r="C107" s="385"/>
      <c r="D107" s="385"/>
      <c r="E107" s="385"/>
      <c r="F107" s="385"/>
      <c r="G107" s="385"/>
      <c r="H107" s="385"/>
      <c r="I107" s="385"/>
      <c r="J107" s="385"/>
      <c r="K107" s="385"/>
    </row>
    <row r="108">
      <c r="A108" s="385"/>
      <c r="B108" s="385"/>
      <c r="C108" s="385"/>
      <c r="D108" s="385"/>
      <c r="E108" s="385"/>
      <c r="F108" s="385"/>
      <c r="G108" s="385"/>
      <c r="H108" s="385"/>
      <c r="I108" s="385"/>
      <c r="J108" s="385"/>
      <c r="K108" s="385"/>
    </row>
    <row r="109">
      <c r="A109" s="385"/>
      <c r="B109" s="385"/>
      <c r="C109" s="385"/>
      <c r="D109" s="385"/>
      <c r="E109" s="385"/>
      <c r="F109" s="385"/>
      <c r="G109" s="385"/>
      <c r="H109" s="385"/>
      <c r="I109" s="385"/>
      <c r="J109" s="385"/>
      <c r="K109" s="385"/>
    </row>
    <row r="110">
      <c r="A110" s="385"/>
      <c r="B110" s="385"/>
      <c r="C110" s="385"/>
      <c r="D110" s="385"/>
      <c r="E110" s="385"/>
      <c r="F110" s="385"/>
      <c r="G110" s="385"/>
      <c r="H110" s="385"/>
      <c r="I110" s="385"/>
      <c r="J110" s="385"/>
      <c r="K110" s="385"/>
    </row>
    <row r="111">
      <c r="A111" s="385"/>
      <c r="B111" s="385"/>
      <c r="C111" s="385"/>
      <c r="D111" s="385"/>
      <c r="E111" s="385"/>
      <c r="F111" s="385"/>
      <c r="G111" s="385"/>
      <c r="H111" s="385"/>
      <c r="I111" s="385"/>
      <c r="J111" s="385"/>
      <c r="K111" s="385"/>
    </row>
    <row r="112">
      <c r="A112" s="385"/>
      <c r="B112" s="385"/>
      <c r="C112" s="385"/>
      <c r="D112" s="385"/>
      <c r="E112" s="385"/>
      <c r="F112" s="385"/>
      <c r="G112" s="385"/>
      <c r="H112" s="385"/>
      <c r="I112" s="385"/>
      <c r="J112" s="385"/>
      <c r="K112" s="385"/>
    </row>
    <row r="113">
      <c r="A113" s="385"/>
      <c r="B113" s="385"/>
      <c r="C113" s="385"/>
      <c r="D113" s="385"/>
      <c r="E113" s="385"/>
      <c r="F113" s="385"/>
      <c r="G113" s="385"/>
      <c r="H113" s="385"/>
      <c r="I113" s="385"/>
      <c r="J113" s="385"/>
      <c r="K113" s="385"/>
    </row>
    <row r="114">
      <c r="A114" s="385"/>
      <c r="B114" s="385"/>
      <c r="C114" s="385"/>
      <c r="D114" s="385"/>
      <c r="E114" s="385"/>
      <c r="F114" s="385"/>
      <c r="G114" s="385"/>
      <c r="H114" s="385"/>
      <c r="I114" s="385"/>
      <c r="J114" s="385"/>
      <c r="K114" s="385"/>
    </row>
    <row r="115">
      <c r="A115" s="385"/>
      <c r="B115" s="385"/>
      <c r="C115" s="385"/>
      <c r="D115" s="385"/>
      <c r="E115" s="385"/>
      <c r="F115" s="385"/>
      <c r="G115" s="385"/>
      <c r="H115" s="385"/>
      <c r="I115" s="385"/>
      <c r="J115" s="385"/>
      <c r="K115" s="385"/>
    </row>
    <row r="116">
      <c r="A116" s="385"/>
      <c r="B116" s="385"/>
      <c r="C116" s="385"/>
      <c r="D116" s="385"/>
      <c r="E116" s="385"/>
      <c r="F116" s="385"/>
      <c r="G116" s="385"/>
      <c r="H116" s="385"/>
      <c r="I116" s="385"/>
      <c r="J116" s="385"/>
      <c r="K116" s="385"/>
    </row>
    <row r="117">
      <c r="A117" s="385"/>
      <c r="B117" s="385"/>
      <c r="C117" s="385"/>
      <c r="D117" s="385"/>
      <c r="E117" s="385"/>
      <c r="F117" s="385"/>
      <c r="G117" s="385"/>
      <c r="H117" s="385"/>
      <c r="I117" s="385"/>
      <c r="J117" s="385"/>
      <c r="K117" s="385"/>
    </row>
    <row r="118">
      <c r="A118" s="385"/>
      <c r="B118" s="385"/>
      <c r="C118" s="385"/>
      <c r="D118" s="385"/>
      <c r="E118" s="385"/>
      <c r="F118" s="385"/>
      <c r="G118" s="385"/>
      <c r="H118" s="385"/>
      <c r="I118" s="385"/>
      <c r="J118" s="385"/>
      <c r="K118" s="385"/>
    </row>
    <row r="119">
      <c r="A119" s="385"/>
      <c r="B119" s="385"/>
      <c r="C119" s="385"/>
      <c r="D119" s="385"/>
      <c r="E119" s="385"/>
      <c r="F119" s="385"/>
      <c r="G119" s="385"/>
      <c r="H119" s="385"/>
      <c r="I119" s="385"/>
      <c r="J119" s="385"/>
      <c r="K119" s="385"/>
    </row>
    <row r="120">
      <c r="A120" s="385"/>
      <c r="B120" s="385"/>
      <c r="C120" s="385"/>
      <c r="D120" s="385"/>
      <c r="E120" s="385"/>
      <c r="F120" s="385"/>
      <c r="G120" s="385"/>
      <c r="H120" s="385"/>
      <c r="I120" s="385"/>
      <c r="J120" s="385"/>
      <c r="K120" s="385"/>
    </row>
    <row r="121">
      <c r="A121" s="385"/>
      <c r="B121" s="385"/>
      <c r="C121" s="385"/>
      <c r="D121" s="385"/>
      <c r="E121" s="385"/>
      <c r="F121" s="385"/>
      <c r="G121" s="385"/>
      <c r="H121" s="385"/>
      <c r="I121" s="385"/>
      <c r="J121" s="385"/>
      <c r="K121" s="385"/>
    </row>
    <row r="122">
      <c r="A122" s="385"/>
      <c r="B122" s="385"/>
      <c r="C122" s="385"/>
      <c r="D122" s="385"/>
      <c r="E122" s="385"/>
      <c r="F122" s="385"/>
      <c r="G122" s="385"/>
      <c r="H122" s="385"/>
      <c r="I122" s="385"/>
      <c r="J122" s="385"/>
      <c r="K122" s="385"/>
    </row>
    <row r="123">
      <c r="A123" s="385"/>
      <c r="B123" s="385"/>
      <c r="C123" s="385"/>
      <c r="D123" s="385"/>
      <c r="E123" s="385"/>
      <c r="F123" s="385"/>
      <c r="G123" s="385"/>
      <c r="H123" s="385"/>
      <c r="I123" s="385"/>
      <c r="J123" s="385"/>
      <c r="K123" s="385"/>
    </row>
    <row r="124">
      <c r="A124" s="385"/>
      <c r="B124" s="385"/>
      <c r="C124" s="385"/>
      <c r="D124" s="385"/>
      <c r="E124" s="385"/>
      <c r="F124" s="385"/>
      <c r="G124" s="385"/>
      <c r="H124" s="385"/>
      <c r="I124" s="385"/>
      <c r="J124" s="385"/>
      <c r="K124" s="385"/>
    </row>
    <row r="125">
      <c r="A125" s="385"/>
      <c r="B125" s="385"/>
      <c r="C125" s="385"/>
      <c r="D125" s="385"/>
      <c r="E125" s="385"/>
      <c r="F125" s="385"/>
      <c r="G125" s="385"/>
      <c r="H125" s="385"/>
      <c r="I125" s="385"/>
      <c r="J125" s="385"/>
      <c r="K125" s="385"/>
    </row>
    <row r="126">
      <c r="A126" s="385"/>
      <c r="B126" s="385"/>
      <c r="C126" s="385"/>
      <c r="D126" s="385"/>
      <c r="E126" s="385"/>
      <c r="F126" s="385"/>
      <c r="G126" s="385"/>
      <c r="H126" s="385"/>
      <c r="I126" s="385"/>
      <c r="J126" s="385"/>
      <c r="K126" s="385"/>
    </row>
    <row r="127">
      <c r="A127" s="385"/>
      <c r="B127" s="385"/>
      <c r="C127" s="385"/>
      <c r="D127" s="385"/>
      <c r="E127" s="385"/>
      <c r="F127" s="385"/>
      <c r="G127" s="385"/>
      <c r="H127" s="385"/>
      <c r="I127" s="385"/>
      <c r="J127" s="385"/>
      <c r="K127" s="385"/>
    </row>
    <row r="128">
      <c r="A128" s="385"/>
      <c r="B128" s="385"/>
      <c r="C128" s="385"/>
      <c r="D128" s="385"/>
      <c r="E128" s="385"/>
      <c r="F128" s="385"/>
      <c r="G128" s="385"/>
      <c r="H128" s="385"/>
      <c r="I128" s="385"/>
      <c r="J128" s="385"/>
      <c r="K128" s="385"/>
    </row>
    <row r="129">
      <c r="A129" s="385"/>
      <c r="B129" s="385"/>
      <c r="C129" s="385"/>
      <c r="D129" s="385"/>
      <c r="E129" s="385"/>
      <c r="F129" s="385"/>
      <c r="G129" s="385"/>
      <c r="H129" s="385"/>
      <c r="I129" s="385"/>
      <c r="J129" s="385"/>
      <c r="K129" s="385"/>
    </row>
    <row r="130">
      <c r="A130" s="385"/>
      <c r="B130" s="385"/>
      <c r="C130" s="385"/>
      <c r="D130" s="385"/>
      <c r="E130" s="385"/>
      <c r="F130" s="385"/>
      <c r="G130" s="385"/>
      <c r="H130" s="385"/>
      <c r="I130" s="385"/>
      <c r="J130" s="385"/>
      <c r="K130" s="385"/>
    </row>
    <row r="131">
      <c r="A131" s="385"/>
      <c r="B131" s="385"/>
      <c r="C131" s="385"/>
      <c r="D131" s="385"/>
      <c r="E131" s="385"/>
      <c r="F131" s="385"/>
      <c r="G131" s="385"/>
      <c r="H131" s="385"/>
      <c r="I131" s="385"/>
      <c r="J131" s="385"/>
      <c r="K131" s="385"/>
    </row>
    <row r="132">
      <c r="A132" s="385"/>
      <c r="B132" s="385"/>
      <c r="C132" s="385"/>
      <c r="D132" s="385"/>
      <c r="E132" s="385"/>
      <c r="F132" s="385"/>
      <c r="G132" s="385"/>
      <c r="H132" s="385"/>
      <c r="I132" s="385"/>
      <c r="J132" s="385"/>
      <c r="K132" s="385"/>
    </row>
    <row r="133">
      <c r="A133" s="385"/>
      <c r="B133" s="385"/>
      <c r="C133" s="385"/>
      <c r="D133" s="385"/>
      <c r="E133" s="385"/>
      <c r="F133" s="385"/>
      <c r="G133" s="385"/>
      <c r="H133" s="385"/>
      <c r="I133" s="385"/>
      <c r="J133" s="385"/>
      <c r="K133" s="385"/>
    </row>
    <row r="134">
      <c r="A134" s="385"/>
      <c r="B134" s="385"/>
      <c r="C134" s="385"/>
      <c r="D134" s="385"/>
      <c r="E134" s="385"/>
      <c r="F134" s="385"/>
      <c r="G134" s="385"/>
      <c r="H134" s="385"/>
      <c r="I134" s="385"/>
      <c r="J134" s="385"/>
      <c r="K134" s="385"/>
    </row>
    <row r="135">
      <c r="A135" s="385"/>
      <c r="B135" s="385"/>
      <c r="C135" s="385"/>
      <c r="D135" s="385"/>
      <c r="E135" s="385"/>
      <c r="F135" s="385"/>
      <c r="G135" s="385"/>
      <c r="H135" s="385"/>
      <c r="I135" s="385"/>
      <c r="J135" s="385"/>
      <c r="K135" s="385"/>
    </row>
    <row r="136">
      <c r="A136" s="385"/>
      <c r="B136" s="385"/>
      <c r="C136" s="385"/>
      <c r="D136" s="385"/>
      <c r="E136" s="385"/>
      <c r="F136" s="385"/>
      <c r="G136" s="385"/>
      <c r="H136" s="385"/>
      <c r="I136" s="385"/>
      <c r="J136" s="385"/>
      <c r="K136" s="385"/>
    </row>
    <row r="137">
      <c r="A137" s="385"/>
      <c r="B137" s="385"/>
      <c r="C137" s="385"/>
      <c r="D137" s="385"/>
      <c r="E137" s="385"/>
      <c r="F137" s="385"/>
      <c r="G137" s="385"/>
      <c r="H137" s="385"/>
      <c r="I137" s="385"/>
      <c r="J137" s="385"/>
      <c r="K137" s="385"/>
    </row>
    <row r="138">
      <c r="A138" s="385"/>
      <c r="B138" s="385"/>
      <c r="C138" s="385"/>
      <c r="D138" s="385"/>
      <c r="E138" s="385"/>
      <c r="F138" s="385"/>
      <c r="G138" s="385"/>
      <c r="H138" s="385"/>
      <c r="I138" s="385"/>
      <c r="J138" s="385"/>
      <c r="K138" s="385"/>
    </row>
    <row r="139">
      <c r="A139" s="385"/>
      <c r="B139" s="385"/>
      <c r="C139" s="385"/>
      <c r="D139" s="385"/>
      <c r="E139" s="385"/>
      <c r="F139" s="385"/>
      <c r="G139" s="385"/>
      <c r="H139" s="385"/>
      <c r="I139" s="385"/>
      <c r="J139" s="385"/>
      <c r="K139" s="385"/>
    </row>
    <row r="140">
      <c r="A140" s="385"/>
      <c r="B140" s="385"/>
      <c r="C140" s="385"/>
      <c r="D140" s="385"/>
      <c r="E140" s="385"/>
      <c r="F140" s="385"/>
      <c r="G140" s="385"/>
      <c r="H140" s="385"/>
      <c r="I140" s="385"/>
      <c r="J140" s="385"/>
      <c r="K140" s="385"/>
    </row>
    <row r="141">
      <c r="A141" s="385"/>
      <c r="B141" s="385"/>
      <c r="C141" s="385"/>
      <c r="D141" s="385"/>
      <c r="E141" s="385"/>
      <c r="F141" s="385"/>
      <c r="G141" s="385"/>
      <c r="H141" s="385"/>
      <c r="I141" s="385"/>
      <c r="J141" s="385"/>
      <c r="K141" s="385"/>
    </row>
    <row r="142">
      <c r="A142" s="385"/>
      <c r="B142" s="385"/>
      <c r="C142" s="385"/>
      <c r="D142" s="385"/>
      <c r="E142" s="385"/>
      <c r="F142" s="385"/>
      <c r="G142" s="385"/>
      <c r="H142" s="385"/>
      <c r="I142" s="385"/>
      <c r="J142" s="385"/>
      <c r="K142" s="385"/>
    </row>
    <row r="143">
      <c r="A143" s="385"/>
      <c r="B143" s="385"/>
      <c r="C143" s="385"/>
      <c r="D143" s="385"/>
      <c r="E143" s="385"/>
      <c r="F143" s="385"/>
      <c r="G143" s="385"/>
      <c r="H143" s="385"/>
      <c r="I143" s="385"/>
      <c r="J143" s="385"/>
      <c r="K143" s="385"/>
    </row>
    <row r="144">
      <c r="A144" s="385"/>
      <c r="B144" s="385"/>
      <c r="C144" s="385"/>
      <c r="D144" s="385"/>
      <c r="E144" s="385"/>
      <c r="F144" s="385"/>
      <c r="G144" s="385"/>
      <c r="H144" s="385"/>
      <c r="I144" s="385"/>
      <c r="J144" s="385"/>
      <c r="K144" s="385"/>
    </row>
    <row r="145">
      <c r="A145" s="385"/>
      <c r="B145" s="385"/>
      <c r="C145" s="385"/>
      <c r="D145" s="385"/>
      <c r="E145" s="385"/>
      <c r="F145" s="385"/>
      <c r="G145" s="385"/>
      <c r="H145" s="385"/>
      <c r="I145" s="385"/>
      <c r="J145" s="385"/>
      <c r="K145" s="385"/>
    </row>
    <row r="146">
      <c r="A146" s="385"/>
      <c r="B146" s="385"/>
      <c r="C146" s="385"/>
      <c r="D146" s="385"/>
      <c r="E146" s="385"/>
      <c r="F146" s="385"/>
      <c r="G146" s="385"/>
      <c r="H146" s="385"/>
      <c r="I146" s="385"/>
      <c r="J146" s="385"/>
      <c r="K146" s="385"/>
    </row>
    <row r="147">
      <c r="A147" s="385"/>
      <c r="B147" s="385"/>
      <c r="C147" s="385"/>
      <c r="D147" s="385"/>
      <c r="E147" s="385"/>
      <c r="F147" s="385"/>
      <c r="G147" s="385"/>
      <c r="H147" s="385"/>
      <c r="I147" s="385"/>
      <c r="J147" s="385"/>
      <c r="K147" s="385"/>
    </row>
    <row r="148">
      <c r="A148" s="385"/>
      <c r="B148" s="385"/>
      <c r="C148" s="385"/>
      <c r="D148" s="385"/>
      <c r="E148" s="385"/>
      <c r="F148" s="385"/>
      <c r="G148" s="385"/>
      <c r="H148" s="385"/>
      <c r="I148" s="385"/>
      <c r="J148" s="385"/>
      <c r="K148" s="385"/>
    </row>
    <row r="149">
      <c r="A149" s="385"/>
      <c r="B149" s="385"/>
      <c r="C149" s="385"/>
      <c r="D149" s="385"/>
      <c r="E149" s="385"/>
      <c r="F149" s="385"/>
      <c r="G149" s="385"/>
      <c r="H149" s="385"/>
      <c r="I149" s="385"/>
      <c r="J149" s="385"/>
      <c r="K149" s="385"/>
    </row>
    <row r="150">
      <c r="A150" s="385"/>
      <c r="B150" s="385"/>
      <c r="C150" s="385"/>
      <c r="D150" s="385"/>
      <c r="E150" s="385"/>
      <c r="F150" s="385"/>
      <c r="G150" s="385"/>
      <c r="H150" s="385"/>
      <c r="I150" s="385"/>
      <c r="J150" s="385"/>
      <c r="K150" s="385"/>
    </row>
    <row r="151">
      <c r="A151" s="385"/>
      <c r="B151" s="385"/>
      <c r="C151" s="385"/>
      <c r="D151" s="385"/>
      <c r="E151" s="385"/>
      <c r="F151" s="385"/>
      <c r="G151" s="385"/>
      <c r="H151" s="385"/>
      <c r="I151" s="385"/>
      <c r="J151" s="385"/>
      <c r="K151" s="385"/>
    </row>
    <row r="152">
      <c r="A152" s="385"/>
      <c r="B152" s="385"/>
      <c r="C152" s="385"/>
      <c r="D152" s="385"/>
      <c r="E152" s="385"/>
      <c r="F152" s="385"/>
      <c r="G152" s="385"/>
      <c r="H152" s="385"/>
      <c r="I152" s="385"/>
      <c r="J152" s="385"/>
      <c r="K152" s="385"/>
    </row>
    <row r="153">
      <c r="A153" s="385"/>
      <c r="B153" s="385"/>
      <c r="C153" s="385"/>
      <c r="D153" s="385"/>
      <c r="E153" s="385"/>
      <c r="F153" s="385"/>
      <c r="G153" s="385"/>
      <c r="H153" s="385"/>
      <c r="I153" s="385"/>
      <c r="J153" s="385"/>
      <c r="K153" s="385"/>
    </row>
    <row r="154">
      <c r="A154" s="385"/>
      <c r="B154" s="385"/>
      <c r="C154" s="385"/>
      <c r="D154" s="385"/>
      <c r="E154" s="385"/>
      <c r="F154" s="385"/>
      <c r="G154" s="385"/>
      <c r="H154" s="385"/>
      <c r="I154" s="385"/>
      <c r="J154" s="385"/>
      <c r="K154" s="385"/>
    </row>
    <row r="155">
      <c r="A155" s="385"/>
      <c r="B155" s="385"/>
      <c r="C155" s="385"/>
      <c r="D155" s="385"/>
      <c r="E155" s="385"/>
      <c r="F155" s="385"/>
      <c r="G155" s="385"/>
      <c r="H155" s="385"/>
      <c r="I155" s="385"/>
      <c r="J155" s="385"/>
      <c r="K155" s="385"/>
    </row>
    <row r="156">
      <c r="A156" s="385"/>
      <c r="B156" s="385"/>
      <c r="C156" s="385"/>
      <c r="D156" s="385"/>
      <c r="E156" s="385"/>
      <c r="F156" s="385"/>
      <c r="G156" s="385"/>
      <c r="H156" s="385"/>
      <c r="I156" s="385"/>
      <c r="J156" s="385"/>
      <c r="K156" s="385"/>
    </row>
    <row r="157">
      <c r="A157" s="385"/>
      <c r="B157" s="385"/>
      <c r="C157" s="385"/>
      <c r="D157" s="385"/>
      <c r="E157" s="385"/>
      <c r="F157" s="385"/>
      <c r="G157" s="385"/>
      <c r="H157" s="385"/>
      <c r="I157" s="385"/>
      <c r="J157" s="385"/>
      <c r="K157" s="385"/>
    </row>
    <row r="158">
      <c r="A158" s="385"/>
      <c r="B158" s="385"/>
      <c r="C158" s="385"/>
      <c r="D158" s="385"/>
      <c r="E158" s="385"/>
      <c r="F158" s="385"/>
      <c r="G158" s="385"/>
      <c r="H158" s="385"/>
      <c r="I158" s="385"/>
      <c r="J158" s="385"/>
      <c r="K158" s="385"/>
    </row>
    <row r="159">
      <c r="A159" s="385"/>
      <c r="B159" s="385"/>
      <c r="C159" s="385"/>
      <c r="D159" s="385"/>
      <c r="E159" s="385"/>
      <c r="F159" s="385"/>
      <c r="G159" s="385"/>
      <c r="H159" s="385"/>
      <c r="I159" s="385"/>
      <c r="J159" s="385"/>
      <c r="K159" s="385"/>
    </row>
    <row r="160">
      <c r="A160" s="385"/>
      <c r="B160" s="385"/>
      <c r="C160" s="385"/>
      <c r="D160" s="385"/>
      <c r="E160" s="385"/>
      <c r="F160" s="385"/>
      <c r="G160" s="385"/>
      <c r="H160" s="385"/>
      <c r="I160" s="385"/>
      <c r="J160" s="385"/>
      <c r="K160" s="385"/>
    </row>
    <row r="161">
      <c r="A161" s="385"/>
      <c r="B161" s="385"/>
      <c r="C161" s="385"/>
      <c r="D161" s="385"/>
      <c r="E161" s="385"/>
      <c r="F161" s="385"/>
      <c r="G161" s="385"/>
      <c r="H161" s="385"/>
      <c r="I161" s="385"/>
      <c r="J161" s="385"/>
      <c r="K161" s="385"/>
    </row>
    <row r="162">
      <c r="A162" s="385"/>
      <c r="B162" s="385"/>
      <c r="C162" s="385"/>
      <c r="D162" s="385"/>
      <c r="E162" s="385"/>
      <c r="F162" s="385"/>
      <c r="G162" s="385"/>
      <c r="H162" s="385"/>
      <c r="I162" s="385"/>
      <c r="J162" s="385"/>
      <c r="K162" s="385"/>
    </row>
    <row r="163">
      <c r="A163" s="385"/>
      <c r="B163" s="385"/>
      <c r="C163" s="385"/>
      <c r="D163" s="385"/>
      <c r="E163" s="385"/>
      <c r="F163" s="385"/>
      <c r="G163" s="385"/>
      <c r="H163" s="385"/>
      <c r="I163" s="385"/>
      <c r="J163" s="385"/>
      <c r="K163" s="385"/>
    </row>
    <row r="164">
      <c r="A164" s="385"/>
      <c r="B164" s="385"/>
      <c r="C164" s="385"/>
      <c r="D164" s="385"/>
      <c r="E164" s="385"/>
      <c r="F164" s="385"/>
      <c r="G164" s="385"/>
      <c r="H164" s="385"/>
      <c r="I164" s="385"/>
      <c r="J164" s="385"/>
      <c r="K164" s="385"/>
    </row>
    <row r="165">
      <c r="A165" s="385"/>
      <c r="B165" s="385"/>
      <c r="C165" s="385"/>
      <c r="D165" s="385"/>
      <c r="E165" s="385"/>
      <c r="F165" s="385"/>
      <c r="G165" s="385"/>
      <c r="H165" s="385"/>
      <c r="I165" s="385"/>
      <c r="J165" s="385"/>
      <c r="K165" s="385"/>
    </row>
    <row r="166">
      <c r="A166" s="385"/>
      <c r="B166" s="385"/>
      <c r="C166" s="385"/>
      <c r="D166" s="385"/>
      <c r="E166" s="385"/>
      <c r="F166" s="385"/>
      <c r="G166" s="385"/>
      <c r="H166" s="385"/>
      <c r="I166" s="385"/>
      <c r="J166" s="385"/>
      <c r="K166" s="385"/>
    </row>
    <row r="167">
      <c r="A167" s="385"/>
      <c r="B167" s="385"/>
      <c r="C167" s="385"/>
      <c r="D167" s="385"/>
      <c r="E167" s="385"/>
      <c r="F167" s="385"/>
      <c r="G167" s="385"/>
      <c r="H167" s="385"/>
      <c r="I167" s="385"/>
      <c r="J167" s="385"/>
      <c r="K167" s="385"/>
    </row>
    <row r="168">
      <c r="A168" s="385"/>
      <c r="B168" s="385"/>
      <c r="C168" s="385"/>
      <c r="D168" s="385"/>
      <c r="E168" s="385"/>
      <c r="F168" s="385"/>
      <c r="G168" s="385"/>
      <c r="H168" s="385"/>
      <c r="I168" s="385"/>
      <c r="J168" s="385"/>
      <c r="K168" s="385"/>
    </row>
    <row r="169">
      <c r="A169" s="385"/>
      <c r="B169" s="385"/>
      <c r="C169" s="385"/>
      <c r="D169" s="385"/>
      <c r="E169" s="385"/>
      <c r="F169" s="385"/>
      <c r="G169" s="385"/>
      <c r="H169" s="385"/>
      <c r="I169" s="385"/>
      <c r="J169" s="385"/>
      <c r="K169" s="385"/>
    </row>
    <row r="170">
      <c r="A170" s="385"/>
      <c r="B170" s="385"/>
      <c r="C170" s="385"/>
      <c r="D170" s="385"/>
      <c r="E170" s="385"/>
      <c r="F170" s="385"/>
      <c r="G170" s="385"/>
      <c r="H170" s="385"/>
      <c r="I170" s="385"/>
      <c r="J170" s="385"/>
      <c r="K170" s="385"/>
    </row>
    <row r="171">
      <c r="A171" s="385"/>
      <c r="B171" s="385"/>
      <c r="C171" s="385"/>
      <c r="D171" s="385"/>
      <c r="E171" s="385"/>
      <c r="F171" s="385"/>
      <c r="G171" s="385"/>
      <c r="H171" s="385"/>
      <c r="I171" s="385"/>
      <c r="J171" s="385"/>
      <c r="K171" s="385"/>
    </row>
    <row r="172">
      <c r="A172" s="385"/>
      <c r="B172" s="385"/>
      <c r="C172" s="385"/>
      <c r="D172" s="385"/>
      <c r="E172" s="385"/>
      <c r="F172" s="385"/>
      <c r="G172" s="385"/>
      <c r="H172" s="385"/>
      <c r="I172" s="385"/>
      <c r="J172" s="385"/>
      <c r="K172" s="385"/>
    </row>
    <row r="173">
      <c r="A173" s="385"/>
      <c r="B173" s="385"/>
      <c r="C173" s="385"/>
      <c r="D173" s="385"/>
      <c r="E173" s="385"/>
      <c r="F173" s="385"/>
      <c r="G173" s="385"/>
      <c r="H173" s="385"/>
      <c r="I173" s="385"/>
      <c r="J173" s="385"/>
      <c r="K173" s="385"/>
    </row>
    <row r="174">
      <c r="A174" s="385"/>
      <c r="B174" s="385"/>
      <c r="C174" s="385"/>
      <c r="D174" s="385"/>
      <c r="E174" s="385"/>
      <c r="F174" s="385"/>
      <c r="G174" s="385"/>
      <c r="H174" s="385"/>
      <c r="I174" s="385"/>
      <c r="J174" s="385"/>
      <c r="K174" s="385"/>
    </row>
    <row r="175">
      <c r="A175" s="385"/>
      <c r="B175" s="385"/>
      <c r="C175" s="385"/>
      <c r="D175" s="385"/>
      <c r="E175" s="385"/>
      <c r="F175" s="385"/>
      <c r="G175" s="385"/>
      <c r="H175" s="385"/>
      <c r="I175" s="385"/>
      <c r="J175" s="385"/>
      <c r="K175" s="385"/>
    </row>
    <row r="176">
      <c r="A176" s="385"/>
      <c r="B176" s="385"/>
      <c r="C176" s="385"/>
      <c r="D176" s="385"/>
      <c r="E176" s="385"/>
      <c r="F176" s="385"/>
      <c r="G176" s="385"/>
      <c r="H176" s="385"/>
      <c r="I176" s="385"/>
      <c r="J176" s="385"/>
      <c r="K176" s="385"/>
    </row>
    <row r="177">
      <c r="A177" s="385"/>
      <c r="B177" s="385"/>
      <c r="C177" s="385"/>
      <c r="D177" s="385"/>
      <c r="E177" s="385"/>
      <c r="F177" s="385"/>
      <c r="G177" s="385"/>
      <c r="H177" s="385"/>
      <c r="I177" s="385"/>
      <c r="J177" s="385"/>
      <c r="K177" s="385"/>
    </row>
    <row r="178">
      <c r="A178" s="385"/>
      <c r="B178" s="385"/>
      <c r="C178" s="385"/>
      <c r="D178" s="385"/>
      <c r="E178" s="385"/>
      <c r="F178" s="385"/>
      <c r="G178" s="385"/>
      <c r="H178" s="385"/>
      <c r="I178" s="385"/>
      <c r="J178" s="385"/>
      <c r="K178" s="385"/>
    </row>
    <row r="179">
      <c r="A179" s="385"/>
      <c r="B179" s="385"/>
      <c r="C179" s="385"/>
      <c r="D179" s="385"/>
      <c r="E179" s="385"/>
      <c r="F179" s="385"/>
      <c r="G179" s="385"/>
      <c r="H179" s="385"/>
      <c r="I179" s="385"/>
      <c r="J179" s="385"/>
      <c r="K179" s="385"/>
    </row>
    <row r="180">
      <c r="A180" s="385"/>
      <c r="B180" s="385"/>
      <c r="C180" s="385"/>
      <c r="D180" s="385"/>
      <c r="E180" s="385"/>
      <c r="F180" s="385"/>
      <c r="G180" s="385"/>
      <c r="H180" s="385"/>
      <c r="I180" s="385"/>
      <c r="J180" s="385"/>
      <c r="K180" s="385"/>
    </row>
    <row r="181">
      <c r="A181" s="385"/>
      <c r="B181" s="385"/>
      <c r="C181" s="385"/>
      <c r="D181" s="385"/>
      <c r="E181" s="385"/>
      <c r="F181" s="385"/>
      <c r="G181" s="385"/>
      <c r="H181" s="385"/>
      <c r="I181" s="385"/>
      <c r="J181" s="385"/>
      <c r="K181" s="385"/>
    </row>
    <row r="182">
      <c r="A182" s="385"/>
      <c r="B182" s="385"/>
      <c r="C182" s="385"/>
      <c r="D182" s="385"/>
      <c r="E182" s="385"/>
      <c r="F182" s="385"/>
      <c r="G182" s="385"/>
      <c r="H182" s="385"/>
      <c r="I182" s="385"/>
      <c r="J182" s="385"/>
      <c r="K182" s="385"/>
    </row>
    <row r="183">
      <c r="A183" s="385"/>
      <c r="B183" s="385"/>
      <c r="C183" s="385"/>
      <c r="D183" s="385"/>
      <c r="E183" s="385"/>
      <c r="F183" s="385"/>
      <c r="G183" s="385"/>
      <c r="H183" s="385"/>
      <c r="I183" s="385"/>
      <c r="J183" s="385"/>
      <c r="K183" s="385"/>
    </row>
    <row r="184">
      <c r="A184" s="385"/>
      <c r="B184" s="385"/>
      <c r="C184" s="385"/>
      <c r="D184" s="385"/>
      <c r="E184" s="385"/>
      <c r="F184" s="385"/>
      <c r="G184" s="385"/>
      <c r="H184" s="385"/>
      <c r="I184" s="385"/>
      <c r="J184" s="385"/>
      <c r="K184" s="385"/>
    </row>
    <row r="185">
      <c r="A185" s="385"/>
      <c r="B185" s="385"/>
      <c r="C185" s="385"/>
      <c r="D185" s="385"/>
      <c r="E185" s="385"/>
      <c r="F185" s="385"/>
      <c r="G185" s="385"/>
      <c r="H185" s="385"/>
      <c r="I185" s="385"/>
      <c r="J185" s="385"/>
      <c r="K185" s="385"/>
    </row>
    <row r="186">
      <c r="A186" s="385"/>
      <c r="B186" s="385"/>
      <c r="C186" s="385"/>
      <c r="D186" s="385"/>
      <c r="E186" s="385"/>
      <c r="F186" s="385"/>
      <c r="G186" s="385"/>
      <c r="H186" s="385"/>
      <c r="I186" s="385"/>
      <c r="J186" s="385"/>
      <c r="K186" s="385"/>
    </row>
    <row r="187">
      <c r="A187" s="385"/>
      <c r="B187" s="385"/>
      <c r="C187" s="385"/>
      <c r="D187" s="385"/>
      <c r="E187" s="385"/>
      <c r="F187" s="385"/>
      <c r="G187" s="385"/>
      <c r="H187" s="385"/>
      <c r="I187" s="385"/>
      <c r="J187" s="385"/>
      <c r="K187" s="385"/>
    </row>
    <row r="188">
      <c r="A188" s="385"/>
      <c r="B188" s="385"/>
      <c r="C188" s="385"/>
      <c r="D188" s="385"/>
      <c r="E188" s="385"/>
      <c r="F188" s="385"/>
      <c r="G188" s="385"/>
      <c r="H188" s="385"/>
      <c r="I188" s="385"/>
      <c r="J188" s="385"/>
      <c r="K188" s="385"/>
    </row>
    <row r="189">
      <c r="A189" s="385"/>
      <c r="B189" s="385"/>
      <c r="C189" s="385"/>
      <c r="D189" s="385"/>
      <c r="E189" s="385"/>
      <c r="F189" s="385"/>
      <c r="G189" s="385"/>
      <c r="H189" s="385"/>
      <c r="I189" s="385"/>
      <c r="J189" s="385"/>
      <c r="K189" s="385"/>
    </row>
    <row r="190">
      <c r="A190" s="385"/>
      <c r="B190" s="385"/>
      <c r="C190" s="385"/>
      <c r="D190" s="385"/>
      <c r="E190" s="385"/>
      <c r="F190" s="385"/>
      <c r="G190" s="385"/>
      <c r="H190" s="385"/>
      <c r="I190" s="385"/>
      <c r="J190" s="385"/>
      <c r="K190" s="385"/>
    </row>
    <row r="191">
      <c r="A191" s="385"/>
      <c r="B191" s="385"/>
      <c r="C191" s="385"/>
      <c r="D191" s="385"/>
      <c r="E191" s="385"/>
      <c r="F191" s="385"/>
      <c r="G191" s="385"/>
      <c r="H191" s="385"/>
      <c r="I191" s="385"/>
      <c r="J191" s="385"/>
      <c r="K191" s="385"/>
    </row>
    <row r="192">
      <c r="A192" s="385"/>
      <c r="B192" s="385"/>
      <c r="C192" s="385"/>
      <c r="D192" s="385"/>
      <c r="E192" s="385"/>
      <c r="F192" s="385"/>
      <c r="G192" s="385"/>
      <c r="H192" s="385"/>
      <c r="I192" s="385"/>
      <c r="J192" s="385"/>
      <c r="K192" s="385"/>
    </row>
    <row r="193">
      <c r="A193" s="385"/>
      <c r="B193" s="385"/>
      <c r="C193" s="385"/>
      <c r="D193" s="385"/>
      <c r="E193" s="385"/>
      <c r="F193" s="385"/>
      <c r="G193" s="385"/>
      <c r="H193" s="385"/>
      <c r="I193" s="385"/>
      <c r="J193" s="385"/>
      <c r="K193" s="385"/>
    </row>
    <row r="194">
      <c r="A194" s="385"/>
      <c r="B194" s="385"/>
      <c r="C194" s="385"/>
      <c r="D194" s="385"/>
      <c r="E194" s="385"/>
      <c r="F194" s="385"/>
      <c r="G194" s="385"/>
      <c r="H194" s="385"/>
      <c r="I194" s="385"/>
      <c r="J194" s="385"/>
      <c r="K194" s="385"/>
    </row>
    <row r="195">
      <c r="A195" s="385"/>
      <c r="B195" s="385"/>
      <c r="C195" s="385"/>
      <c r="D195" s="385"/>
      <c r="E195" s="385"/>
      <c r="F195" s="385"/>
      <c r="G195" s="385"/>
      <c r="H195" s="385"/>
      <c r="I195" s="385"/>
      <c r="J195" s="385"/>
      <c r="K195" s="385"/>
    </row>
    <row r="196">
      <c r="A196" s="385"/>
      <c r="B196" s="385"/>
      <c r="C196" s="385"/>
      <c r="D196" s="385"/>
      <c r="E196" s="385"/>
      <c r="F196" s="385"/>
      <c r="G196" s="385"/>
      <c r="H196" s="385"/>
      <c r="I196" s="385"/>
      <c r="J196" s="385"/>
      <c r="K196" s="385"/>
    </row>
    <row r="197">
      <c r="A197" s="385"/>
      <c r="B197" s="385"/>
      <c r="C197" s="385"/>
      <c r="D197" s="385"/>
      <c r="E197" s="385"/>
      <c r="F197" s="385"/>
      <c r="G197" s="385"/>
      <c r="H197" s="385"/>
      <c r="I197" s="385"/>
      <c r="J197" s="385"/>
      <c r="K197" s="385"/>
    </row>
    <row r="198">
      <c r="A198" s="385"/>
      <c r="B198" s="385"/>
      <c r="C198" s="385"/>
      <c r="D198" s="385"/>
      <c r="E198" s="385"/>
      <c r="F198" s="385"/>
      <c r="G198" s="385"/>
      <c r="H198" s="385"/>
      <c r="I198" s="385"/>
      <c r="J198" s="385"/>
      <c r="K198" s="385"/>
    </row>
    <row r="199">
      <c r="A199" s="385"/>
      <c r="B199" s="385"/>
      <c r="C199" s="385"/>
      <c r="D199" s="385"/>
      <c r="E199" s="385"/>
      <c r="F199" s="385"/>
      <c r="G199" s="385"/>
      <c r="H199" s="385"/>
      <c r="I199" s="385"/>
      <c r="J199" s="385"/>
      <c r="K199" s="385"/>
    </row>
    <row r="200">
      <c r="A200" s="385"/>
      <c r="B200" s="385"/>
      <c r="C200" s="385"/>
      <c r="D200" s="385"/>
      <c r="E200" s="385"/>
      <c r="F200" s="385"/>
      <c r="G200" s="385"/>
      <c r="H200" s="385"/>
      <c r="I200" s="385"/>
      <c r="J200" s="385"/>
      <c r="K200" s="385"/>
    </row>
    <row r="201">
      <c r="A201" s="385"/>
      <c r="B201" s="385"/>
      <c r="C201" s="385"/>
      <c r="D201" s="385"/>
      <c r="E201" s="385"/>
      <c r="F201" s="385"/>
      <c r="G201" s="385"/>
      <c r="H201" s="385"/>
      <c r="I201" s="385"/>
      <c r="J201" s="385"/>
      <c r="K201" s="385"/>
    </row>
    <row r="202">
      <c r="A202" s="385"/>
      <c r="B202" s="385"/>
      <c r="C202" s="385"/>
      <c r="D202" s="385"/>
      <c r="E202" s="385"/>
      <c r="F202" s="385"/>
      <c r="G202" s="385"/>
      <c r="H202" s="385"/>
      <c r="I202" s="385"/>
      <c r="J202" s="385"/>
      <c r="K202" s="385"/>
    </row>
    <row r="203">
      <c r="A203" s="385"/>
      <c r="B203" s="385"/>
      <c r="C203" s="385"/>
      <c r="D203" s="385"/>
      <c r="E203" s="385"/>
      <c r="F203" s="385"/>
      <c r="G203" s="385"/>
      <c r="H203" s="385"/>
      <c r="I203" s="385"/>
      <c r="J203" s="385"/>
      <c r="K203" s="385"/>
    </row>
    <row r="204">
      <c r="A204" s="385"/>
      <c r="B204" s="385"/>
      <c r="C204" s="385"/>
      <c r="D204" s="385"/>
      <c r="E204" s="385"/>
      <c r="F204" s="385"/>
      <c r="G204" s="385"/>
      <c r="H204" s="385"/>
      <c r="I204" s="385"/>
      <c r="J204" s="385"/>
      <c r="K204" s="385"/>
    </row>
    <row r="205">
      <c r="A205" s="385"/>
      <c r="B205" s="385"/>
      <c r="C205" s="385"/>
      <c r="D205" s="385"/>
      <c r="E205" s="385"/>
      <c r="F205" s="385"/>
      <c r="G205" s="385"/>
      <c r="H205" s="385"/>
      <c r="I205" s="385"/>
      <c r="J205" s="385"/>
      <c r="K205" s="385"/>
    </row>
    <row r="206">
      <c r="A206" s="385"/>
      <c r="B206" s="385"/>
      <c r="C206" s="385"/>
      <c r="D206" s="385"/>
      <c r="E206" s="385"/>
      <c r="F206" s="385"/>
      <c r="G206" s="385"/>
      <c r="H206" s="385"/>
      <c r="I206" s="385"/>
      <c r="J206" s="385"/>
      <c r="K206" s="385"/>
    </row>
    <row r="207">
      <c r="A207" s="385"/>
      <c r="B207" s="385"/>
      <c r="C207" s="385"/>
      <c r="D207" s="385"/>
      <c r="E207" s="385"/>
      <c r="F207" s="385"/>
      <c r="G207" s="385"/>
      <c r="H207" s="385"/>
      <c r="I207" s="385"/>
      <c r="J207" s="385"/>
      <c r="K207" s="385"/>
    </row>
    <row r="208">
      <c r="A208" s="385"/>
      <c r="B208" s="385"/>
      <c r="C208" s="385"/>
      <c r="D208" s="385"/>
      <c r="E208" s="385"/>
      <c r="F208" s="385"/>
      <c r="G208" s="385"/>
      <c r="H208" s="385"/>
      <c r="I208" s="385"/>
      <c r="J208" s="385"/>
      <c r="K208" s="385"/>
    </row>
    <row r="209">
      <c r="A209" s="385"/>
      <c r="B209" s="385"/>
      <c r="C209" s="385"/>
      <c r="D209" s="385"/>
      <c r="E209" s="385"/>
      <c r="F209" s="385"/>
      <c r="G209" s="385"/>
      <c r="H209" s="385"/>
      <c r="I209" s="385"/>
      <c r="J209" s="385"/>
      <c r="K209" s="385"/>
    </row>
    <row r="210">
      <c r="A210" s="385"/>
      <c r="B210" s="385"/>
      <c r="C210" s="385"/>
      <c r="D210" s="385"/>
      <c r="E210" s="385"/>
      <c r="F210" s="385"/>
      <c r="G210" s="385"/>
      <c r="H210" s="385"/>
      <c r="I210" s="385"/>
      <c r="J210" s="385"/>
      <c r="K210" s="385"/>
    </row>
    <row r="211">
      <c r="A211" s="385"/>
      <c r="B211" s="385"/>
      <c r="C211" s="385"/>
      <c r="D211" s="385"/>
      <c r="E211" s="385"/>
      <c r="F211" s="385"/>
      <c r="G211" s="385"/>
      <c r="H211" s="385"/>
      <c r="I211" s="385"/>
      <c r="J211" s="385"/>
      <c r="K211" s="385"/>
    </row>
    <row r="212">
      <c r="A212" s="385"/>
      <c r="B212" s="385"/>
      <c r="C212" s="385"/>
      <c r="D212" s="385"/>
      <c r="E212" s="385"/>
      <c r="F212" s="385"/>
      <c r="G212" s="385"/>
      <c r="H212" s="385"/>
      <c r="I212" s="385"/>
      <c r="J212" s="385"/>
      <c r="K212" s="385"/>
    </row>
    <row r="213">
      <c r="A213" s="385"/>
      <c r="B213" s="385"/>
      <c r="C213" s="385"/>
      <c r="D213" s="385"/>
      <c r="E213" s="385"/>
      <c r="F213" s="385"/>
      <c r="G213" s="385"/>
      <c r="H213" s="385"/>
      <c r="I213" s="385"/>
      <c r="J213" s="385"/>
      <c r="K213" s="385"/>
    </row>
    <row r="214">
      <c r="A214" s="385"/>
      <c r="B214" s="385"/>
      <c r="C214" s="385"/>
      <c r="D214" s="385"/>
      <c r="E214" s="385"/>
      <c r="F214" s="385"/>
      <c r="G214" s="385"/>
      <c r="H214" s="385"/>
      <c r="I214" s="385"/>
      <c r="J214" s="385"/>
      <c r="K214" s="385"/>
    </row>
    <row r="215">
      <c r="A215" s="385"/>
      <c r="B215" s="385"/>
      <c r="C215" s="385"/>
      <c r="D215" s="385"/>
      <c r="E215" s="385"/>
      <c r="F215" s="385"/>
      <c r="G215" s="385"/>
      <c r="H215" s="385"/>
      <c r="I215" s="385"/>
      <c r="J215" s="385"/>
      <c r="K215" s="385"/>
    </row>
    <row r="216">
      <c r="A216" s="385"/>
      <c r="B216" s="385"/>
      <c r="C216" s="385"/>
      <c r="D216" s="385"/>
      <c r="E216" s="385"/>
      <c r="F216" s="385"/>
      <c r="G216" s="385"/>
      <c r="H216" s="385"/>
      <c r="I216" s="385"/>
      <c r="J216" s="385"/>
      <c r="K216" s="385"/>
    </row>
    <row r="217">
      <c r="A217" s="385"/>
      <c r="B217" s="385"/>
      <c r="C217" s="385"/>
      <c r="D217" s="385"/>
      <c r="E217" s="385"/>
      <c r="F217" s="385"/>
      <c r="G217" s="385"/>
      <c r="H217" s="385"/>
      <c r="I217" s="385"/>
      <c r="J217" s="385"/>
      <c r="K217" s="385"/>
    </row>
    <row r="218">
      <c r="A218" s="385"/>
      <c r="B218" s="385"/>
      <c r="C218" s="385"/>
      <c r="D218" s="385"/>
      <c r="E218" s="385"/>
      <c r="F218" s="385"/>
      <c r="G218" s="385"/>
      <c r="H218" s="385"/>
      <c r="I218" s="385"/>
      <c r="J218" s="385"/>
      <c r="K218" s="385"/>
    </row>
    <row r="219">
      <c r="A219" s="385"/>
      <c r="B219" s="385"/>
      <c r="C219" s="385"/>
      <c r="D219" s="385"/>
      <c r="E219" s="385"/>
      <c r="F219" s="385"/>
      <c r="G219" s="385"/>
      <c r="H219" s="385"/>
      <c r="I219" s="385"/>
      <c r="J219" s="385"/>
      <c r="K219" s="385"/>
    </row>
    <row r="220">
      <c r="A220" s="385"/>
      <c r="B220" s="385"/>
      <c r="C220" s="385"/>
      <c r="D220" s="385"/>
      <c r="E220" s="385"/>
      <c r="F220" s="385"/>
      <c r="G220" s="385"/>
      <c r="H220" s="385"/>
      <c r="I220" s="385"/>
      <c r="J220" s="385"/>
      <c r="K220" s="385"/>
    </row>
    <row r="221">
      <c r="A221" s="385"/>
      <c r="B221" s="385"/>
      <c r="C221" s="385"/>
      <c r="D221" s="385"/>
      <c r="E221" s="385"/>
      <c r="F221" s="385"/>
      <c r="G221" s="385"/>
      <c r="H221" s="385"/>
      <c r="I221" s="385"/>
      <c r="J221" s="385"/>
      <c r="K221" s="385"/>
    </row>
    <row r="222">
      <c r="A222" s="385"/>
      <c r="B222" s="385"/>
      <c r="C222" s="385"/>
      <c r="D222" s="385"/>
      <c r="E222" s="385"/>
      <c r="F222" s="385"/>
      <c r="G222" s="385"/>
      <c r="H222" s="385"/>
      <c r="I222" s="385"/>
      <c r="J222" s="385"/>
      <c r="K222" s="385"/>
    </row>
    <row r="223">
      <c r="A223" s="385"/>
      <c r="B223" s="385"/>
      <c r="C223" s="385"/>
      <c r="D223" s="385"/>
      <c r="E223" s="385"/>
      <c r="F223" s="385"/>
      <c r="G223" s="385"/>
      <c r="H223" s="385"/>
      <c r="I223" s="385"/>
      <c r="J223" s="385"/>
      <c r="K223" s="385"/>
    </row>
    <row r="224">
      <c r="A224" s="385"/>
      <c r="B224" s="385"/>
      <c r="C224" s="385"/>
      <c r="D224" s="385"/>
      <c r="E224" s="385"/>
      <c r="F224" s="385"/>
      <c r="G224" s="385"/>
      <c r="H224" s="385"/>
      <c r="I224" s="385"/>
      <c r="J224" s="385"/>
      <c r="K224" s="385"/>
    </row>
    <row r="225">
      <c r="A225" s="385"/>
      <c r="B225" s="385"/>
      <c r="C225" s="385"/>
      <c r="D225" s="385"/>
      <c r="E225" s="385"/>
      <c r="F225" s="385"/>
      <c r="G225" s="385"/>
      <c r="H225" s="385"/>
      <c r="I225" s="385"/>
      <c r="J225" s="385"/>
      <c r="K225" s="385"/>
    </row>
    <row r="226">
      <c r="A226" s="385"/>
      <c r="B226" s="385"/>
      <c r="C226" s="385"/>
      <c r="D226" s="385"/>
      <c r="E226" s="385"/>
      <c r="F226" s="385"/>
      <c r="G226" s="385"/>
      <c r="H226" s="385"/>
      <c r="I226" s="385"/>
      <c r="J226" s="385"/>
      <c r="K226" s="385"/>
    </row>
    <row r="227">
      <c r="A227" s="385"/>
      <c r="B227" s="385"/>
      <c r="C227" s="385"/>
      <c r="D227" s="385"/>
      <c r="E227" s="385"/>
      <c r="F227" s="385"/>
      <c r="G227" s="385"/>
      <c r="H227" s="385"/>
      <c r="I227" s="385"/>
      <c r="J227" s="385"/>
      <c r="K227" s="385"/>
    </row>
    <row r="228">
      <c r="A228" s="385"/>
      <c r="B228" s="385"/>
      <c r="C228" s="385"/>
      <c r="D228" s="385"/>
      <c r="E228" s="385"/>
      <c r="F228" s="385"/>
      <c r="G228" s="385"/>
      <c r="H228" s="385"/>
      <c r="I228" s="385"/>
      <c r="J228" s="385"/>
      <c r="K228" s="385"/>
    </row>
    <row r="229">
      <c r="A229" s="385"/>
      <c r="B229" s="385"/>
      <c r="C229" s="385"/>
      <c r="D229" s="385"/>
      <c r="E229" s="385"/>
      <c r="F229" s="385"/>
      <c r="G229" s="385"/>
      <c r="H229" s="385"/>
      <c r="I229" s="385"/>
      <c r="J229" s="385"/>
      <c r="K229" s="385"/>
    </row>
    <row r="230">
      <c r="A230" s="385"/>
      <c r="B230" s="385"/>
      <c r="C230" s="385"/>
      <c r="D230" s="385"/>
      <c r="E230" s="385"/>
      <c r="F230" s="385"/>
      <c r="G230" s="385"/>
      <c r="H230" s="385"/>
      <c r="I230" s="385"/>
      <c r="J230" s="385"/>
      <c r="K230" s="385"/>
    </row>
    <row r="231">
      <c r="A231" s="385"/>
      <c r="B231" s="385"/>
      <c r="C231" s="385"/>
      <c r="D231" s="385"/>
      <c r="E231" s="385"/>
      <c r="F231" s="385"/>
      <c r="G231" s="385"/>
      <c r="H231" s="385"/>
      <c r="I231" s="385"/>
      <c r="J231" s="385"/>
      <c r="K231" s="385"/>
    </row>
    <row r="232">
      <c r="A232" s="385"/>
      <c r="B232" s="385"/>
      <c r="C232" s="385"/>
      <c r="D232" s="385"/>
      <c r="E232" s="385"/>
      <c r="F232" s="385"/>
      <c r="G232" s="385"/>
      <c r="H232" s="385"/>
      <c r="I232" s="385"/>
      <c r="J232" s="385"/>
      <c r="K232" s="385"/>
    </row>
    <row r="233">
      <c r="A233" s="385"/>
      <c r="B233" s="385"/>
      <c r="C233" s="385"/>
      <c r="D233" s="385"/>
      <c r="E233" s="385"/>
      <c r="F233" s="385"/>
      <c r="G233" s="385"/>
      <c r="H233" s="385"/>
      <c r="I233" s="385"/>
      <c r="J233" s="385"/>
      <c r="K233" s="385"/>
    </row>
    <row r="234">
      <c r="A234" s="385"/>
      <c r="B234" s="385"/>
      <c r="C234" s="385"/>
      <c r="D234" s="385"/>
      <c r="E234" s="385"/>
      <c r="F234" s="385"/>
      <c r="G234" s="385"/>
      <c r="H234" s="385"/>
      <c r="I234" s="385"/>
      <c r="J234" s="385"/>
      <c r="K234" s="385"/>
    </row>
    <row r="235">
      <c r="A235" s="385"/>
      <c r="B235" s="385"/>
      <c r="C235" s="385"/>
      <c r="D235" s="385"/>
      <c r="E235" s="385"/>
      <c r="F235" s="385"/>
      <c r="G235" s="385"/>
      <c r="H235" s="385"/>
      <c r="I235" s="385"/>
      <c r="J235" s="385"/>
      <c r="K235" s="385"/>
    </row>
    <row r="236">
      <c r="A236" s="385"/>
      <c r="B236" s="385"/>
      <c r="C236" s="385"/>
      <c r="D236" s="385"/>
      <c r="E236" s="385"/>
      <c r="F236" s="385"/>
      <c r="G236" s="385"/>
      <c r="H236" s="385"/>
      <c r="I236" s="385"/>
      <c r="J236" s="385"/>
      <c r="K236" s="385"/>
    </row>
    <row r="237">
      <c r="A237" s="385"/>
      <c r="B237" s="385"/>
      <c r="C237" s="385"/>
      <c r="D237" s="385"/>
      <c r="E237" s="385"/>
      <c r="F237" s="385"/>
      <c r="G237" s="385"/>
      <c r="H237" s="385"/>
      <c r="I237" s="385"/>
      <c r="J237" s="385"/>
      <c r="K237" s="385"/>
    </row>
    <row r="238">
      <c r="A238" s="385"/>
      <c r="B238" s="385"/>
      <c r="C238" s="385"/>
      <c r="D238" s="385"/>
      <c r="E238" s="385"/>
      <c r="F238" s="385"/>
      <c r="G238" s="385"/>
      <c r="H238" s="385"/>
      <c r="I238" s="385"/>
      <c r="J238" s="385"/>
      <c r="K238" s="385"/>
    </row>
    <row r="239">
      <c r="A239" s="385"/>
      <c r="B239" s="385"/>
      <c r="C239" s="385"/>
      <c r="D239" s="385"/>
      <c r="E239" s="385"/>
      <c r="F239" s="385"/>
      <c r="G239" s="385"/>
      <c r="H239" s="385"/>
      <c r="I239" s="385"/>
      <c r="J239" s="385"/>
      <c r="K239" s="385"/>
    </row>
    <row r="240">
      <c r="A240" s="385"/>
      <c r="B240" s="385"/>
      <c r="C240" s="385"/>
      <c r="D240" s="385"/>
      <c r="E240" s="385"/>
      <c r="F240" s="385"/>
      <c r="G240" s="385"/>
      <c r="H240" s="385"/>
      <c r="I240" s="385"/>
      <c r="J240" s="385"/>
      <c r="K240" s="385"/>
    </row>
    <row r="241">
      <c r="A241" s="385"/>
      <c r="B241" s="385"/>
      <c r="C241" s="385"/>
      <c r="D241" s="385"/>
      <c r="E241" s="385"/>
      <c r="F241" s="385"/>
      <c r="G241" s="385"/>
      <c r="H241" s="385"/>
      <c r="I241" s="385"/>
      <c r="J241" s="385"/>
      <c r="K241" s="385"/>
    </row>
    <row r="242">
      <c r="A242" s="385"/>
      <c r="B242" s="385"/>
      <c r="C242" s="385"/>
      <c r="D242" s="385"/>
      <c r="E242" s="385"/>
      <c r="F242" s="385"/>
      <c r="G242" s="385"/>
      <c r="H242" s="385"/>
      <c r="I242" s="385"/>
      <c r="J242" s="385"/>
      <c r="K242" s="385"/>
    </row>
    <row r="243">
      <c r="A243" s="385"/>
      <c r="B243" s="385"/>
      <c r="C243" s="385"/>
      <c r="D243" s="385"/>
      <c r="E243" s="385"/>
      <c r="F243" s="385"/>
      <c r="G243" s="385"/>
      <c r="H243" s="385"/>
      <c r="I243" s="385"/>
      <c r="J243" s="385"/>
      <c r="K243" s="385"/>
    </row>
    <row r="244">
      <c r="A244" s="385"/>
      <c r="B244" s="385"/>
      <c r="C244" s="385"/>
      <c r="D244" s="385"/>
      <c r="E244" s="385"/>
      <c r="F244" s="385"/>
      <c r="G244" s="385"/>
      <c r="H244" s="385"/>
      <c r="I244" s="385"/>
      <c r="J244" s="385"/>
      <c r="K244" s="385"/>
    </row>
    <row r="245">
      <c r="A245" s="385"/>
      <c r="B245" s="385"/>
      <c r="C245" s="385"/>
      <c r="D245" s="385"/>
      <c r="E245" s="385"/>
      <c r="F245" s="385"/>
      <c r="G245" s="385"/>
      <c r="H245" s="385"/>
      <c r="I245" s="385"/>
      <c r="J245" s="385"/>
      <c r="K245" s="385"/>
    </row>
    <row r="246">
      <c r="A246" s="385"/>
      <c r="B246" s="385"/>
      <c r="C246" s="385"/>
      <c r="D246" s="385"/>
      <c r="E246" s="385"/>
      <c r="F246" s="385"/>
      <c r="G246" s="385"/>
      <c r="H246" s="385"/>
      <c r="I246" s="385"/>
      <c r="J246" s="385"/>
      <c r="K246" s="385"/>
    </row>
    <row r="247">
      <c r="A247" s="385"/>
      <c r="B247" s="385"/>
      <c r="C247" s="385"/>
      <c r="D247" s="385"/>
      <c r="E247" s="385"/>
      <c r="F247" s="385"/>
      <c r="G247" s="385"/>
      <c r="H247" s="385"/>
      <c r="I247" s="385"/>
      <c r="J247" s="385"/>
      <c r="K247" s="385"/>
    </row>
    <row r="248">
      <c r="A248" s="385"/>
      <c r="B248" s="385"/>
      <c r="C248" s="385"/>
      <c r="D248" s="385"/>
      <c r="E248" s="385"/>
      <c r="F248" s="385"/>
      <c r="G248" s="385"/>
      <c r="H248" s="385"/>
      <c r="I248" s="385"/>
      <c r="J248" s="385"/>
      <c r="K248" s="385"/>
    </row>
    <row r="249">
      <c r="A249" s="385"/>
      <c r="B249" s="385"/>
      <c r="C249" s="385"/>
      <c r="D249" s="385"/>
      <c r="E249" s="385"/>
      <c r="F249" s="385"/>
      <c r="G249" s="385"/>
      <c r="H249" s="385"/>
      <c r="I249" s="385"/>
      <c r="J249" s="385"/>
      <c r="K249" s="385"/>
    </row>
    <row r="250">
      <c r="A250" s="385"/>
      <c r="B250" s="385"/>
      <c r="C250" s="385"/>
      <c r="D250" s="385"/>
      <c r="E250" s="385"/>
      <c r="F250" s="385"/>
      <c r="G250" s="385"/>
      <c r="H250" s="385"/>
      <c r="I250" s="385"/>
      <c r="J250" s="385"/>
      <c r="K250" s="385"/>
    </row>
    <row r="251">
      <c r="A251" s="385"/>
      <c r="B251" s="385"/>
      <c r="C251" s="385"/>
      <c r="D251" s="385"/>
      <c r="E251" s="385"/>
      <c r="F251" s="385"/>
      <c r="G251" s="385"/>
      <c r="H251" s="385"/>
      <c r="I251" s="385"/>
      <c r="J251" s="385"/>
      <c r="K251" s="385"/>
    </row>
    <row r="252">
      <c r="A252" s="385"/>
      <c r="B252" s="385"/>
      <c r="C252" s="385"/>
      <c r="D252" s="385"/>
      <c r="E252" s="385"/>
      <c r="F252" s="385"/>
      <c r="G252" s="385"/>
      <c r="H252" s="385"/>
      <c r="I252" s="385"/>
      <c r="J252" s="385"/>
      <c r="K252" s="385"/>
    </row>
    <row r="253">
      <c r="A253" s="385"/>
      <c r="B253" s="385"/>
      <c r="C253" s="385"/>
      <c r="D253" s="385"/>
      <c r="E253" s="385"/>
      <c r="F253" s="385"/>
      <c r="G253" s="385"/>
      <c r="H253" s="385"/>
      <c r="I253" s="385"/>
      <c r="J253" s="385"/>
      <c r="K253" s="385"/>
    </row>
    <row r="254">
      <c r="A254" s="385"/>
      <c r="B254" s="385"/>
      <c r="C254" s="385"/>
      <c r="D254" s="385"/>
      <c r="E254" s="385"/>
      <c r="F254" s="385"/>
      <c r="G254" s="385"/>
      <c r="H254" s="385"/>
      <c r="I254" s="385"/>
      <c r="J254" s="385"/>
      <c r="K254" s="385"/>
    </row>
    <row r="255">
      <c r="A255" s="385"/>
      <c r="B255" s="385"/>
      <c r="C255" s="385"/>
      <c r="D255" s="385"/>
      <c r="E255" s="385"/>
      <c r="F255" s="385"/>
      <c r="G255" s="385"/>
      <c r="H255" s="385"/>
      <c r="I255" s="385"/>
      <c r="J255" s="385"/>
      <c r="K255" s="385"/>
    </row>
    <row r="256">
      <c r="A256" s="385"/>
      <c r="B256" s="385"/>
      <c r="C256" s="385"/>
      <c r="D256" s="385"/>
      <c r="E256" s="385"/>
      <c r="F256" s="385"/>
      <c r="G256" s="385"/>
      <c r="H256" s="385"/>
      <c r="I256" s="385"/>
      <c r="J256" s="385"/>
      <c r="K256" s="385"/>
    </row>
    <row r="257">
      <c r="A257" s="385"/>
      <c r="B257" s="385"/>
      <c r="C257" s="385"/>
      <c r="D257" s="385"/>
      <c r="E257" s="385"/>
      <c r="F257" s="385"/>
      <c r="G257" s="385"/>
      <c r="H257" s="385"/>
      <c r="I257" s="385"/>
      <c r="J257" s="385"/>
      <c r="K257" s="385"/>
    </row>
    <row r="258">
      <c r="A258" s="385"/>
      <c r="B258" s="385"/>
      <c r="C258" s="385"/>
      <c r="D258" s="385"/>
      <c r="E258" s="385"/>
      <c r="F258" s="385"/>
      <c r="G258" s="385"/>
      <c r="H258" s="385"/>
      <c r="I258" s="385"/>
      <c r="J258" s="385"/>
      <c r="K258" s="385"/>
    </row>
    <row r="259">
      <c r="A259" s="385"/>
      <c r="B259" s="385"/>
      <c r="C259" s="385"/>
      <c r="D259" s="385"/>
      <c r="E259" s="385"/>
      <c r="F259" s="385"/>
      <c r="G259" s="385"/>
      <c r="H259" s="385"/>
      <c r="I259" s="385"/>
      <c r="J259" s="385"/>
      <c r="K259" s="385"/>
    </row>
    <row r="260">
      <c r="A260" s="385"/>
      <c r="B260" s="385"/>
      <c r="C260" s="385"/>
      <c r="D260" s="385"/>
      <c r="E260" s="385"/>
      <c r="F260" s="385"/>
      <c r="G260" s="385"/>
      <c r="H260" s="385"/>
      <c r="I260" s="385"/>
      <c r="J260" s="385"/>
      <c r="K260" s="385"/>
    </row>
    <row r="261">
      <c r="A261" s="385"/>
      <c r="B261" s="385"/>
      <c r="C261" s="385"/>
      <c r="D261" s="385"/>
      <c r="E261" s="385"/>
      <c r="F261" s="385"/>
      <c r="G261" s="385"/>
      <c r="H261" s="385"/>
      <c r="I261" s="385"/>
      <c r="J261" s="385"/>
      <c r="K261" s="385"/>
    </row>
    <row r="262">
      <c r="A262" s="385"/>
      <c r="B262" s="385"/>
      <c r="C262" s="385"/>
      <c r="D262" s="385"/>
      <c r="E262" s="385"/>
      <c r="F262" s="385"/>
      <c r="G262" s="385"/>
      <c r="H262" s="385"/>
      <c r="I262" s="385"/>
      <c r="J262" s="385"/>
      <c r="K262" s="385"/>
    </row>
    <row r="263">
      <c r="A263" s="385"/>
      <c r="B263" s="385"/>
      <c r="C263" s="385"/>
      <c r="D263" s="385"/>
      <c r="E263" s="385"/>
      <c r="F263" s="385"/>
      <c r="G263" s="385"/>
      <c r="H263" s="385"/>
      <c r="I263" s="385"/>
      <c r="J263" s="385"/>
      <c r="K263" s="385"/>
    </row>
    <row r="264">
      <c r="A264" s="385"/>
      <c r="B264" s="385"/>
      <c r="C264" s="385"/>
      <c r="D264" s="385"/>
      <c r="E264" s="385"/>
      <c r="F264" s="385"/>
      <c r="G264" s="385"/>
      <c r="H264" s="385"/>
      <c r="I264" s="385"/>
      <c r="J264" s="385"/>
      <c r="K264" s="385"/>
    </row>
    <row r="265">
      <c r="A265" s="385"/>
      <c r="B265" s="385"/>
      <c r="C265" s="385"/>
      <c r="D265" s="385"/>
      <c r="E265" s="385"/>
      <c r="F265" s="385"/>
      <c r="G265" s="385"/>
      <c r="H265" s="385"/>
      <c r="I265" s="385"/>
      <c r="J265" s="385"/>
      <c r="K265" s="385"/>
    </row>
    <row r="266">
      <c r="A266" s="385"/>
      <c r="B266" s="385"/>
      <c r="C266" s="385"/>
      <c r="D266" s="385"/>
      <c r="E266" s="385"/>
      <c r="F266" s="385"/>
      <c r="G266" s="385"/>
      <c r="H266" s="385"/>
      <c r="I266" s="385"/>
      <c r="J266" s="385"/>
      <c r="K266" s="385"/>
    </row>
    <row r="267">
      <c r="A267" s="385"/>
      <c r="B267" s="385"/>
      <c r="C267" s="385"/>
      <c r="D267" s="385"/>
      <c r="E267" s="385"/>
      <c r="F267" s="385"/>
      <c r="G267" s="385"/>
      <c r="H267" s="385"/>
      <c r="I267" s="385"/>
      <c r="J267" s="385"/>
      <c r="K267" s="385"/>
    </row>
    <row r="268">
      <c r="A268" s="385"/>
      <c r="B268" s="385"/>
      <c r="C268" s="385"/>
      <c r="D268" s="385"/>
      <c r="E268" s="385"/>
      <c r="F268" s="385"/>
      <c r="G268" s="385"/>
      <c r="H268" s="385"/>
      <c r="I268" s="385"/>
      <c r="J268" s="385"/>
      <c r="K268" s="385"/>
    </row>
    <row r="269">
      <c r="A269" s="385"/>
      <c r="B269" s="385"/>
      <c r="C269" s="385"/>
      <c r="D269" s="385"/>
      <c r="E269" s="385"/>
      <c r="F269" s="385"/>
      <c r="G269" s="385"/>
      <c r="H269" s="385"/>
      <c r="I269" s="385"/>
      <c r="J269" s="385"/>
      <c r="K269" s="385"/>
    </row>
    <row r="270">
      <c r="A270" s="385"/>
      <c r="B270" s="385"/>
      <c r="C270" s="385"/>
      <c r="D270" s="385"/>
      <c r="E270" s="385"/>
      <c r="F270" s="385"/>
      <c r="G270" s="385"/>
      <c r="H270" s="385"/>
      <c r="I270" s="385"/>
      <c r="J270" s="385"/>
      <c r="K270" s="385"/>
    </row>
    <row r="271">
      <c r="A271" s="385"/>
      <c r="B271" s="385"/>
      <c r="C271" s="385"/>
      <c r="D271" s="385"/>
      <c r="E271" s="385"/>
      <c r="F271" s="385"/>
      <c r="G271" s="385"/>
      <c r="H271" s="385"/>
      <c r="I271" s="385"/>
      <c r="J271" s="385"/>
      <c r="K271" s="385"/>
    </row>
    <row r="272">
      <c r="A272" s="385"/>
      <c r="B272" s="385"/>
      <c r="C272" s="385"/>
      <c r="D272" s="385"/>
      <c r="E272" s="385"/>
      <c r="F272" s="385"/>
      <c r="G272" s="385"/>
      <c r="H272" s="385"/>
      <c r="I272" s="385"/>
      <c r="J272" s="385"/>
      <c r="K272" s="385"/>
    </row>
    <row r="273">
      <c r="A273" s="385"/>
      <c r="B273" s="385"/>
      <c r="C273" s="385"/>
      <c r="D273" s="385"/>
      <c r="E273" s="385"/>
      <c r="F273" s="385"/>
      <c r="G273" s="385"/>
      <c r="H273" s="385"/>
      <c r="I273" s="385"/>
      <c r="J273" s="385"/>
      <c r="K273" s="385"/>
    </row>
    <row r="274">
      <c r="A274" s="385"/>
      <c r="B274" s="385"/>
      <c r="C274" s="385"/>
      <c r="D274" s="385"/>
      <c r="E274" s="385"/>
      <c r="F274" s="385"/>
      <c r="G274" s="385"/>
      <c r="H274" s="385"/>
      <c r="I274" s="385"/>
      <c r="J274" s="385"/>
      <c r="K274" s="385"/>
    </row>
    <row r="275">
      <c r="A275" s="385"/>
      <c r="B275" s="385"/>
      <c r="C275" s="385"/>
      <c r="D275" s="385"/>
      <c r="E275" s="385"/>
      <c r="F275" s="385"/>
      <c r="G275" s="385"/>
      <c r="H275" s="385"/>
      <c r="I275" s="385"/>
      <c r="J275" s="385"/>
      <c r="K275" s="385"/>
    </row>
    <row r="276">
      <c r="A276" s="385"/>
      <c r="B276" s="385"/>
      <c r="C276" s="385"/>
      <c r="D276" s="385"/>
      <c r="E276" s="385"/>
      <c r="F276" s="385"/>
      <c r="G276" s="385"/>
      <c r="H276" s="385"/>
      <c r="I276" s="385"/>
      <c r="J276" s="385"/>
      <c r="K276" s="385"/>
    </row>
    <row r="277">
      <c r="A277" s="385"/>
      <c r="B277" s="385"/>
      <c r="C277" s="385"/>
      <c r="D277" s="385"/>
      <c r="E277" s="385"/>
      <c r="F277" s="385"/>
      <c r="G277" s="385"/>
      <c r="H277" s="385"/>
      <c r="I277" s="385"/>
      <c r="J277" s="385"/>
      <c r="K277" s="385"/>
    </row>
    <row r="278">
      <c r="A278" s="385"/>
      <c r="B278" s="385"/>
      <c r="C278" s="385"/>
      <c r="D278" s="385"/>
      <c r="E278" s="385"/>
      <c r="F278" s="385"/>
      <c r="G278" s="385"/>
      <c r="H278" s="385"/>
      <c r="I278" s="385"/>
      <c r="J278" s="385"/>
      <c r="K278" s="385"/>
    </row>
    <row r="279">
      <c r="A279" s="385"/>
      <c r="B279" s="385"/>
      <c r="C279" s="385"/>
      <c r="D279" s="385"/>
      <c r="E279" s="385"/>
      <c r="F279" s="385"/>
      <c r="G279" s="385"/>
      <c r="H279" s="385"/>
      <c r="I279" s="385"/>
      <c r="J279" s="385"/>
      <c r="K279" s="385"/>
    </row>
    <row r="280">
      <c r="A280" s="385"/>
      <c r="B280" s="385"/>
      <c r="C280" s="385"/>
      <c r="D280" s="385"/>
      <c r="E280" s="385"/>
      <c r="F280" s="385"/>
      <c r="G280" s="385"/>
      <c r="H280" s="385"/>
      <c r="I280" s="385"/>
      <c r="J280" s="385"/>
      <c r="K280" s="385"/>
    </row>
    <row r="281">
      <c r="A281" s="385"/>
      <c r="B281" s="385"/>
      <c r="C281" s="385"/>
      <c r="D281" s="385"/>
      <c r="E281" s="385"/>
      <c r="F281" s="385"/>
      <c r="G281" s="385"/>
      <c r="H281" s="385"/>
      <c r="I281" s="385"/>
      <c r="J281" s="385"/>
      <c r="K281" s="385"/>
    </row>
    <row r="282">
      <c r="A282" s="385"/>
      <c r="B282" s="385"/>
      <c r="C282" s="385"/>
      <c r="D282" s="385"/>
      <c r="E282" s="385"/>
      <c r="F282" s="385"/>
      <c r="G282" s="385"/>
      <c r="H282" s="385"/>
      <c r="I282" s="385"/>
      <c r="J282" s="385"/>
      <c r="K282" s="385"/>
    </row>
    <row r="283">
      <c r="A283" s="385"/>
      <c r="B283" s="385"/>
      <c r="C283" s="385"/>
      <c r="D283" s="385"/>
      <c r="E283" s="385"/>
      <c r="F283" s="385"/>
      <c r="G283" s="385"/>
      <c r="H283" s="385"/>
      <c r="I283" s="385"/>
      <c r="J283" s="385"/>
      <c r="K283" s="385"/>
    </row>
    <row r="284">
      <c r="A284" s="385"/>
      <c r="B284" s="385"/>
      <c r="C284" s="385"/>
      <c r="D284" s="385"/>
      <c r="E284" s="385"/>
      <c r="F284" s="385"/>
      <c r="G284" s="385"/>
      <c r="H284" s="385"/>
      <c r="I284" s="385"/>
      <c r="J284" s="385"/>
      <c r="K284" s="385"/>
    </row>
    <row r="285">
      <c r="A285" s="385"/>
      <c r="B285" s="385"/>
      <c r="C285" s="385"/>
      <c r="D285" s="385"/>
      <c r="E285" s="385"/>
      <c r="F285" s="385"/>
      <c r="G285" s="385"/>
      <c r="H285" s="385"/>
      <c r="I285" s="385"/>
      <c r="J285" s="385"/>
      <c r="K285" s="385"/>
    </row>
    <row r="286">
      <c r="A286" s="385"/>
      <c r="B286" s="385"/>
      <c r="C286" s="385"/>
      <c r="D286" s="385"/>
      <c r="E286" s="385"/>
      <c r="F286" s="385"/>
      <c r="G286" s="385"/>
      <c r="H286" s="385"/>
      <c r="I286" s="385"/>
      <c r="J286" s="385"/>
      <c r="K286" s="385"/>
    </row>
    <row r="287">
      <c r="A287" s="385"/>
      <c r="B287" s="385"/>
      <c r="C287" s="385"/>
      <c r="D287" s="385"/>
      <c r="E287" s="385"/>
      <c r="F287" s="385"/>
      <c r="G287" s="385"/>
      <c r="H287" s="385"/>
      <c r="I287" s="385"/>
      <c r="J287" s="385"/>
      <c r="K287" s="385"/>
    </row>
    <row r="288">
      <c r="A288" s="385"/>
      <c r="B288" s="385"/>
      <c r="C288" s="385"/>
      <c r="D288" s="385"/>
      <c r="E288" s="385"/>
      <c r="F288" s="385"/>
      <c r="G288" s="385"/>
      <c r="H288" s="385"/>
      <c r="I288" s="385"/>
      <c r="J288" s="385"/>
      <c r="K288" s="385"/>
    </row>
    <row r="289">
      <c r="A289" s="385"/>
      <c r="B289" s="385"/>
      <c r="C289" s="385"/>
      <c r="D289" s="385"/>
      <c r="E289" s="385"/>
      <c r="F289" s="385"/>
      <c r="G289" s="385"/>
      <c r="H289" s="385"/>
      <c r="I289" s="385"/>
      <c r="J289" s="385"/>
      <c r="K289" s="385"/>
    </row>
    <row r="290">
      <c r="A290" s="385"/>
      <c r="B290" s="385"/>
      <c r="C290" s="385"/>
      <c r="D290" s="385"/>
      <c r="E290" s="385"/>
      <c r="F290" s="385"/>
      <c r="G290" s="385"/>
      <c r="H290" s="385"/>
      <c r="I290" s="385"/>
      <c r="J290" s="385"/>
      <c r="K290" s="385"/>
    </row>
    <row r="291">
      <c r="A291" s="385"/>
      <c r="B291" s="385"/>
      <c r="C291" s="385"/>
      <c r="D291" s="385"/>
      <c r="E291" s="385"/>
      <c r="F291" s="385"/>
      <c r="G291" s="385"/>
      <c r="H291" s="385"/>
      <c r="I291" s="385"/>
      <c r="J291" s="385"/>
      <c r="K291" s="385"/>
    </row>
    <row r="292">
      <c r="A292" s="385"/>
      <c r="B292" s="385"/>
      <c r="C292" s="385"/>
      <c r="D292" s="385"/>
      <c r="E292" s="385"/>
      <c r="F292" s="385"/>
      <c r="G292" s="385"/>
      <c r="H292" s="385"/>
      <c r="I292" s="385"/>
      <c r="J292" s="385"/>
      <c r="K292" s="385"/>
    </row>
    <row r="293">
      <c r="A293" s="385"/>
      <c r="B293" s="385"/>
      <c r="C293" s="385"/>
      <c r="D293" s="385"/>
      <c r="E293" s="385"/>
      <c r="F293" s="385"/>
      <c r="G293" s="385"/>
      <c r="H293" s="385"/>
      <c r="I293" s="385"/>
      <c r="J293" s="385"/>
      <c r="K293" s="385"/>
    </row>
    <row r="294">
      <c r="A294" s="385"/>
      <c r="B294" s="385"/>
      <c r="C294" s="385"/>
      <c r="D294" s="385"/>
      <c r="E294" s="385"/>
      <c r="F294" s="385"/>
      <c r="G294" s="385"/>
      <c r="H294" s="385"/>
      <c r="I294" s="385"/>
      <c r="J294" s="385"/>
      <c r="K294" s="385"/>
    </row>
    <row r="295">
      <c r="A295" s="385"/>
      <c r="B295" s="385"/>
      <c r="C295" s="385"/>
      <c r="D295" s="385"/>
      <c r="E295" s="385"/>
      <c r="F295" s="385"/>
      <c r="G295" s="385"/>
      <c r="H295" s="385"/>
      <c r="I295" s="385"/>
      <c r="J295" s="385"/>
      <c r="K295" s="385"/>
    </row>
    <row r="296">
      <c r="A296" s="385"/>
      <c r="B296" s="385"/>
      <c r="C296" s="385"/>
      <c r="D296" s="385"/>
      <c r="E296" s="385"/>
      <c r="F296" s="385"/>
      <c r="G296" s="385"/>
      <c r="H296" s="385"/>
      <c r="I296" s="385"/>
      <c r="J296" s="385"/>
      <c r="K296" s="385"/>
    </row>
    <row r="297">
      <c r="A297" s="385"/>
      <c r="B297" s="385"/>
      <c r="C297" s="385"/>
      <c r="D297" s="385"/>
      <c r="E297" s="385"/>
      <c r="F297" s="385"/>
      <c r="G297" s="385"/>
      <c r="H297" s="385"/>
      <c r="I297" s="385"/>
      <c r="J297" s="385"/>
      <c r="K297" s="385"/>
    </row>
    <row r="298">
      <c r="A298" s="385"/>
      <c r="B298" s="385"/>
      <c r="C298" s="385"/>
      <c r="D298" s="385"/>
      <c r="E298" s="385"/>
      <c r="F298" s="385"/>
      <c r="G298" s="385"/>
      <c r="H298" s="385"/>
      <c r="I298" s="385"/>
      <c r="J298" s="385"/>
      <c r="K298" s="385"/>
    </row>
    <row r="299">
      <c r="A299" s="385"/>
      <c r="B299" s="385"/>
      <c r="C299" s="385"/>
      <c r="D299" s="385"/>
      <c r="E299" s="385"/>
      <c r="F299" s="385"/>
      <c r="G299" s="385"/>
      <c r="H299" s="385"/>
      <c r="I299" s="385"/>
      <c r="J299" s="385"/>
      <c r="K299" s="385"/>
    </row>
    <row r="300">
      <c r="A300" s="385"/>
      <c r="B300" s="385"/>
      <c r="C300" s="385"/>
      <c r="D300" s="385"/>
      <c r="E300" s="385"/>
      <c r="F300" s="385"/>
      <c r="G300" s="385"/>
      <c r="H300" s="385"/>
      <c r="I300" s="385"/>
      <c r="J300" s="385"/>
      <c r="K300" s="385"/>
    </row>
    <row r="301">
      <c r="A301" s="385"/>
      <c r="B301" s="385"/>
      <c r="C301" s="385"/>
      <c r="D301" s="385"/>
      <c r="E301" s="385"/>
      <c r="F301" s="385"/>
      <c r="G301" s="385"/>
      <c r="H301" s="385"/>
      <c r="I301" s="385"/>
      <c r="J301" s="385"/>
      <c r="K301" s="385"/>
    </row>
    <row r="302">
      <c r="A302" s="385"/>
      <c r="B302" s="385"/>
      <c r="C302" s="385"/>
      <c r="D302" s="385"/>
      <c r="E302" s="385"/>
      <c r="F302" s="385"/>
      <c r="G302" s="385"/>
      <c r="H302" s="385"/>
      <c r="I302" s="385"/>
      <c r="J302" s="385"/>
      <c r="K302" s="385"/>
    </row>
    <row r="303">
      <c r="A303" s="385"/>
      <c r="B303" s="385"/>
      <c r="C303" s="385"/>
      <c r="D303" s="385"/>
      <c r="E303" s="385"/>
      <c r="F303" s="385"/>
      <c r="G303" s="385"/>
      <c r="H303" s="385"/>
      <c r="I303" s="385"/>
      <c r="J303" s="385"/>
      <c r="K303" s="385"/>
    </row>
    <row r="304">
      <c r="A304" s="385"/>
      <c r="B304" s="385"/>
      <c r="C304" s="385"/>
      <c r="D304" s="385"/>
      <c r="E304" s="385"/>
      <c r="F304" s="385"/>
      <c r="G304" s="385"/>
      <c r="H304" s="385"/>
      <c r="I304" s="385"/>
      <c r="J304" s="385"/>
      <c r="K304" s="385"/>
    </row>
    <row r="305">
      <c r="A305" s="385"/>
      <c r="B305" s="385"/>
      <c r="C305" s="385"/>
      <c r="D305" s="385"/>
      <c r="E305" s="385"/>
      <c r="F305" s="385"/>
      <c r="G305" s="385"/>
      <c r="H305" s="385"/>
      <c r="I305" s="385"/>
      <c r="J305" s="385"/>
      <c r="K305" s="385"/>
    </row>
    <row r="306">
      <c r="A306" s="385"/>
      <c r="B306" s="385"/>
      <c r="C306" s="385"/>
      <c r="D306" s="385"/>
      <c r="E306" s="385"/>
      <c r="F306" s="385"/>
      <c r="G306" s="385"/>
      <c r="H306" s="385"/>
      <c r="I306" s="385"/>
      <c r="J306" s="385"/>
      <c r="K306" s="385"/>
    </row>
    <row r="307">
      <c r="A307" s="385"/>
      <c r="B307" s="385"/>
      <c r="C307" s="385"/>
      <c r="D307" s="385"/>
      <c r="E307" s="385"/>
      <c r="F307" s="385"/>
      <c r="G307" s="385"/>
      <c r="H307" s="385"/>
      <c r="I307" s="385"/>
      <c r="J307" s="385"/>
      <c r="K307" s="385"/>
    </row>
    <row r="308">
      <c r="A308" s="385"/>
      <c r="B308" s="385"/>
      <c r="C308" s="385"/>
      <c r="D308" s="385"/>
      <c r="E308" s="385"/>
      <c r="F308" s="385"/>
      <c r="G308" s="385"/>
      <c r="H308" s="385"/>
      <c r="I308" s="385"/>
      <c r="J308" s="385"/>
      <c r="K308" s="385"/>
    </row>
    <row r="309">
      <c r="A309" s="385"/>
      <c r="B309" s="385"/>
      <c r="C309" s="385"/>
      <c r="D309" s="385"/>
      <c r="E309" s="385"/>
      <c r="F309" s="385"/>
      <c r="G309" s="385"/>
      <c r="H309" s="385"/>
      <c r="I309" s="385"/>
      <c r="J309" s="385"/>
      <c r="K309" s="385"/>
    </row>
    <row r="310">
      <c r="A310" s="385"/>
      <c r="B310" s="385"/>
      <c r="C310" s="385"/>
      <c r="D310" s="385"/>
      <c r="E310" s="385"/>
      <c r="F310" s="385"/>
      <c r="G310" s="385"/>
      <c r="H310" s="385"/>
      <c r="I310" s="385"/>
      <c r="J310" s="385"/>
      <c r="K310" s="385"/>
    </row>
    <row r="311">
      <c r="A311" s="385"/>
      <c r="B311" s="385"/>
      <c r="C311" s="385"/>
      <c r="D311" s="385"/>
      <c r="E311" s="385"/>
      <c r="F311" s="385"/>
      <c r="G311" s="385"/>
      <c r="H311" s="385"/>
      <c r="I311" s="385"/>
      <c r="J311" s="385"/>
      <c r="K311" s="385"/>
    </row>
    <row r="312">
      <c r="A312" s="385"/>
      <c r="B312" s="385"/>
      <c r="C312" s="385"/>
      <c r="D312" s="385"/>
      <c r="E312" s="385"/>
      <c r="F312" s="385"/>
      <c r="G312" s="385"/>
      <c r="H312" s="385"/>
      <c r="I312" s="385"/>
      <c r="J312" s="385"/>
      <c r="K312" s="385"/>
    </row>
    <row r="313">
      <c r="A313" s="385"/>
      <c r="B313" s="385"/>
      <c r="C313" s="385"/>
      <c r="D313" s="385"/>
      <c r="E313" s="385"/>
      <c r="F313" s="385"/>
      <c r="G313" s="385"/>
      <c r="H313" s="385"/>
      <c r="I313" s="385"/>
      <c r="J313" s="385"/>
      <c r="K313" s="385"/>
    </row>
    <row r="314">
      <c r="A314" s="385"/>
      <c r="B314" s="385"/>
      <c r="C314" s="385"/>
      <c r="D314" s="385"/>
      <c r="E314" s="385"/>
      <c r="F314" s="385"/>
      <c r="G314" s="385"/>
      <c r="H314" s="385"/>
      <c r="I314" s="385"/>
      <c r="J314" s="385"/>
      <c r="K314" s="385"/>
    </row>
    <row r="315">
      <c r="A315" s="385"/>
      <c r="B315" s="385"/>
      <c r="C315" s="385"/>
      <c r="D315" s="385"/>
      <c r="E315" s="385"/>
      <c r="F315" s="385"/>
      <c r="G315" s="385"/>
      <c r="H315" s="385"/>
      <c r="I315" s="385"/>
      <c r="J315" s="385"/>
      <c r="K315" s="385"/>
    </row>
    <row r="316">
      <c r="A316" s="385"/>
      <c r="B316" s="385"/>
      <c r="C316" s="385"/>
      <c r="D316" s="385"/>
      <c r="E316" s="385"/>
      <c r="F316" s="385"/>
      <c r="G316" s="385"/>
      <c r="H316" s="385"/>
      <c r="I316" s="385"/>
      <c r="J316" s="385"/>
      <c r="K316" s="385"/>
    </row>
    <row r="317">
      <c r="A317" s="385"/>
      <c r="B317" s="385"/>
      <c r="C317" s="385"/>
      <c r="D317" s="385"/>
      <c r="E317" s="385"/>
      <c r="F317" s="385"/>
      <c r="G317" s="385"/>
      <c r="H317" s="385"/>
      <c r="I317" s="385"/>
      <c r="J317" s="385"/>
      <c r="K317" s="385"/>
    </row>
    <row r="318">
      <c r="A318" s="385"/>
      <c r="B318" s="385"/>
      <c r="C318" s="385"/>
      <c r="D318" s="385"/>
      <c r="E318" s="385"/>
      <c r="F318" s="385"/>
      <c r="G318" s="385"/>
      <c r="H318" s="385"/>
      <c r="I318" s="385"/>
      <c r="J318" s="385"/>
      <c r="K318" s="385"/>
    </row>
    <row r="319">
      <c r="A319" s="385"/>
      <c r="B319" s="385"/>
      <c r="C319" s="385"/>
      <c r="D319" s="385"/>
      <c r="E319" s="385"/>
      <c r="F319" s="385"/>
      <c r="G319" s="385"/>
      <c r="H319" s="385"/>
      <c r="I319" s="385"/>
      <c r="J319" s="385"/>
      <c r="K319" s="385"/>
    </row>
    <row r="320">
      <c r="A320" s="385"/>
      <c r="B320" s="385"/>
      <c r="C320" s="385"/>
      <c r="D320" s="385"/>
      <c r="E320" s="385"/>
      <c r="F320" s="385"/>
      <c r="G320" s="385"/>
      <c r="H320" s="385"/>
      <c r="I320" s="385"/>
      <c r="J320" s="385"/>
      <c r="K320" s="385"/>
    </row>
    <row r="321">
      <c r="A321" s="385"/>
      <c r="B321" s="385"/>
      <c r="C321" s="385"/>
      <c r="D321" s="385"/>
      <c r="E321" s="385"/>
      <c r="F321" s="385"/>
      <c r="G321" s="385"/>
      <c r="H321" s="385"/>
      <c r="I321" s="385"/>
      <c r="J321" s="385"/>
      <c r="K321" s="385"/>
    </row>
    <row r="322">
      <c r="A322" s="385"/>
      <c r="B322" s="385"/>
      <c r="C322" s="385"/>
      <c r="D322" s="385"/>
      <c r="E322" s="385"/>
      <c r="F322" s="385"/>
      <c r="G322" s="385"/>
      <c r="H322" s="385"/>
      <c r="I322" s="385"/>
      <c r="J322" s="385"/>
      <c r="K322" s="385"/>
    </row>
    <row r="323">
      <c r="A323" s="385"/>
      <c r="B323" s="385"/>
      <c r="C323" s="385"/>
      <c r="D323" s="385"/>
      <c r="E323" s="385"/>
      <c r="F323" s="385"/>
      <c r="G323" s="385"/>
      <c r="H323" s="385"/>
      <c r="I323" s="385"/>
      <c r="J323" s="385"/>
      <c r="K323" s="385"/>
    </row>
    <row r="324">
      <c r="A324" s="385"/>
      <c r="B324" s="385"/>
      <c r="C324" s="385"/>
      <c r="D324" s="385"/>
      <c r="E324" s="385"/>
      <c r="F324" s="385"/>
      <c r="G324" s="385"/>
      <c r="H324" s="385"/>
      <c r="I324" s="385"/>
      <c r="J324" s="385"/>
      <c r="K324" s="385"/>
    </row>
    <row r="325">
      <c r="A325" s="385"/>
      <c r="B325" s="385"/>
      <c r="C325" s="385"/>
      <c r="D325" s="385"/>
      <c r="E325" s="385"/>
      <c r="F325" s="385"/>
      <c r="G325" s="385"/>
      <c r="H325" s="385"/>
      <c r="I325" s="385"/>
      <c r="J325" s="385"/>
      <c r="K325" s="385"/>
    </row>
    <row r="326">
      <c r="A326" s="385"/>
      <c r="B326" s="385"/>
      <c r="C326" s="385"/>
      <c r="D326" s="385"/>
      <c r="E326" s="385"/>
      <c r="F326" s="385"/>
      <c r="G326" s="385"/>
      <c r="H326" s="385"/>
      <c r="I326" s="385"/>
      <c r="J326" s="385"/>
      <c r="K326" s="385"/>
    </row>
    <row r="327">
      <c r="A327" s="385"/>
      <c r="B327" s="385"/>
      <c r="C327" s="385"/>
      <c r="D327" s="385"/>
      <c r="E327" s="385"/>
      <c r="F327" s="385"/>
      <c r="G327" s="385"/>
      <c r="H327" s="385"/>
      <c r="I327" s="385"/>
      <c r="J327" s="385"/>
      <c r="K327" s="385"/>
    </row>
    <row r="328">
      <c r="A328" s="385"/>
      <c r="B328" s="385"/>
      <c r="C328" s="385"/>
      <c r="D328" s="385"/>
      <c r="E328" s="385"/>
      <c r="F328" s="385"/>
      <c r="G328" s="385"/>
      <c r="H328" s="385"/>
      <c r="I328" s="385"/>
      <c r="J328" s="385"/>
      <c r="K328" s="385"/>
    </row>
    <row r="329">
      <c r="A329" s="385"/>
      <c r="B329" s="385"/>
      <c r="C329" s="385"/>
      <c r="D329" s="385"/>
      <c r="E329" s="385"/>
      <c r="F329" s="385"/>
      <c r="G329" s="385"/>
      <c r="H329" s="385"/>
      <c r="I329" s="385"/>
      <c r="J329" s="385"/>
      <c r="K329" s="385"/>
    </row>
    <row r="330">
      <c r="A330" s="385"/>
      <c r="B330" s="385"/>
      <c r="C330" s="385"/>
      <c r="D330" s="385"/>
      <c r="E330" s="385"/>
      <c r="F330" s="385"/>
      <c r="G330" s="385"/>
      <c r="H330" s="385"/>
      <c r="I330" s="385"/>
      <c r="J330" s="385"/>
      <c r="K330" s="385"/>
    </row>
    <row r="331">
      <c r="A331" s="385"/>
      <c r="B331" s="385"/>
      <c r="C331" s="385"/>
      <c r="D331" s="385"/>
      <c r="E331" s="385"/>
      <c r="F331" s="385"/>
      <c r="G331" s="385"/>
      <c r="H331" s="385"/>
      <c r="I331" s="385"/>
      <c r="J331" s="385"/>
      <c r="K331" s="385"/>
    </row>
    <row r="332">
      <c r="A332" s="385"/>
      <c r="B332" s="385"/>
      <c r="C332" s="385"/>
      <c r="D332" s="385"/>
      <c r="E332" s="385"/>
      <c r="F332" s="385"/>
      <c r="G332" s="385"/>
      <c r="H332" s="385"/>
      <c r="I332" s="385"/>
      <c r="J332" s="385"/>
      <c r="K332" s="385"/>
    </row>
    <row r="333">
      <c r="A333" s="385"/>
      <c r="B333" s="385"/>
      <c r="C333" s="385"/>
      <c r="D333" s="385"/>
      <c r="E333" s="385"/>
      <c r="F333" s="385"/>
      <c r="G333" s="385"/>
      <c r="H333" s="385"/>
      <c r="I333" s="385"/>
      <c r="J333" s="385"/>
      <c r="K333" s="385"/>
    </row>
    <row r="334">
      <c r="A334" s="385"/>
      <c r="B334" s="385"/>
      <c r="C334" s="385"/>
      <c r="D334" s="385"/>
      <c r="E334" s="385"/>
      <c r="F334" s="385"/>
      <c r="G334" s="385"/>
      <c r="H334" s="385"/>
      <c r="I334" s="385"/>
      <c r="J334" s="385"/>
      <c r="K334" s="385"/>
    </row>
    <row r="335">
      <c r="A335" s="385"/>
      <c r="B335" s="385"/>
      <c r="C335" s="385"/>
      <c r="D335" s="385"/>
      <c r="E335" s="385"/>
      <c r="F335" s="385"/>
      <c r="G335" s="385"/>
      <c r="H335" s="385"/>
      <c r="I335" s="385"/>
      <c r="J335" s="385"/>
      <c r="K335" s="385"/>
    </row>
    <row r="336">
      <c r="A336" s="385"/>
      <c r="B336" s="385"/>
      <c r="C336" s="385"/>
      <c r="D336" s="385"/>
      <c r="E336" s="385"/>
      <c r="F336" s="385"/>
      <c r="G336" s="385"/>
      <c r="H336" s="385"/>
      <c r="I336" s="385"/>
      <c r="J336" s="385"/>
      <c r="K336" s="385"/>
    </row>
    <row r="337">
      <c r="A337" s="385"/>
      <c r="B337" s="385"/>
      <c r="C337" s="385"/>
      <c r="D337" s="385"/>
      <c r="E337" s="385"/>
      <c r="F337" s="385"/>
      <c r="G337" s="385"/>
      <c r="H337" s="385"/>
      <c r="I337" s="385"/>
      <c r="J337" s="385"/>
      <c r="K337" s="385"/>
    </row>
    <row r="338">
      <c r="A338" s="385"/>
      <c r="B338" s="385"/>
      <c r="C338" s="385"/>
      <c r="D338" s="385"/>
      <c r="E338" s="385"/>
      <c r="F338" s="385"/>
      <c r="G338" s="385"/>
      <c r="H338" s="385"/>
      <c r="I338" s="385"/>
      <c r="J338" s="385"/>
      <c r="K338" s="385"/>
    </row>
    <row r="339">
      <c r="A339" s="385"/>
      <c r="B339" s="385"/>
      <c r="C339" s="385"/>
      <c r="D339" s="385"/>
      <c r="E339" s="385"/>
      <c r="F339" s="385"/>
      <c r="G339" s="385"/>
      <c r="H339" s="385"/>
      <c r="I339" s="385"/>
      <c r="J339" s="385"/>
      <c r="K339" s="385"/>
    </row>
    <row r="340">
      <c r="A340" s="385"/>
      <c r="B340" s="385"/>
      <c r="C340" s="385"/>
      <c r="D340" s="385"/>
      <c r="E340" s="385"/>
      <c r="F340" s="385"/>
      <c r="G340" s="385"/>
      <c r="H340" s="385"/>
      <c r="I340" s="385"/>
      <c r="J340" s="385"/>
      <c r="K340" s="385"/>
    </row>
    <row r="341">
      <c r="A341" s="385"/>
      <c r="B341" s="385"/>
      <c r="C341" s="385"/>
      <c r="D341" s="385"/>
      <c r="E341" s="385"/>
      <c r="F341" s="385"/>
      <c r="G341" s="385"/>
      <c r="H341" s="385"/>
      <c r="I341" s="385"/>
      <c r="J341" s="385"/>
      <c r="K341" s="385"/>
    </row>
    <row r="342">
      <c r="A342" s="385"/>
      <c r="B342" s="385"/>
      <c r="C342" s="385"/>
      <c r="D342" s="385"/>
      <c r="E342" s="385"/>
      <c r="F342" s="385"/>
      <c r="G342" s="385"/>
      <c r="H342" s="385"/>
      <c r="I342" s="385"/>
      <c r="J342" s="385"/>
      <c r="K342" s="385"/>
    </row>
    <row r="343">
      <c r="A343" s="385"/>
      <c r="B343" s="385"/>
      <c r="C343" s="385"/>
      <c r="D343" s="385"/>
      <c r="E343" s="385"/>
      <c r="F343" s="385"/>
      <c r="G343" s="385"/>
      <c r="H343" s="385"/>
      <c r="I343" s="385"/>
      <c r="J343" s="385"/>
      <c r="K343" s="385"/>
    </row>
    <row r="344">
      <c r="A344" s="385"/>
      <c r="B344" s="385"/>
      <c r="C344" s="385"/>
      <c r="D344" s="385"/>
      <c r="E344" s="385"/>
      <c r="F344" s="385"/>
      <c r="G344" s="385"/>
      <c r="H344" s="385"/>
      <c r="I344" s="385"/>
      <c r="J344" s="385"/>
      <c r="K344" s="385"/>
    </row>
    <row r="345">
      <c r="A345" s="385"/>
      <c r="B345" s="385"/>
      <c r="C345" s="385"/>
      <c r="D345" s="385"/>
      <c r="E345" s="385"/>
      <c r="F345" s="385"/>
      <c r="G345" s="385"/>
      <c r="H345" s="385"/>
      <c r="I345" s="385"/>
      <c r="J345" s="385"/>
      <c r="K345" s="385"/>
    </row>
    <row r="346">
      <c r="A346" s="385"/>
      <c r="B346" s="385"/>
      <c r="C346" s="385"/>
      <c r="D346" s="385"/>
      <c r="E346" s="385"/>
      <c r="F346" s="385"/>
      <c r="G346" s="385"/>
      <c r="H346" s="385"/>
      <c r="I346" s="385"/>
      <c r="J346" s="385"/>
      <c r="K346" s="385"/>
    </row>
    <row r="347">
      <c r="A347" s="385"/>
      <c r="B347" s="385"/>
      <c r="C347" s="385"/>
      <c r="D347" s="385"/>
      <c r="E347" s="385"/>
      <c r="F347" s="385"/>
      <c r="G347" s="385"/>
      <c r="H347" s="385"/>
      <c r="I347" s="385"/>
      <c r="J347" s="385"/>
      <c r="K347" s="385"/>
    </row>
    <row r="348">
      <c r="A348" s="385"/>
      <c r="B348" s="385"/>
      <c r="C348" s="385"/>
      <c r="D348" s="385"/>
      <c r="E348" s="385"/>
      <c r="F348" s="385"/>
      <c r="G348" s="385"/>
      <c r="H348" s="385"/>
      <c r="I348" s="385"/>
      <c r="J348" s="385"/>
      <c r="K348" s="385"/>
    </row>
    <row r="349">
      <c r="A349" s="385"/>
      <c r="B349" s="385"/>
      <c r="C349" s="385"/>
      <c r="D349" s="385"/>
      <c r="E349" s="385"/>
      <c r="F349" s="385"/>
      <c r="G349" s="385"/>
      <c r="H349" s="385"/>
      <c r="I349" s="385"/>
      <c r="J349" s="385"/>
      <c r="K349" s="385"/>
    </row>
    <row r="350">
      <c r="A350" s="385"/>
      <c r="B350" s="385"/>
      <c r="C350" s="385"/>
      <c r="D350" s="385"/>
      <c r="E350" s="385"/>
      <c r="F350" s="385"/>
      <c r="G350" s="385"/>
      <c r="H350" s="385"/>
      <c r="I350" s="385"/>
      <c r="J350" s="385"/>
      <c r="K350" s="385"/>
    </row>
    <row r="351">
      <c r="A351" s="385"/>
      <c r="B351" s="385"/>
      <c r="C351" s="385"/>
      <c r="D351" s="385"/>
      <c r="E351" s="385"/>
      <c r="F351" s="385"/>
      <c r="G351" s="385"/>
      <c r="H351" s="385"/>
      <c r="I351" s="385"/>
      <c r="J351" s="385"/>
      <c r="K351" s="385"/>
    </row>
    <row r="352">
      <c r="A352" s="385"/>
      <c r="B352" s="385"/>
      <c r="C352" s="385"/>
      <c r="D352" s="385"/>
      <c r="E352" s="385"/>
      <c r="F352" s="385"/>
      <c r="G352" s="385"/>
      <c r="H352" s="385"/>
      <c r="I352" s="385"/>
      <c r="J352" s="385"/>
      <c r="K352" s="385"/>
    </row>
    <row r="353">
      <c r="A353" s="385"/>
      <c r="B353" s="385"/>
      <c r="C353" s="385"/>
      <c r="D353" s="385"/>
      <c r="E353" s="385"/>
      <c r="F353" s="385"/>
      <c r="G353" s="385"/>
      <c r="H353" s="385"/>
      <c r="I353" s="385"/>
      <c r="J353" s="385"/>
      <c r="K353" s="385"/>
    </row>
    <row r="354">
      <c r="A354" s="385"/>
      <c r="B354" s="385"/>
      <c r="C354" s="385"/>
      <c r="D354" s="385"/>
      <c r="E354" s="385"/>
      <c r="F354" s="385"/>
      <c r="G354" s="385"/>
      <c r="H354" s="385"/>
      <c r="I354" s="385"/>
      <c r="J354" s="385"/>
      <c r="K354" s="385"/>
    </row>
    <row r="355">
      <c r="A355" s="385"/>
      <c r="B355" s="385"/>
      <c r="C355" s="385"/>
      <c r="D355" s="385"/>
      <c r="E355" s="385"/>
      <c r="F355" s="385"/>
      <c r="G355" s="385"/>
      <c r="H355" s="385"/>
      <c r="I355" s="385"/>
      <c r="J355" s="385"/>
      <c r="K355" s="385"/>
    </row>
    <row r="356">
      <c r="A356" s="385"/>
      <c r="B356" s="385"/>
      <c r="C356" s="385"/>
      <c r="D356" s="385"/>
      <c r="E356" s="385"/>
      <c r="F356" s="385"/>
      <c r="G356" s="385"/>
      <c r="H356" s="385"/>
      <c r="I356" s="385"/>
      <c r="J356" s="385"/>
      <c r="K356" s="385"/>
    </row>
    <row r="357">
      <c r="A357" s="385"/>
      <c r="B357" s="385"/>
      <c r="C357" s="385"/>
      <c r="D357" s="385"/>
      <c r="E357" s="385"/>
      <c r="F357" s="385"/>
      <c r="G357" s="385"/>
      <c r="H357" s="385"/>
      <c r="I357" s="385"/>
      <c r="J357" s="385"/>
      <c r="K357" s="385"/>
    </row>
    <row r="358">
      <c r="A358" s="385"/>
      <c r="B358" s="385"/>
      <c r="C358" s="385"/>
      <c r="D358" s="385"/>
      <c r="E358" s="385"/>
      <c r="F358" s="385"/>
      <c r="G358" s="385"/>
      <c r="H358" s="385"/>
      <c r="I358" s="385"/>
      <c r="J358" s="385"/>
      <c r="K358" s="385"/>
    </row>
    <row r="359">
      <c r="A359" s="385"/>
      <c r="B359" s="385"/>
      <c r="C359" s="385"/>
      <c r="D359" s="385"/>
      <c r="E359" s="385"/>
      <c r="F359" s="385"/>
      <c r="G359" s="385"/>
      <c r="H359" s="385"/>
      <c r="I359" s="385"/>
      <c r="J359" s="385"/>
      <c r="K359" s="385"/>
    </row>
    <row r="360">
      <c r="A360" s="385"/>
      <c r="B360" s="385"/>
      <c r="C360" s="385"/>
      <c r="D360" s="385"/>
      <c r="E360" s="385"/>
      <c r="F360" s="385"/>
      <c r="G360" s="385"/>
      <c r="H360" s="385"/>
      <c r="I360" s="385"/>
      <c r="J360" s="385"/>
      <c r="K360" s="385"/>
    </row>
    <row r="361">
      <c r="A361" s="385"/>
      <c r="B361" s="385"/>
      <c r="C361" s="385"/>
      <c r="D361" s="385"/>
      <c r="E361" s="385"/>
      <c r="F361" s="385"/>
      <c r="G361" s="385"/>
      <c r="H361" s="385"/>
      <c r="I361" s="385"/>
      <c r="J361" s="385"/>
      <c r="K361" s="385"/>
    </row>
    <row r="362">
      <c r="A362" s="385"/>
      <c r="B362" s="385"/>
      <c r="C362" s="385"/>
      <c r="D362" s="385"/>
      <c r="E362" s="385"/>
      <c r="F362" s="385"/>
      <c r="G362" s="385"/>
      <c r="H362" s="385"/>
      <c r="I362" s="385"/>
      <c r="J362" s="385"/>
      <c r="K362" s="385"/>
    </row>
    <row r="363">
      <c r="A363" s="385"/>
      <c r="B363" s="385"/>
      <c r="C363" s="385"/>
      <c r="D363" s="385"/>
      <c r="E363" s="385"/>
      <c r="F363" s="385"/>
      <c r="G363" s="385"/>
      <c r="H363" s="385"/>
      <c r="I363" s="385"/>
      <c r="J363" s="385"/>
      <c r="K363" s="385"/>
    </row>
    <row r="364">
      <c r="A364" s="385"/>
      <c r="B364" s="385"/>
      <c r="C364" s="385"/>
      <c r="D364" s="385"/>
      <c r="E364" s="385"/>
      <c r="F364" s="385"/>
      <c r="G364" s="385"/>
      <c r="H364" s="385"/>
      <c r="I364" s="385"/>
      <c r="J364" s="385"/>
      <c r="K364" s="385"/>
    </row>
    <row r="365">
      <c r="A365" s="385"/>
      <c r="B365" s="385"/>
      <c r="C365" s="385"/>
      <c r="D365" s="385"/>
      <c r="E365" s="385"/>
      <c r="F365" s="385"/>
      <c r="G365" s="385"/>
      <c r="H365" s="385"/>
      <c r="I365" s="385"/>
      <c r="J365" s="385"/>
      <c r="K365" s="385"/>
    </row>
    <row r="366">
      <c r="A366" s="385"/>
      <c r="B366" s="385"/>
      <c r="C366" s="385"/>
      <c r="D366" s="385"/>
      <c r="E366" s="385"/>
      <c r="F366" s="385"/>
      <c r="G366" s="385"/>
      <c r="H366" s="385"/>
      <c r="I366" s="385"/>
      <c r="J366" s="385"/>
      <c r="K366" s="385"/>
    </row>
    <row r="367">
      <c r="A367" s="385"/>
      <c r="B367" s="385"/>
      <c r="C367" s="385"/>
      <c r="D367" s="385"/>
      <c r="E367" s="385"/>
      <c r="F367" s="385"/>
      <c r="G367" s="385"/>
      <c r="H367" s="385"/>
      <c r="I367" s="385"/>
      <c r="J367" s="385"/>
      <c r="K367" s="385"/>
    </row>
    <row r="368">
      <c r="A368" s="385"/>
      <c r="B368" s="385"/>
      <c r="C368" s="385"/>
      <c r="D368" s="385"/>
      <c r="E368" s="385"/>
      <c r="F368" s="385"/>
      <c r="G368" s="385"/>
      <c r="H368" s="385"/>
      <c r="I368" s="385"/>
      <c r="J368" s="385"/>
      <c r="K368" s="385"/>
    </row>
    <row r="369">
      <c r="A369" s="385"/>
      <c r="B369" s="385"/>
      <c r="C369" s="385"/>
      <c r="D369" s="385"/>
      <c r="E369" s="385"/>
      <c r="F369" s="385"/>
      <c r="G369" s="385"/>
      <c r="H369" s="385"/>
      <c r="I369" s="385"/>
      <c r="J369" s="385"/>
      <c r="K369" s="385"/>
    </row>
    <row r="370">
      <c r="A370" s="385"/>
      <c r="B370" s="385"/>
      <c r="C370" s="385"/>
      <c r="D370" s="385"/>
      <c r="E370" s="385"/>
      <c r="F370" s="385"/>
      <c r="G370" s="385"/>
      <c r="H370" s="385"/>
      <c r="I370" s="385"/>
      <c r="J370" s="385"/>
      <c r="K370" s="385"/>
    </row>
    <row r="371">
      <c r="A371" s="385"/>
      <c r="B371" s="385"/>
      <c r="C371" s="385"/>
      <c r="D371" s="385"/>
      <c r="E371" s="385"/>
      <c r="F371" s="385"/>
      <c r="G371" s="385"/>
      <c r="H371" s="385"/>
      <c r="I371" s="385"/>
      <c r="J371" s="385"/>
      <c r="K371" s="385"/>
    </row>
    <row r="372">
      <c r="A372" s="385"/>
      <c r="B372" s="385"/>
      <c r="C372" s="385"/>
      <c r="D372" s="385"/>
      <c r="E372" s="385"/>
      <c r="F372" s="385"/>
      <c r="G372" s="385"/>
      <c r="H372" s="385"/>
      <c r="I372" s="385"/>
      <c r="J372" s="385"/>
      <c r="K372" s="385"/>
    </row>
    <row r="373">
      <c r="A373" s="385"/>
      <c r="B373" s="385"/>
      <c r="C373" s="385"/>
      <c r="D373" s="385"/>
      <c r="E373" s="385"/>
      <c r="F373" s="385"/>
      <c r="G373" s="385"/>
      <c r="H373" s="385"/>
      <c r="I373" s="385"/>
      <c r="J373" s="385"/>
      <c r="K373" s="385"/>
    </row>
    <row r="374">
      <c r="A374" s="385"/>
      <c r="B374" s="385"/>
      <c r="C374" s="385"/>
      <c r="D374" s="385"/>
      <c r="E374" s="385"/>
      <c r="F374" s="385"/>
      <c r="G374" s="385"/>
      <c r="H374" s="385"/>
      <c r="I374" s="385"/>
      <c r="J374" s="385"/>
      <c r="K374" s="385"/>
    </row>
    <row r="375">
      <c r="A375" s="385"/>
      <c r="B375" s="385"/>
      <c r="C375" s="385"/>
      <c r="D375" s="385"/>
      <c r="E375" s="385"/>
      <c r="F375" s="385"/>
      <c r="G375" s="385"/>
      <c r="H375" s="385"/>
      <c r="I375" s="385"/>
      <c r="J375" s="385"/>
      <c r="K375" s="385"/>
    </row>
    <row r="376">
      <c r="A376" s="385"/>
      <c r="B376" s="385"/>
      <c r="C376" s="385"/>
      <c r="D376" s="385"/>
      <c r="E376" s="385"/>
      <c r="F376" s="385"/>
      <c r="G376" s="385"/>
      <c r="H376" s="385"/>
      <c r="I376" s="385"/>
      <c r="J376" s="385"/>
      <c r="K376" s="385"/>
    </row>
    <row r="377">
      <c r="A377" s="385"/>
      <c r="B377" s="385"/>
      <c r="C377" s="385"/>
      <c r="D377" s="385"/>
      <c r="E377" s="385"/>
      <c r="F377" s="385"/>
      <c r="G377" s="385"/>
      <c r="H377" s="385"/>
      <c r="I377" s="385"/>
      <c r="J377" s="385"/>
      <c r="K377" s="385"/>
    </row>
    <row r="378">
      <c r="A378" s="385"/>
      <c r="B378" s="385"/>
      <c r="C378" s="385"/>
      <c r="D378" s="385"/>
      <c r="E378" s="385"/>
      <c r="F378" s="385"/>
      <c r="G378" s="385"/>
      <c r="H378" s="385"/>
      <c r="I378" s="385"/>
      <c r="J378" s="385"/>
      <c r="K378" s="385"/>
    </row>
    <row r="379">
      <c r="A379" s="385"/>
      <c r="B379" s="385"/>
      <c r="C379" s="385"/>
      <c r="D379" s="385"/>
      <c r="E379" s="385"/>
      <c r="F379" s="385"/>
      <c r="G379" s="385"/>
      <c r="H379" s="385"/>
      <c r="I379" s="385"/>
      <c r="J379" s="385"/>
      <c r="K379" s="385"/>
    </row>
    <row r="380">
      <c r="A380" s="385"/>
      <c r="B380" s="385"/>
      <c r="C380" s="385"/>
      <c r="D380" s="385"/>
      <c r="E380" s="385"/>
      <c r="F380" s="385"/>
      <c r="G380" s="385"/>
      <c r="H380" s="385"/>
      <c r="I380" s="385"/>
      <c r="J380" s="385"/>
      <c r="K380" s="385"/>
    </row>
    <row r="381">
      <c r="A381" s="385"/>
      <c r="B381" s="385"/>
      <c r="C381" s="385"/>
      <c r="D381" s="385"/>
      <c r="E381" s="385"/>
      <c r="F381" s="385"/>
      <c r="G381" s="385"/>
      <c r="H381" s="385"/>
      <c r="I381" s="385"/>
      <c r="J381" s="385"/>
      <c r="K381" s="385"/>
    </row>
    <row r="382">
      <c r="A382" s="385"/>
      <c r="B382" s="385"/>
      <c r="C382" s="385"/>
      <c r="D382" s="385"/>
      <c r="E382" s="385"/>
      <c r="F382" s="385"/>
      <c r="G382" s="385"/>
      <c r="H382" s="385"/>
      <c r="I382" s="385"/>
      <c r="J382" s="385"/>
      <c r="K382" s="385"/>
    </row>
    <row r="383">
      <c r="A383" s="385"/>
      <c r="B383" s="385"/>
      <c r="C383" s="385"/>
      <c r="D383" s="385"/>
      <c r="E383" s="385"/>
      <c r="F383" s="385"/>
      <c r="G383" s="385"/>
      <c r="H383" s="385"/>
      <c r="I383" s="385"/>
      <c r="J383" s="385"/>
      <c r="K383" s="385"/>
    </row>
    <row r="384">
      <c r="A384" s="385"/>
      <c r="B384" s="385"/>
      <c r="C384" s="385"/>
      <c r="D384" s="385"/>
      <c r="E384" s="385"/>
      <c r="F384" s="385"/>
      <c r="G384" s="385"/>
      <c r="H384" s="385"/>
      <c r="I384" s="385"/>
      <c r="J384" s="385"/>
      <c r="K384" s="385"/>
    </row>
    <row r="385">
      <c r="A385" s="385"/>
      <c r="B385" s="385"/>
      <c r="C385" s="385"/>
      <c r="D385" s="385"/>
      <c r="E385" s="385"/>
      <c r="F385" s="385"/>
      <c r="G385" s="385"/>
      <c r="H385" s="385"/>
      <c r="I385" s="385"/>
      <c r="J385" s="385"/>
      <c r="K385" s="385"/>
    </row>
    <row r="386">
      <c r="A386" s="385"/>
      <c r="B386" s="385"/>
      <c r="C386" s="385"/>
      <c r="D386" s="385"/>
      <c r="E386" s="385"/>
      <c r="F386" s="385"/>
      <c r="G386" s="385"/>
      <c r="H386" s="385"/>
      <c r="I386" s="385"/>
      <c r="J386" s="385"/>
      <c r="K386" s="385"/>
    </row>
    <row r="387">
      <c r="A387" s="385"/>
      <c r="B387" s="385"/>
      <c r="C387" s="385"/>
      <c r="D387" s="385"/>
      <c r="E387" s="385"/>
      <c r="F387" s="385"/>
      <c r="G387" s="385"/>
      <c r="H387" s="385"/>
      <c r="I387" s="385"/>
      <c r="J387" s="385"/>
      <c r="K387" s="385"/>
    </row>
    <row r="388">
      <c r="A388" s="385"/>
      <c r="B388" s="385"/>
      <c r="C388" s="385"/>
      <c r="D388" s="385"/>
      <c r="E388" s="385"/>
      <c r="F388" s="385"/>
      <c r="G388" s="385"/>
      <c r="H388" s="385"/>
      <c r="I388" s="385"/>
      <c r="J388" s="385"/>
      <c r="K388" s="385"/>
    </row>
    <row r="389">
      <c r="A389" s="385"/>
      <c r="B389" s="385"/>
      <c r="C389" s="385"/>
      <c r="D389" s="385"/>
      <c r="E389" s="385"/>
      <c r="F389" s="385"/>
      <c r="G389" s="385"/>
      <c r="H389" s="385"/>
      <c r="I389" s="385"/>
      <c r="J389" s="385"/>
      <c r="K389" s="385"/>
    </row>
    <row r="390">
      <c r="A390" s="385"/>
      <c r="B390" s="385"/>
      <c r="C390" s="385"/>
      <c r="D390" s="385"/>
      <c r="E390" s="385"/>
      <c r="F390" s="385"/>
      <c r="G390" s="385"/>
      <c r="H390" s="385"/>
      <c r="I390" s="385"/>
      <c r="J390" s="385"/>
      <c r="K390" s="385"/>
    </row>
    <row r="391">
      <c r="A391" s="385"/>
      <c r="B391" s="385"/>
      <c r="C391" s="385"/>
      <c r="D391" s="385"/>
      <c r="E391" s="385"/>
      <c r="F391" s="385"/>
      <c r="G391" s="385"/>
      <c r="H391" s="385"/>
      <c r="I391" s="385"/>
      <c r="J391" s="385"/>
      <c r="K391" s="385"/>
    </row>
    <row r="392">
      <c r="A392" s="385"/>
      <c r="B392" s="385"/>
      <c r="C392" s="385"/>
      <c r="D392" s="385"/>
      <c r="E392" s="385"/>
      <c r="F392" s="385"/>
      <c r="G392" s="385"/>
      <c r="H392" s="385"/>
      <c r="I392" s="385"/>
      <c r="J392" s="385"/>
      <c r="K392" s="385"/>
    </row>
    <row r="393">
      <c r="A393" s="385"/>
      <c r="B393" s="385"/>
      <c r="C393" s="385"/>
      <c r="D393" s="385"/>
      <c r="E393" s="385"/>
      <c r="F393" s="385"/>
      <c r="G393" s="385"/>
      <c r="H393" s="385"/>
      <c r="I393" s="385"/>
      <c r="J393" s="385"/>
      <c r="K393" s="385"/>
    </row>
    <row r="394">
      <c r="A394" s="385"/>
      <c r="B394" s="385"/>
      <c r="C394" s="385"/>
      <c r="D394" s="385"/>
      <c r="E394" s="385"/>
      <c r="F394" s="385"/>
      <c r="G394" s="385"/>
      <c r="H394" s="385"/>
      <c r="I394" s="385"/>
      <c r="J394" s="385"/>
      <c r="K394" s="385"/>
    </row>
    <row r="395">
      <c r="A395" s="385"/>
      <c r="B395" s="385"/>
      <c r="C395" s="385"/>
      <c r="D395" s="385"/>
      <c r="E395" s="385"/>
      <c r="F395" s="385"/>
      <c r="G395" s="385"/>
      <c r="H395" s="385"/>
      <c r="I395" s="385"/>
      <c r="J395" s="385"/>
      <c r="K395" s="385"/>
    </row>
    <row r="396">
      <c r="A396" s="385"/>
      <c r="B396" s="385"/>
      <c r="C396" s="385"/>
      <c r="D396" s="385"/>
      <c r="E396" s="385"/>
      <c r="F396" s="385"/>
      <c r="G396" s="385"/>
      <c r="H396" s="385"/>
      <c r="I396" s="385"/>
      <c r="J396" s="385"/>
      <c r="K396" s="385"/>
    </row>
    <row r="397">
      <c r="A397" s="385"/>
      <c r="B397" s="385"/>
      <c r="C397" s="385"/>
      <c r="D397" s="385"/>
      <c r="E397" s="385"/>
      <c r="F397" s="385"/>
      <c r="G397" s="385"/>
      <c r="H397" s="385"/>
      <c r="I397" s="385"/>
      <c r="J397" s="385"/>
      <c r="K397" s="385"/>
    </row>
    <row r="398">
      <c r="A398" s="385"/>
      <c r="B398" s="385"/>
      <c r="C398" s="385"/>
      <c r="D398" s="385"/>
      <c r="E398" s="385"/>
      <c r="F398" s="385"/>
      <c r="G398" s="385"/>
      <c r="H398" s="385"/>
      <c r="I398" s="385"/>
      <c r="J398" s="385"/>
      <c r="K398" s="385"/>
    </row>
    <row r="399">
      <c r="A399" s="385"/>
      <c r="B399" s="385"/>
      <c r="C399" s="385"/>
      <c r="D399" s="385"/>
      <c r="E399" s="385"/>
      <c r="F399" s="385"/>
      <c r="G399" s="385"/>
      <c r="H399" s="385"/>
      <c r="I399" s="385"/>
      <c r="J399" s="385"/>
      <c r="K399" s="385"/>
    </row>
    <row r="400">
      <c r="A400" s="385"/>
      <c r="B400" s="385"/>
      <c r="C400" s="385"/>
      <c r="D400" s="385"/>
      <c r="E400" s="385"/>
      <c r="F400" s="385"/>
      <c r="G400" s="385"/>
      <c r="H400" s="385"/>
      <c r="I400" s="385"/>
      <c r="J400" s="385"/>
      <c r="K400" s="385"/>
    </row>
    <row r="401">
      <c r="A401" s="385"/>
      <c r="B401" s="385"/>
      <c r="C401" s="385"/>
      <c r="D401" s="385"/>
      <c r="E401" s="385"/>
      <c r="F401" s="385"/>
      <c r="G401" s="385"/>
      <c r="H401" s="385"/>
      <c r="I401" s="385"/>
      <c r="J401" s="385"/>
      <c r="K401" s="385"/>
    </row>
    <row r="402">
      <c r="A402" s="385"/>
      <c r="B402" s="385"/>
      <c r="C402" s="385"/>
      <c r="D402" s="385"/>
      <c r="E402" s="385"/>
      <c r="F402" s="385"/>
      <c r="G402" s="385"/>
      <c r="H402" s="385"/>
      <c r="I402" s="385"/>
      <c r="J402" s="385"/>
      <c r="K402" s="385"/>
    </row>
    <row r="403">
      <c r="A403" s="385"/>
      <c r="B403" s="385"/>
      <c r="C403" s="385"/>
      <c r="D403" s="385"/>
      <c r="E403" s="385"/>
      <c r="F403" s="385"/>
      <c r="G403" s="385"/>
      <c r="H403" s="385"/>
      <c r="I403" s="385"/>
      <c r="J403" s="385"/>
      <c r="K403" s="385"/>
    </row>
    <row r="404">
      <c r="A404" s="385"/>
      <c r="B404" s="385"/>
      <c r="C404" s="385"/>
      <c r="D404" s="385"/>
      <c r="E404" s="385"/>
      <c r="F404" s="385"/>
      <c r="G404" s="385"/>
      <c r="H404" s="385"/>
      <c r="I404" s="385"/>
      <c r="J404" s="385"/>
      <c r="K404" s="385"/>
    </row>
    <row r="405">
      <c r="A405" s="385"/>
      <c r="B405" s="385"/>
      <c r="C405" s="385"/>
      <c r="D405" s="385"/>
      <c r="E405" s="385"/>
      <c r="F405" s="385"/>
      <c r="G405" s="385"/>
      <c r="H405" s="385"/>
      <c r="I405" s="385"/>
      <c r="J405" s="385"/>
      <c r="K405" s="385"/>
    </row>
    <row r="406">
      <c r="A406" s="385"/>
      <c r="B406" s="385"/>
      <c r="C406" s="385"/>
      <c r="D406" s="385"/>
      <c r="E406" s="385"/>
      <c r="F406" s="385"/>
      <c r="G406" s="385"/>
      <c r="H406" s="385"/>
      <c r="I406" s="385"/>
      <c r="J406" s="385"/>
      <c r="K406" s="385"/>
    </row>
    <row r="407">
      <c r="A407" s="385"/>
      <c r="B407" s="385"/>
      <c r="C407" s="385"/>
      <c r="D407" s="385"/>
      <c r="E407" s="385"/>
      <c r="F407" s="385"/>
      <c r="G407" s="385"/>
      <c r="H407" s="385"/>
      <c r="I407" s="385"/>
      <c r="J407" s="385"/>
      <c r="K407" s="385"/>
    </row>
    <row r="408">
      <c r="A408" s="385"/>
      <c r="B408" s="385"/>
      <c r="C408" s="385"/>
      <c r="D408" s="385"/>
      <c r="E408" s="385"/>
      <c r="F408" s="385"/>
      <c r="G408" s="385"/>
      <c r="H408" s="385"/>
      <c r="I408" s="385"/>
      <c r="J408" s="385"/>
      <c r="K408" s="385"/>
    </row>
    <row r="409">
      <c r="A409" s="385"/>
      <c r="B409" s="385"/>
      <c r="C409" s="385"/>
      <c r="D409" s="385"/>
      <c r="E409" s="385"/>
      <c r="F409" s="385"/>
      <c r="G409" s="385"/>
      <c r="H409" s="385"/>
      <c r="I409" s="385"/>
      <c r="J409" s="385"/>
      <c r="K409" s="385"/>
    </row>
    <row r="410">
      <c r="A410" s="385"/>
      <c r="B410" s="385"/>
      <c r="C410" s="385"/>
      <c r="D410" s="385"/>
      <c r="E410" s="385"/>
      <c r="F410" s="385"/>
      <c r="G410" s="385"/>
      <c r="H410" s="385"/>
      <c r="I410" s="385"/>
      <c r="J410" s="385"/>
      <c r="K410" s="385"/>
    </row>
    <row r="411">
      <c r="A411" s="385"/>
      <c r="B411" s="385"/>
      <c r="C411" s="385"/>
      <c r="D411" s="385"/>
      <c r="E411" s="385"/>
      <c r="F411" s="385"/>
      <c r="G411" s="385"/>
      <c r="H411" s="385"/>
      <c r="I411" s="385"/>
      <c r="J411" s="385"/>
      <c r="K411" s="385"/>
    </row>
    <row r="412">
      <c r="A412" s="385"/>
      <c r="B412" s="385"/>
      <c r="C412" s="385"/>
      <c r="D412" s="385"/>
      <c r="E412" s="385"/>
      <c r="F412" s="385"/>
      <c r="G412" s="385"/>
      <c r="H412" s="385"/>
      <c r="I412" s="385"/>
      <c r="J412" s="385"/>
      <c r="K412" s="385"/>
    </row>
    <row r="413">
      <c r="A413" s="385"/>
      <c r="B413" s="385"/>
      <c r="C413" s="385"/>
      <c r="D413" s="385"/>
      <c r="E413" s="385"/>
      <c r="F413" s="385"/>
      <c r="G413" s="385"/>
      <c r="H413" s="385"/>
      <c r="I413" s="385"/>
      <c r="J413" s="385"/>
      <c r="K413" s="385"/>
    </row>
    <row r="414">
      <c r="A414" s="385"/>
      <c r="B414" s="385"/>
      <c r="C414" s="385"/>
      <c r="D414" s="385"/>
      <c r="E414" s="385"/>
      <c r="F414" s="385"/>
      <c r="G414" s="385"/>
      <c r="H414" s="385"/>
      <c r="I414" s="385"/>
      <c r="J414" s="385"/>
      <c r="K414" s="385"/>
    </row>
    <row r="415">
      <c r="A415" s="385"/>
      <c r="B415" s="385"/>
      <c r="C415" s="385"/>
      <c r="D415" s="385"/>
      <c r="E415" s="385"/>
      <c r="F415" s="385"/>
      <c r="G415" s="385"/>
      <c r="H415" s="385"/>
      <c r="I415" s="385"/>
      <c r="J415" s="385"/>
      <c r="K415" s="385"/>
    </row>
    <row r="416">
      <c r="A416" s="385"/>
      <c r="B416" s="385"/>
      <c r="C416" s="385"/>
      <c r="D416" s="385"/>
      <c r="E416" s="385"/>
      <c r="F416" s="385"/>
      <c r="G416" s="385"/>
      <c r="H416" s="385"/>
      <c r="I416" s="385"/>
      <c r="J416" s="385"/>
      <c r="K416" s="385"/>
    </row>
    <row r="417">
      <c r="A417" s="385"/>
      <c r="B417" s="385"/>
      <c r="C417" s="385"/>
      <c r="D417" s="385"/>
      <c r="E417" s="385"/>
      <c r="F417" s="385"/>
      <c r="G417" s="385"/>
      <c r="H417" s="385"/>
      <c r="I417" s="385"/>
      <c r="J417" s="385"/>
      <c r="K417" s="385"/>
    </row>
    <row r="418">
      <c r="A418" s="385"/>
      <c r="B418" s="385"/>
      <c r="C418" s="385"/>
      <c r="D418" s="385"/>
      <c r="E418" s="385"/>
      <c r="F418" s="385"/>
      <c r="G418" s="385"/>
      <c r="H418" s="385"/>
      <c r="I418" s="385"/>
      <c r="J418" s="385"/>
      <c r="K418" s="385"/>
    </row>
    <row r="419">
      <c r="A419" s="385"/>
      <c r="B419" s="385"/>
      <c r="C419" s="385"/>
      <c r="D419" s="385"/>
      <c r="E419" s="385"/>
      <c r="F419" s="385"/>
      <c r="G419" s="385"/>
      <c r="H419" s="385"/>
      <c r="I419" s="385"/>
      <c r="J419" s="385"/>
      <c r="K419" s="385"/>
    </row>
    <row r="420">
      <c r="A420" s="385"/>
      <c r="B420" s="385"/>
      <c r="C420" s="385"/>
      <c r="D420" s="385"/>
      <c r="E420" s="385"/>
      <c r="F420" s="385"/>
      <c r="G420" s="385"/>
      <c r="H420" s="385"/>
      <c r="I420" s="385"/>
      <c r="J420" s="385"/>
      <c r="K420" s="385"/>
    </row>
    <row r="421">
      <c r="A421" s="385"/>
      <c r="B421" s="385"/>
      <c r="C421" s="385"/>
      <c r="D421" s="385"/>
      <c r="E421" s="385"/>
      <c r="F421" s="385"/>
      <c r="G421" s="385"/>
      <c r="H421" s="385"/>
      <c r="I421" s="385"/>
      <c r="J421" s="385"/>
      <c r="K421" s="385"/>
    </row>
    <row r="422">
      <c r="A422" s="385"/>
      <c r="B422" s="385"/>
      <c r="C422" s="385"/>
      <c r="D422" s="385"/>
      <c r="E422" s="385"/>
      <c r="F422" s="385"/>
      <c r="G422" s="385"/>
      <c r="H422" s="385"/>
      <c r="I422" s="385"/>
      <c r="J422" s="385"/>
      <c r="K422" s="385"/>
    </row>
    <row r="423">
      <c r="A423" s="385"/>
      <c r="B423" s="385"/>
      <c r="C423" s="385"/>
      <c r="D423" s="385"/>
      <c r="E423" s="385"/>
      <c r="F423" s="385"/>
      <c r="G423" s="385"/>
      <c r="H423" s="385"/>
      <c r="I423" s="385"/>
      <c r="J423" s="385"/>
      <c r="K423" s="385"/>
    </row>
    <row r="424">
      <c r="A424" s="385"/>
      <c r="B424" s="385"/>
      <c r="C424" s="385"/>
      <c r="D424" s="385"/>
      <c r="E424" s="385"/>
      <c r="F424" s="385"/>
      <c r="G424" s="385"/>
      <c r="H424" s="385"/>
      <c r="I424" s="385"/>
      <c r="J424" s="385"/>
      <c r="K424" s="385"/>
    </row>
    <row r="425">
      <c r="A425" s="385"/>
      <c r="B425" s="385"/>
      <c r="C425" s="385"/>
      <c r="D425" s="385"/>
      <c r="E425" s="385"/>
      <c r="F425" s="385"/>
      <c r="G425" s="385"/>
      <c r="H425" s="385"/>
      <c r="I425" s="385"/>
      <c r="J425" s="385"/>
      <c r="K425" s="385"/>
    </row>
    <row r="426">
      <c r="A426" s="385"/>
      <c r="B426" s="385"/>
      <c r="C426" s="385"/>
      <c r="D426" s="385"/>
      <c r="E426" s="385"/>
      <c r="F426" s="385"/>
      <c r="G426" s="385"/>
      <c r="H426" s="385"/>
      <c r="I426" s="385"/>
      <c r="J426" s="385"/>
      <c r="K426" s="385"/>
    </row>
    <row r="427">
      <c r="A427" s="385"/>
      <c r="B427" s="385"/>
      <c r="C427" s="385"/>
      <c r="D427" s="385"/>
      <c r="E427" s="385"/>
      <c r="F427" s="385"/>
      <c r="G427" s="385"/>
      <c r="H427" s="385"/>
      <c r="I427" s="385"/>
      <c r="J427" s="385"/>
      <c r="K427" s="385"/>
    </row>
    <row r="428">
      <c r="A428" s="385"/>
      <c r="B428" s="385"/>
      <c r="C428" s="385"/>
      <c r="D428" s="385"/>
      <c r="E428" s="385"/>
      <c r="F428" s="385"/>
      <c r="G428" s="385"/>
      <c r="H428" s="385"/>
      <c r="I428" s="385"/>
      <c r="J428" s="385"/>
      <c r="K428" s="385"/>
    </row>
    <row r="429">
      <c r="A429" s="385"/>
      <c r="B429" s="385"/>
      <c r="C429" s="385"/>
      <c r="D429" s="385"/>
      <c r="E429" s="385"/>
      <c r="F429" s="385"/>
      <c r="G429" s="385"/>
      <c r="H429" s="385"/>
      <c r="I429" s="385"/>
      <c r="J429" s="385"/>
      <c r="K429" s="385"/>
    </row>
    <row r="430">
      <c r="A430" s="385"/>
      <c r="B430" s="385"/>
      <c r="C430" s="385"/>
      <c r="D430" s="385"/>
      <c r="E430" s="385"/>
      <c r="F430" s="385"/>
      <c r="G430" s="385"/>
      <c r="H430" s="385"/>
      <c r="I430" s="385"/>
      <c r="J430" s="385"/>
      <c r="K430" s="385"/>
    </row>
    <row r="431">
      <c r="A431" s="385"/>
      <c r="B431" s="385"/>
      <c r="C431" s="385"/>
      <c r="D431" s="385"/>
      <c r="E431" s="385"/>
      <c r="F431" s="385"/>
      <c r="G431" s="385"/>
      <c r="H431" s="385"/>
      <c r="I431" s="385"/>
      <c r="J431" s="385"/>
      <c r="K431" s="385"/>
    </row>
    <row r="432">
      <c r="A432" s="385"/>
      <c r="B432" s="385"/>
      <c r="C432" s="385"/>
      <c r="D432" s="385"/>
      <c r="E432" s="385"/>
      <c r="F432" s="385"/>
      <c r="G432" s="385"/>
      <c r="H432" s="385"/>
      <c r="I432" s="385"/>
      <c r="J432" s="385"/>
      <c r="K432" s="385"/>
    </row>
    <row r="433">
      <c r="A433" s="385"/>
      <c r="B433" s="385"/>
      <c r="C433" s="385"/>
      <c r="D433" s="385"/>
      <c r="E433" s="385"/>
      <c r="F433" s="385"/>
      <c r="G433" s="385"/>
      <c r="H433" s="385"/>
      <c r="I433" s="385"/>
      <c r="J433" s="385"/>
      <c r="K433" s="385"/>
    </row>
    <row r="434">
      <c r="A434" s="385"/>
      <c r="B434" s="385"/>
      <c r="C434" s="385"/>
      <c r="D434" s="385"/>
      <c r="E434" s="385"/>
      <c r="F434" s="385"/>
      <c r="G434" s="385"/>
      <c r="H434" s="385"/>
      <c r="I434" s="385"/>
      <c r="J434" s="385"/>
      <c r="K434" s="385"/>
    </row>
    <row r="435">
      <c r="A435" s="385"/>
      <c r="B435" s="385"/>
      <c r="C435" s="385"/>
      <c r="D435" s="385"/>
      <c r="E435" s="385"/>
      <c r="F435" s="385"/>
      <c r="G435" s="385"/>
      <c r="H435" s="385"/>
      <c r="I435" s="385"/>
      <c r="J435" s="385"/>
      <c r="K435" s="385"/>
    </row>
    <row r="436">
      <c r="A436" s="385"/>
      <c r="B436" s="385"/>
      <c r="C436" s="385"/>
      <c r="D436" s="385"/>
      <c r="E436" s="385"/>
      <c r="F436" s="385"/>
      <c r="G436" s="385"/>
      <c r="H436" s="385"/>
      <c r="I436" s="385"/>
      <c r="J436" s="385"/>
      <c r="K436" s="385"/>
    </row>
    <row r="437">
      <c r="A437" s="385"/>
      <c r="B437" s="385"/>
      <c r="C437" s="385"/>
      <c r="D437" s="385"/>
      <c r="E437" s="385"/>
      <c r="F437" s="385"/>
      <c r="G437" s="385"/>
      <c r="H437" s="385"/>
      <c r="I437" s="385"/>
      <c r="J437" s="385"/>
      <c r="K437" s="385"/>
    </row>
    <row r="438">
      <c r="A438" s="385"/>
      <c r="B438" s="385"/>
      <c r="C438" s="385"/>
      <c r="D438" s="385"/>
      <c r="E438" s="385"/>
      <c r="F438" s="385"/>
      <c r="G438" s="385"/>
      <c r="H438" s="385"/>
      <c r="I438" s="385"/>
      <c r="J438" s="385"/>
      <c r="K438" s="385"/>
    </row>
    <row r="439">
      <c r="A439" s="385"/>
      <c r="B439" s="385"/>
      <c r="C439" s="385"/>
      <c r="D439" s="385"/>
      <c r="E439" s="385"/>
      <c r="F439" s="385"/>
      <c r="G439" s="385"/>
      <c r="H439" s="385"/>
      <c r="I439" s="385"/>
      <c r="J439" s="385"/>
      <c r="K439" s="385"/>
    </row>
    <row r="440">
      <c r="A440" s="385"/>
      <c r="B440" s="385"/>
      <c r="C440" s="385"/>
      <c r="D440" s="385"/>
      <c r="E440" s="385"/>
      <c r="F440" s="385"/>
      <c r="G440" s="385"/>
      <c r="H440" s="385"/>
      <c r="I440" s="385"/>
      <c r="J440" s="385"/>
      <c r="K440" s="385"/>
    </row>
    <row r="441">
      <c r="A441" s="385"/>
      <c r="B441" s="385"/>
      <c r="C441" s="385"/>
      <c r="D441" s="385"/>
      <c r="E441" s="385"/>
      <c r="F441" s="385"/>
      <c r="G441" s="385"/>
      <c r="H441" s="385"/>
      <c r="I441" s="385"/>
      <c r="J441" s="385"/>
      <c r="K441" s="385"/>
    </row>
    <row r="442">
      <c r="A442" s="385"/>
      <c r="B442" s="385"/>
      <c r="C442" s="385"/>
      <c r="D442" s="385"/>
      <c r="E442" s="385"/>
      <c r="F442" s="385"/>
      <c r="G442" s="385"/>
      <c r="H442" s="385"/>
      <c r="I442" s="385"/>
      <c r="J442" s="385"/>
      <c r="K442" s="385"/>
    </row>
    <row r="443">
      <c r="A443" s="385"/>
      <c r="B443" s="385"/>
      <c r="C443" s="385"/>
      <c r="D443" s="385"/>
      <c r="E443" s="385"/>
      <c r="F443" s="385"/>
      <c r="G443" s="385"/>
      <c r="H443" s="385"/>
      <c r="I443" s="385"/>
      <c r="J443" s="385"/>
      <c r="K443" s="385"/>
    </row>
    <row r="444">
      <c r="A444" s="385"/>
      <c r="B444" s="385"/>
      <c r="C444" s="385"/>
      <c r="D444" s="385"/>
      <c r="E444" s="385"/>
      <c r="F444" s="385"/>
      <c r="G444" s="385"/>
      <c r="H444" s="385"/>
      <c r="I444" s="385"/>
      <c r="J444" s="385"/>
      <c r="K444" s="385"/>
    </row>
    <row r="445">
      <c r="A445" s="385"/>
      <c r="B445" s="385"/>
      <c r="C445" s="385"/>
      <c r="D445" s="385"/>
      <c r="E445" s="385"/>
      <c r="F445" s="385"/>
      <c r="G445" s="385"/>
      <c r="H445" s="385"/>
      <c r="I445" s="385"/>
      <c r="J445" s="385"/>
      <c r="K445" s="385"/>
    </row>
    <row r="446">
      <c r="A446" s="385"/>
      <c r="B446" s="385"/>
      <c r="C446" s="385"/>
      <c r="D446" s="385"/>
      <c r="E446" s="385"/>
      <c r="F446" s="385"/>
      <c r="G446" s="385"/>
      <c r="H446" s="385"/>
      <c r="I446" s="385"/>
      <c r="J446" s="385"/>
      <c r="K446" s="385"/>
    </row>
    <row r="447">
      <c r="A447" s="385"/>
      <c r="B447" s="385"/>
      <c r="C447" s="385"/>
      <c r="D447" s="385"/>
      <c r="E447" s="385"/>
      <c r="F447" s="385"/>
      <c r="G447" s="385"/>
      <c r="H447" s="385"/>
      <c r="I447" s="385"/>
      <c r="J447" s="385"/>
      <c r="K447" s="385"/>
    </row>
    <row r="448">
      <c r="A448" s="385"/>
      <c r="B448" s="385"/>
      <c r="C448" s="385"/>
      <c r="D448" s="385"/>
      <c r="E448" s="385"/>
      <c r="F448" s="385"/>
      <c r="G448" s="385"/>
      <c r="H448" s="385"/>
      <c r="I448" s="385"/>
      <c r="J448" s="385"/>
      <c r="K448" s="385"/>
    </row>
    <row r="449">
      <c r="A449" s="385"/>
      <c r="B449" s="385"/>
      <c r="C449" s="385"/>
      <c r="D449" s="385"/>
      <c r="E449" s="385"/>
      <c r="F449" s="385"/>
      <c r="G449" s="385"/>
      <c r="H449" s="385"/>
      <c r="I449" s="385"/>
      <c r="J449" s="385"/>
      <c r="K449" s="385"/>
    </row>
    <row r="450">
      <c r="A450" s="385"/>
      <c r="B450" s="385"/>
      <c r="C450" s="385"/>
      <c r="D450" s="385"/>
      <c r="E450" s="385"/>
      <c r="F450" s="385"/>
      <c r="G450" s="385"/>
      <c r="H450" s="385"/>
      <c r="I450" s="385"/>
      <c r="J450" s="385"/>
      <c r="K450" s="385"/>
    </row>
    <row r="451">
      <c r="A451" s="385"/>
      <c r="B451" s="385"/>
      <c r="C451" s="385"/>
      <c r="D451" s="385"/>
      <c r="E451" s="385"/>
      <c r="F451" s="385"/>
      <c r="G451" s="385"/>
      <c r="H451" s="385"/>
      <c r="I451" s="385"/>
      <c r="J451" s="385"/>
      <c r="K451" s="385"/>
    </row>
    <row r="452">
      <c r="A452" s="385"/>
      <c r="B452" s="385"/>
      <c r="C452" s="385"/>
      <c r="D452" s="385"/>
      <c r="E452" s="385"/>
      <c r="F452" s="385"/>
      <c r="G452" s="385"/>
      <c r="H452" s="385"/>
      <c r="I452" s="385"/>
      <c r="J452" s="385"/>
      <c r="K452" s="385"/>
    </row>
    <row r="453">
      <c r="A453" s="385"/>
      <c r="B453" s="385"/>
      <c r="C453" s="385"/>
      <c r="D453" s="385"/>
      <c r="E453" s="385"/>
      <c r="F453" s="385"/>
      <c r="G453" s="385"/>
      <c r="H453" s="385"/>
      <c r="I453" s="385"/>
      <c r="J453" s="385"/>
      <c r="K453" s="385"/>
    </row>
    <row r="454">
      <c r="A454" s="385"/>
      <c r="B454" s="385"/>
      <c r="C454" s="385"/>
      <c r="D454" s="385"/>
      <c r="E454" s="385"/>
      <c r="F454" s="385"/>
      <c r="G454" s="385"/>
      <c r="H454" s="385"/>
      <c r="I454" s="385"/>
      <c r="J454" s="385"/>
      <c r="K454" s="385"/>
    </row>
    <row r="455">
      <c r="A455" s="385"/>
      <c r="B455" s="385"/>
      <c r="C455" s="385"/>
      <c r="D455" s="385"/>
      <c r="E455" s="385"/>
      <c r="F455" s="385"/>
      <c r="G455" s="385"/>
      <c r="H455" s="385"/>
      <c r="I455" s="385"/>
      <c r="J455" s="385"/>
      <c r="K455" s="385"/>
    </row>
    <row r="456">
      <c r="A456" s="385"/>
      <c r="B456" s="385"/>
      <c r="C456" s="385"/>
      <c r="D456" s="385"/>
      <c r="E456" s="385"/>
      <c r="F456" s="385"/>
      <c r="G456" s="385"/>
      <c r="H456" s="385"/>
      <c r="I456" s="385"/>
      <c r="J456" s="385"/>
      <c r="K456" s="385"/>
    </row>
    <row r="457">
      <c r="A457" s="385"/>
      <c r="B457" s="385"/>
      <c r="C457" s="385"/>
      <c r="D457" s="385"/>
      <c r="E457" s="385"/>
      <c r="F457" s="385"/>
      <c r="G457" s="385"/>
      <c r="H457" s="385"/>
      <c r="I457" s="385"/>
      <c r="J457" s="385"/>
      <c r="K457" s="385"/>
    </row>
    <row r="458">
      <c r="A458" s="385"/>
      <c r="B458" s="385"/>
      <c r="C458" s="385"/>
      <c r="D458" s="385"/>
      <c r="E458" s="385"/>
      <c r="F458" s="385"/>
      <c r="G458" s="385"/>
      <c r="H458" s="385"/>
      <c r="I458" s="385"/>
      <c r="J458" s="385"/>
      <c r="K458" s="385"/>
    </row>
    <row r="459">
      <c r="A459" s="385"/>
      <c r="B459" s="385"/>
      <c r="C459" s="385"/>
      <c r="D459" s="385"/>
      <c r="E459" s="385"/>
      <c r="F459" s="385"/>
      <c r="G459" s="385"/>
      <c r="H459" s="385"/>
      <c r="I459" s="385"/>
      <c r="J459" s="385"/>
      <c r="K459" s="385"/>
    </row>
    <row r="460">
      <c r="A460" s="385"/>
      <c r="B460" s="385"/>
      <c r="C460" s="385"/>
      <c r="D460" s="385"/>
      <c r="E460" s="385"/>
      <c r="F460" s="385"/>
      <c r="G460" s="385"/>
      <c r="H460" s="385"/>
      <c r="I460" s="385"/>
      <c r="J460" s="385"/>
      <c r="K460" s="385"/>
    </row>
    <row r="461">
      <c r="A461" s="385"/>
      <c r="B461" s="385"/>
      <c r="C461" s="385"/>
      <c r="D461" s="385"/>
      <c r="E461" s="385"/>
      <c r="F461" s="385"/>
      <c r="G461" s="385"/>
      <c r="H461" s="385"/>
      <c r="I461" s="385"/>
      <c r="J461" s="385"/>
      <c r="K461" s="385"/>
    </row>
    <row r="462">
      <c r="A462" s="385"/>
      <c r="B462" s="385"/>
      <c r="C462" s="385"/>
      <c r="D462" s="385"/>
      <c r="E462" s="385"/>
      <c r="F462" s="385"/>
      <c r="G462" s="385"/>
      <c r="H462" s="385"/>
      <c r="I462" s="385"/>
      <c r="J462" s="385"/>
      <c r="K462" s="385"/>
    </row>
    <row r="463">
      <c r="A463" s="385"/>
      <c r="B463" s="385"/>
      <c r="C463" s="385"/>
      <c r="D463" s="385"/>
      <c r="E463" s="385"/>
      <c r="F463" s="385"/>
      <c r="G463" s="385"/>
      <c r="H463" s="385"/>
      <c r="I463" s="385"/>
      <c r="J463" s="385"/>
      <c r="K463" s="385"/>
    </row>
    <row r="464">
      <c r="A464" s="385"/>
      <c r="B464" s="385"/>
      <c r="C464" s="385"/>
      <c r="D464" s="385"/>
      <c r="E464" s="385"/>
      <c r="F464" s="385"/>
      <c r="G464" s="385"/>
      <c r="H464" s="385"/>
      <c r="I464" s="385"/>
      <c r="J464" s="385"/>
      <c r="K464" s="385"/>
    </row>
    <row r="465">
      <c r="A465" s="385"/>
      <c r="B465" s="385"/>
      <c r="C465" s="385"/>
      <c r="D465" s="385"/>
      <c r="E465" s="385"/>
      <c r="F465" s="385"/>
      <c r="G465" s="385"/>
      <c r="H465" s="385"/>
      <c r="I465" s="385"/>
      <c r="J465" s="385"/>
      <c r="K465" s="385"/>
    </row>
    <row r="466">
      <c r="A466" s="385"/>
      <c r="B466" s="385"/>
      <c r="C466" s="385"/>
      <c r="D466" s="385"/>
      <c r="E466" s="385"/>
      <c r="F466" s="385"/>
      <c r="G466" s="385"/>
      <c r="H466" s="385"/>
      <c r="I466" s="385"/>
      <c r="J466" s="385"/>
      <c r="K466" s="385"/>
    </row>
    <row r="467">
      <c r="A467" s="385"/>
      <c r="B467" s="385"/>
      <c r="C467" s="385"/>
      <c r="D467" s="385"/>
      <c r="E467" s="385"/>
      <c r="F467" s="385"/>
      <c r="G467" s="385"/>
      <c r="H467" s="385"/>
      <c r="I467" s="385"/>
      <c r="J467" s="385"/>
      <c r="K467" s="385"/>
    </row>
    <row r="468">
      <c r="A468" s="385"/>
      <c r="B468" s="385"/>
      <c r="C468" s="385"/>
      <c r="D468" s="385"/>
      <c r="E468" s="385"/>
      <c r="F468" s="385"/>
      <c r="G468" s="385"/>
      <c r="H468" s="385"/>
      <c r="I468" s="385"/>
      <c r="J468" s="385"/>
      <c r="K468" s="385"/>
    </row>
    <row r="469">
      <c r="A469" s="385"/>
      <c r="B469" s="385"/>
      <c r="C469" s="385"/>
      <c r="D469" s="385"/>
      <c r="E469" s="385"/>
      <c r="F469" s="385"/>
      <c r="G469" s="385"/>
      <c r="H469" s="385"/>
      <c r="I469" s="385"/>
      <c r="J469" s="385"/>
      <c r="K469" s="385"/>
    </row>
    <row r="470">
      <c r="A470" s="385"/>
      <c r="B470" s="385"/>
      <c r="C470" s="385"/>
      <c r="D470" s="385"/>
      <c r="E470" s="385"/>
      <c r="F470" s="385"/>
      <c r="G470" s="385"/>
      <c r="H470" s="385"/>
      <c r="I470" s="385"/>
      <c r="J470" s="385"/>
      <c r="K470" s="385"/>
    </row>
    <row r="471">
      <c r="A471" s="385"/>
      <c r="B471" s="385"/>
      <c r="C471" s="385"/>
      <c r="D471" s="385"/>
      <c r="E471" s="385"/>
      <c r="F471" s="385"/>
      <c r="G471" s="385"/>
      <c r="H471" s="385"/>
      <c r="I471" s="385"/>
      <c r="J471" s="385"/>
      <c r="K471" s="385"/>
    </row>
    <row r="472">
      <c r="A472" s="385"/>
      <c r="B472" s="385"/>
      <c r="C472" s="385"/>
      <c r="D472" s="385"/>
      <c r="E472" s="385"/>
      <c r="F472" s="385"/>
      <c r="G472" s="385"/>
      <c r="H472" s="385"/>
      <c r="I472" s="385"/>
      <c r="J472" s="385"/>
      <c r="K472" s="385"/>
    </row>
    <row r="473">
      <c r="A473" s="385"/>
      <c r="B473" s="385"/>
      <c r="C473" s="385"/>
      <c r="D473" s="385"/>
      <c r="E473" s="385"/>
      <c r="F473" s="385"/>
      <c r="G473" s="385"/>
      <c r="H473" s="385"/>
      <c r="I473" s="385"/>
      <c r="J473" s="385"/>
      <c r="K473" s="385"/>
    </row>
    <row r="474">
      <c r="A474" s="385"/>
      <c r="B474" s="385"/>
      <c r="C474" s="385"/>
      <c r="D474" s="385"/>
      <c r="E474" s="385"/>
      <c r="F474" s="385"/>
      <c r="G474" s="385"/>
      <c r="H474" s="385"/>
      <c r="I474" s="385"/>
      <c r="J474" s="385"/>
      <c r="K474" s="385"/>
    </row>
    <row r="475">
      <c r="A475" s="385"/>
      <c r="B475" s="385"/>
      <c r="C475" s="385"/>
      <c r="D475" s="385"/>
      <c r="E475" s="385"/>
      <c r="F475" s="385"/>
      <c r="G475" s="385"/>
      <c r="H475" s="385"/>
      <c r="I475" s="385"/>
      <c r="J475" s="385"/>
      <c r="K475" s="385"/>
    </row>
    <row r="476">
      <c r="A476" s="385"/>
      <c r="B476" s="385"/>
      <c r="C476" s="385"/>
      <c r="D476" s="385"/>
      <c r="E476" s="385"/>
      <c r="F476" s="385"/>
      <c r="G476" s="385"/>
      <c r="H476" s="385"/>
      <c r="I476" s="385"/>
      <c r="J476" s="385"/>
      <c r="K476" s="385"/>
    </row>
    <row r="477">
      <c r="A477" s="385"/>
      <c r="B477" s="385"/>
      <c r="C477" s="385"/>
      <c r="D477" s="385"/>
      <c r="E477" s="385"/>
      <c r="F477" s="385"/>
      <c r="G477" s="385"/>
      <c r="H477" s="385"/>
      <c r="I477" s="385"/>
      <c r="J477" s="385"/>
      <c r="K477" s="385"/>
    </row>
    <row r="478">
      <c r="A478" s="385"/>
      <c r="B478" s="385"/>
      <c r="C478" s="385"/>
      <c r="D478" s="385"/>
      <c r="E478" s="385"/>
      <c r="F478" s="385"/>
      <c r="G478" s="385"/>
      <c r="H478" s="385"/>
      <c r="I478" s="385"/>
      <c r="J478" s="385"/>
      <c r="K478" s="385"/>
    </row>
    <row r="479">
      <c r="A479" s="385"/>
      <c r="B479" s="385"/>
      <c r="C479" s="385"/>
      <c r="D479" s="385"/>
      <c r="E479" s="385"/>
      <c r="F479" s="385"/>
      <c r="G479" s="385"/>
      <c r="H479" s="385"/>
      <c r="I479" s="385"/>
      <c r="J479" s="385"/>
      <c r="K479" s="385"/>
    </row>
    <row r="480">
      <c r="A480" s="385"/>
      <c r="B480" s="385"/>
      <c r="C480" s="385"/>
      <c r="D480" s="385"/>
      <c r="E480" s="385"/>
      <c r="F480" s="385"/>
      <c r="G480" s="385"/>
      <c r="H480" s="385"/>
      <c r="I480" s="385"/>
      <c r="J480" s="385"/>
      <c r="K480" s="385"/>
    </row>
    <row r="481">
      <c r="A481" s="385"/>
      <c r="B481" s="385"/>
      <c r="C481" s="385"/>
      <c r="D481" s="385"/>
      <c r="E481" s="385"/>
      <c r="F481" s="385"/>
      <c r="G481" s="385"/>
      <c r="H481" s="385"/>
      <c r="I481" s="385"/>
      <c r="J481" s="385"/>
      <c r="K481" s="385"/>
    </row>
    <row r="482">
      <c r="A482" s="385"/>
      <c r="B482" s="385"/>
      <c r="C482" s="385"/>
      <c r="D482" s="385"/>
      <c r="E482" s="385"/>
      <c r="F482" s="385"/>
      <c r="G482" s="385"/>
      <c r="H482" s="385"/>
      <c r="I482" s="385"/>
      <c r="J482" s="385"/>
      <c r="K482" s="385"/>
    </row>
    <row r="483">
      <c r="A483" s="385"/>
      <c r="B483" s="385"/>
      <c r="C483" s="385"/>
      <c r="D483" s="385"/>
      <c r="E483" s="385"/>
      <c r="F483" s="385"/>
      <c r="G483" s="385"/>
      <c r="H483" s="385"/>
      <c r="I483" s="385"/>
      <c r="J483" s="385"/>
      <c r="K483" s="385"/>
    </row>
    <row r="484">
      <c r="A484" s="385"/>
      <c r="B484" s="385"/>
      <c r="C484" s="385"/>
      <c r="D484" s="385"/>
      <c r="E484" s="385"/>
      <c r="F484" s="385"/>
      <c r="G484" s="385"/>
      <c r="H484" s="385"/>
      <c r="I484" s="385"/>
      <c r="J484" s="385"/>
      <c r="K484" s="385"/>
    </row>
    <row r="485">
      <c r="A485" s="385"/>
      <c r="B485" s="385"/>
      <c r="C485" s="385"/>
      <c r="D485" s="385"/>
      <c r="E485" s="385"/>
      <c r="F485" s="385"/>
      <c r="G485" s="385"/>
      <c r="H485" s="385"/>
      <c r="I485" s="385"/>
      <c r="J485" s="385"/>
      <c r="K485" s="385"/>
    </row>
    <row r="486">
      <c r="A486" s="385"/>
      <c r="B486" s="385"/>
      <c r="C486" s="385"/>
      <c r="D486" s="385"/>
      <c r="E486" s="385"/>
      <c r="F486" s="385"/>
      <c r="G486" s="385"/>
      <c r="H486" s="385"/>
      <c r="I486" s="385"/>
      <c r="J486" s="385"/>
      <c r="K486" s="385"/>
    </row>
    <row r="487">
      <c r="A487" s="385"/>
      <c r="B487" s="385"/>
      <c r="C487" s="385"/>
      <c r="D487" s="385"/>
      <c r="E487" s="385"/>
      <c r="F487" s="385"/>
      <c r="G487" s="385"/>
      <c r="H487" s="385"/>
      <c r="I487" s="385"/>
      <c r="J487" s="385"/>
      <c r="K487" s="385"/>
    </row>
    <row r="488">
      <c r="A488" s="385"/>
      <c r="B488" s="385"/>
      <c r="C488" s="385"/>
      <c r="D488" s="385"/>
      <c r="E488" s="385"/>
      <c r="F488" s="385"/>
      <c r="G488" s="385"/>
      <c r="H488" s="385"/>
      <c r="I488" s="385"/>
      <c r="J488" s="385"/>
      <c r="K488" s="385"/>
    </row>
    <row r="489">
      <c r="A489" s="385"/>
      <c r="B489" s="385"/>
      <c r="C489" s="385"/>
      <c r="D489" s="385"/>
      <c r="E489" s="385"/>
      <c r="F489" s="385"/>
      <c r="G489" s="385"/>
      <c r="H489" s="385"/>
      <c r="I489" s="385"/>
      <c r="J489" s="385"/>
      <c r="K489" s="385"/>
    </row>
    <row r="490">
      <c r="A490" s="385"/>
      <c r="B490" s="385"/>
      <c r="C490" s="385"/>
      <c r="D490" s="385"/>
      <c r="E490" s="385"/>
      <c r="F490" s="385"/>
      <c r="G490" s="385"/>
      <c r="H490" s="385"/>
      <c r="I490" s="385"/>
      <c r="J490" s="385"/>
      <c r="K490" s="385"/>
    </row>
    <row r="491">
      <c r="A491" s="385"/>
      <c r="B491" s="385"/>
      <c r="C491" s="385"/>
      <c r="D491" s="385"/>
      <c r="E491" s="385"/>
      <c r="F491" s="385"/>
      <c r="G491" s="385"/>
      <c r="H491" s="385"/>
      <c r="I491" s="385"/>
      <c r="J491" s="385"/>
      <c r="K491" s="385"/>
    </row>
    <row r="492">
      <c r="A492" s="385"/>
      <c r="B492" s="385"/>
      <c r="C492" s="385"/>
      <c r="D492" s="385"/>
      <c r="E492" s="385"/>
      <c r="F492" s="385"/>
      <c r="G492" s="385"/>
      <c r="H492" s="385"/>
      <c r="I492" s="385"/>
      <c r="J492" s="385"/>
      <c r="K492" s="385"/>
    </row>
    <row r="493">
      <c r="A493" s="385"/>
      <c r="B493" s="385"/>
      <c r="C493" s="385"/>
      <c r="D493" s="385"/>
      <c r="E493" s="385"/>
      <c r="F493" s="385"/>
      <c r="G493" s="385"/>
      <c r="H493" s="385"/>
      <c r="I493" s="385"/>
      <c r="J493" s="385"/>
      <c r="K493" s="385"/>
    </row>
    <row r="494">
      <c r="A494" s="385"/>
      <c r="B494" s="385"/>
      <c r="C494" s="385"/>
      <c r="D494" s="385"/>
      <c r="E494" s="385"/>
      <c r="F494" s="385"/>
      <c r="G494" s="385"/>
      <c r="H494" s="385"/>
      <c r="I494" s="385"/>
      <c r="J494" s="385"/>
      <c r="K494" s="385"/>
    </row>
    <row r="495">
      <c r="A495" s="385"/>
      <c r="B495" s="385"/>
      <c r="C495" s="385"/>
      <c r="D495" s="385"/>
      <c r="E495" s="385"/>
      <c r="F495" s="385"/>
      <c r="G495" s="385"/>
      <c r="H495" s="385"/>
      <c r="I495" s="385"/>
      <c r="J495" s="385"/>
      <c r="K495" s="385"/>
    </row>
    <row r="496">
      <c r="A496" s="385"/>
      <c r="B496" s="385"/>
      <c r="C496" s="385"/>
      <c r="D496" s="385"/>
      <c r="E496" s="385"/>
      <c r="F496" s="385"/>
      <c r="G496" s="385"/>
      <c r="H496" s="385"/>
      <c r="I496" s="385"/>
      <c r="J496" s="385"/>
      <c r="K496" s="385"/>
    </row>
    <row r="497">
      <c r="A497" s="385"/>
      <c r="B497" s="385"/>
      <c r="C497" s="385"/>
      <c r="D497" s="385"/>
      <c r="E497" s="385"/>
      <c r="F497" s="385"/>
      <c r="G497" s="385"/>
      <c r="H497" s="385"/>
      <c r="I497" s="385"/>
      <c r="J497" s="385"/>
      <c r="K497" s="385"/>
    </row>
    <row r="498">
      <c r="A498" s="385"/>
      <c r="B498" s="385"/>
      <c r="C498" s="385"/>
      <c r="D498" s="385"/>
      <c r="E498" s="385"/>
      <c r="F498" s="385"/>
      <c r="G498" s="385"/>
      <c r="H498" s="385"/>
      <c r="I498" s="385"/>
      <c r="J498" s="385"/>
      <c r="K498" s="385"/>
    </row>
    <row r="499">
      <c r="A499" s="385"/>
      <c r="B499" s="385"/>
      <c r="C499" s="385"/>
      <c r="D499" s="385"/>
      <c r="E499" s="385"/>
      <c r="F499" s="385"/>
      <c r="G499" s="385"/>
      <c r="H499" s="385"/>
      <c r="I499" s="385"/>
      <c r="J499" s="385"/>
      <c r="K499" s="385"/>
    </row>
    <row r="500">
      <c r="A500" s="385"/>
      <c r="B500" s="385"/>
      <c r="C500" s="385"/>
      <c r="D500" s="385"/>
      <c r="E500" s="385"/>
      <c r="F500" s="385"/>
      <c r="G500" s="385"/>
      <c r="H500" s="385"/>
      <c r="I500" s="385"/>
      <c r="J500" s="385"/>
      <c r="K500" s="385"/>
    </row>
    <row r="501">
      <c r="A501" s="385"/>
      <c r="B501" s="385"/>
      <c r="C501" s="385"/>
      <c r="D501" s="385"/>
      <c r="E501" s="385"/>
      <c r="F501" s="385"/>
      <c r="G501" s="385"/>
      <c r="H501" s="385"/>
      <c r="I501" s="385"/>
      <c r="J501" s="385"/>
      <c r="K501" s="385"/>
    </row>
    <row r="502">
      <c r="A502" s="385"/>
      <c r="B502" s="385"/>
      <c r="C502" s="385"/>
      <c r="D502" s="385"/>
      <c r="E502" s="385"/>
      <c r="F502" s="385"/>
      <c r="G502" s="385"/>
      <c r="H502" s="385"/>
      <c r="I502" s="385"/>
      <c r="J502" s="385"/>
      <c r="K502" s="385"/>
    </row>
    <row r="503">
      <c r="A503" s="385"/>
      <c r="B503" s="385"/>
      <c r="C503" s="385"/>
      <c r="D503" s="385"/>
      <c r="E503" s="385"/>
      <c r="F503" s="385"/>
      <c r="G503" s="385"/>
      <c r="H503" s="385"/>
      <c r="I503" s="385"/>
      <c r="J503" s="385"/>
      <c r="K503" s="385"/>
    </row>
    <row r="504">
      <c r="A504" s="385"/>
      <c r="B504" s="385"/>
      <c r="C504" s="385"/>
      <c r="D504" s="385"/>
      <c r="E504" s="385"/>
      <c r="F504" s="385"/>
      <c r="G504" s="385"/>
      <c r="H504" s="385"/>
      <c r="I504" s="385"/>
      <c r="J504" s="385"/>
      <c r="K504" s="385"/>
    </row>
    <row r="505">
      <c r="A505" s="385"/>
      <c r="B505" s="385"/>
      <c r="C505" s="385"/>
      <c r="D505" s="385"/>
      <c r="E505" s="385"/>
      <c r="F505" s="385"/>
      <c r="G505" s="385"/>
      <c r="H505" s="385"/>
      <c r="I505" s="385"/>
      <c r="J505" s="385"/>
      <c r="K505" s="385"/>
    </row>
    <row r="506">
      <c r="A506" s="385"/>
      <c r="B506" s="385"/>
      <c r="C506" s="385"/>
      <c r="D506" s="385"/>
      <c r="E506" s="385"/>
      <c r="F506" s="385"/>
      <c r="G506" s="385"/>
      <c r="H506" s="385"/>
      <c r="I506" s="385"/>
      <c r="J506" s="385"/>
      <c r="K506" s="385"/>
    </row>
    <row r="507">
      <c r="A507" s="385"/>
      <c r="B507" s="385"/>
      <c r="C507" s="385"/>
      <c r="D507" s="385"/>
      <c r="E507" s="385"/>
      <c r="F507" s="385"/>
      <c r="G507" s="385"/>
      <c r="H507" s="385"/>
      <c r="I507" s="385"/>
      <c r="J507" s="385"/>
      <c r="K507" s="385"/>
    </row>
    <row r="508">
      <c r="A508" s="385"/>
      <c r="B508" s="385"/>
      <c r="C508" s="385"/>
      <c r="D508" s="385"/>
      <c r="E508" s="385"/>
      <c r="F508" s="385"/>
      <c r="G508" s="385"/>
      <c r="H508" s="385"/>
      <c r="I508" s="385"/>
      <c r="J508" s="385"/>
      <c r="K508" s="385"/>
    </row>
    <row r="509">
      <c r="A509" s="385"/>
      <c r="B509" s="385"/>
      <c r="C509" s="385"/>
      <c r="D509" s="385"/>
      <c r="E509" s="385"/>
      <c r="F509" s="385"/>
      <c r="G509" s="385"/>
      <c r="H509" s="385"/>
      <c r="I509" s="385"/>
      <c r="J509" s="385"/>
      <c r="K509" s="385"/>
    </row>
    <row r="510">
      <c r="A510" s="385"/>
      <c r="B510" s="385"/>
      <c r="C510" s="385"/>
      <c r="D510" s="385"/>
      <c r="E510" s="385"/>
      <c r="F510" s="385"/>
      <c r="G510" s="385"/>
      <c r="H510" s="385"/>
      <c r="I510" s="385"/>
      <c r="J510" s="385"/>
      <c r="K510" s="385"/>
    </row>
    <row r="511">
      <c r="A511" s="385"/>
      <c r="B511" s="385"/>
      <c r="C511" s="385"/>
      <c r="D511" s="385"/>
      <c r="E511" s="385"/>
      <c r="F511" s="385"/>
      <c r="G511" s="385"/>
      <c r="H511" s="385"/>
      <c r="I511" s="385"/>
      <c r="J511" s="385"/>
      <c r="K511" s="385"/>
    </row>
    <row r="512">
      <c r="A512" s="385"/>
      <c r="B512" s="385"/>
      <c r="C512" s="385"/>
      <c r="D512" s="385"/>
      <c r="E512" s="385"/>
      <c r="F512" s="385"/>
      <c r="G512" s="385"/>
      <c r="H512" s="385"/>
      <c r="I512" s="385"/>
      <c r="J512" s="385"/>
      <c r="K512" s="385"/>
    </row>
    <row r="513">
      <c r="A513" s="385"/>
      <c r="B513" s="385"/>
      <c r="C513" s="385"/>
      <c r="D513" s="385"/>
      <c r="E513" s="385"/>
      <c r="F513" s="385"/>
      <c r="G513" s="385"/>
      <c r="H513" s="385"/>
      <c r="I513" s="385"/>
      <c r="J513" s="385"/>
      <c r="K513" s="385"/>
    </row>
    <row r="514">
      <c r="A514" s="385"/>
      <c r="B514" s="385"/>
      <c r="C514" s="385"/>
      <c r="D514" s="385"/>
      <c r="E514" s="385"/>
      <c r="F514" s="385"/>
      <c r="G514" s="385"/>
      <c r="H514" s="385"/>
      <c r="I514" s="385"/>
      <c r="J514" s="385"/>
      <c r="K514" s="385"/>
    </row>
    <row r="515">
      <c r="A515" s="385"/>
      <c r="B515" s="385"/>
      <c r="C515" s="385"/>
      <c r="D515" s="385"/>
      <c r="E515" s="385"/>
      <c r="F515" s="385"/>
      <c r="G515" s="385"/>
      <c r="H515" s="385"/>
      <c r="I515" s="385"/>
      <c r="J515" s="385"/>
      <c r="K515" s="385"/>
    </row>
    <row r="516">
      <c r="A516" s="385"/>
      <c r="B516" s="385"/>
      <c r="C516" s="385"/>
      <c r="D516" s="385"/>
      <c r="E516" s="385"/>
      <c r="F516" s="385"/>
      <c r="G516" s="385"/>
      <c r="H516" s="385"/>
      <c r="I516" s="385"/>
      <c r="J516" s="385"/>
      <c r="K516" s="385"/>
    </row>
    <row r="517">
      <c r="A517" s="385"/>
      <c r="B517" s="385"/>
      <c r="C517" s="385"/>
      <c r="D517" s="385"/>
      <c r="E517" s="385"/>
      <c r="F517" s="385"/>
      <c r="G517" s="385"/>
      <c r="H517" s="385"/>
      <c r="I517" s="385"/>
      <c r="J517" s="385"/>
      <c r="K517" s="385"/>
    </row>
    <row r="518">
      <c r="A518" s="385"/>
      <c r="B518" s="385"/>
      <c r="C518" s="385"/>
      <c r="D518" s="385"/>
      <c r="E518" s="385"/>
      <c r="F518" s="385"/>
      <c r="G518" s="385"/>
      <c r="H518" s="385"/>
      <c r="I518" s="385"/>
      <c r="J518" s="385"/>
      <c r="K518" s="385"/>
    </row>
    <row r="519">
      <c r="A519" s="385"/>
      <c r="B519" s="385"/>
      <c r="C519" s="385"/>
      <c r="D519" s="385"/>
      <c r="E519" s="385"/>
      <c r="F519" s="385"/>
      <c r="G519" s="385"/>
      <c r="H519" s="385"/>
      <c r="I519" s="385"/>
      <c r="J519" s="385"/>
      <c r="K519" s="385"/>
    </row>
    <row r="520">
      <c r="A520" s="385"/>
      <c r="B520" s="385"/>
      <c r="C520" s="385"/>
      <c r="D520" s="385"/>
      <c r="E520" s="385"/>
      <c r="F520" s="385"/>
      <c r="G520" s="385"/>
      <c r="H520" s="385"/>
      <c r="I520" s="385"/>
      <c r="J520" s="385"/>
      <c r="K520" s="385"/>
    </row>
    <row r="521">
      <c r="A521" s="385"/>
      <c r="B521" s="385"/>
      <c r="C521" s="385"/>
      <c r="D521" s="385"/>
      <c r="E521" s="385"/>
      <c r="F521" s="385"/>
      <c r="G521" s="385"/>
      <c r="H521" s="385"/>
      <c r="I521" s="385"/>
      <c r="J521" s="385"/>
      <c r="K521" s="385"/>
    </row>
    <row r="522">
      <c r="A522" s="385"/>
      <c r="B522" s="385"/>
      <c r="C522" s="385"/>
      <c r="D522" s="385"/>
      <c r="E522" s="385"/>
      <c r="F522" s="385"/>
      <c r="G522" s="385"/>
      <c r="H522" s="385"/>
      <c r="I522" s="385"/>
      <c r="J522" s="385"/>
      <c r="K522" s="385"/>
    </row>
    <row r="523">
      <c r="A523" s="385"/>
      <c r="B523" s="385"/>
      <c r="C523" s="385"/>
      <c r="D523" s="385"/>
      <c r="E523" s="385"/>
      <c r="F523" s="385"/>
      <c r="G523" s="385"/>
      <c r="H523" s="385"/>
      <c r="I523" s="385"/>
      <c r="J523" s="385"/>
      <c r="K523" s="385"/>
    </row>
    <row r="524">
      <c r="A524" s="385"/>
      <c r="B524" s="385"/>
      <c r="C524" s="385"/>
      <c r="D524" s="385"/>
      <c r="E524" s="385"/>
      <c r="F524" s="385"/>
      <c r="G524" s="385"/>
      <c r="H524" s="385"/>
      <c r="I524" s="385"/>
      <c r="J524" s="385"/>
      <c r="K524" s="385"/>
    </row>
    <row r="525">
      <c r="A525" s="385"/>
      <c r="B525" s="385"/>
      <c r="C525" s="385"/>
      <c r="D525" s="385"/>
      <c r="E525" s="385"/>
      <c r="F525" s="385"/>
      <c r="G525" s="385"/>
      <c r="H525" s="385"/>
      <c r="I525" s="385"/>
      <c r="J525" s="385"/>
      <c r="K525" s="385"/>
    </row>
    <row r="526">
      <c r="A526" s="385"/>
      <c r="B526" s="385"/>
      <c r="C526" s="385"/>
      <c r="D526" s="385"/>
      <c r="E526" s="385"/>
      <c r="F526" s="385"/>
      <c r="G526" s="385"/>
      <c r="H526" s="385"/>
      <c r="I526" s="385"/>
      <c r="J526" s="385"/>
      <c r="K526" s="385"/>
    </row>
    <row r="527">
      <c r="A527" s="385"/>
      <c r="B527" s="385"/>
      <c r="C527" s="385"/>
      <c r="D527" s="385"/>
      <c r="E527" s="385"/>
      <c r="F527" s="385"/>
      <c r="G527" s="385"/>
      <c r="H527" s="385"/>
      <c r="I527" s="385"/>
      <c r="J527" s="385"/>
      <c r="K527" s="385"/>
    </row>
    <row r="528">
      <c r="A528" s="385"/>
      <c r="B528" s="385"/>
      <c r="C528" s="385"/>
      <c r="D528" s="385"/>
      <c r="E528" s="385"/>
      <c r="F528" s="385"/>
      <c r="G528" s="385"/>
      <c r="H528" s="385"/>
      <c r="I528" s="385"/>
      <c r="J528" s="385"/>
      <c r="K528" s="385"/>
    </row>
    <row r="529">
      <c r="A529" s="385"/>
      <c r="B529" s="385"/>
      <c r="C529" s="385"/>
      <c r="D529" s="385"/>
      <c r="E529" s="385"/>
      <c r="F529" s="385"/>
      <c r="G529" s="385"/>
      <c r="H529" s="385"/>
      <c r="I529" s="385"/>
      <c r="J529" s="385"/>
      <c r="K529" s="385"/>
    </row>
    <row r="530">
      <c r="A530" s="385"/>
      <c r="B530" s="385"/>
      <c r="C530" s="385"/>
      <c r="D530" s="385"/>
      <c r="E530" s="385"/>
      <c r="F530" s="385"/>
      <c r="G530" s="385"/>
      <c r="H530" s="385"/>
      <c r="I530" s="385"/>
      <c r="J530" s="385"/>
      <c r="K530" s="385"/>
    </row>
    <row r="531">
      <c r="A531" s="385"/>
      <c r="B531" s="385"/>
      <c r="C531" s="385"/>
      <c r="D531" s="385"/>
      <c r="E531" s="385"/>
      <c r="F531" s="385"/>
      <c r="G531" s="385"/>
      <c r="H531" s="385"/>
      <c r="I531" s="385"/>
      <c r="J531" s="385"/>
      <c r="K531" s="385"/>
    </row>
    <row r="532">
      <c r="A532" s="385"/>
      <c r="B532" s="385"/>
      <c r="C532" s="385"/>
      <c r="D532" s="385"/>
      <c r="E532" s="385"/>
      <c r="F532" s="385"/>
      <c r="G532" s="385"/>
      <c r="H532" s="385"/>
      <c r="I532" s="385"/>
      <c r="J532" s="385"/>
      <c r="K532" s="385"/>
    </row>
    <row r="533">
      <c r="A533" s="385"/>
      <c r="B533" s="385"/>
      <c r="C533" s="385"/>
      <c r="D533" s="385"/>
      <c r="E533" s="385"/>
      <c r="F533" s="385"/>
      <c r="G533" s="385"/>
      <c r="H533" s="385"/>
      <c r="I533" s="385"/>
      <c r="J533" s="385"/>
      <c r="K533" s="385"/>
    </row>
    <row r="534">
      <c r="A534" s="385"/>
      <c r="B534" s="385"/>
      <c r="C534" s="385"/>
      <c r="D534" s="385"/>
      <c r="E534" s="385"/>
      <c r="F534" s="385"/>
      <c r="G534" s="385"/>
      <c r="H534" s="385"/>
      <c r="I534" s="385"/>
      <c r="J534" s="385"/>
      <c r="K534" s="385"/>
    </row>
    <row r="535">
      <c r="A535" s="385"/>
      <c r="B535" s="385"/>
      <c r="C535" s="385"/>
      <c r="D535" s="385"/>
      <c r="E535" s="385"/>
      <c r="F535" s="385"/>
      <c r="G535" s="385"/>
      <c r="H535" s="385"/>
      <c r="I535" s="385"/>
      <c r="J535" s="385"/>
      <c r="K535" s="385"/>
    </row>
    <row r="536">
      <c r="A536" s="385"/>
      <c r="B536" s="385"/>
      <c r="C536" s="385"/>
      <c r="D536" s="385"/>
      <c r="E536" s="385"/>
      <c r="F536" s="385"/>
      <c r="G536" s="385"/>
      <c r="H536" s="385"/>
      <c r="I536" s="385"/>
      <c r="J536" s="385"/>
      <c r="K536" s="385"/>
    </row>
    <row r="537">
      <c r="A537" s="385"/>
      <c r="B537" s="385"/>
      <c r="C537" s="385"/>
      <c r="D537" s="385"/>
      <c r="E537" s="385"/>
      <c r="F537" s="385"/>
      <c r="G537" s="385"/>
      <c r="H537" s="385"/>
      <c r="I537" s="385"/>
      <c r="J537" s="385"/>
      <c r="K537" s="385"/>
    </row>
    <row r="538">
      <c r="A538" s="385"/>
      <c r="B538" s="385"/>
      <c r="C538" s="385"/>
      <c r="D538" s="385"/>
      <c r="E538" s="385"/>
      <c r="F538" s="385"/>
      <c r="G538" s="385"/>
      <c r="H538" s="385"/>
      <c r="I538" s="385"/>
      <c r="J538" s="385"/>
      <c r="K538" s="385"/>
    </row>
    <row r="539">
      <c r="A539" s="385"/>
      <c r="B539" s="385"/>
      <c r="C539" s="385"/>
      <c r="D539" s="385"/>
      <c r="E539" s="385"/>
      <c r="F539" s="385"/>
      <c r="G539" s="385"/>
      <c r="H539" s="385"/>
      <c r="I539" s="385"/>
      <c r="J539" s="385"/>
      <c r="K539" s="385"/>
    </row>
    <row r="540">
      <c r="A540" s="385"/>
      <c r="B540" s="385"/>
      <c r="C540" s="385"/>
      <c r="D540" s="385"/>
      <c r="E540" s="385"/>
      <c r="F540" s="385"/>
      <c r="G540" s="385"/>
      <c r="H540" s="385"/>
      <c r="I540" s="385"/>
      <c r="J540" s="385"/>
      <c r="K540" s="385"/>
    </row>
    <row r="541">
      <c r="A541" s="385"/>
      <c r="B541" s="385"/>
      <c r="C541" s="385"/>
      <c r="D541" s="385"/>
      <c r="E541" s="385"/>
      <c r="F541" s="385"/>
      <c r="G541" s="385"/>
      <c r="H541" s="385"/>
      <c r="I541" s="385"/>
      <c r="J541" s="385"/>
      <c r="K541" s="385"/>
    </row>
    <row r="542">
      <c r="A542" s="385"/>
      <c r="B542" s="385"/>
      <c r="C542" s="385"/>
      <c r="D542" s="385"/>
      <c r="E542" s="385"/>
      <c r="F542" s="385"/>
      <c r="G542" s="385"/>
      <c r="H542" s="385"/>
      <c r="I542" s="385"/>
      <c r="J542" s="385"/>
      <c r="K542" s="385"/>
    </row>
    <row r="543">
      <c r="A543" s="385"/>
      <c r="B543" s="385"/>
      <c r="C543" s="385"/>
      <c r="D543" s="385"/>
      <c r="E543" s="385"/>
      <c r="F543" s="385"/>
      <c r="G543" s="385"/>
      <c r="H543" s="385"/>
      <c r="I543" s="385"/>
      <c r="J543" s="385"/>
      <c r="K543" s="385"/>
    </row>
    <row r="544">
      <c r="A544" s="385"/>
      <c r="B544" s="385"/>
      <c r="C544" s="385"/>
      <c r="D544" s="385"/>
      <c r="E544" s="385"/>
      <c r="F544" s="385"/>
      <c r="G544" s="385"/>
      <c r="H544" s="385"/>
      <c r="I544" s="385"/>
      <c r="J544" s="385"/>
      <c r="K544" s="385"/>
    </row>
    <row r="545">
      <c r="A545" s="385"/>
      <c r="B545" s="385"/>
      <c r="C545" s="385"/>
      <c r="D545" s="385"/>
      <c r="E545" s="385"/>
      <c r="F545" s="385"/>
      <c r="G545" s="385"/>
      <c r="H545" s="385"/>
      <c r="I545" s="385"/>
      <c r="J545" s="385"/>
      <c r="K545" s="385"/>
    </row>
    <row r="546">
      <c r="A546" s="385"/>
      <c r="B546" s="385"/>
      <c r="C546" s="385"/>
      <c r="D546" s="385"/>
      <c r="E546" s="385"/>
      <c r="F546" s="385"/>
      <c r="G546" s="385"/>
      <c r="H546" s="385"/>
      <c r="I546" s="385"/>
      <c r="J546" s="385"/>
      <c r="K546" s="385"/>
    </row>
    <row r="547">
      <c r="A547" s="385"/>
      <c r="B547" s="385"/>
      <c r="C547" s="385"/>
      <c r="D547" s="385"/>
      <c r="E547" s="385"/>
      <c r="F547" s="385"/>
      <c r="G547" s="385"/>
      <c r="H547" s="385"/>
      <c r="I547" s="385"/>
      <c r="J547" s="385"/>
      <c r="K547" s="385"/>
    </row>
    <row r="548">
      <c r="A548" s="385"/>
      <c r="B548" s="385"/>
      <c r="C548" s="385"/>
      <c r="D548" s="385"/>
      <c r="E548" s="385"/>
      <c r="F548" s="385"/>
      <c r="G548" s="385"/>
      <c r="H548" s="385"/>
      <c r="I548" s="385"/>
      <c r="J548" s="385"/>
      <c r="K548" s="385"/>
    </row>
    <row r="549">
      <c r="A549" s="385"/>
      <c r="B549" s="385"/>
      <c r="C549" s="385"/>
      <c r="D549" s="385"/>
      <c r="E549" s="385"/>
      <c r="F549" s="385"/>
      <c r="G549" s="385"/>
      <c r="H549" s="385"/>
      <c r="I549" s="385"/>
      <c r="J549" s="385"/>
      <c r="K549" s="385"/>
    </row>
    <row r="550">
      <c r="A550" s="385"/>
      <c r="B550" s="385"/>
      <c r="C550" s="385"/>
      <c r="D550" s="385"/>
      <c r="E550" s="385"/>
      <c r="F550" s="385"/>
      <c r="G550" s="385"/>
      <c r="H550" s="385"/>
      <c r="I550" s="385"/>
      <c r="J550" s="385"/>
      <c r="K550" s="385"/>
    </row>
    <row r="551">
      <c r="A551" s="385"/>
      <c r="B551" s="385"/>
      <c r="C551" s="385"/>
      <c r="D551" s="385"/>
      <c r="E551" s="385"/>
      <c r="F551" s="385"/>
      <c r="G551" s="385"/>
      <c r="H551" s="385"/>
      <c r="I551" s="385"/>
      <c r="J551" s="385"/>
      <c r="K551" s="385"/>
    </row>
    <row r="552">
      <c r="A552" s="385"/>
      <c r="B552" s="385"/>
      <c r="C552" s="385"/>
      <c r="D552" s="385"/>
      <c r="E552" s="385"/>
      <c r="F552" s="385"/>
      <c r="G552" s="385"/>
      <c r="H552" s="385"/>
      <c r="I552" s="385"/>
      <c r="J552" s="385"/>
      <c r="K552" s="385"/>
    </row>
    <row r="553">
      <c r="A553" s="385"/>
      <c r="B553" s="385"/>
      <c r="C553" s="385"/>
      <c r="D553" s="385"/>
      <c r="E553" s="385"/>
      <c r="F553" s="385"/>
      <c r="G553" s="385"/>
      <c r="H553" s="385"/>
      <c r="I553" s="385"/>
      <c r="J553" s="385"/>
      <c r="K553" s="385"/>
    </row>
    <row r="554">
      <c r="A554" s="385"/>
      <c r="B554" s="385"/>
      <c r="C554" s="385"/>
      <c r="D554" s="385"/>
      <c r="E554" s="385"/>
      <c r="F554" s="385"/>
      <c r="G554" s="385"/>
      <c r="H554" s="385"/>
      <c r="I554" s="385"/>
      <c r="J554" s="385"/>
      <c r="K554" s="385"/>
    </row>
    <row r="555">
      <c r="A555" s="385"/>
      <c r="B555" s="385"/>
      <c r="C555" s="385"/>
      <c r="D555" s="385"/>
      <c r="E555" s="385"/>
      <c r="F555" s="385"/>
      <c r="G555" s="385"/>
      <c r="H555" s="385"/>
      <c r="I555" s="385"/>
      <c r="J555" s="385"/>
      <c r="K555" s="385"/>
    </row>
    <row r="556">
      <c r="A556" s="385"/>
      <c r="B556" s="385"/>
      <c r="C556" s="385"/>
      <c r="D556" s="385"/>
      <c r="E556" s="385"/>
      <c r="F556" s="385"/>
      <c r="G556" s="385"/>
      <c r="H556" s="385"/>
      <c r="I556" s="385"/>
      <c r="J556" s="385"/>
      <c r="K556" s="385"/>
    </row>
    <row r="557">
      <c r="A557" s="385"/>
      <c r="B557" s="385"/>
      <c r="C557" s="385"/>
      <c r="D557" s="385"/>
      <c r="E557" s="385"/>
      <c r="F557" s="385"/>
      <c r="G557" s="385"/>
      <c r="H557" s="385"/>
      <c r="I557" s="385"/>
      <c r="J557" s="385"/>
      <c r="K557" s="385"/>
    </row>
    <row r="558">
      <c r="A558" s="385"/>
      <c r="B558" s="385"/>
      <c r="C558" s="385"/>
      <c r="D558" s="385"/>
      <c r="E558" s="385"/>
      <c r="F558" s="385"/>
      <c r="G558" s="385"/>
      <c r="H558" s="385"/>
      <c r="I558" s="385"/>
      <c r="J558" s="385"/>
      <c r="K558" s="385"/>
    </row>
    <row r="559">
      <c r="A559" s="385"/>
      <c r="B559" s="385"/>
      <c r="C559" s="385"/>
      <c r="D559" s="385"/>
      <c r="E559" s="385"/>
      <c r="F559" s="385"/>
      <c r="G559" s="385"/>
      <c r="H559" s="385"/>
      <c r="I559" s="385"/>
      <c r="J559" s="385"/>
      <c r="K559" s="385"/>
    </row>
    <row r="560">
      <c r="A560" s="385"/>
      <c r="B560" s="385"/>
      <c r="C560" s="385"/>
      <c r="D560" s="385"/>
      <c r="E560" s="385"/>
      <c r="F560" s="385"/>
      <c r="G560" s="385"/>
      <c r="H560" s="385"/>
      <c r="I560" s="385"/>
      <c r="J560" s="385"/>
      <c r="K560" s="385"/>
    </row>
    <row r="561">
      <c r="A561" s="385"/>
      <c r="B561" s="385"/>
      <c r="C561" s="385"/>
      <c r="D561" s="385"/>
      <c r="E561" s="385"/>
      <c r="F561" s="385"/>
      <c r="G561" s="385"/>
      <c r="H561" s="385"/>
      <c r="I561" s="385"/>
      <c r="J561" s="385"/>
      <c r="K561" s="385"/>
    </row>
    <row r="562">
      <c r="A562" s="385"/>
      <c r="B562" s="385"/>
      <c r="C562" s="385"/>
      <c r="D562" s="385"/>
      <c r="E562" s="385"/>
      <c r="F562" s="385"/>
      <c r="G562" s="385"/>
      <c r="H562" s="385"/>
      <c r="I562" s="385"/>
      <c r="J562" s="385"/>
      <c r="K562" s="385"/>
    </row>
    <row r="563">
      <c r="A563" s="385"/>
      <c r="B563" s="385"/>
      <c r="C563" s="385"/>
      <c r="D563" s="385"/>
      <c r="E563" s="385"/>
      <c r="F563" s="385"/>
      <c r="G563" s="385"/>
      <c r="H563" s="385"/>
      <c r="I563" s="385"/>
      <c r="J563" s="385"/>
      <c r="K563" s="385"/>
    </row>
    <row r="564">
      <c r="A564" s="385"/>
      <c r="B564" s="385"/>
      <c r="C564" s="385"/>
      <c r="D564" s="385"/>
      <c r="E564" s="385"/>
      <c r="F564" s="385"/>
      <c r="G564" s="385"/>
      <c r="H564" s="385"/>
      <c r="I564" s="385"/>
      <c r="J564" s="385"/>
      <c r="K564" s="385"/>
    </row>
    <row r="565">
      <c r="A565" s="385"/>
      <c r="B565" s="385"/>
      <c r="C565" s="385"/>
      <c r="D565" s="385"/>
      <c r="E565" s="385"/>
      <c r="F565" s="385"/>
      <c r="G565" s="385"/>
      <c r="H565" s="385"/>
      <c r="I565" s="385"/>
      <c r="J565" s="385"/>
      <c r="K565" s="385"/>
    </row>
    <row r="566">
      <c r="A566" s="385"/>
      <c r="B566" s="385"/>
      <c r="C566" s="385"/>
      <c r="D566" s="385"/>
      <c r="E566" s="385"/>
      <c r="F566" s="385"/>
      <c r="G566" s="385"/>
      <c r="H566" s="385"/>
      <c r="I566" s="385"/>
      <c r="J566" s="385"/>
      <c r="K566" s="385"/>
    </row>
    <row r="567">
      <c r="A567" s="385"/>
      <c r="B567" s="385"/>
      <c r="C567" s="385"/>
      <c r="D567" s="385"/>
      <c r="E567" s="385"/>
      <c r="F567" s="385"/>
      <c r="G567" s="385"/>
      <c r="H567" s="385"/>
      <c r="I567" s="385"/>
      <c r="J567" s="385"/>
      <c r="K567" s="385"/>
    </row>
    <row r="568">
      <c r="A568" s="385"/>
      <c r="B568" s="385"/>
      <c r="C568" s="385"/>
      <c r="D568" s="385"/>
      <c r="E568" s="385"/>
      <c r="F568" s="385"/>
      <c r="G568" s="385"/>
      <c r="H568" s="385"/>
      <c r="I568" s="385"/>
      <c r="J568" s="385"/>
      <c r="K568" s="385"/>
    </row>
    <row r="569">
      <c r="A569" s="385"/>
      <c r="B569" s="385"/>
      <c r="C569" s="385"/>
      <c r="D569" s="385"/>
      <c r="E569" s="385"/>
      <c r="F569" s="385"/>
      <c r="G569" s="385"/>
      <c r="H569" s="385"/>
      <c r="I569" s="385"/>
      <c r="J569" s="385"/>
      <c r="K569" s="385"/>
    </row>
    <row r="570">
      <c r="A570" s="385"/>
      <c r="B570" s="385"/>
      <c r="C570" s="385"/>
      <c r="D570" s="385"/>
      <c r="E570" s="385"/>
      <c r="F570" s="385"/>
      <c r="G570" s="385"/>
      <c r="H570" s="385"/>
      <c r="I570" s="385"/>
      <c r="J570" s="385"/>
      <c r="K570" s="385"/>
    </row>
    <row r="571">
      <c r="A571" s="385"/>
      <c r="B571" s="385"/>
      <c r="C571" s="385"/>
      <c r="D571" s="385"/>
      <c r="E571" s="385"/>
      <c r="F571" s="385"/>
      <c r="G571" s="385"/>
      <c r="H571" s="385"/>
      <c r="I571" s="385"/>
      <c r="J571" s="385"/>
      <c r="K571" s="385"/>
    </row>
    <row r="572">
      <c r="A572" s="385"/>
      <c r="B572" s="385"/>
      <c r="C572" s="385"/>
      <c r="D572" s="385"/>
      <c r="E572" s="385"/>
      <c r="F572" s="385"/>
      <c r="G572" s="385"/>
      <c r="H572" s="385"/>
      <c r="I572" s="385"/>
      <c r="J572" s="385"/>
      <c r="K572" s="385"/>
    </row>
    <row r="573">
      <c r="A573" s="385"/>
      <c r="B573" s="385"/>
      <c r="C573" s="385"/>
      <c r="D573" s="385"/>
      <c r="E573" s="385"/>
      <c r="F573" s="385"/>
      <c r="G573" s="385"/>
      <c r="H573" s="385"/>
      <c r="I573" s="385"/>
      <c r="J573" s="385"/>
      <c r="K573" s="385"/>
    </row>
    <row r="574">
      <c r="A574" s="385"/>
      <c r="B574" s="385"/>
      <c r="C574" s="385"/>
      <c r="D574" s="385"/>
      <c r="E574" s="385"/>
      <c r="F574" s="385"/>
      <c r="G574" s="385"/>
      <c r="H574" s="385"/>
      <c r="I574" s="385"/>
      <c r="J574" s="385"/>
      <c r="K574" s="385"/>
    </row>
    <row r="575">
      <c r="A575" s="385"/>
      <c r="B575" s="385"/>
      <c r="C575" s="385"/>
      <c r="D575" s="385"/>
      <c r="E575" s="385"/>
      <c r="F575" s="385"/>
      <c r="G575" s="385"/>
      <c r="H575" s="385"/>
      <c r="I575" s="385"/>
      <c r="J575" s="385"/>
      <c r="K575" s="385"/>
    </row>
    <row r="576">
      <c r="A576" s="385"/>
      <c r="B576" s="385"/>
      <c r="C576" s="385"/>
      <c r="D576" s="385"/>
      <c r="E576" s="385"/>
      <c r="F576" s="385"/>
      <c r="G576" s="385"/>
      <c r="H576" s="385"/>
      <c r="I576" s="385"/>
      <c r="J576" s="385"/>
      <c r="K576" s="385"/>
    </row>
    <row r="577">
      <c r="A577" s="385"/>
      <c r="B577" s="385"/>
      <c r="C577" s="385"/>
      <c r="D577" s="385"/>
      <c r="E577" s="385"/>
      <c r="F577" s="385"/>
      <c r="G577" s="385"/>
      <c r="H577" s="385"/>
      <c r="I577" s="385"/>
      <c r="J577" s="385"/>
      <c r="K577" s="385"/>
    </row>
    <row r="578">
      <c r="A578" s="385"/>
      <c r="B578" s="385"/>
      <c r="C578" s="385"/>
      <c r="D578" s="385"/>
      <c r="E578" s="385"/>
      <c r="F578" s="385"/>
      <c r="G578" s="385"/>
      <c r="H578" s="385"/>
      <c r="I578" s="385"/>
      <c r="J578" s="385"/>
      <c r="K578" s="385"/>
    </row>
    <row r="579">
      <c r="A579" s="385"/>
      <c r="B579" s="385"/>
      <c r="C579" s="385"/>
      <c r="D579" s="385"/>
      <c r="E579" s="385"/>
      <c r="F579" s="385"/>
      <c r="G579" s="385"/>
      <c r="H579" s="385"/>
      <c r="I579" s="385"/>
      <c r="J579" s="385"/>
      <c r="K579" s="385"/>
    </row>
    <row r="580">
      <c r="A580" s="385"/>
      <c r="B580" s="385"/>
      <c r="C580" s="385"/>
      <c r="D580" s="385"/>
      <c r="E580" s="385"/>
      <c r="F580" s="385"/>
      <c r="G580" s="385"/>
      <c r="H580" s="385"/>
      <c r="I580" s="385"/>
      <c r="J580" s="385"/>
      <c r="K580" s="385"/>
    </row>
    <row r="581">
      <c r="A581" s="385"/>
      <c r="B581" s="385"/>
      <c r="C581" s="385"/>
      <c r="D581" s="385"/>
      <c r="E581" s="385"/>
      <c r="F581" s="385"/>
      <c r="G581" s="385"/>
      <c r="H581" s="385"/>
      <c r="I581" s="385"/>
      <c r="J581" s="385"/>
      <c r="K581" s="385"/>
    </row>
    <row r="582">
      <c r="A582" s="385"/>
      <c r="B582" s="385"/>
      <c r="C582" s="385"/>
      <c r="D582" s="385"/>
      <c r="E582" s="385"/>
      <c r="F582" s="385"/>
      <c r="G582" s="385"/>
      <c r="H582" s="385"/>
      <c r="I582" s="385"/>
      <c r="J582" s="385"/>
      <c r="K582" s="385"/>
    </row>
    <row r="583">
      <c r="A583" s="385"/>
      <c r="B583" s="385"/>
      <c r="C583" s="385"/>
      <c r="D583" s="385"/>
      <c r="E583" s="385"/>
      <c r="F583" s="385"/>
      <c r="G583" s="385"/>
      <c r="H583" s="385"/>
      <c r="I583" s="385"/>
      <c r="J583" s="385"/>
      <c r="K583" s="385"/>
    </row>
    <row r="584">
      <c r="A584" s="385"/>
      <c r="B584" s="385"/>
      <c r="C584" s="385"/>
      <c r="D584" s="385"/>
      <c r="E584" s="385"/>
      <c r="F584" s="385"/>
      <c r="G584" s="385"/>
      <c r="H584" s="385"/>
      <c r="I584" s="385"/>
      <c r="J584" s="385"/>
      <c r="K584" s="385"/>
    </row>
    <row r="585">
      <c r="A585" s="385"/>
      <c r="B585" s="385"/>
      <c r="C585" s="385"/>
      <c r="D585" s="385"/>
      <c r="E585" s="385"/>
      <c r="F585" s="385"/>
      <c r="G585" s="385"/>
      <c r="H585" s="385"/>
      <c r="I585" s="385"/>
      <c r="J585" s="385"/>
      <c r="K585" s="385"/>
    </row>
    <row r="586">
      <c r="A586" s="385"/>
      <c r="B586" s="385"/>
      <c r="C586" s="385"/>
      <c r="D586" s="385"/>
      <c r="E586" s="385"/>
      <c r="F586" s="385"/>
      <c r="G586" s="385"/>
      <c r="H586" s="385"/>
      <c r="I586" s="385"/>
      <c r="J586" s="385"/>
      <c r="K586" s="385"/>
    </row>
    <row r="587">
      <c r="A587" s="385"/>
      <c r="B587" s="385"/>
      <c r="C587" s="385"/>
      <c r="D587" s="385"/>
      <c r="E587" s="385"/>
      <c r="F587" s="385"/>
      <c r="G587" s="385"/>
      <c r="H587" s="385"/>
      <c r="I587" s="385"/>
      <c r="J587" s="385"/>
      <c r="K587" s="385"/>
    </row>
    <row r="588">
      <c r="A588" s="385"/>
      <c r="B588" s="385"/>
      <c r="C588" s="385"/>
      <c r="D588" s="385"/>
      <c r="E588" s="385"/>
      <c r="F588" s="385"/>
      <c r="G588" s="385"/>
      <c r="H588" s="385"/>
      <c r="I588" s="385"/>
      <c r="J588" s="385"/>
      <c r="K588" s="385"/>
    </row>
    <row r="589">
      <c r="A589" s="385"/>
      <c r="B589" s="385"/>
      <c r="C589" s="385"/>
      <c r="D589" s="385"/>
      <c r="E589" s="385"/>
      <c r="F589" s="385"/>
      <c r="G589" s="385"/>
      <c r="H589" s="385"/>
      <c r="I589" s="385"/>
      <c r="J589" s="385"/>
      <c r="K589" s="385"/>
    </row>
    <row r="590">
      <c r="A590" s="385"/>
      <c r="B590" s="385"/>
      <c r="C590" s="385"/>
      <c r="D590" s="385"/>
      <c r="E590" s="385"/>
      <c r="F590" s="385"/>
      <c r="G590" s="385"/>
      <c r="H590" s="385"/>
      <c r="I590" s="385"/>
      <c r="J590" s="385"/>
      <c r="K590" s="385"/>
    </row>
    <row r="591">
      <c r="A591" s="385"/>
      <c r="B591" s="385"/>
      <c r="C591" s="385"/>
      <c r="D591" s="385"/>
      <c r="E591" s="385"/>
      <c r="F591" s="385"/>
      <c r="G591" s="385"/>
      <c r="H591" s="385"/>
      <c r="I591" s="385"/>
      <c r="J591" s="385"/>
      <c r="K591" s="385"/>
    </row>
    <row r="592">
      <c r="A592" s="385"/>
      <c r="B592" s="385"/>
      <c r="C592" s="385"/>
      <c r="D592" s="385"/>
      <c r="E592" s="385"/>
      <c r="F592" s="385"/>
      <c r="G592" s="385"/>
      <c r="H592" s="385"/>
      <c r="I592" s="385"/>
      <c r="J592" s="385"/>
      <c r="K592" s="385"/>
    </row>
    <row r="593">
      <c r="A593" s="385"/>
      <c r="B593" s="385"/>
      <c r="C593" s="385"/>
      <c r="D593" s="385"/>
      <c r="E593" s="385"/>
      <c r="F593" s="385"/>
      <c r="G593" s="385"/>
      <c r="H593" s="385"/>
      <c r="I593" s="385"/>
      <c r="J593" s="385"/>
      <c r="K593" s="385"/>
    </row>
    <row r="594">
      <c r="A594" s="385"/>
      <c r="B594" s="385"/>
      <c r="C594" s="385"/>
      <c r="D594" s="385"/>
      <c r="E594" s="385"/>
      <c r="F594" s="385"/>
      <c r="G594" s="385"/>
      <c r="H594" s="385"/>
      <c r="I594" s="385"/>
      <c r="J594" s="385"/>
      <c r="K594" s="385"/>
    </row>
    <row r="595">
      <c r="A595" s="385"/>
      <c r="B595" s="385"/>
      <c r="C595" s="385"/>
      <c r="D595" s="385"/>
      <c r="E595" s="385"/>
      <c r="F595" s="385"/>
      <c r="G595" s="385"/>
      <c r="H595" s="385"/>
      <c r="I595" s="385"/>
      <c r="J595" s="385"/>
      <c r="K595" s="385"/>
    </row>
    <row r="596">
      <c r="A596" s="385"/>
      <c r="B596" s="385"/>
      <c r="C596" s="385"/>
      <c r="D596" s="385"/>
      <c r="E596" s="385"/>
      <c r="F596" s="385"/>
      <c r="G596" s="385"/>
      <c r="H596" s="385"/>
      <c r="I596" s="385"/>
      <c r="J596" s="385"/>
      <c r="K596" s="385"/>
    </row>
    <row r="597">
      <c r="A597" s="385"/>
      <c r="B597" s="385"/>
      <c r="C597" s="385"/>
      <c r="D597" s="385"/>
      <c r="E597" s="385"/>
      <c r="F597" s="385"/>
      <c r="G597" s="385"/>
      <c r="H597" s="385"/>
      <c r="I597" s="385"/>
      <c r="J597" s="385"/>
      <c r="K597" s="385"/>
    </row>
    <row r="598">
      <c r="A598" s="385"/>
      <c r="B598" s="385"/>
      <c r="C598" s="385"/>
      <c r="D598" s="385"/>
      <c r="E598" s="385"/>
      <c r="F598" s="385"/>
      <c r="G598" s="385"/>
      <c r="H598" s="385"/>
      <c r="I598" s="385"/>
      <c r="J598" s="385"/>
      <c r="K598" s="385"/>
    </row>
    <row r="599">
      <c r="A599" s="385"/>
      <c r="B599" s="385"/>
      <c r="C599" s="385"/>
      <c r="D599" s="385"/>
      <c r="E599" s="385"/>
      <c r="F599" s="385"/>
      <c r="G599" s="385"/>
      <c r="H599" s="385"/>
      <c r="I599" s="385"/>
      <c r="J599" s="385"/>
      <c r="K599" s="385"/>
    </row>
    <row r="600">
      <c r="A600" s="385"/>
      <c r="B600" s="385"/>
      <c r="C600" s="385"/>
      <c r="D600" s="385"/>
      <c r="E600" s="385"/>
      <c r="F600" s="385"/>
      <c r="G600" s="385"/>
      <c r="H600" s="385"/>
      <c r="I600" s="385"/>
      <c r="J600" s="385"/>
      <c r="K600" s="385"/>
    </row>
    <row r="601">
      <c r="A601" s="385"/>
      <c r="B601" s="385"/>
      <c r="C601" s="385"/>
      <c r="D601" s="385"/>
      <c r="E601" s="385"/>
      <c r="F601" s="385"/>
      <c r="G601" s="385"/>
      <c r="H601" s="385"/>
      <c r="I601" s="385"/>
      <c r="J601" s="385"/>
      <c r="K601" s="385"/>
    </row>
    <row r="602">
      <c r="A602" s="385"/>
      <c r="B602" s="385"/>
      <c r="C602" s="385"/>
      <c r="D602" s="385"/>
      <c r="E602" s="385"/>
      <c r="F602" s="385"/>
      <c r="G602" s="385"/>
      <c r="H602" s="385"/>
      <c r="I602" s="385"/>
      <c r="J602" s="385"/>
      <c r="K602" s="385"/>
    </row>
    <row r="603">
      <c r="A603" s="385"/>
      <c r="B603" s="385"/>
      <c r="C603" s="385"/>
      <c r="D603" s="385"/>
      <c r="E603" s="385"/>
      <c r="F603" s="385"/>
      <c r="G603" s="385"/>
      <c r="H603" s="385"/>
      <c r="I603" s="385"/>
      <c r="J603" s="385"/>
      <c r="K603" s="385"/>
    </row>
    <row r="604">
      <c r="A604" s="385"/>
      <c r="B604" s="385"/>
      <c r="C604" s="385"/>
      <c r="D604" s="385"/>
      <c r="E604" s="385"/>
      <c r="F604" s="385"/>
      <c r="G604" s="385"/>
      <c r="H604" s="385"/>
      <c r="I604" s="385"/>
      <c r="J604" s="385"/>
      <c r="K604" s="385"/>
    </row>
    <row r="605">
      <c r="A605" s="385"/>
      <c r="B605" s="385"/>
      <c r="C605" s="385"/>
      <c r="D605" s="385"/>
      <c r="E605" s="385"/>
      <c r="F605" s="385"/>
      <c r="G605" s="385"/>
      <c r="H605" s="385"/>
      <c r="I605" s="385"/>
      <c r="J605" s="385"/>
      <c r="K605" s="385"/>
    </row>
    <row r="606">
      <c r="A606" s="385"/>
      <c r="B606" s="385"/>
      <c r="C606" s="385"/>
      <c r="D606" s="385"/>
      <c r="E606" s="385"/>
      <c r="F606" s="385"/>
      <c r="G606" s="385"/>
      <c r="H606" s="385"/>
      <c r="I606" s="385"/>
      <c r="J606" s="385"/>
      <c r="K606" s="385"/>
    </row>
    <row r="607">
      <c r="A607" s="385"/>
      <c r="B607" s="385"/>
      <c r="C607" s="385"/>
      <c r="D607" s="385"/>
      <c r="E607" s="385"/>
      <c r="F607" s="385"/>
      <c r="G607" s="385"/>
      <c r="H607" s="385"/>
      <c r="I607" s="385"/>
      <c r="J607" s="385"/>
      <c r="K607" s="385"/>
    </row>
    <row r="608">
      <c r="A608" s="385"/>
      <c r="B608" s="385"/>
      <c r="C608" s="385"/>
      <c r="D608" s="385"/>
      <c r="E608" s="385"/>
      <c r="F608" s="385"/>
      <c r="G608" s="385"/>
      <c r="H608" s="385"/>
      <c r="I608" s="385"/>
      <c r="J608" s="385"/>
      <c r="K608" s="385"/>
    </row>
    <row r="609">
      <c r="A609" s="385"/>
      <c r="B609" s="385"/>
      <c r="C609" s="385"/>
      <c r="D609" s="385"/>
      <c r="E609" s="385"/>
      <c r="F609" s="385"/>
      <c r="G609" s="385"/>
      <c r="H609" s="385"/>
      <c r="I609" s="385"/>
      <c r="J609" s="385"/>
      <c r="K609" s="385"/>
    </row>
    <row r="610">
      <c r="A610" s="385"/>
      <c r="B610" s="385"/>
      <c r="C610" s="385"/>
      <c r="D610" s="385"/>
      <c r="E610" s="385"/>
      <c r="F610" s="385"/>
      <c r="G610" s="385"/>
      <c r="H610" s="385"/>
      <c r="I610" s="385"/>
      <c r="J610" s="385"/>
      <c r="K610" s="385"/>
    </row>
    <row r="611">
      <c r="A611" s="385"/>
      <c r="B611" s="385"/>
      <c r="C611" s="385"/>
      <c r="D611" s="385"/>
      <c r="E611" s="385"/>
      <c r="F611" s="385"/>
      <c r="G611" s="385"/>
      <c r="H611" s="385"/>
      <c r="I611" s="385"/>
      <c r="J611" s="385"/>
      <c r="K611" s="385"/>
    </row>
    <row r="612">
      <c r="A612" s="385"/>
      <c r="B612" s="385"/>
      <c r="C612" s="385"/>
      <c r="D612" s="385"/>
      <c r="E612" s="385"/>
      <c r="F612" s="385"/>
      <c r="G612" s="385"/>
      <c r="H612" s="385"/>
      <c r="I612" s="385"/>
      <c r="J612" s="385"/>
      <c r="K612" s="385"/>
    </row>
    <row r="613">
      <c r="A613" s="385"/>
      <c r="B613" s="385"/>
      <c r="C613" s="385"/>
      <c r="D613" s="385"/>
      <c r="E613" s="385"/>
      <c r="F613" s="385"/>
      <c r="G613" s="385"/>
      <c r="H613" s="385"/>
      <c r="I613" s="385"/>
      <c r="J613" s="385"/>
      <c r="K613" s="385"/>
    </row>
    <row r="614">
      <c r="A614" s="385"/>
      <c r="B614" s="385"/>
      <c r="C614" s="385"/>
      <c r="D614" s="385"/>
      <c r="E614" s="385"/>
      <c r="F614" s="385"/>
      <c r="G614" s="385"/>
      <c r="H614" s="385"/>
      <c r="I614" s="385"/>
      <c r="J614" s="385"/>
      <c r="K614" s="385"/>
    </row>
    <row r="615">
      <c r="A615" s="385"/>
      <c r="B615" s="385"/>
      <c r="C615" s="385"/>
      <c r="D615" s="385"/>
      <c r="E615" s="385"/>
      <c r="F615" s="385"/>
      <c r="G615" s="385"/>
      <c r="H615" s="385"/>
      <c r="I615" s="385"/>
      <c r="J615" s="385"/>
      <c r="K615" s="385"/>
    </row>
    <row r="616">
      <c r="A616" s="385"/>
      <c r="B616" s="385"/>
      <c r="C616" s="385"/>
      <c r="D616" s="385"/>
      <c r="E616" s="385"/>
      <c r="F616" s="385"/>
      <c r="G616" s="385"/>
      <c r="H616" s="385"/>
      <c r="I616" s="385"/>
      <c r="J616" s="385"/>
      <c r="K616" s="385"/>
    </row>
    <row r="617">
      <c r="A617" s="385"/>
      <c r="B617" s="385"/>
      <c r="C617" s="385"/>
      <c r="D617" s="385"/>
      <c r="E617" s="385"/>
      <c r="F617" s="385"/>
      <c r="G617" s="385"/>
      <c r="H617" s="385"/>
      <c r="I617" s="385"/>
      <c r="J617" s="385"/>
      <c r="K617" s="385"/>
    </row>
    <row r="618">
      <c r="A618" s="385"/>
      <c r="B618" s="385"/>
      <c r="C618" s="385"/>
      <c r="D618" s="385"/>
      <c r="E618" s="385"/>
      <c r="F618" s="385"/>
      <c r="G618" s="385"/>
      <c r="H618" s="385"/>
      <c r="I618" s="385"/>
      <c r="J618" s="385"/>
      <c r="K618" s="385"/>
    </row>
    <row r="619">
      <c r="A619" s="385"/>
      <c r="B619" s="385"/>
      <c r="C619" s="385"/>
      <c r="D619" s="385"/>
      <c r="E619" s="385"/>
      <c r="F619" s="385"/>
      <c r="G619" s="385"/>
      <c r="H619" s="385"/>
      <c r="I619" s="385"/>
      <c r="J619" s="385"/>
      <c r="K619" s="385"/>
    </row>
    <row r="620">
      <c r="A620" s="385"/>
      <c r="B620" s="385"/>
      <c r="C620" s="385"/>
      <c r="D620" s="385"/>
      <c r="E620" s="385"/>
      <c r="F620" s="385"/>
      <c r="G620" s="385"/>
      <c r="H620" s="385"/>
      <c r="I620" s="385"/>
      <c r="J620" s="385"/>
      <c r="K620" s="385"/>
    </row>
    <row r="621">
      <c r="A621" s="385"/>
      <c r="B621" s="385"/>
      <c r="C621" s="385"/>
      <c r="D621" s="385"/>
      <c r="E621" s="385"/>
      <c r="F621" s="385"/>
      <c r="G621" s="385"/>
      <c r="H621" s="385"/>
      <c r="I621" s="385"/>
      <c r="J621" s="385"/>
      <c r="K621" s="385"/>
    </row>
    <row r="622">
      <c r="A622" s="385"/>
      <c r="B622" s="385"/>
      <c r="C622" s="385"/>
      <c r="D622" s="385"/>
      <c r="E622" s="385"/>
      <c r="F622" s="385"/>
      <c r="G622" s="385"/>
      <c r="H622" s="385"/>
      <c r="I622" s="385"/>
      <c r="J622" s="385"/>
      <c r="K622" s="385"/>
    </row>
    <row r="623">
      <c r="A623" s="385"/>
      <c r="B623" s="385"/>
      <c r="C623" s="385"/>
      <c r="D623" s="385"/>
      <c r="E623" s="385"/>
      <c r="F623" s="385"/>
      <c r="G623" s="385"/>
      <c r="H623" s="385"/>
      <c r="I623" s="385"/>
      <c r="J623" s="385"/>
      <c r="K623" s="385"/>
    </row>
    <row r="624">
      <c r="A624" s="385"/>
      <c r="B624" s="385"/>
      <c r="C624" s="385"/>
      <c r="D624" s="385"/>
      <c r="E624" s="385"/>
      <c r="F624" s="385"/>
      <c r="G624" s="385"/>
      <c r="H624" s="385"/>
      <c r="I624" s="385"/>
      <c r="J624" s="385"/>
      <c r="K624" s="385"/>
    </row>
    <row r="625">
      <c r="A625" s="385"/>
      <c r="B625" s="385"/>
      <c r="C625" s="385"/>
      <c r="D625" s="385"/>
      <c r="E625" s="385"/>
      <c r="F625" s="385"/>
      <c r="G625" s="385"/>
      <c r="H625" s="385"/>
      <c r="I625" s="385"/>
      <c r="J625" s="385"/>
      <c r="K625" s="385"/>
    </row>
    <row r="626">
      <c r="A626" s="385"/>
      <c r="B626" s="385"/>
      <c r="C626" s="385"/>
      <c r="D626" s="385"/>
      <c r="E626" s="385"/>
      <c r="F626" s="385"/>
      <c r="G626" s="385"/>
      <c r="H626" s="385"/>
      <c r="I626" s="385"/>
      <c r="J626" s="385"/>
      <c r="K626" s="385"/>
    </row>
    <row r="627">
      <c r="A627" s="385"/>
      <c r="B627" s="385"/>
      <c r="C627" s="385"/>
      <c r="D627" s="385"/>
      <c r="E627" s="385"/>
      <c r="F627" s="385"/>
      <c r="G627" s="385"/>
      <c r="H627" s="385"/>
      <c r="I627" s="385"/>
      <c r="J627" s="385"/>
      <c r="K627" s="385"/>
    </row>
    <row r="628">
      <c r="A628" s="385"/>
      <c r="B628" s="385"/>
      <c r="C628" s="385"/>
      <c r="D628" s="385"/>
      <c r="E628" s="385"/>
      <c r="F628" s="385"/>
      <c r="G628" s="385"/>
      <c r="H628" s="385"/>
      <c r="I628" s="385"/>
      <c r="J628" s="385"/>
      <c r="K628" s="385"/>
    </row>
    <row r="629">
      <c r="A629" s="385"/>
      <c r="B629" s="385"/>
      <c r="C629" s="385"/>
      <c r="D629" s="385"/>
      <c r="E629" s="385"/>
      <c r="F629" s="385"/>
      <c r="G629" s="385"/>
      <c r="H629" s="385"/>
      <c r="I629" s="385"/>
      <c r="J629" s="385"/>
      <c r="K629" s="385"/>
    </row>
    <row r="630">
      <c r="A630" s="385"/>
      <c r="B630" s="385"/>
      <c r="C630" s="385"/>
      <c r="D630" s="385"/>
      <c r="E630" s="385"/>
      <c r="F630" s="385"/>
      <c r="G630" s="385"/>
      <c r="H630" s="385"/>
      <c r="I630" s="385"/>
      <c r="J630" s="385"/>
      <c r="K630" s="385"/>
    </row>
    <row r="631">
      <c r="A631" s="385"/>
      <c r="B631" s="385"/>
      <c r="C631" s="385"/>
      <c r="D631" s="385"/>
      <c r="E631" s="385"/>
      <c r="F631" s="385"/>
      <c r="G631" s="385"/>
      <c r="H631" s="385"/>
      <c r="I631" s="385"/>
      <c r="J631" s="385"/>
      <c r="K631" s="385"/>
    </row>
    <row r="632">
      <c r="A632" s="385"/>
      <c r="B632" s="385"/>
      <c r="C632" s="385"/>
      <c r="D632" s="385"/>
      <c r="E632" s="385"/>
      <c r="F632" s="385"/>
      <c r="G632" s="385"/>
      <c r="H632" s="385"/>
      <c r="I632" s="385"/>
      <c r="J632" s="385"/>
      <c r="K632" s="385"/>
    </row>
    <row r="633">
      <c r="A633" s="385"/>
      <c r="B633" s="385"/>
      <c r="C633" s="385"/>
      <c r="D633" s="385"/>
      <c r="E633" s="385"/>
      <c r="F633" s="385"/>
      <c r="G633" s="385"/>
      <c r="H633" s="385"/>
      <c r="I633" s="385"/>
      <c r="J633" s="385"/>
      <c r="K633" s="385"/>
    </row>
    <row r="634">
      <c r="A634" s="385"/>
      <c r="B634" s="385"/>
      <c r="C634" s="385"/>
      <c r="D634" s="385"/>
      <c r="E634" s="385"/>
      <c r="F634" s="385"/>
      <c r="G634" s="385"/>
      <c r="H634" s="385"/>
      <c r="I634" s="385"/>
      <c r="J634" s="385"/>
      <c r="K634" s="385"/>
    </row>
    <row r="635">
      <c r="A635" s="385"/>
      <c r="B635" s="385"/>
      <c r="C635" s="385"/>
      <c r="D635" s="385"/>
      <c r="E635" s="385"/>
      <c r="F635" s="385"/>
      <c r="G635" s="385"/>
      <c r="H635" s="385"/>
      <c r="I635" s="385"/>
      <c r="J635" s="385"/>
      <c r="K635" s="385"/>
    </row>
    <row r="636">
      <c r="A636" s="385"/>
      <c r="B636" s="385"/>
      <c r="C636" s="385"/>
      <c r="D636" s="385"/>
      <c r="E636" s="385"/>
      <c r="F636" s="385"/>
      <c r="G636" s="385"/>
      <c r="H636" s="385"/>
      <c r="I636" s="385"/>
      <c r="J636" s="385"/>
      <c r="K636" s="385"/>
    </row>
    <row r="637">
      <c r="A637" s="385"/>
      <c r="B637" s="385"/>
      <c r="C637" s="385"/>
      <c r="D637" s="385"/>
      <c r="E637" s="385"/>
      <c r="F637" s="385"/>
      <c r="G637" s="385"/>
      <c r="H637" s="385"/>
      <c r="I637" s="385"/>
      <c r="J637" s="385"/>
      <c r="K637" s="385"/>
    </row>
    <row r="638">
      <c r="A638" s="385"/>
      <c r="B638" s="385"/>
      <c r="C638" s="385"/>
      <c r="D638" s="385"/>
      <c r="E638" s="385"/>
      <c r="F638" s="385"/>
      <c r="G638" s="385"/>
      <c r="H638" s="385"/>
      <c r="I638" s="385"/>
      <c r="J638" s="385"/>
      <c r="K638" s="385"/>
    </row>
    <row r="639">
      <c r="A639" s="385"/>
      <c r="B639" s="385"/>
      <c r="C639" s="385"/>
      <c r="D639" s="385"/>
      <c r="E639" s="385"/>
      <c r="F639" s="385"/>
      <c r="G639" s="385"/>
      <c r="H639" s="385"/>
      <c r="I639" s="385"/>
      <c r="J639" s="385"/>
      <c r="K639" s="385"/>
    </row>
    <row r="640">
      <c r="A640" s="385"/>
      <c r="B640" s="385"/>
      <c r="C640" s="385"/>
      <c r="D640" s="385"/>
      <c r="E640" s="385"/>
      <c r="F640" s="385"/>
      <c r="G640" s="385"/>
      <c r="H640" s="385"/>
      <c r="I640" s="385"/>
      <c r="J640" s="385"/>
      <c r="K640" s="385"/>
    </row>
    <row r="641">
      <c r="A641" s="385"/>
      <c r="B641" s="385"/>
      <c r="C641" s="385"/>
      <c r="D641" s="385"/>
      <c r="E641" s="385"/>
      <c r="F641" s="385"/>
      <c r="G641" s="385"/>
      <c r="H641" s="385"/>
      <c r="I641" s="385"/>
      <c r="J641" s="385"/>
      <c r="K641" s="385"/>
    </row>
    <row r="642">
      <c r="A642" s="385"/>
      <c r="B642" s="385"/>
      <c r="C642" s="385"/>
      <c r="D642" s="385"/>
      <c r="E642" s="385"/>
      <c r="F642" s="385"/>
      <c r="G642" s="385"/>
      <c r="H642" s="385"/>
      <c r="I642" s="385"/>
      <c r="J642" s="385"/>
      <c r="K642" s="385"/>
    </row>
    <row r="643">
      <c r="A643" s="385"/>
      <c r="B643" s="385"/>
      <c r="C643" s="385"/>
      <c r="D643" s="385"/>
      <c r="E643" s="385"/>
      <c r="F643" s="385"/>
      <c r="G643" s="385"/>
      <c r="H643" s="385"/>
      <c r="I643" s="385"/>
      <c r="J643" s="385"/>
      <c r="K643" s="385"/>
    </row>
    <row r="644">
      <c r="A644" s="385"/>
      <c r="B644" s="385"/>
      <c r="C644" s="385"/>
      <c r="D644" s="385"/>
      <c r="E644" s="385"/>
      <c r="F644" s="385"/>
      <c r="G644" s="385"/>
      <c r="H644" s="385"/>
      <c r="I644" s="385"/>
      <c r="J644" s="385"/>
      <c r="K644" s="385"/>
    </row>
    <row r="645">
      <c r="A645" s="385"/>
      <c r="B645" s="385"/>
      <c r="C645" s="385"/>
      <c r="D645" s="385"/>
      <c r="E645" s="385"/>
      <c r="F645" s="385"/>
      <c r="G645" s="385"/>
      <c r="H645" s="385"/>
      <c r="I645" s="385"/>
      <c r="J645" s="385"/>
      <c r="K645" s="385"/>
    </row>
    <row r="646">
      <c r="A646" s="385"/>
      <c r="B646" s="385"/>
      <c r="C646" s="385"/>
      <c r="D646" s="385"/>
      <c r="E646" s="385"/>
      <c r="F646" s="385"/>
      <c r="G646" s="385"/>
      <c r="H646" s="385"/>
      <c r="I646" s="385"/>
      <c r="J646" s="385"/>
      <c r="K646" s="385"/>
    </row>
    <row r="647">
      <c r="A647" s="385"/>
      <c r="B647" s="385"/>
      <c r="C647" s="385"/>
      <c r="D647" s="385"/>
      <c r="E647" s="385"/>
      <c r="F647" s="385"/>
      <c r="G647" s="385"/>
      <c r="H647" s="385"/>
      <c r="I647" s="385"/>
      <c r="J647" s="385"/>
      <c r="K647" s="385"/>
    </row>
    <row r="648">
      <c r="A648" s="385"/>
      <c r="B648" s="385"/>
      <c r="C648" s="385"/>
      <c r="D648" s="385"/>
      <c r="E648" s="385"/>
      <c r="F648" s="385"/>
      <c r="G648" s="385"/>
      <c r="H648" s="385"/>
      <c r="I648" s="385"/>
      <c r="J648" s="385"/>
      <c r="K648" s="385"/>
    </row>
    <row r="649">
      <c r="A649" s="385"/>
      <c r="B649" s="385"/>
      <c r="C649" s="385"/>
      <c r="D649" s="385"/>
      <c r="E649" s="385"/>
      <c r="F649" s="385"/>
      <c r="G649" s="385"/>
      <c r="H649" s="385"/>
      <c r="I649" s="385"/>
      <c r="J649" s="385"/>
      <c r="K649" s="385"/>
    </row>
    <row r="650">
      <c r="A650" s="385"/>
      <c r="B650" s="385"/>
      <c r="C650" s="385"/>
      <c r="D650" s="385"/>
      <c r="E650" s="385"/>
      <c r="F650" s="385"/>
      <c r="G650" s="385"/>
      <c r="H650" s="385"/>
      <c r="I650" s="385"/>
      <c r="J650" s="385"/>
      <c r="K650" s="385"/>
    </row>
    <row r="651">
      <c r="A651" s="385"/>
      <c r="B651" s="385"/>
      <c r="C651" s="385"/>
      <c r="D651" s="385"/>
      <c r="E651" s="385"/>
      <c r="F651" s="385"/>
      <c r="G651" s="385"/>
      <c r="H651" s="385"/>
      <c r="I651" s="385"/>
      <c r="J651" s="385"/>
      <c r="K651" s="385"/>
    </row>
    <row r="652">
      <c r="A652" s="385"/>
      <c r="B652" s="385"/>
      <c r="C652" s="385"/>
      <c r="D652" s="385"/>
      <c r="E652" s="385"/>
      <c r="F652" s="385"/>
      <c r="G652" s="385"/>
      <c r="H652" s="385"/>
      <c r="I652" s="385"/>
      <c r="J652" s="385"/>
      <c r="K652" s="385"/>
    </row>
    <row r="653">
      <c r="A653" s="385"/>
      <c r="B653" s="385"/>
      <c r="C653" s="385"/>
      <c r="D653" s="385"/>
      <c r="E653" s="385"/>
      <c r="F653" s="385"/>
      <c r="G653" s="385"/>
      <c r="H653" s="385"/>
      <c r="I653" s="385"/>
      <c r="J653" s="385"/>
      <c r="K653" s="385"/>
    </row>
    <row r="654">
      <c r="A654" s="385"/>
      <c r="B654" s="385"/>
      <c r="C654" s="385"/>
      <c r="D654" s="385"/>
      <c r="E654" s="385"/>
      <c r="F654" s="385"/>
      <c r="G654" s="385"/>
      <c r="H654" s="385"/>
      <c r="I654" s="385"/>
      <c r="J654" s="385"/>
      <c r="K654" s="385"/>
    </row>
    <row r="655">
      <c r="A655" s="385"/>
      <c r="B655" s="385"/>
      <c r="C655" s="385"/>
      <c r="D655" s="385"/>
      <c r="E655" s="385"/>
      <c r="F655" s="385"/>
      <c r="G655" s="385"/>
      <c r="H655" s="385"/>
      <c r="I655" s="385"/>
      <c r="J655" s="385"/>
      <c r="K655" s="385"/>
    </row>
    <row r="656">
      <c r="A656" s="385"/>
      <c r="B656" s="385"/>
      <c r="C656" s="385"/>
      <c r="D656" s="385"/>
      <c r="E656" s="385"/>
      <c r="F656" s="385"/>
      <c r="G656" s="385"/>
      <c r="H656" s="385"/>
      <c r="I656" s="385"/>
      <c r="J656" s="385"/>
      <c r="K656" s="385"/>
    </row>
    <row r="657">
      <c r="A657" s="385"/>
      <c r="B657" s="385"/>
      <c r="C657" s="385"/>
      <c r="D657" s="385"/>
      <c r="E657" s="385"/>
      <c r="F657" s="385"/>
      <c r="G657" s="385"/>
      <c r="H657" s="385"/>
      <c r="I657" s="385"/>
      <c r="J657" s="385"/>
      <c r="K657" s="385"/>
    </row>
    <row r="658">
      <c r="A658" s="385"/>
      <c r="B658" s="385"/>
      <c r="C658" s="385"/>
      <c r="D658" s="385"/>
      <c r="E658" s="385"/>
      <c r="F658" s="385"/>
      <c r="G658" s="385"/>
      <c r="H658" s="385"/>
      <c r="I658" s="385"/>
      <c r="J658" s="385"/>
      <c r="K658" s="385"/>
    </row>
    <row r="659">
      <c r="A659" s="385"/>
      <c r="B659" s="385"/>
      <c r="C659" s="385"/>
      <c r="D659" s="385"/>
      <c r="E659" s="385"/>
      <c r="F659" s="385"/>
      <c r="G659" s="385"/>
      <c r="H659" s="385"/>
      <c r="I659" s="385"/>
      <c r="J659" s="385"/>
      <c r="K659" s="385"/>
    </row>
    <row r="660">
      <c r="A660" s="385"/>
      <c r="B660" s="385"/>
      <c r="C660" s="385"/>
      <c r="D660" s="385"/>
      <c r="E660" s="385"/>
      <c r="F660" s="385"/>
      <c r="G660" s="385"/>
      <c r="H660" s="385"/>
      <c r="I660" s="385"/>
      <c r="J660" s="385"/>
      <c r="K660" s="385"/>
    </row>
    <row r="661">
      <c r="A661" s="385"/>
      <c r="B661" s="385"/>
      <c r="C661" s="385"/>
      <c r="D661" s="385"/>
      <c r="E661" s="385"/>
      <c r="F661" s="385"/>
      <c r="G661" s="385"/>
      <c r="H661" s="385"/>
      <c r="I661" s="385"/>
      <c r="J661" s="385"/>
      <c r="K661" s="385"/>
    </row>
    <row r="662">
      <c r="A662" s="385"/>
      <c r="B662" s="385"/>
      <c r="C662" s="385"/>
      <c r="D662" s="385"/>
      <c r="E662" s="385"/>
      <c r="F662" s="385"/>
      <c r="G662" s="385"/>
      <c r="H662" s="385"/>
      <c r="I662" s="385"/>
      <c r="J662" s="385"/>
      <c r="K662" s="385"/>
    </row>
    <row r="663">
      <c r="A663" s="385"/>
      <c r="B663" s="385"/>
      <c r="C663" s="385"/>
      <c r="D663" s="385"/>
      <c r="E663" s="385"/>
      <c r="F663" s="385"/>
      <c r="G663" s="385"/>
      <c r="H663" s="385"/>
      <c r="I663" s="385"/>
      <c r="J663" s="385"/>
      <c r="K663" s="385"/>
    </row>
    <row r="664">
      <c r="A664" s="385"/>
      <c r="B664" s="385"/>
      <c r="C664" s="385"/>
      <c r="D664" s="385"/>
      <c r="E664" s="385"/>
      <c r="F664" s="385"/>
      <c r="G664" s="385"/>
      <c r="H664" s="385"/>
      <c r="I664" s="385"/>
      <c r="J664" s="385"/>
      <c r="K664" s="385"/>
    </row>
    <row r="665">
      <c r="A665" s="385"/>
      <c r="B665" s="385"/>
      <c r="C665" s="385"/>
      <c r="D665" s="385"/>
      <c r="E665" s="385"/>
      <c r="F665" s="385"/>
      <c r="G665" s="385"/>
      <c r="H665" s="385"/>
      <c r="I665" s="385"/>
      <c r="J665" s="385"/>
      <c r="K665" s="385"/>
    </row>
    <row r="666">
      <c r="A666" s="385"/>
      <c r="B666" s="385"/>
      <c r="C666" s="385"/>
      <c r="D666" s="385"/>
      <c r="E666" s="385"/>
      <c r="F666" s="385"/>
      <c r="G666" s="385"/>
      <c r="H666" s="385"/>
      <c r="I666" s="385"/>
      <c r="J666" s="385"/>
      <c r="K666" s="385"/>
    </row>
    <row r="667">
      <c r="A667" s="385"/>
      <c r="B667" s="385"/>
      <c r="C667" s="385"/>
      <c r="D667" s="385"/>
      <c r="E667" s="385"/>
      <c r="F667" s="385"/>
      <c r="G667" s="385"/>
      <c r="H667" s="385"/>
      <c r="I667" s="385"/>
      <c r="J667" s="385"/>
      <c r="K667" s="385"/>
    </row>
    <row r="668">
      <c r="A668" s="385"/>
      <c r="B668" s="385"/>
      <c r="C668" s="385"/>
      <c r="D668" s="385"/>
      <c r="E668" s="385"/>
      <c r="F668" s="385"/>
      <c r="G668" s="385"/>
      <c r="H668" s="385"/>
      <c r="I668" s="385"/>
      <c r="J668" s="385"/>
      <c r="K668" s="385"/>
    </row>
    <row r="669">
      <c r="A669" s="385"/>
      <c r="B669" s="385"/>
      <c r="C669" s="385"/>
      <c r="D669" s="385"/>
      <c r="E669" s="385"/>
      <c r="F669" s="385"/>
      <c r="G669" s="385"/>
      <c r="H669" s="385"/>
      <c r="I669" s="385"/>
      <c r="J669" s="385"/>
      <c r="K669" s="385"/>
    </row>
    <row r="670">
      <c r="A670" s="385"/>
      <c r="B670" s="385"/>
      <c r="C670" s="385"/>
      <c r="D670" s="385"/>
      <c r="E670" s="385"/>
      <c r="F670" s="385"/>
      <c r="G670" s="385"/>
      <c r="H670" s="385"/>
      <c r="I670" s="385"/>
      <c r="J670" s="385"/>
      <c r="K670" s="385"/>
    </row>
    <row r="671">
      <c r="A671" s="385"/>
      <c r="B671" s="385"/>
      <c r="C671" s="385"/>
      <c r="D671" s="385"/>
      <c r="E671" s="385"/>
      <c r="F671" s="385"/>
      <c r="G671" s="385"/>
      <c r="H671" s="385"/>
      <c r="I671" s="385"/>
      <c r="J671" s="385"/>
      <c r="K671" s="385"/>
    </row>
    <row r="672">
      <c r="A672" s="385"/>
      <c r="B672" s="385"/>
      <c r="C672" s="385"/>
      <c r="D672" s="385"/>
      <c r="E672" s="385"/>
      <c r="F672" s="385"/>
      <c r="G672" s="385"/>
      <c r="H672" s="385"/>
      <c r="I672" s="385"/>
      <c r="J672" s="385"/>
      <c r="K672" s="385"/>
    </row>
    <row r="673">
      <c r="A673" s="385"/>
      <c r="B673" s="385"/>
      <c r="C673" s="385"/>
      <c r="D673" s="385"/>
      <c r="E673" s="385"/>
      <c r="F673" s="385"/>
      <c r="G673" s="385"/>
      <c r="H673" s="385"/>
      <c r="I673" s="385"/>
      <c r="J673" s="385"/>
      <c r="K673" s="385"/>
    </row>
    <row r="674">
      <c r="A674" s="385"/>
      <c r="B674" s="385"/>
      <c r="C674" s="385"/>
      <c r="D674" s="385"/>
      <c r="E674" s="385"/>
      <c r="F674" s="385"/>
      <c r="G674" s="385"/>
      <c r="H674" s="385"/>
      <c r="I674" s="385"/>
      <c r="J674" s="385"/>
      <c r="K674" s="385"/>
    </row>
    <row r="675">
      <c r="A675" s="385"/>
      <c r="B675" s="385"/>
      <c r="C675" s="385"/>
      <c r="D675" s="385"/>
      <c r="E675" s="385"/>
      <c r="F675" s="385"/>
      <c r="G675" s="385"/>
      <c r="H675" s="385"/>
      <c r="I675" s="385"/>
      <c r="J675" s="385"/>
      <c r="K675" s="385"/>
    </row>
    <row r="676">
      <c r="A676" s="385"/>
      <c r="B676" s="385"/>
      <c r="C676" s="385"/>
      <c r="D676" s="385"/>
      <c r="E676" s="385"/>
      <c r="F676" s="385"/>
      <c r="G676" s="385"/>
      <c r="H676" s="385"/>
      <c r="I676" s="385"/>
      <c r="J676" s="385"/>
      <c r="K676" s="385"/>
    </row>
    <row r="677">
      <c r="A677" s="385"/>
      <c r="B677" s="385"/>
      <c r="C677" s="385"/>
      <c r="D677" s="385"/>
      <c r="E677" s="385"/>
      <c r="F677" s="385"/>
      <c r="G677" s="385"/>
      <c r="H677" s="385"/>
      <c r="I677" s="385"/>
      <c r="J677" s="385"/>
      <c r="K677" s="385"/>
    </row>
    <row r="678">
      <c r="A678" s="385"/>
      <c r="B678" s="385"/>
      <c r="C678" s="385"/>
      <c r="D678" s="385"/>
      <c r="E678" s="385"/>
      <c r="F678" s="385"/>
      <c r="G678" s="385"/>
      <c r="H678" s="385"/>
      <c r="I678" s="385"/>
      <c r="J678" s="385"/>
      <c r="K678" s="385"/>
    </row>
    <row r="679">
      <c r="A679" s="385"/>
      <c r="B679" s="385"/>
      <c r="C679" s="385"/>
      <c r="D679" s="385"/>
      <c r="E679" s="385"/>
      <c r="F679" s="385"/>
      <c r="G679" s="385"/>
      <c r="H679" s="385"/>
      <c r="I679" s="385"/>
      <c r="J679" s="385"/>
      <c r="K679" s="385"/>
    </row>
    <row r="680">
      <c r="A680" s="385"/>
      <c r="B680" s="385"/>
      <c r="C680" s="385"/>
      <c r="D680" s="385"/>
      <c r="E680" s="385"/>
      <c r="F680" s="385"/>
      <c r="G680" s="385"/>
      <c r="H680" s="385"/>
      <c r="I680" s="385"/>
      <c r="J680" s="385"/>
      <c r="K680" s="385"/>
    </row>
    <row r="681">
      <c r="A681" s="385"/>
      <c r="B681" s="385"/>
      <c r="C681" s="385"/>
      <c r="D681" s="385"/>
      <c r="E681" s="385"/>
      <c r="F681" s="385"/>
      <c r="G681" s="385"/>
      <c r="H681" s="385"/>
      <c r="I681" s="385"/>
      <c r="J681" s="385"/>
      <c r="K681" s="385"/>
    </row>
    <row r="682">
      <c r="A682" s="385"/>
      <c r="B682" s="385"/>
      <c r="C682" s="385"/>
      <c r="D682" s="385"/>
      <c r="E682" s="385"/>
      <c r="F682" s="385"/>
      <c r="G682" s="385"/>
      <c r="H682" s="385"/>
      <c r="I682" s="385"/>
      <c r="J682" s="385"/>
      <c r="K682" s="385"/>
    </row>
    <row r="683">
      <c r="A683" s="385"/>
      <c r="B683" s="385"/>
      <c r="C683" s="385"/>
      <c r="D683" s="385"/>
      <c r="E683" s="385"/>
      <c r="F683" s="385"/>
      <c r="G683" s="385"/>
      <c r="H683" s="385"/>
      <c r="I683" s="385"/>
      <c r="J683" s="385"/>
      <c r="K683" s="385"/>
    </row>
    <row r="684">
      <c r="A684" s="385"/>
      <c r="B684" s="385"/>
      <c r="C684" s="385"/>
      <c r="D684" s="385"/>
      <c r="E684" s="385"/>
      <c r="F684" s="385"/>
      <c r="G684" s="385"/>
      <c r="H684" s="385"/>
      <c r="I684" s="385"/>
      <c r="J684" s="385"/>
      <c r="K684" s="385"/>
    </row>
    <row r="685">
      <c r="A685" s="385"/>
      <c r="B685" s="385"/>
      <c r="C685" s="385"/>
      <c r="D685" s="385"/>
      <c r="E685" s="385"/>
      <c r="F685" s="385"/>
      <c r="G685" s="385"/>
      <c r="H685" s="385"/>
      <c r="I685" s="385"/>
      <c r="J685" s="385"/>
      <c r="K685" s="385"/>
    </row>
    <row r="686">
      <c r="A686" s="385"/>
      <c r="B686" s="385"/>
      <c r="C686" s="385"/>
      <c r="D686" s="385"/>
      <c r="E686" s="385"/>
      <c r="F686" s="385"/>
      <c r="G686" s="385"/>
      <c r="H686" s="385"/>
      <c r="I686" s="385"/>
      <c r="J686" s="385"/>
      <c r="K686" s="385"/>
    </row>
    <row r="687">
      <c r="A687" s="385"/>
      <c r="B687" s="385"/>
      <c r="C687" s="385"/>
      <c r="D687" s="385"/>
      <c r="E687" s="385"/>
      <c r="F687" s="385"/>
      <c r="G687" s="385"/>
      <c r="H687" s="385"/>
      <c r="I687" s="385"/>
      <c r="J687" s="385"/>
      <c r="K687" s="385"/>
    </row>
    <row r="688">
      <c r="A688" s="385"/>
      <c r="B688" s="385"/>
      <c r="C688" s="385"/>
      <c r="D688" s="385"/>
      <c r="E688" s="385"/>
      <c r="F688" s="385"/>
      <c r="G688" s="385"/>
      <c r="H688" s="385"/>
      <c r="I688" s="385"/>
      <c r="J688" s="385"/>
      <c r="K688" s="385"/>
    </row>
    <row r="689">
      <c r="A689" s="385"/>
      <c r="B689" s="385"/>
      <c r="C689" s="385"/>
      <c r="D689" s="385"/>
      <c r="E689" s="385"/>
      <c r="F689" s="385"/>
      <c r="G689" s="385"/>
      <c r="H689" s="385"/>
      <c r="I689" s="385"/>
      <c r="J689" s="385"/>
      <c r="K689" s="385"/>
    </row>
    <row r="690">
      <c r="A690" s="385"/>
      <c r="B690" s="385"/>
      <c r="C690" s="385"/>
      <c r="D690" s="385"/>
      <c r="E690" s="385"/>
      <c r="F690" s="385"/>
      <c r="G690" s="385"/>
      <c r="H690" s="385"/>
      <c r="I690" s="385"/>
      <c r="J690" s="385"/>
      <c r="K690" s="385"/>
    </row>
    <row r="691">
      <c r="A691" s="385"/>
      <c r="B691" s="385"/>
      <c r="C691" s="385"/>
      <c r="D691" s="385"/>
      <c r="E691" s="385"/>
      <c r="F691" s="385"/>
      <c r="G691" s="385"/>
      <c r="H691" s="385"/>
      <c r="I691" s="385"/>
      <c r="J691" s="385"/>
      <c r="K691" s="385"/>
    </row>
    <row r="692">
      <c r="A692" s="385"/>
      <c r="B692" s="385"/>
      <c r="C692" s="385"/>
      <c r="D692" s="385"/>
      <c r="E692" s="385"/>
      <c r="F692" s="385"/>
      <c r="G692" s="385"/>
      <c r="H692" s="385"/>
      <c r="I692" s="385"/>
      <c r="J692" s="385"/>
      <c r="K692" s="385"/>
    </row>
    <row r="693">
      <c r="A693" s="385"/>
      <c r="B693" s="385"/>
      <c r="C693" s="385"/>
      <c r="D693" s="385"/>
      <c r="E693" s="385"/>
      <c r="F693" s="385"/>
      <c r="G693" s="385"/>
      <c r="H693" s="385"/>
      <c r="I693" s="385"/>
      <c r="J693" s="385"/>
      <c r="K693" s="385"/>
    </row>
    <row r="694">
      <c r="A694" s="385"/>
      <c r="B694" s="385"/>
      <c r="C694" s="385"/>
      <c r="D694" s="385"/>
      <c r="E694" s="385"/>
      <c r="F694" s="385"/>
      <c r="G694" s="385"/>
      <c r="H694" s="385"/>
      <c r="I694" s="385"/>
      <c r="J694" s="385"/>
      <c r="K694" s="385"/>
    </row>
    <row r="695">
      <c r="A695" s="385"/>
      <c r="B695" s="385"/>
      <c r="C695" s="385"/>
      <c r="D695" s="385"/>
      <c r="E695" s="385"/>
      <c r="F695" s="385"/>
      <c r="G695" s="385"/>
      <c r="H695" s="385"/>
      <c r="I695" s="385"/>
      <c r="J695" s="385"/>
      <c r="K695" s="385"/>
    </row>
    <row r="696">
      <c r="A696" s="385"/>
      <c r="B696" s="385"/>
      <c r="C696" s="385"/>
      <c r="D696" s="385"/>
      <c r="E696" s="385"/>
      <c r="F696" s="385"/>
      <c r="G696" s="385"/>
      <c r="H696" s="385"/>
      <c r="I696" s="385"/>
      <c r="J696" s="385"/>
      <c r="K696" s="385"/>
    </row>
    <row r="697">
      <c r="A697" s="385"/>
      <c r="B697" s="385"/>
      <c r="C697" s="385"/>
      <c r="D697" s="385"/>
      <c r="E697" s="385"/>
      <c r="F697" s="385"/>
      <c r="G697" s="385"/>
      <c r="H697" s="385"/>
      <c r="I697" s="385"/>
      <c r="J697" s="385"/>
      <c r="K697" s="385"/>
    </row>
    <row r="698">
      <c r="A698" s="385"/>
      <c r="B698" s="385"/>
      <c r="C698" s="385"/>
      <c r="D698" s="385"/>
      <c r="E698" s="385"/>
      <c r="F698" s="385"/>
      <c r="G698" s="385"/>
      <c r="H698" s="385"/>
      <c r="I698" s="385"/>
      <c r="J698" s="385"/>
      <c r="K698" s="385"/>
    </row>
    <row r="699">
      <c r="A699" s="385"/>
      <c r="B699" s="385"/>
      <c r="C699" s="385"/>
      <c r="D699" s="385"/>
      <c r="E699" s="385"/>
      <c r="F699" s="385"/>
      <c r="G699" s="385"/>
      <c r="H699" s="385"/>
      <c r="I699" s="385"/>
      <c r="J699" s="385"/>
      <c r="K699" s="385"/>
    </row>
    <row r="700">
      <c r="A700" s="385"/>
      <c r="B700" s="385"/>
      <c r="C700" s="385"/>
      <c r="D700" s="385"/>
      <c r="E700" s="385"/>
      <c r="F700" s="385"/>
      <c r="G700" s="385"/>
      <c r="H700" s="385"/>
      <c r="I700" s="385"/>
      <c r="J700" s="385"/>
      <c r="K700" s="385"/>
    </row>
    <row r="701">
      <c r="A701" s="385"/>
      <c r="B701" s="385"/>
      <c r="C701" s="385"/>
      <c r="D701" s="385"/>
      <c r="E701" s="385"/>
      <c r="F701" s="385"/>
      <c r="G701" s="385"/>
      <c r="H701" s="385"/>
      <c r="I701" s="385"/>
      <c r="J701" s="385"/>
      <c r="K701" s="385"/>
    </row>
    <row r="702">
      <c r="A702" s="385"/>
      <c r="B702" s="385"/>
      <c r="C702" s="385"/>
      <c r="D702" s="385"/>
      <c r="E702" s="385"/>
      <c r="F702" s="385"/>
      <c r="G702" s="385"/>
      <c r="H702" s="385"/>
      <c r="I702" s="385"/>
      <c r="J702" s="385"/>
      <c r="K702" s="385"/>
    </row>
    <row r="703">
      <c r="A703" s="385"/>
      <c r="B703" s="385"/>
      <c r="C703" s="385"/>
      <c r="D703" s="385"/>
      <c r="E703" s="385"/>
      <c r="F703" s="385"/>
      <c r="G703" s="385"/>
      <c r="H703" s="385"/>
      <c r="I703" s="385"/>
      <c r="J703" s="385"/>
      <c r="K703" s="385"/>
    </row>
    <row r="704">
      <c r="A704" s="385"/>
      <c r="B704" s="385"/>
      <c r="C704" s="385"/>
      <c r="D704" s="385"/>
      <c r="E704" s="385"/>
      <c r="F704" s="385"/>
      <c r="G704" s="385"/>
      <c r="H704" s="385"/>
      <c r="I704" s="385"/>
      <c r="J704" s="385"/>
      <c r="K704" s="385"/>
    </row>
    <row r="705">
      <c r="A705" s="385"/>
      <c r="B705" s="385"/>
      <c r="C705" s="385"/>
      <c r="D705" s="385"/>
      <c r="E705" s="385"/>
      <c r="F705" s="385"/>
      <c r="G705" s="385"/>
      <c r="H705" s="385"/>
      <c r="I705" s="385"/>
      <c r="J705" s="385"/>
      <c r="K705" s="385"/>
    </row>
    <row r="706">
      <c r="A706" s="385"/>
      <c r="B706" s="385"/>
      <c r="C706" s="385"/>
      <c r="D706" s="385"/>
      <c r="E706" s="385"/>
      <c r="F706" s="385"/>
      <c r="G706" s="385"/>
      <c r="H706" s="385"/>
      <c r="I706" s="385"/>
      <c r="J706" s="385"/>
      <c r="K706" s="385"/>
    </row>
    <row r="707">
      <c r="A707" s="385"/>
      <c r="B707" s="385"/>
      <c r="C707" s="385"/>
      <c r="D707" s="385"/>
      <c r="E707" s="385"/>
      <c r="F707" s="385"/>
      <c r="G707" s="385"/>
      <c r="H707" s="385"/>
      <c r="I707" s="385"/>
      <c r="J707" s="385"/>
      <c r="K707" s="385"/>
    </row>
    <row r="708">
      <c r="A708" s="385"/>
      <c r="B708" s="385"/>
      <c r="C708" s="385"/>
      <c r="D708" s="385"/>
      <c r="E708" s="385"/>
      <c r="F708" s="385"/>
      <c r="G708" s="385"/>
      <c r="H708" s="385"/>
      <c r="I708" s="385"/>
      <c r="J708" s="385"/>
      <c r="K708" s="385"/>
    </row>
    <row r="709">
      <c r="A709" s="385"/>
      <c r="B709" s="385"/>
      <c r="C709" s="385"/>
      <c r="D709" s="385"/>
      <c r="E709" s="385"/>
      <c r="F709" s="385"/>
      <c r="G709" s="385"/>
      <c r="H709" s="385"/>
      <c r="I709" s="385"/>
      <c r="J709" s="385"/>
      <c r="K709" s="385"/>
    </row>
    <row r="710">
      <c r="A710" s="385"/>
      <c r="B710" s="385"/>
      <c r="C710" s="385"/>
      <c r="D710" s="385"/>
      <c r="E710" s="385"/>
      <c r="F710" s="385"/>
      <c r="G710" s="385"/>
      <c r="H710" s="385"/>
      <c r="I710" s="385"/>
      <c r="J710" s="385"/>
      <c r="K710" s="385"/>
    </row>
    <row r="711">
      <c r="A711" s="385"/>
      <c r="B711" s="385"/>
      <c r="C711" s="385"/>
      <c r="D711" s="385"/>
      <c r="E711" s="385"/>
      <c r="F711" s="385"/>
      <c r="G711" s="385"/>
      <c r="H711" s="385"/>
      <c r="I711" s="385"/>
      <c r="J711" s="385"/>
      <c r="K711" s="385"/>
    </row>
    <row r="712">
      <c r="A712" s="385"/>
      <c r="B712" s="385"/>
      <c r="C712" s="385"/>
      <c r="D712" s="385"/>
      <c r="E712" s="385"/>
      <c r="F712" s="385"/>
      <c r="G712" s="385"/>
      <c r="H712" s="385"/>
      <c r="I712" s="385"/>
      <c r="J712" s="385"/>
      <c r="K712" s="385"/>
    </row>
    <row r="713">
      <c r="A713" s="385"/>
      <c r="B713" s="385"/>
      <c r="C713" s="385"/>
      <c r="D713" s="385"/>
      <c r="E713" s="385"/>
      <c r="F713" s="385"/>
      <c r="G713" s="385"/>
      <c r="H713" s="385"/>
      <c r="I713" s="385"/>
      <c r="J713" s="385"/>
      <c r="K713" s="385"/>
    </row>
    <row r="714">
      <c r="A714" s="385"/>
      <c r="B714" s="385"/>
      <c r="C714" s="385"/>
      <c r="D714" s="385"/>
      <c r="E714" s="385"/>
      <c r="F714" s="385"/>
      <c r="G714" s="385"/>
      <c r="H714" s="385"/>
      <c r="I714" s="385"/>
      <c r="J714" s="385"/>
      <c r="K714" s="385"/>
    </row>
    <row r="715">
      <c r="A715" s="385"/>
      <c r="B715" s="385"/>
      <c r="C715" s="385"/>
      <c r="D715" s="385"/>
      <c r="E715" s="385"/>
      <c r="F715" s="385"/>
      <c r="G715" s="385"/>
      <c r="H715" s="385"/>
      <c r="I715" s="385"/>
      <c r="J715" s="385"/>
      <c r="K715" s="385"/>
    </row>
    <row r="716">
      <c r="A716" s="385"/>
      <c r="B716" s="385"/>
      <c r="C716" s="385"/>
      <c r="D716" s="385"/>
      <c r="E716" s="385"/>
      <c r="F716" s="385"/>
      <c r="G716" s="385"/>
      <c r="H716" s="385"/>
      <c r="I716" s="385"/>
      <c r="J716" s="385"/>
      <c r="K716" s="385"/>
    </row>
    <row r="717">
      <c r="A717" s="385"/>
      <c r="B717" s="385"/>
      <c r="C717" s="385"/>
      <c r="D717" s="385"/>
      <c r="E717" s="385"/>
      <c r="F717" s="385"/>
      <c r="G717" s="385"/>
      <c r="H717" s="385"/>
      <c r="I717" s="385"/>
      <c r="J717" s="385"/>
      <c r="K717" s="385"/>
    </row>
    <row r="718">
      <c r="A718" s="385"/>
      <c r="B718" s="385"/>
      <c r="C718" s="385"/>
      <c r="D718" s="385"/>
      <c r="E718" s="385"/>
      <c r="F718" s="385"/>
      <c r="G718" s="385"/>
      <c r="H718" s="385"/>
      <c r="I718" s="385"/>
      <c r="J718" s="385"/>
      <c r="K718" s="385"/>
    </row>
    <row r="719">
      <c r="A719" s="385"/>
      <c r="B719" s="385"/>
      <c r="C719" s="385"/>
      <c r="D719" s="385"/>
      <c r="E719" s="385"/>
      <c r="F719" s="385"/>
      <c r="G719" s="385"/>
      <c r="H719" s="385"/>
      <c r="I719" s="385"/>
      <c r="J719" s="385"/>
      <c r="K719" s="385"/>
    </row>
    <row r="720">
      <c r="A720" s="385"/>
      <c r="B720" s="385"/>
      <c r="C720" s="385"/>
      <c r="D720" s="385"/>
      <c r="E720" s="385"/>
      <c r="F720" s="385"/>
      <c r="G720" s="385"/>
      <c r="H720" s="385"/>
      <c r="I720" s="385"/>
      <c r="J720" s="385"/>
      <c r="K720" s="385"/>
    </row>
    <row r="721">
      <c r="A721" s="385"/>
      <c r="B721" s="385"/>
      <c r="C721" s="385"/>
      <c r="D721" s="385"/>
      <c r="E721" s="385"/>
      <c r="F721" s="385"/>
      <c r="G721" s="385"/>
      <c r="H721" s="385"/>
      <c r="I721" s="385"/>
      <c r="J721" s="385"/>
      <c r="K721" s="385"/>
    </row>
    <row r="722">
      <c r="A722" s="385"/>
      <c r="B722" s="385"/>
      <c r="C722" s="385"/>
      <c r="D722" s="385"/>
      <c r="E722" s="385"/>
      <c r="F722" s="385"/>
      <c r="G722" s="385"/>
      <c r="H722" s="385"/>
      <c r="I722" s="385"/>
      <c r="J722" s="385"/>
      <c r="K722" s="385"/>
    </row>
    <row r="723">
      <c r="A723" s="385"/>
      <c r="B723" s="385"/>
      <c r="C723" s="385"/>
      <c r="D723" s="385"/>
      <c r="E723" s="385"/>
      <c r="F723" s="385"/>
      <c r="G723" s="385"/>
      <c r="H723" s="385"/>
      <c r="I723" s="385"/>
      <c r="J723" s="385"/>
      <c r="K723" s="385"/>
    </row>
    <row r="724">
      <c r="A724" s="385"/>
      <c r="B724" s="385"/>
      <c r="C724" s="385"/>
      <c r="D724" s="385"/>
      <c r="E724" s="385"/>
      <c r="F724" s="385"/>
      <c r="G724" s="385"/>
      <c r="H724" s="385"/>
      <c r="I724" s="385"/>
      <c r="J724" s="385"/>
      <c r="K724" s="385"/>
    </row>
    <row r="725">
      <c r="A725" s="385"/>
      <c r="B725" s="385"/>
      <c r="C725" s="385"/>
      <c r="D725" s="385"/>
      <c r="E725" s="385"/>
      <c r="F725" s="385"/>
      <c r="G725" s="385"/>
      <c r="H725" s="385"/>
      <c r="I725" s="385"/>
      <c r="J725" s="385"/>
      <c r="K725" s="385"/>
    </row>
    <row r="726">
      <c r="A726" s="385"/>
      <c r="B726" s="385"/>
      <c r="C726" s="385"/>
      <c r="D726" s="385"/>
      <c r="E726" s="385"/>
      <c r="F726" s="385"/>
      <c r="G726" s="385"/>
      <c r="H726" s="385"/>
      <c r="I726" s="385"/>
      <c r="J726" s="385"/>
      <c r="K726" s="385"/>
    </row>
    <row r="727">
      <c r="A727" s="385"/>
      <c r="B727" s="385"/>
      <c r="C727" s="385"/>
      <c r="D727" s="385"/>
      <c r="E727" s="385"/>
      <c r="F727" s="385"/>
      <c r="G727" s="385"/>
      <c r="H727" s="385"/>
      <c r="I727" s="385"/>
      <c r="J727" s="385"/>
      <c r="K727" s="385"/>
    </row>
    <row r="728">
      <c r="A728" s="385"/>
      <c r="B728" s="385"/>
      <c r="C728" s="385"/>
      <c r="D728" s="385"/>
      <c r="E728" s="385"/>
      <c r="F728" s="385"/>
      <c r="G728" s="385"/>
      <c r="H728" s="385"/>
      <c r="I728" s="385"/>
      <c r="J728" s="385"/>
      <c r="K728" s="385"/>
    </row>
    <row r="729">
      <c r="A729" s="385"/>
      <c r="B729" s="385"/>
      <c r="C729" s="385"/>
      <c r="D729" s="385"/>
      <c r="E729" s="385"/>
      <c r="F729" s="385"/>
      <c r="G729" s="385"/>
      <c r="H729" s="385"/>
      <c r="I729" s="385"/>
      <c r="J729" s="385"/>
      <c r="K729" s="385"/>
    </row>
    <row r="730">
      <c r="A730" s="385"/>
      <c r="B730" s="385"/>
      <c r="C730" s="385"/>
      <c r="D730" s="385"/>
      <c r="E730" s="385"/>
      <c r="F730" s="385"/>
      <c r="G730" s="385"/>
      <c r="H730" s="385"/>
      <c r="I730" s="385"/>
      <c r="J730" s="385"/>
      <c r="K730" s="385"/>
    </row>
    <row r="731">
      <c r="A731" s="385"/>
      <c r="B731" s="385"/>
      <c r="C731" s="385"/>
      <c r="D731" s="385"/>
      <c r="E731" s="385"/>
      <c r="F731" s="385"/>
      <c r="G731" s="385"/>
      <c r="H731" s="385"/>
      <c r="I731" s="385"/>
      <c r="J731" s="385"/>
      <c r="K731" s="385"/>
    </row>
    <row r="732">
      <c r="A732" s="385"/>
      <c r="B732" s="385"/>
      <c r="C732" s="385"/>
      <c r="D732" s="385"/>
      <c r="E732" s="385"/>
      <c r="F732" s="385"/>
      <c r="G732" s="385"/>
      <c r="H732" s="385"/>
      <c r="I732" s="385"/>
      <c r="J732" s="385"/>
      <c r="K732" s="385"/>
    </row>
    <row r="733">
      <c r="A733" s="385"/>
      <c r="B733" s="385"/>
      <c r="C733" s="385"/>
      <c r="D733" s="385"/>
      <c r="E733" s="385"/>
      <c r="F733" s="385"/>
      <c r="G733" s="385"/>
      <c r="H733" s="385"/>
      <c r="I733" s="385"/>
      <c r="J733" s="385"/>
      <c r="K733" s="385"/>
    </row>
    <row r="734">
      <c r="A734" s="385"/>
      <c r="B734" s="385"/>
      <c r="C734" s="385"/>
      <c r="D734" s="385"/>
      <c r="E734" s="385"/>
      <c r="F734" s="385"/>
      <c r="G734" s="385"/>
      <c r="H734" s="385"/>
      <c r="I734" s="385"/>
      <c r="J734" s="385"/>
      <c r="K734" s="385"/>
    </row>
    <row r="735">
      <c r="A735" s="385"/>
      <c r="B735" s="385"/>
      <c r="C735" s="385"/>
      <c r="D735" s="385"/>
      <c r="E735" s="385"/>
      <c r="F735" s="385"/>
      <c r="G735" s="385"/>
      <c r="H735" s="385"/>
      <c r="I735" s="385"/>
      <c r="J735" s="385"/>
      <c r="K735" s="385"/>
    </row>
    <row r="736">
      <c r="A736" s="385"/>
      <c r="B736" s="385"/>
      <c r="C736" s="385"/>
      <c r="D736" s="385"/>
      <c r="E736" s="385"/>
      <c r="F736" s="385"/>
      <c r="G736" s="385"/>
      <c r="H736" s="385"/>
      <c r="I736" s="385"/>
      <c r="J736" s="385"/>
      <c r="K736" s="385"/>
    </row>
    <row r="737">
      <c r="A737" s="385"/>
      <c r="B737" s="385"/>
      <c r="C737" s="385"/>
      <c r="D737" s="385"/>
      <c r="E737" s="385"/>
      <c r="F737" s="385"/>
      <c r="G737" s="385"/>
      <c r="H737" s="385"/>
      <c r="I737" s="385"/>
      <c r="J737" s="385"/>
      <c r="K737" s="385"/>
    </row>
    <row r="738">
      <c r="A738" s="385"/>
      <c r="B738" s="385"/>
      <c r="C738" s="385"/>
      <c r="D738" s="385"/>
      <c r="E738" s="385"/>
      <c r="F738" s="385"/>
      <c r="G738" s="385"/>
      <c r="H738" s="385"/>
      <c r="I738" s="385"/>
      <c r="J738" s="385"/>
      <c r="K738" s="385"/>
    </row>
    <row r="739">
      <c r="A739" s="385"/>
      <c r="B739" s="385"/>
      <c r="C739" s="385"/>
      <c r="D739" s="385"/>
      <c r="E739" s="385"/>
      <c r="F739" s="385"/>
      <c r="G739" s="385"/>
      <c r="H739" s="385"/>
      <c r="I739" s="385"/>
      <c r="J739" s="385"/>
      <c r="K739" s="385"/>
    </row>
    <row r="740">
      <c r="A740" s="385"/>
      <c r="B740" s="385"/>
      <c r="C740" s="385"/>
      <c r="D740" s="385"/>
      <c r="E740" s="385"/>
      <c r="F740" s="385"/>
      <c r="G740" s="385"/>
      <c r="H740" s="385"/>
      <c r="I740" s="385"/>
      <c r="J740" s="385"/>
      <c r="K740" s="385"/>
    </row>
    <row r="741">
      <c r="A741" s="385"/>
      <c r="B741" s="385"/>
      <c r="C741" s="385"/>
      <c r="D741" s="385"/>
      <c r="E741" s="385"/>
      <c r="F741" s="385"/>
      <c r="G741" s="385"/>
      <c r="H741" s="385"/>
      <c r="I741" s="385"/>
      <c r="J741" s="385"/>
      <c r="K741" s="385"/>
    </row>
    <row r="742">
      <c r="A742" s="385"/>
      <c r="B742" s="385"/>
      <c r="C742" s="385"/>
      <c r="D742" s="385"/>
      <c r="E742" s="385"/>
      <c r="F742" s="385"/>
      <c r="G742" s="385"/>
      <c r="H742" s="385"/>
      <c r="I742" s="385"/>
      <c r="J742" s="385"/>
      <c r="K742" s="385"/>
    </row>
    <row r="743">
      <c r="A743" s="385"/>
      <c r="B743" s="385"/>
      <c r="C743" s="385"/>
      <c r="D743" s="385"/>
      <c r="E743" s="385"/>
      <c r="F743" s="385"/>
      <c r="G743" s="385"/>
      <c r="H743" s="385"/>
      <c r="I743" s="385"/>
      <c r="J743" s="385"/>
      <c r="K743" s="385"/>
    </row>
    <row r="744">
      <c r="A744" s="385"/>
      <c r="B744" s="385"/>
      <c r="C744" s="385"/>
      <c r="D744" s="385"/>
      <c r="E744" s="385"/>
      <c r="F744" s="385"/>
      <c r="G744" s="385"/>
      <c r="H744" s="385"/>
      <c r="I744" s="385"/>
      <c r="J744" s="385"/>
      <c r="K744" s="385"/>
    </row>
    <row r="745">
      <c r="A745" s="385"/>
      <c r="B745" s="385"/>
      <c r="C745" s="385"/>
      <c r="D745" s="385"/>
      <c r="E745" s="385"/>
      <c r="F745" s="385"/>
      <c r="G745" s="385"/>
      <c r="H745" s="385"/>
      <c r="I745" s="385"/>
      <c r="J745" s="385"/>
      <c r="K745" s="385"/>
    </row>
    <row r="746">
      <c r="A746" s="385"/>
      <c r="B746" s="385"/>
      <c r="C746" s="385"/>
      <c r="D746" s="385"/>
      <c r="E746" s="385"/>
      <c r="F746" s="385"/>
      <c r="G746" s="385"/>
      <c r="H746" s="385"/>
      <c r="I746" s="385"/>
      <c r="J746" s="385"/>
      <c r="K746" s="385"/>
    </row>
    <row r="747">
      <c r="A747" s="385"/>
      <c r="B747" s="385"/>
      <c r="C747" s="385"/>
      <c r="D747" s="385"/>
      <c r="E747" s="385"/>
      <c r="F747" s="385"/>
      <c r="G747" s="385"/>
      <c r="H747" s="385"/>
      <c r="I747" s="385"/>
      <c r="J747" s="385"/>
      <c r="K747" s="385"/>
    </row>
    <row r="748">
      <c r="A748" s="385"/>
      <c r="B748" s="385"/>
      <c r="C748" s="385"/>
      <c r="D748" s="385"/>
      <c r="E748" s="385"/>
      <c r="F748" s="385"/>
      <c r="G748" s="385"/>
      <c r="H748" s="385"/>
      <c r="I748" s="385"/>
      <c r="J748" s="385"/>
      <c r="K748" s="385"/>
    </row>
    <row r="749">
      <c r="A749" s="385"/>
      <c r="B749" s="385"/>
      <c r="C749" s="385"/>
      <c r="D749" s="385"/>
      <c r="E749" s="385"/>
      <c r="F749" s="385"/>
      <c r="G749" s="385"/>
      <c r="H749" s="385"/>
      <c r="I749" s="385"/>
      <c r="J749" s="385"/>
      <c r="K749" s="385"/>
    </row>
    <row r="750">
      <c r="A750" s="385"/>
      <c r="B750" s="385"/>
      <c r="C750" s="385"/>
      <c r="D750" s="385"/>
      <c r="E750" s="385"/>
      <c r="F750" s="385"/>
      <c r="G750" s="385"/>
      <c r="H750" s="385"/>
      <c r="I750" s="385"/>
      <c r="J750" s="385"/>
      <c r="K750" s="385"/>
    </row>
    <row r="751">
      <c r="A751" s="385"/>
      <c r="B751" s="385"/>
      <c r="C751" s="385"/>
      <c r="D751" s="385"/>
      <c r="E751" s="385"/>
      <c r="F751" s="385"/>
      <c r="G751" s="385"/>
      <c r="H751" s="385"/>
      <c r="I751" s="385"/>
      <c r="J751" s="385"/>
      <c r="K751" s="385"/>
    </row>
    <row r="752">
      <c r="A752" s="385"/>
      <c r="B752" s="385"/>
      <c r="C752" s="385"/>
      <c r="D752" s="385"/>
      <c r="E752" s="385"/>
      <c r="F752" s="385"/>
      <c r="G752" s="385"/>
      <c r="H752" s="385"/>
      <c r="I752" s="385"/>
      <c r="J752" s="385"/>
      <c r="K752" s="385"/>
    </row>
    <row r="753">
      <c r="A753" s="385"/>
      <c r="B753" s="385"/>
      <c r="C753" s="385"/>
      <c r="D753" s="385"/>
      <c r="E753" s="385"/>
      <c r="F753" s="385"/>
      <c r="G753" s="385"/>
      <c r="H753" s="385"/>
      <c r="I753" s="385"/>
      <c r="J753" s="385"/>
      <c r="K753" s="385"/>
    </row>
    <row r="754">
      <c r="A754" s="385"/>
      <c r="B754" s="385"/>
      <c r="C754" s="385"/>
      <c r="D754" s="385"/>
      <c r="E754" s="385"/>
      <c r="F754" s="385"/>
      <c r="G754" s="385"/>
      <c r="H754" s="385"/>
      <c r="I754" s="385"/>
      <c r="J754" s="385"/>
      <c r="K754" s="385"/>
    </row>
    <row r="755">
      <c r="A755" s="385"/>
      <c r="B755" s="385"/>
      <c r="C755" s="385"/>
      <c r="D755" s="385"/>
      <c r="E755" s="385"/>
      <c r="F755" s="385"/>
      <c r="G755" s="385"/>
      <c r="H755" s="385"/>
      <c r="I755" s="385"/>
      <c r="J755" s="385"/>
      <c r="K755" s="385"/>
    </row>
    <row r="756">
      <c r="A756" s="385"/>
      <c r="B756" s="385"/>
      <c r="C756" s="385"/>
      <c r="D756" s="385"/>
      <c r="E756" s="385"/>
      <c r="F756" s="385"/>
      <c r="G756" s="385"/>
      <c r="H756" s="385"/>
      <c r="I756" s="385"/>
      <c r="J756" s="385"/>
      <c r="K756" s="385"/>
    </row>
    <row r="757">
      <c r="A757" s="385"/>
      <c r="B757" s="385"/>
      <c r="C757" s="385"/>
      <c r="D757" s="385"/>
      <c r="E757" s="385"/>
      <c r="F757" s="385"/>
      <c r="G757" s="385"/>
      <c r="H757" s="385"/>
      <c r="I757" s="385"/>
      <c r="J757" s="385"/>
      <c r="K757" s="385"/>
    </row>
    <row r="758">
      <c r="A758" s="385"/>
      <c r="B758" s="385"/>
      <c r="C758" s="385"/>
      <c r="D758" s="385"/>
      <c r="E758" s="385"/>
      <c r="F758" s="385"/>
      <c r="G758" s="385"/>
      <c r="H758" s="385"/>
      <c r="I758" s="385"/>
      <c r="J758" s="385"/>
      <c r="K758" s="385"/>
    </row>
    <row r="759">
      <c r="A759" s="385"/>
      <c r="B759" s="385"/>
      <c r="C759" s="385"/>
      <c r="D759" s="385"/>
      <c r="E759" s="385"/>
      <c r="F759" s="385"/>
      <c r="G759" s="385"/>
      <c r="H759" s="385"/>
      <c r="I759" s="385"/>
      <c r="J759" s="385"/>
      <c r="K759" s="385"/>
    </row>
    <row r="760">
      <c r="A760" s="385"/>
      <c r="B760" s="385"/>
      <c r="C760" s="385"/>
      <c r="D760" s="385"/>
      <c r="E760" s="385"/>
      <c r="F760" s="385"/>
      <c r="G760" s="385"/>
      <c r="H760" s="385"/>
      <c r="I760" s="385"/>
      <c r="J760" s="385"/>
      <c r="K760" s="385"/>
    </row>
    <row r="761">
      <c r="A761" s="385"/>
      <c r="B761" s="385"/>
      <c r="C761" s="385"/>
      <c r="D761" s="385"/>
      <c r="E761" s="385"/>
      <c r="F761" s="385"/>
      <c r="G761" s="385"/>
      <c r="H761" s="385"/>
      <c r="I761" s="385"/>
      <c r="J761" s="385"/>
      <c r="K761" s="385"/>
    </row>
    <row r="762">
      <c r="A762" s="385"/>
      <c r="B762" s="385"/>
      <c r="C762" s="385"/>
      <c r="D762" s="385"/>
      <c r="E762" s="385"/>
      <c r="F762" s="385"/>
      <c r="G762" s="385"/>
      <c r="H762" s="385"/>
      <c r="I762" s="385"/>
      <c r="J762" s="385"/>
      <c r="K762" s="385"/>
    </row>
    <row r="763">
      <c r="A763" s="385"/>
      <c r="B763" s="385"/>
      <c r="C763" s="385"/>
      <c r="D763" s="385"/>
      <c r="E763" s="385"/>
      <c r="F763" s="385"/>
      <c r="G763" s="385"/>
      <c r="H763" s="385"/>
      <c r="I763" s="385"/>
      <c r="J763" s="385"/>
      <c r="K763" s="385"/>
    </row>
    <row r="764">
      <c r="A764" s="385"/>
      <c r="B764" s="385"/>
      <c r="C764" s="385"/>
      <c r="D764" s="385"/>
      <c r="E764" s="385"/>
      <c r="F764" s="385"/>
      <c r="G764" s="385"/>
      <c r="H764" s="385"/>
      <c r="I764" s="385"/>
      <c r="J764" s="385"/>
      <c r="K764" s="385"/>
    </row>
    <row r="765">
      <c r="A765" s="385"/>
      <c r="B765" s="385"/>
      <c r="C765" s="385"/>
      <c r="D765" s="385"/>
      <c r="E765" s="385"/>
      <c r="F765" s="385"/>
      <c r="G765" s="385"/>
      <c r="H765" s="385"/>
      <c r="I765" s="385"/>
      <c r="J765" s="385"/>
      <c r="K765" s="385"/>
    </row>
    <row r="766">
      <c r="A766" s="385"/>
      <c r="B766" s="385"/>
      <c r="C766" s="385"/>
      <c r="D766" s="385"/>
      <c r="E766" s="385"/>
      <c r="F766" s="385"/>
      <c r="G766" s="385"/>
      <c r="H766" s="385"/>
      <c r="I766" s="385"/>
      <c r="J766" s="385"/>
      <c r="K766" s="385"/>
    </row>
    <row r="767">
      <c r="A767" s="385"/>
      <c r="B767" s="385"/>
      <c r="C767" s="385"/>
      <c r="D767" s="385"/>
      <c r="E767" s="385"/>
      <c r="F767" s="385"/>
      <c r="G767" s="385"/>
      <c r="H767" s="385"/>
      <c r="I767" s="385"/>
      <c r="J767" s="385"/>
      <c r="K767" s="385"/>
    </row>
    <row r="768">
      <c r="A768" s="385"/>
      <c r="B768" s="385"/>
      <c r="C768" s="385"/>
      <c r="D768" s="385"/>
      <c r="E768" s="385"/>
      <c r="F768" s="385"/>
      <c r="G768" s="385"/>
      <c r="H768" s="385"/>
      <c r="I768" s="385"/>
      <c r="J768" s="385"/>
      <c r="K768" s="385"/>
    </row>
    <row r="769">
      <c r="A769" s="385"/>
      <c r="B769" s="385"/>
      <c r="C769" s="385"/>
      <c r="D769" s="385"/>
      <c r="E769" s="385"/>
      <c r="F769" s="385"/>
      <c r="G769" s="385"/>
      <c r="H769" s="385"/>
      <c r="I769" s="385"/>
      <c r="J769" s="385"/>
      <c r="K769" s="385"/>
    </row>
    <row r="770">
      <c r="A770" s="385"/>
      <c r="B770" s="385"/>
      <c r="C770" s="385"/>
      <c r="D770" s="385"/>
      <c r="E770" s="385"/>
      <c r="F770" s="385"/>
      <c r="G770" s="385"/>
      <c r="H770" s="385"/>
      <c r="I770" s="385"/>
      <c r="J770" s="385"/>
      <c r="K770" s="385"/>
    </row>
    <row r="771">
      <c r="A771" s="385"/>
      <c r="B771" s="385"/>
      <c r="C771" s="385"/>
      <c r="D771" s="385"/>
      <c r="E771" s="385"/>
      <c r="F771" s="385"/>
      <c r="G771" s="385"/>
      <c r="H771" s="385"/>
      <c r="I771" s="385"/>
      <c r="J771" s="385"/>
      <c r="K771" s="385"/>
    </row>
    <row r="772">
      <c r="A772" s="385"/>
      <c r="B772" s="385"/>
      <c r="C772" s="385"/>
      <c r="D772" s="385"/>
      <c r="E772" s="385"/>
      <c r="F772" s="385"/>
      <c r="G772" s="385"/>
      <c r="H772" s="385"/>
      <c r="I772" s="385"/>
      <c r="J772" s="385"/>
      <c r="K772" s="385"/>
    </row>
    <row r="773">
      <c r="A773" s="385"/>
      <c r="B773" s="385"/>
      <c r="C773" s="385"/>
      <c r="D773" s="385"/>
      <c r="E773" s="385"/>
      <c r="F773" s="385"/>
      <c r="G773" s="385"/>
      <c r="H773" s="385"/>
      <c r="I773" s="385"/>
      <c r="J773" s="385"/>
      <c r="K773" s="385"/>
    </row>
    <row r="774">
      <c r="A774" s="385"/>
      <c r="B774" s="385"/>
      <c r="C774" s="385"/>
      <c r="D774" s="385"/>
      <c r="E774" s="385"/>
      <c r="F774" s="385"/>
      <c r="G774" s="385"/>
      <c r="H774" s="385"/>
      <c r="I774" s="385"/>
      <c r="J774" s="385"/>
      <c r="K774" s="385"/>
    </row>
    <row r="775">
      <c r="A775" s="385"/>
      <c r="B775" s="385"/>
      <c r="C775" s="385"/>
      <c r="D775" s="385"/>
      <c r="E775" s="385"/>
      <c r="F775" s="385"/>
      <c r="G775" s="385"/>
      <c r="H775" s="385"/>
      <c r="I775" s="385"/>
      <c r="J775" s="385"/>
      <c r="K775" s="385"/>
    </row>
    <row r="776">
      <c r="A776" s="385"/>
      <c r="B776" s="385"/>
      <c r="C776" s="385"/>
      <c r="D776" s="385"/>
      <c r="E776" s="385"/>
      <c r="F776" s="385"/>
      <c r="G776" s="385"/>
      <c r="H776" s="385"/>
      <c r="I776" s="385"/>
      <c r="J776" s="385"/>
      <c r="K776" s="385"/>
    </row>
    <row r="777">
      <c r="A777" s="385"/>
      <c r="B777" s="385"/>
      <c r="C777" s="385"/>
      <c r="D777" s="385"/>
      <c r="E777" s="385"/>
      <c r="F777" s="385"/>
      <c r="G777" s="385"/>
      <c r="H777" s="385"/>
      <c r="I777" s="385"/>
      <c r="J777" s="385"/>
      <c r="K777" s="385"/>
    </row>
    <row r="778">
      <c r="A778" s="385"/>
      <c r="B778" s="385"/>
      <c r="C778" s="385"/>
      <c r="D778" s="385"/>
      <c r="E778" s="385"/>
      <c r="F778" s="385"/>
      <c r="G778" s="385"/>
      <c r="H778" s="385"/>
      <c r="I778" s="385"/>
      <c r="J778" s="385"/>
      <c r="K778" s="385"/>
    </row>
    <row r="779">
      <c r="A779" s="385"/>
      <c r="B779" s="385"/>
      <c r="C779" s="385"/>
      <c r="D779" s="385"/>
      <c r="E779" s="385"/>
      <c r="F779" s="385"/>
      <c r="G779" s="385"/>
      <c r="H779" s="385"/>
      <c r="I779" s="385"/>
      <c r="J779" s="385"/>
      <c r="K779" s="385"/>
    </row>
    <row r="780">
      <c r="A780" s="385"/>
      <c r="B780" s="385"/>
      <c r="C780" s="385"/>
      <c r="D780" s="385"/>
      <c r="E780" s="385"/>
      <c r="F780" s="385"/>
      <c r="G780" s="385"/>
      <c r="H780" s="385"/>
      <c r="I780" s="385"/>
      <c r="J780" s="385"/>
      <c r="K780" s="385"/>
    </row>
    <row r="781">
      <c r="A781" s="385"/>
      <c r="B781" s="385"/>
      <c r="C781" s="385"/>
      <c r="D781" s="385"/>
      <c r="E781" s="385"/>
      <c r="F781" s="385"/>
      <c r="G781" s="385"/>
      <c r="H781" s="385"/>
      <c r="I781" s="385"/>
      <c r="J781" s="385"/>
      <c r="K781" s="385"/>
    </row>
    <row r="782">
      <c r="A782" s="385"/>
      <c r="B782" s="385"/>
      <c r="C782" s="385"/>
      <c r="D782" s="385"/>
      <c r="E782" s="385"/>
      <c r="F782" s="385"/>
      <c r="G782" s="385"/>
      <c r="H782" s="385"/>
      <c r="I782" s="385"/>
      <c r="J782" s="385"/>
      <c r="K782" s="385"/>
    </row>
    <row r="783">
      <c r="A783" s="385"/>
      <c r="B783" s="385"/>
      <c r="C783" s="385"/>
      <c r="D783" s="385"/>
      <c r="E783" s="385"/>
      <c r="F783" s="385"/>
      <c r="G783" s="385"/>
      <c r="H783" s="385"/>
      <c r="I783" s="385"/>
      <c r="J783" s="385"/>
      <c r="K783" s="385"/>
    </row>
    <row r="784">
      <c r="A784" s="385"/>
      <c r="B784" s="385"/>
      <c r="C784" s="385"/>
      <c r="D784" s="385"/>
      <c r="E784" s="385"/>
      <c r="F784" s="385"/>
      <c r="G784" s="385"/>
      <c r="H784" s="385"/>
      <c r="I784" s="385"/>
      <c r="J784" s="385"/>
      <c r="K784" s="385"/>
    </row>
    <row r="785">
      <c r="A785" s="385"/>
      <c r="B785" s="385"/>
      <c r="C785" s="385"/>
      <c r="D785" s="385"/>
      <c r="E785" s="385"/>
      <c r="F785" s="385"/>
      <c r="G785" s="385"/>
      <c r="H785" s="385"/>
      <c r="I785" s="385"/>
      <c r="J785" s="385"/>
      <c r="K785" s="385"/>
    </row>
    <row r="786">
      <c r="A786" s="385"/>
      <c r="B786" s="385"/>
      <c r="C786" s="385"/>
      <c r="D786" s="385"/>
      <c r="E786" s="385"/>
      <c r="F786" s="385"/>
      <c r="G786" s="385"/>
      <c r="H786" s="385"/>
      <c r="I786" s="385"/>
      <c r="J786" s="385"/>
      <c r="K786" s="385"/>
    </row>
    <row r="787">
      <c r="A787" s="385"/>
      <c r="B787" s="385"/>
      <c r="C787" s="385"/>
      <c r="D787" s="385"/>
      <c r="E787" s="385"/>
      <c r="F787" s="385"/>
      <c r="G787" s="385"/>
      <c r="H787" s="385"/>
      <c r="I787" s="385"/>
      <c r="J787" s="385"/>
      <c r="K787" s="385"/>
    </row>
    <row r="788">
      <c r="A788" s="385"/>
      <c r="B788" s="385"/>
      <c r="C788" s="385"/>
      <c r="D788" s="385"/>
      <c r="E788" s="385"/>
      <c r="F788" s="385"/>
      <c r="G788" s="385"/>
      <c r="H788" s="385"/>
      <c r="I788" s="385"/>
      <c r="J788" s="385"/>
      <c r="K788" s="385"/>
    </row>
    <row r="789">
      <c r="A789" s="385"/>
      <c r="B789" s="385"/>
      <c r="C789" s="385"/>
      <c r="D789" s="385"/>
      <c r="E789" s="385"/>
      <c r="F789" s="385"/>
      <c r="G789" s="385"/>
      <c r="H789" s="385"/>
      <c r="I789" s="385"/>
      <c r="J789" s="385"/>
      <c r="K789" s="385"/>
    </row>
    <row r="790">
      <c r="A790" s="385"/>
      <c r="B790" s="385"/>
      <c r="C790" s="385"/>
      <c r="D790" s="385"/>
      <c r="E790" s="385"/>
      <c r="F790" s="385"/>
      <c r="G790" s="385"/>
      <c r="H790" s="385"/>
      <c r="I790" s="385"/>
      <c r="J790" s="385"/>
      <c r="K790" s="385"/>
    </row>
    <row r="791">
      <c r="A791" s="385"/>
      <c r="B791" s="385"/>
      <c r="C791" s="385"/>
      <c r="D791" s="385"/>
      <c r="E791" s="385"/>
      <c r="F791" s="385"/>
      <c r="G791" s="385"/>
      <c r="H791" s="385"/>
      <c r="I791" s="385"/>
      <c r="J791" s="385"/>
      <c r="K791" s="385"/>
    </row>
    <row r="792">
      <c r="A792" s="385"/>
      <c r="B792" s="385"/>
      <c r="C792" s="385"/>
      <c r="D792" s="385"/>
      <c r="E792" s="385"/>
      <c r="F792" s="385"/>
      <c r="G792" s="385"/>
      <c r="H792" s="385"/>
      <c r="I792" s="385"/>
      <c r="J792" s="385"/>
      <c r="K792" s="385"/>
    </row>
    <row r="793">
      <c r="A793" s="385"/>
      <c r="B793" s="385"/>
      <c r="C793" s="385"/>
      <c r="D793" s="385"/>
      <c r="E793" s="385"/>
      <c r="F793" s="385"/>
      <c r="G793" s="385"/>
      <c r="H793" s="385"/>
      <c r="I793" s="385"/>
      <c r="J793" s="385"/>
      <c r="K793" s="385"/>
    </row>
    <row r="794">
      <c r="A794" s="385"/>
      <c r="B794" s="385"/>
      <c r="C794" s="385"/>
      <c r="D794" s="385"/>
      <c r="E794" s="385"/>
      <c r="F794" s="385"/>
      <c r="G794" s="385"/>
      <c r="H794" s="385"/>
      <c r="I794" s="385"/>
      <c r="J794" s="385"/>
      <c r="K794" s="385"/>
    </row>
    <row r="795">
      <c r="A795" s="385"/>
      <c r="B795" s="385"/>
      <c r="C795" s="385"/>
      <c r="D795" s="385"/>
      <c r="E795" s="385"/>
      <c r="F795" s="385"/>
      <c r="G795" s="385"/>
      <c r="H795" s="385"/>
      <c r="I795" s="385"/>
      <c r="J795" s="385"/>
      <c r="K795" s="385"/>
    </row>
    <row r="796">
      <c r="A796" s="385"/>
      <c r="B796" s="385"/>
      <c r="C796" s="385"/>
      <c r="D796" s="385"/>
      <c r="E796" s="385"/>
      <c r="F796" s="385"/>
      <c r="G796" s="385"/>
      <c r="H796" s="385"/>
      <c r="I796" s="385"/>
      <c r="J796" s="385"/>
      <c r="K796" s="385"/>
    </row>
    <row r="797">
      <c r="A797" s="385"/>
      <c r="B797" s="385"/>
      <c r="C797" s="385"/>
      <c r="D797" s="385"/>
      <c r="E797" s="385"/>
      <c r="F797" s="385"/>
      <c r="G797" s="385"/>
      <c r="H797" s="385"/>
      <c r="I797" s="385"/>
      <c r="J797" s="385"/>
      <c r="K797" s="385"/>
    </row>
    <row r="798">
      <c r="A798" s="385"/>
      <c r="B798" s="385"/>
      <c r="C798" s="385"/>
      <c r="D798" s="385"/>
      <c r="E798" s="385"/>
      <c r="F798" s="385"/>
      <c r="G798" s="385"/>
      <c r="H798" s="385"/>
      <c r="I798" s="385"/>
      <c r="J798" s="385"/>
      <c r="K798" s="385"/>
    </row>
    <row r="799">
      <c r="A799" s="385"/>
      <c r="B799" s="385"/>
      <c r="C799" s="385"/>
      <c r="D799" s="385"/>
      <c r="E799" s="385"/>
      <c r="F799" s="385"/>
      <c r="G799" s="385"/>
      <c r="H799" s="385"/>
      <c r="I799" s="385"/>
      <c r="J799" s="385"/>
      <c r="K799" s="385"/>
    </row>
    <row r="800">
      <c r="A800" s="385"/>
      <c r="B800" s="385"/>
      <c r="C800" s="385"/>
      <c r="D800" s="385"/>
      <c r="E800" s="385"/>
      <c r="F800" s="385"/>
      <c r="G800" s="385"/>
      <c r="H800" s="385"/>
      <c r="I800" s="385"/>
      <c r="J800" s="385"/>
      <c r="K800" s="385"/>
    </row>
    <row r="801">
      <c r="A801" s="385"/>
      <c r="B801" s="385"/>
      <c r="C801" s="385"/>
      <c r="D801" s="385"/>
      <c r="E801" s="385"/>
      <c r="F801" s="385"/>
      <c r="G801" s="385"/>
      <c r="H801" s="385"/>
      <c r="I801" s="385"/>
      <c r="J801" s="385"/>
      <c r="K801" s="385"/>
    </row>
    <row r="802">
      <c r="A802" s="385"/>
      <c r="B802" s="385"/>
      <c r="C802" s="385"/>
      <c r="D802" s="385"/>
      <c r="E802" s="385"/>
      <c r="F802" s="385"/>
      <c r="G802" s="385"/>
      <c r="H802" s="385"/>
      <c r="I802" s="385"/>
      <c r="J802" s="385"/>
      <c r="K802" s="385"/>
    </row>
    <row r="803">
      <c r="A803" s="385"/>
      <c r="B803" s="385"/>
      <c r="C803" s="385"/>
      <c r="D803" s="385"/>
      <c r="E803" s="385"/>
      <c r="F803" s="385"/>
      <c r="G803" s="385"/>
      <c r="H803" s="385"/>
      <c r="I803" s="385"/>
      <c r="J803" s="385"/>
      <c r="K803" s="385"/>
    </row>
    <row r="804">
      <c r="A804" s="385"/>
      <c r="B804" s="385"/>
      <c r="C804" s="385"/>
      <c r="D804" s="385"/>
      <c r="E804" s="385"/>
      <c r="F804" s="385"/>
      <c r="G804" s="385"/>
      <c r="H804" s="385"/>
      <c r="I804" s="385"/>
      <c r="J804" s="385"/>
      <c r="K804" s="385"/>
    </row>
    <row r="805">
      <c r="A805" s="385"/>
      <c r="B805" s="385"/>
      <c r="C805" s="385"/>
      <c r="D805" s="385"/>
      <c r="E805" s="385"/>
      <c r="F805" s="385"/>
      <c r="G805" s="385"/>
      <c r="H805" s="385"/>
      <c r="I805" s="385"/>
      <c r="J805" s="385"/>
      <c r="K805" s="385"/>
    </row>
    <row r="806">
      <c r="A806" s="385"/>
      <c r="B806" s="385"/>
      <c r="C806" s="385"/>
      <c r="D806" s="385"/>
      <c r="E806" s="385"/>
      <c r="F806" s="385"/>
      <c r="G806" s="385"/>
      <c r="H806" s="385"/>
      <c r="I806" s="385"/>
      <c r="J806" s="385"/>
      <c r="K806" s="385"/>
    </row>
    <row r="807">
      <c r="A807" s="385"/>
      <c r="B807" s="385"/>
      <c r="C807" s="385"/>
      <c r="D807" s="385"/>
      <c r="E807" s="385"/>
      <c r="F807" s="385"/>
      <c r="G807" s="385"/>
      <c r="H807" s="385"/>
      <c r="I807" s="385"/>
      <c r="J807" s="385"/>
      <c r="K807" s="385"/>
    </row>
    <row r="808">
      <c r="A808" s="385"/>
      <c r="B808" s="385"/>
      <c r="C808" s="385"/>
      <c r="D808" s="385"/>
      <c r="E808" s="385"/>
      <c r="F808" s="385"/>
      <c r="G808" s="385"/>
      <c r="H808" s="385"/>
      <c r="I808" s="385"/>
      <c r="J808" s="385"/>
      <c r="K808" s="385"/>
    </row>
    <row r="809">
      <c r="A809" s="385"/>
      <c r="B809" s="385"/>
      <c r="C809" s="385"/>
      <c r="D809" s="385"/>
      <c r="E809" s="385"/>
      <c r="F809" s="385"/>
      <c r="G809" s="385"/>
      <c r="H809" s="385"/>
      <c r="I809" s="385"/>
      <c r="J809" s="385"/>
      <c r="K809" s="385"/>
    </row>
    <row r="810">
      <c r="A810" s="385"/>
      <c r="B810" s="385"/>
      <c r="C810" s="385"/>
      <c r="D810" s="385"/>
      <c r="E810" s="385"/>
      <c r="F810" s="385"/>
      <c r="G810" s="385"/>
      <c r="H810" s="385"/>
      <c r="I810" s="385"/>
      <c r="J810" s="385"/>
      <c r="K810" s="385"/>
    </row>
    <row r="811">
      <c r="A811" s="385"/>
      <c r="B811" s="385"/>
      <c r="C811" s="385"/>
      <c r="D811" s="385"/>
      <c r="E811" s="385"/>
      <c r="F811" s="385"/>
      <c r="G811" s="385"/>
      <c r="H811" s="385"/>
      <c r="I811" s="385"/>
      <c r="J811" s="385"/>
      <c r="K811" s="385"/>
    </row>
    <row r="812">
      <c r="A812" s="385"/>
      <c r="B812" s="385"/>
      <c r="C812" s="385"/>
      <c r="D812" s="385"/>
      <c r="E812" s="385"/>
      <c r="F812" s="385"/>
      <c r="G812" s="385"/>
      <c r="H812" s="385"/>
      <c r="I812" s="385"/>
      <c r="J812" s="385"/>
      <c r="K812" s="385"/>
    </row>
    <row r="813">
      <c r="A813" s="385"/>
      <c r="B813" s="385"/>
      <c r="C813" s="385"/>
      <c r="D813" s="385"/>
      <c r="E813" s="385"/>
      <c r="F813" s="385"/>
      <c r="G813" s="385"/>
      <c r="H813" s="385"/>
      <c r="I813" s="385"/>
      <c r="J813" s="385"/>
      <c r="K813" s="385"/>
    </row>
    <row r="814">
      <c r="A814" s="385"/>
      <c r="B814" s="385"/>
      <c r="C814" s="385"/>
      <c r="D814" s="385"/>
      <c r="E814" s="385"/>
      <c r="F814" s="385"/>
      <c r="G814" s="385"/>
      <c r="H814" s="385"/>
      <c r="I814" s="385"/>
      <c r="J814" s="385"/>
      <c r="K814" s="385"/>
    </row>
    <row r="815">
      <c r="A815" s="385"/>
      <c r="B815" s="385"/>
      <c r="C815" s="385"/>
      <c r="D815" s="385"/>
      <c r="E815" s="385"/>
      <c r="F815" s="385"/>
      <c r="G815" s="385"/>
      <c r="H815" s="385"/>
      <c r="I815" s="385"/>
      <c r="J815" s="385"/>
      <c r="K815" s="385"/>
    </row>
    <row r="816">
      <c r="A816" s="385"/>
      <c r="B816" s="385"/>
      <c r="C816" s="385"/>
      <c r="D816" s="385"/>
      <c r="E816" s="385"/>
      <c r="F816" s="385"/>
      <c r="G816" s="385"/>
      <c r="H816" s="385"/>
      <c r="I816" s="385"/>
      <c r="J816" s="385"/>
      <c r="K816" s="385"/>
    </row>
    <row r="817">
      <c r="A817" s="385"/>
      <c r="B817" s="385"/>
      <c r="C817" s="385"/>
      <c r="D817" s="385"/>
      <c r="E817" s="385"/>
      <c r="F817" s="385"/>
      <c r="G817" s="385"/>
      <c r="H817" s="385"/>
      <c r="I817" s="385"/>
      <c r="J817" s="385"/>
      <c r="K817" s="385"/>
    </row>
    <row r="818">
      <c r="A818" s="385"/>
      <c r="B818" s="385"/>
      <c r="C818" s="385"/>
      <c r="D818" s="385"/>
      <c r="E818" s="385"/>
      <c r="F818" s="385"/>
      <c r="G818" s="385"/>
      <c r="H818" s="385"/>
      <c r="I818" s="385"/>
      <c r="J818" s="385"/>
      <c r="K818" s="385"/>
    </row>
    <row r="819">
      <c r="A819" s="385"/>
      <c r="B819" s="385"/>
      <c r="C819" s="385"/>
      <c r="D819" s="385"/>
      <c r="E819" s="385"/>
      <c r="F819" s="385"/>
      <c r="G819" s="385"/>
      <c r="H819" s="385"/>
      <c r="I819" s="385"/>
      <c r="J819" s="385"/>
      <c r="K819" s="385"/>
    </row>
    <row r="820">
      <c r="A820" s="385"/>
      <c r="B820" s="385"/>
      <c r="C820" s="385"/>
      <c r="D820" s="385"/>
      <c r="E820" s="385"/>
      <c r="F820" s="385"/>
      <c r="G820" s="385"/>
      <c r="H820" s="385"/>
      <c r="I820" s="385"/>
      <c r="J820" s="385"/>
      <c r="K820" s="385"/>
    </row>
    <row r="821">
      <c r="A821" s="385"/>
      <c r="B821" s="385"/>
      <c r="C821" s="385"/>
      <c r="D821" s="385"/>
      <c r="E821" s="385"/>
      <c r="F821" s="385"/>
      <c r="G821" s="385"/>
      <c r="H821" s="385"/>
      <c r="I821" s="385"/>
      <c r="J821" s="385"/>
      <c r="K821" s="385"/>
    </row>
    <row r="822">
      <c r="A822" s="385"/>
      <c r="B822" s="385"/>
      <c r="C822" s="385"/>
      <c r="D822" s="385"/>
      <c r="E822" s="385"/>
      <c r="F822" s="385"/>
      <c r="G822" s="385"/>
      <c r="H822" s="385"/>
      <c r="I822" s="385"/>
      <c r="J822" s="385"/>
      <c r="K822" s="385"/>
    </row>
    <row r="823">
      <c r="A823" s="385"/>
      <c r="B823" s="385"/>
      <c r="C823" s="385"/>
      <c r="D823" s="385"/>
      <c r="E823" s="385"/>
      <c r="F823" s="385"/>
      <c r="G823" s="385"/>
      <c r="H823" s="385"/>
      <c r="I823" s="385"/>
      <c r="J823" s="385"/>
      <c r="K823" s="385"/>
    </row>
    <row r="824">
      <c r="A824" s="385"/>
      <c r="B824" s="385"/>
      <c r="C824" s="385"/>
      <c r="D824" s="385"/>
      <c r="E824" s="385"/>
      <c r="F824" s="385"/>
      <c r="G824" s="385"/>
      <c r="H824" s="385"/>
      <c r="I824" s="385"/>
      <c r="J824" s="385"/>
      <c r="K824" s="385"/>
    </row>
    <row r="825">
      <c r="A825" s="385"/>
      <c r="B825" s="385"/>
      <c r="C825" s="385"/>
      <c r="D825" s="385"/>
      <c r="E825" s="385"/>
      <c r="F825" s="385"/>
      <c r="G825" s="385"/>
      <c r="H825" s="385"/>
      <c r="I825" s="385"/>
      <c r="J825" s="385"/>
      <c r="K825" s="385"/>
    </row>
    <row r="826">
      <c r="A826" s="385"/>
      <c r="B826" s="385"/>
      <c r="C826" s="385"/>
      <c r="D826" s="385"/>
      <c r="E826" s="385"/>
      <c r="F826" s="385"/>
      <c r="G826" s="385"/>
      <c r="H826" s="385"/>
      <c r="I826" s="385"/>
      <c r="J826" s="385"/>
      <c r="K826" s="385"/>
    </row>
    <row r="827">
      <c r="A827" s="385"/>
      <c r="B827" s="385"/>
      <c r="C827" s="385"/>
      <c r="D827" s="385"/>
      <c r="E827" s="385"/>
      <c r="F827" s="385"/>
      <c r="G827" s="385"/>
      <c r="H827" s="385"/>
      <c r="I827" s="385"/>
      <c r="J827" s="385"/>
      <c r="K827" s="385"/>
    </row>
    <row r="828">
      <c r="A828" s="385"/>
      <c r="B828" s="385"/>
      <c r="C828" s="385"/>
      <c r="D828" s="385"/>
      <c r="E828" s="385"/>
      <c r="F828" s="385"/>
      <c r="G828" s="385"/>
      <c r="H828" s="385"/>
      <c r="I828" s="385"/>
      <c r="J828" s="385"/>
      <c r="K828" s="385"/>
    </row>
    <row r="829">
      <c r="A829" s="385"/>
      <c r="B829" s="385"/>
      <c r="C829" s="385"/>
      <c r="D829" s="385"/>
      <c r="E829" s="385"/>
      <c r="F829" s="385"/>
      <c r="G829" s="385"/>
      <c r="H829" s="385"/>
      <c r="I829" s="385"/>
      <c r="J829" s="385"/>
      <c r="K829" s="385"/>
    </row>
    <row r="830">
      <c r="A830" s="385"/>
      <c r="B830" s="385"/>
      <c r="C830" s="385"/>
      <c r="D830" s="385"/>
      <c r="E830" s="385"/>
      <c r="F830" s="385"/>
      <c r="G830" s="385"/>
      <c r="H830" s="385"/>
      <c r="I830" s="385"/>
      <c r="J830" s="385"/>
      <c r="K830" s="385"/>
    </row>
    <row r="831">
      <c r="A831" s="385"/>
      <c r="B831" s="385"/>
      <c r="C831" s="385"/>
      <c r="D831" s="385"/>
      <c r="E831" s="385"/>
      <c r="F831" s="385"/>
      <c r="G831" s="385"/>
      <c r="H831" s="385"/>
      <c r="I831" s="385"/>
      <c r="J831" s="385"/>
      <c r="K831" s="385"/>
    </row>
    <row r="832">
      <c r="A832" s="385"/>
      <c r="B832" s="385"/>
      <c r="C832" s="385"/>
      <c r="D832" s="385"/>
      <c r="E832" s="385"/>
      <c r="F832" s="385"/>
      <c r="G832" s="385"/>
      <c r="H832" s="385"/>
      <c r="I832" s="385"/>
      <c r="J832" s="385"/>
      <c r="K832" s="385"/>
    </row>
    <row r="833">
      <c r="A833" s="385"/>
      <c r="B833" s="385"/>
      <c r="C833" s="385"/>
      <c r="D833" s="385"/>
      <c r="E833" s="385"/>
      <c r="F833" s="385"/>
      <c r="G833" s="385"/>
      <c r="H833" s="385"/>
      <c r="I833" s="385"/>
      <c r="J833" s="385"/>
      <c r="K833" s="385"/>
    </row>
    <row r="834">
      <c r="A834" s="385"/>
      <c r="B834" s="385"/>
      <c r="C834" s="385"/>
      <c r="D834" s="385"/>
      <c r="E834" s="385"/>
      <c r="F834" s="385"/>
      <c r="G834" s="385"/>
      <c r="H834" s="385"/>
      <c r="I834" s="385"/>
      <c r="J834" s="385"/>
      <c r="K834" s="385"/>
    </row>
    <row r="835">
      <c r="A835" s="385"/>
      <c r="B835" s="385"/>
      <c r="C835" s="385"/>
      <c r="D835" s="385"/>
      <c r="E835" s="385"/>
      <c r="F835" s="385"/>
      <c r="G835" s="385"/>
      <c r="H835" s="385"/>
      <c r="I835" s="385"/>
      <c r="J835" s="385"/>
      <c r="K835" s="385"/>
    </row>
    <row r="836">
      <c r="A836" s="385"/>
      <c r="B836" s="385"/>
      <c r="C836" s="385"/>
      <c r="D836" s="385"/>
      <c r="E836" s="385"/>
      <c r="F836" s="385"/>
      <c r="G836" s="385"/>
      <c r="H836" s="385"/>
      <c r="I836" s="385"/>
      <c r="J836" s="385"/>
      <c r="K836" s="385"/>
    </row>
    <row r="837">
      <c r="A837" s="385"/>
      <c r="B837" s="385"/>
      <c r="C837" s="385"/>
      <c r="D837" s="385"/>
      <c r="E837" s="385"/>
      <c r="F837" s="385"/>
      <c r="G837" s="385"/>
      <c r="H837" s="385"/>
      <c r="I837" s="385"/>
      <c r="J837" s="385"/>
      <c r="K837" s="385"/>
    </row>
    <row r="838">
      <c r="A838" s="385"/>
      <c r="B838" s="385"/>
      <c r="C838" s="385"/>
      <c r="D838" s="385"/>
      <c r="E838" s="385"/>
      <c r="F838" s="385"/>
      <c r="G838" s="385"/>
      <c r="H838" s="385"/>
      <c r="I838" s="385"/>
      <c r="J838" s="385"/>
      <c r="K838" s="385"/>
    </row>
    <row r="839">
      <c r="A839" s="385"/>
      <c r="B839" s="385"/>
      <c r="C839" s="385"/>
      <c r="D839" s="385"/>
      <c r="E839" s="385"/>
      <c r="F839" s="385"/>
      <c r="G839" s="385"/>
      <c r="H839" s="385"/>
      <c r="I839" s="385"/>
      <c r="J839" s="385"/>
      <c r="K839" s="385"/>
    </row>
    <row r="840">
      <c r="A840" s="385"/>
      <c r="B840" s="385"/>
      <c r="C840" s="385"/>
      <c r="D840" s="385"/>
      <c r="E840" s="385"/>
      <c r="F840" s="385"/>
      <c r="G840" s="385"/>
      <c r="H840" s="385"/>
      <c r="I840" s="385"/>
      <c r="J840" s="385"/>
      <c r="K840" s="385"/>
    </row>
    <row r="841">
      <c r="A841" s="385"/>
      <c r="B841" s="385"/>
      <c r="C841" s="385"/>
      <c r="D841" s="385"/>
      <c r="E841" s="385"/>
      <c r="F841" s="385"/>
      <c r="G841" s="385"/>
      <c r="H841" s="385"/>
      <c r="I841" s="385"/>
      <c r="J841" s="385"/>
      <c r="K841" s="385"/>
    </row>
    <row r="842">
      <c r="A842" s="385"/>
      <c r="B842" s="385"/>
      <c r="C842" s="385"/>
      <c r="D842" s="385"/>
      <c r="E842" s="385"/>
      <c r="F842" s="385"/>
      <c r="G842" s="385"/>
      <c r="H842" s="385"/>
      <c r="I842" s="385"/>
      <c r="J842" s="385"/>
      <c r="K842" s="385"/>
    </row>
    <row r="843">
      <c r="A843" s="385"/>
      <c r="B843" s="385"/>
      <c r="C843" s="385"/>
      <c r="D843" s="385"/>
      <c r="E843" s="385"/>
      <c r="F843" s="385"/>
      <c r="G843" s="385"/>
      <c r="H843" s="385"/>
      <c r="I843" s="385"/>
      <c r="J843" s="385"/>
      <c r="K843" s="385"/>
    </row>
    <row r="844">
      <c r="A844" s="385"/>
      <c r="B844" s="385"/>
      <c r="C844" s="385"/>
      <c r="D844" s="385"/>
      <c r="E844" s="385"/>
      <c r="F844" s="385"/>
      <c r="G844" s="385"/>
      <c r="H844" s="385"/>
      <c r="I844" s="385"/>
      <c r="J844" s="385"/>
      <c r="K844" s="385"/>
    </row>
    <row r="845">
      <c r="A845" s="385"/>
      <c r="B845" s="385"/>
      <c r="C845" s="385"/>
      <c r="D845" s="385"/>
      <c r="E845" s="385"/>
      <c r="F845" s="385"/>
      <c r="G845" s="385"/>
      <c r="H845" s="385"/>
      <c r="I845" s="385"/>
      <c r="J845" s="385"/>
      <c r="K845" s="385"/>
    </row>
    <row r="846">
      <c r="A846" s="385"/>
      <c r="B846" s="385"/>
      <c r="C846" s="385"/>
      <c r="D846" s="385"/>
      <c r="E846" s="385"/>
      <c r="F846" s="385"/>
      <c r="G846" s="385"/>
      <c r="H846" s="385"/>
      <c r="I846" s="385"/>
      <c r="J846" s="385"/>
      <c r="K846" s="385"/>
    </row>
    <row r="847">
      <c r="A847" s="385"/>
      <c r="B847" s="385"/>
      <c r="C847" s="385"/>
      <c r="D847" s="385"/>
      <c r="E847" s="385"/>
      <c r="F847" s="385"/>
      <c r="G847" s="385"/>
      <c r="H847" s="385"/>
      <c r="I847" s="385"/>
      <c r="J847" s="385"/>
      <c r="K847" s="385"/>
    </row>
    <row r="848">
      <c r="A848" s="385"/>
      <c r="B848" s="385"/>
      <c r="C848" s="385"/>
      <c r="D848" s="385"/>
      <c r="E848" s="385"/>
      <c r="F848" s="385"/>
      <c r="G848" s="385"/>
      <c r="H848" s="385"/>
      <c r="I848" s="385"/>
      <c r="J848" s="385"/>
      <c r="K848" s="385"/>
    </row>
    <row r="849">
      <c r="A849" s="385"/>
      <c r="B849" s="385"/>
      <c r="C849" s="385"/>
      <c r="D849" s="385"/>
      <c r="E849" s="385"/>
      <c r="F849" s="385"/>
      <c r="G849" s="385"/>
      <c r="H849" s="385"/>
      <c r="I849" s="385"/>
      <c r="J849" s="385"/>
      <c r="K849" s="385"/>
    </row>
    <row r="850">
      <c r="A850" s="385"/>
      <c r="B850" s="385"/>
      <c r="C850" s="385"/>
      <c r="D850" s="385"/>
      <c r="E850" s="385"/>
      <c r="F850" s="385"/>
      <c r="G850" s="385"/>
      <c r="H850" s="385"/>
      <c r="I850" s="385"/>
      <c r="J850" s="385"/>
      <c r="K850" s="385"/>
    </row>
    <row r="851">
      <c r="A851" s="385"/>
      <c r="B851" s="385"/>
      <c r="C851" s="385"/>
      <c r="D851" s="385"/>
      <c r="E851" s="385"/>
      <c r="F851" s="385"/>
      <c r="G851" s="385"/>
      <c r="H851" s="385"/>
      <c r="I851" s="385"/>
      <c r="J851" s="385"/>
      <c r="K851" s="385"/>
    </row>
    <row r="852">
      <c r="A852" s="385"/>
      <c r="B852" s="385"/>
      <c r="C852" s="385"/>
      <c r="D852" s="385"/>
      <c r="E852" s="385"/>
      <c r="F852" s="385"/>
      <c r="G852" s="385"/>
      <c r="H852" s="385"/>
      <c r="I852" s="385"/>
      <c r="J852" s="385"/>
      <c r="K852" s="385"/>
    </row>
    <row r="853">
      <c r="A853" s="385"/>
      <c r="B853" s="385"/>
      <c r="C853" s="385"/>
      <c r="D853" s="385"/>
      <c r="E853" s="385"/>
      <c r="F853" s="385"/>
      <c r="G853" s="385"/>
      <c r="H853" s="385"/>
      <c r="I853" s="385"/>
      <c r="J853" s="385"/>
      <c r="K853" s="385"/>
    </row>
    <row r="854">
      <c r="A854" s="385"/>
      <c r="B854" s="385"/>
      <c r="C854" s="385"/>
      <c r="D854" s="385"/>
      <c r="E854" s="385"/>
      <c r="F854" s="385"/>
      <c r="G854" s="385"/>
      <c r="H854" s="385"/>
      <c r="I854" s="385"/>
      <c r="J854" s="385"/>
      <c r="K854" s="385"/>
    </row>
    <row r="855">
      <c r="A855" s="385"/>
      <c r="B855" s="385"/>
      <c r="C855" s="385"/>
      <c r="D855" s="385"/>
      <c r="E855" s="385"/>
      <c r="F855" s="385"/>
      <c r="G855" s="385"/>
      <c r="H855" s="385"/>
      <c r="I855" s="385"/>
      <c r="J855" s="385"/>
      <c r="K855" s="385"/>
    </row>
    <row r="856">
      <c r="A856" s="385"/>
      <c r="B856" s="385"/>
      <c r="C856" s="385"/>
      <c r="D856" s="385"/>
      <c r="E856" s="385"/>
      <c r="F856" s="385"/>
      <c r="G856" s="385"/>
      <c r="H856" s="385"/>
      <c r="I856" s="385"/>
      <c r="J856" s="385"/>
      <c r="K856" s="385"/>
    </row>
    <row r="857">
      <c r="A857" s="385"/>
      <c r="B857" s="385"/>
      <c r="C857" s="385"/>
      <c r="D857" s="385"/>
      <c r="E857" s="385"/>
      <c r="F857" s="385"/>
      <c r="G857" s="385"/>
      <c r="H857" s="385"/>
      <c r="I857" s="385"/>
      <c r="J857" s="385"/>
      <c r="K857" s="385"/>
    </row>
    <row r="858">
      <c r="A858" s="385"/>
      <c r="B858" s="385"/>
      <c r="C858" s="385"/>
      <c r="D858" s="385"/>
      <c r="E858" s="385"/>
      <c r="F858" s="385"/>
      <c r="G858" s="385"/>
      <c r="H858" s="385"/>
      <c r="I858" s="385"/>
      <c r="J858" s="385"/>
      <c r="K858" s="385"/>
    </row>
    <row r="859">
      <c r="A859" s="385"/>
      <c r="B859" s="385"/>
      <c r="C859" s="385"/>
      <c r="D859" s="385"/>
      <c r="E859" s="385"/>
      <c r="F859" s="385"/>
      <c r="G859" s="385"/>
      <c r="H859" s="385"/>
      <c r="I859" s="385"/>
      <c r="J859" s="385"/>
      <c r="K859" s="385"/>
    </row>
    <row r="860">
      <c r="A860" s="385"/>
      <c r="B860" s="385"/>
      <c r="C860" s="385"/>
      <c r="D860" s="385"/>
      <c r="E860" s="385"/>
      <c r="F860" s="385"/>
      <c r="G860" s="385"/>
      <c r="H860" s="385"/>
      <c r="I860" s="385"/>
      <c r="J860" s="385"/>
      <c r="K860" s="385"/>
    </row>
    <row r="861">
      <c r="A861" s="385"/>
      <c r="B861" s="385"/>
      <c r="C861" s="385"/>
      <c r="D861" s="385"/>
      <c r="E861" s="385"/>
      <c r="F861" s="385"/>
      <c r="G861" s="385"/>
      <c r="H861" s="385"/>
      <c r="I861" s="385"/>
      <c r="J861" s="385"/>
      <c r="K861" s="385"/>
    </row>
    <row r="862">
      <c r="A862" s="385"/>
      <c r="B862" s="385"/>
      <c r="C862" s="385"/>
      <c r="D862" s="385"/>
      <c r="E862" s="385"/>
      <c r="F862" s="385"/>
      <c r="G862" s="385"/>
      <c r="H862" s="385"/>
      <c r="I862" s="385"/>
      <c r="J862" s="385"/>
      <c r="K862" s="385"/>
    </row>
    <row r="863">
      <c r="A863" s="385"/>
      <c r="B863" s="385"/>
      <c r="C863" s="385"/>
      <c r="D863" s="385"/>
      <c r="E863" s="385"/>
      <c r="F863" s="385"/>
      <c r="G863" s="385"/>
      <c r="H863" s="385"/>
      <c r="I863" s="385"/>
      <c r="J863" s="385"/>
      <c r="K863" s="385"/>
    </row>
    <row r="864">
      <c r="A864" s="385"/>
      <c r="B864" s="385"/>
      <c r="C864" s="385"/>
      <c r="D864" s="385"/>
      <c r="E864" s="385"/>
      <c r="F864" s="385"/>
      <c r="G864" s="385"/>
      <c r="H864" s="385"/>
      <c r="I864" s="385"/>
      <c r="J864" s="385"/>
      <c r="K864" s="385"/>
    </row>
    <row r="865">
      <c r="A865" s="385"/>
      <c r="B865" s="385"/>
      <c r="C865" s="385"/>
      <c r="D865" s="385"/>
      <c r="E865" s="385"/>
      <c r="F865" s="385"/>
      <c r="G865" s="385"/>
      <c r="H865" s="385"/>
      <c r="I865" s="385"/>
      <c r="J865" s="385"/>
      <c r="K865" s="385"/>
    </row>
    <row r="866">
      <c r="A866" s="385"/>
      <c r="B866" s="385"/>
      <c r="C866" s="385"/>
      <c r="D866" s="385"/>
      <c r="E866" s="385"/>
      <c r="F866" s="385"/>
      <c r="G866" s="385"/>
      <c r="H866" s="385"/>
      <c r="I866" s="385"/>
      <c r="J866" s="385"/>
      <c r="K866" s="385"/>
    </row>
    <row r="867">
      <c r="A867" s="385"/>
      <c r="B867" s="385"/>
      <c r="C867" s="385"/>
      <c r="D867" s="385"/>
      <c r="E867" s="385"/>
      <c r="F867" s="385"/>
      <c r="G867" s="385"/>
      <c r="H867" s="385"/>
      <c r="I867" s="385"/>
      <c r="J867" s="385"/>
      <c r="K867" s="385"/>
    </row>
    <row r="868">
      <c r="A868" s="385"/>
      <c r="B868" s="385"/>
      <c r="C868" s="385"/>
      <c r="D868" s="385"/>
      <c r="E868" s="385"/>
      <c r="F868" s="385"/>
      <c r="G868" s="385"/>
      <c r="H868" s="385"/>
      <c r="I868" s="385"/>
      <c r="J868" s="385"/>
      <c r="K868" s="385"/>
    </row>
    <row r="869">
      <c r="A869" s="385"/>
      <c r="B869" s="385"/>
      <c r="C869" s="385"/>
      <c r="D869" s="385"/>
      <c r="E869" s="385"/>
      <c r="F869" s="385"/>
      <c r="G869" s="385"/>
      <c r="H869" s="385"/>
      <c r="I869" s="385"/>
      <c r="J869" s="385"/>
      <c r="K869" s="385"/>
    </row>
    <row r="870">
      <c r="A870" s="385"/>
      <c r="B870" s="385"/>
      <c r="C870" s="385"/>
      <c r="D870" s="385"/>
      <c r="E870" s="385"/>
      <c r="F870" s="385"/>
      <c r="G870" s="385"/>
      <c r="H870" s="385"/>
      <c r="I870" s="385"/>
      <c r="J870" s="385"/>
      <c r="K870" s="385"/>
    </row>
    <row r="871">
      <c r="A871" s="385"/>
      <c r="B871" s="385"/>
      <c r="C871" s="385"/>
      <c r="D871" s="385"/>
      <c r="E871" s="385"/>
      <c r="F871" s="385"/>
      <c r="G871" s="385"/>
      <c r="H871" s="385"/>
      <c r="I871" s="385"/>
      <c r="J871" s="385"/>
      <c r="K871" s="385"/>
    </row>
    <row r="872">
      <c r="A872" s="385"/>
      <c r="B872" s="385"/>
      <c r="C872" s="385"/>
      <c r="D872" s="385"/>
      <c r="E872" s="385"/>
      <c r="F872" s="385"/>
      <c r="G872" s="385"/>
      <c r="H872" s="385"/>
      <c r="I872" s="385"/>
      <c r="J872" s="385"/>
      <c r="K872" s="385"/>
    </row>
    <row r="873">
      <c r="A873" s="385"/>
      <c r="B873" s="385"/>
      <c r="C873" s="385"/>
      <c r="D873" s="385"/>
      <c r="E873" s="385"/>
      <c r="F873" s="385"/>
      <c r="G873" s="385"/>
      <c r="H873" s="385"/>
      <c r="I873" s="385"/>
      <c r="J873" s="385"/>
      <c r="K873" s="385"/>
    </row>
    <row r="874">
      <c r="A874" s="385"/>
      <c r="B874" s="385"/>
      <c r="C874" s="385"/>
      <c r="D874" s="385"/>
      <c r="E874" s="385"/>
      <c r="F874" s="385"/>
      <c r="G874" s="385"/>
      <c r="H874" s="385"/>
      <c r="I874" s="385"/>
      <c r="J874" s="385"/>
      <c r="K874" s="385"/>
    </row>
    <row r="875">
      <c r="A875" s="385"/>
      <c r="B875" s="385"/>
      <c r="C875" s="385"/>
      <c r="D875" s="385"/>
      <c r="E875" s="385"/>
      <c r="F875" s="385"/>
      <c r="G875" s="385"/>
      <c r="H875" s="385"/>
      <c r="I875" s="385"/>
      <c r="J875" s="385"/>
      <c r="K875" s="385"/>
    </row>
    <row r="876">
      <c r="A876" s="385"/>
      <c r="B876" s="385"/>
      <c r="C876" s="385"/>
      <c r="D876" s="385"/>
      <c r="E876" s="385"/>
      <c r="F876" s="385"/>
      <c r="G876" s="385"/>
      <c r="H876" s="385"/>
      <c r="I876" s="385"/>
      <c r="J876" s="385"/>
      <c r="K876" s="385"/>
    </row>
    <row r="877">
      <c r="A877" s="385"/>
      <c r="B877" s="385"/>
      <c r="C877" s="385"/>
      <c r="D877" s="385"/>
      <c r="E877" s="385"/>
      <c r="F877" s="385"/>
      <c r="G877" s="385"/>
      <c r="H877" s="385"/>
      <c r="I877" s="385"/>
      <c r="J877" s="385"/>
      <c r="K877" s="385"/>
    </row>
    <row r="878">
      <c r="A878" s="385"/>
      <c r="B878" s="385"/>
      <c r="C878" s="385"/>
      <c r="D878" s="385"/>
      <c r="E878" s="385"/>
      <c r="F878" s="385"/>
      <c r="G878" s="385"/>
      <c r="H878" s="385"/>
      <c r="I878" s="385"/>
      <c r="J878" s="385"/>
      <c r="K878" s="385"/>
    </row>
    <row r="879">
      <c r="A879" s="385"/>
      <c r="B879" s="385"/>
      <c r="C879" s="385"/>
      <c r="D879" s="385"/>
      <c r="E879" s="385"/>
      <c r="F879" s="385"/>
      <c r="G879" s="385"/>
      <c r="H879" s="385"/>
      <c r="I879" s="385"/>
      <c r="J879" s="385"/>
      <c r="K879" s="385"/>
    </row>
    <row r="880">
      <c r="A880" s="385"/>
      <c r="B880" s="385"/>
      <c r="C880" s="385"/>
      <c r="D880" s="385"/>
      <c r="E880" s="385"/>
      <c r="F880" s="385"/>
      <c r="G880" s="385"/>
      <c r="H880" s="385"/>
      <c r="I880" s="385"/>
      <c r="J880" s="385"/>
      <c r="K880" s="385"/>
    </row>
    <row r="881">
      <c r="A881" s="385"/>
      <c r="B881" s="385"/>
      <c r="C881" s="385"/>
      <c r="D881" s="385"/>
      <c r="E881" s="385"/>
      <c r="F881" s="385"/>
      <c r="G881" s="385"/>
      <c r="H881" s="385"/>
      <c r="I881" s="385"/>
      <c r="J881" s="385"/>
      <c r="K881" s="385"/>
    </row>
    <row r="882">
      <c r="A882" s="385"/>
      <c r="B882" s="385"/>
      <c r="C882" s="385"/>
      <c r="D882" s="385"/>
      <c r="E882" s="385"/>
      <c r="F882" s="385"/>
      <c r="G882" s="385"/>
      <c r="H882" s="385"/>
      <c r="I882" s="385"/>
      <c r="J882" s="385"/>
      <c r="K882" s="385"/>
    </row>
    <row r="883">
      <c r="A883" s="385"/>
      <c r="B883" s="385"/>
      <c r="C883" s="385"/>
      <c r="D883" s="385"/>
      <c r="E883" s="385"/>
      <c r="F883" s="385"/>
      <c r="G883" s="385"/>
      <c r="H883" s="385"/>
      <c r="I883" s="385"/>
      <c r="J883" s="385"/>
      <c r="K883" s="385"/>
    </row>
    <row r="884">
      <c r="A884" s="385"/>
      <c r="B884" s="385"/>
      <c r="C884" s="385"/>
      <c r="D884" s="385"/>
      <c r="E884" s="385"/>
      <c r="F884" s="385"/>
      <c r="G884" s="385"/>
      <c r="H884" s="385"/>
      <c r="I884" s="385"/>
      <c r="J884" s="385"/>
      <c r="K884" s="385"/>
    </row>
    <row r="885">
      <c r="A885" s="385"/>
      <c r="B885" s="385"/>
      <c r="C885" s="385"/>
      <c r="D885" s="385"/>
      <c r="E885" s="385"/>
      <c r="F885" s="385"/>
      <c r="G885" s="385"/>
      <c r="H885" s="385"/>
      <c r="I885" s="385"/>
      <c r="J885" s="385"/>
      <c r="K885" s="385"/>
    </row>
    <row r="886">
      <c r="A886" s="385"/>
      <c r="B886" s="385"/>
      <c r="C886" s="385"/>
      <c r="D886" s="385"/>
      <c r="E886" s="385"/>
      <c r="F886" s="385"/>
      <c r="G886" s="385"/>
      <c r="H886" s="385"/>
      <c r="I886" s="385"/>
      <c r="J886" s="385"/>
      <c r="K886" s="385"/>
    </row>
    <row r="887">
      <c r="A887" s="385"/>
      <c r="B887" s="385"/>
      <c r="C887" s="385"/>
      <c r="D887" s="385"/>
      <c r="E887" s="385"/>
      <c r="F887" s="385"/>
      <c r="G887" s="385"/>
      <c r="H887" s="385"/>
      <c r="I887" s="385"/>
      <c r="J887" s="385"/>
      <c r="K887" s="385"/>
    </row>
    <row r="888">
      <c r="A888" s="385"/>
      <c r="B888" s="385"/>
      <c r="C888" s="385"/>
      <c r="D888" s="385"/>
      <c r="E888" s="385"/>
      <c r="F888" s="385"/>
      <c r="G888" s="385"/>
      <c r="H888" s="385"/>
      <c r="I888" s="385"/>
      <c r="J888" s="385"/>
      <c r="K888" s="385"/>
    </row>
    <row r="889">
      <c r="A889" s="385"/>
      <c r="B889" s="385"/>
      <c r="C889" s="385"/>
      <c r="D889" s="385"/>
      <c r="E889" s="385"/>
      <c r="F889" s="385"/>
      <c r="G889" s="385"/>
      <c r="H889" s="385"/>
      <c r="I889" s="385"/>
      <c r="J889" s="385"/>
      <c r="K889" s="385"/>
    </row>
    <row r="890">
      <c r="A890" s="385"/>
      <c r="B890" s="385"/>
      <c r="C890" s="385"/>
      <c r="D890" s="385"/>
      <c r="E890" s="385"/>
      <c r="F890" s="385"/>
      <c r="G890" s="385"/>
      <c r="H890" s="385"/>
      <c r="I890" s="385"/>
      <c r="J890" s="385"/>
      <c r="K890" s="385"/>
    </row>
    <row r="891">
      <c r="A891" s="385"/>
      <c r="B891" s="385"/>
      <c r="C891" s="385"/>
      <c r="D891" s="385"/>
      <c r="E891" s="385"/>
      <c r="F891" s="385"/>
      <c r="G891" s="385"/>
      <c r="H891" s="385"/>
      <c r="I891" s="385"/>
      <c r="J891" s="385"/>
      <c r="K891" s="385"/>
    </row>
    <row r="892">
      <c r="A892" s="385"/>
      <c r="B892" s="385"/>
      <c r="C892" s="385"/>
      <c r="D892" s="385"/>
      <c r="E892" s="385"/>
      <c r="F892" s="385"/>
      <c r="G892" s="385"/>
      <c r="H892" s="385"/>
      <c r="I892" s="385"/>
      <c r="J892" s="385"/>
      <c r="K892" s="385"/>
    </row>
    <row r="893">
      <c r="A893" s="385"/>
      <c r="B893" s="385"/>
      <c r="C893" s="385"/>
      <c r="D893" s="385"/>
      <c r="E893" s="385"/>
      <c r="F893" s="385"/>
      <c r="G893" s="385"/>
      <c r="H893" s="385"/>
      <c r="I893" s="385"/>
      <c r="J893" s="385"/>
      <c r="K893" s="385"/>
    </row>
    <row r="894">
      <c r="A894" s="385"/>
      <c r="B894" s="385"/>
      <c r="C894" s="385"/>
      <c r="D894" s="385"/>
      <c r="E894" s="385"/>
      <c r="F894" s="385"/>
      <c r="G894" s="385"/>
      <c r="H894" s="385"/>
      <c r="I894" s="385"/>
      <c r="J894" s="385"/>
      <c r="K894" s="385"/>
    </row>
    <row r="895">
      <c r="A895" s="385"/>
      <c r="B895" s="385"/>
      <c r="C895" s="385"/>
      <c r="D895" s="385"/>
      <c r="E895" s="385"/>
      <c r="F895" s="385"/>
      <c r="G895" s="385"/>
      <c r="H895" s="385"/>
      <c r="I895" s="385"/>
      <c r="J895" s="385"/>
      <c r="K895" s="385"/>
    </row>
    <row r="896">
      <c r="A896" s="385"/>
      <c r="B896" s="385"/>
      <c r="C896" s="385"/>
      <c r="D896" s="385"/>
      <c r="E896" s="385"/>
      <c r="F896" s="385"/>
      <c r="G896" s="385"/>
      <c r="H896" s="385"/>
      <c r="I896" s="385"/>
      <c r="J896" s="385"/>
      <c r="K896" s="385"/>
    </row>
    <row r="897">
      <c r="A897" s="385"/>
      <c r="B897" s="385"/>
      <c r="C897" s="385"/>
      <c r="D897" s="385"/>
      <c r="E897" s="385"/>
      <c r="F897" s="385"/>
      <c r="G897" s="385"/>
      <c r="H897" s="385"/>
      <c r="I897" s="385"/>
      <c r="J897" s="385"/>
      <c r="K897" s="385"/>
    </row>
    <row r="898">
      <c r="A898" s="385"/>
      <c r="B898" s="385"/>
      <c r="C898" s="385"/>
      <c r="D898" s="385"/>
      <c r="E898" s="385"/>
      <c r="F898" s="385"/>
      <c r="G898" s="385"/>
      <c r="H898" s="385"/>
      <c r="I898" s="385"/>
      <c r="J898" s="385"/>
      <c r="K898" s="385"/>
    </row>
    <row r="899">
      <c r="A899" s="385"/>
      <c r="B899" s="385"/>
      <c r="C899" s="385"/>
      <c r="D899" s="385"/>
      <c r="E899" s="385"/>
      <c r="F899" s="385"/>
      <c r="G899" s="385"/>
      <c r="H899" s="385"/>
      <c r="I899" s="385"/>
      <c r="J899" s="385"/>
      <c r="K899" s="385"/>
    </row>
    <row r="900">
      <c r="A900" s="385"/>
      <c r="B900" s="385"/>
      <c r="C900" s="385"/>
      <c r="D900" s="385"/>
      <c r="E900" s="385"/>
      <c r="F900" s="385"/>
      <c r="G900" s="385"/>
      <c r="H900" s="385"/>
      <c r="I900" s="385"/>
      <c r="J900" s="385"/>
      <c r="K900" s="385"/>
    </row>
    <row r="901">
      <c r="A901" s="385"/>
      <c r="B901" s="385"/>
      <c r="C901" s="385"/>
      <c r="D901" s="385"/>
      <c r="E901" s="385"/>
      <c r="F901" s="385"/>
      <c r="G901" s="385"/>
      <c r="H901" s="385"/>
      <c r="I901" s="385"/>
      <c r="J901" s="385"/>
      <c r="K901" s="385"/>
    </row>
    <row r="902">
      <c r="A902" s="385"/>
      <c r="B902" s="385"/>
      <c r="C902" s="385"/>
      <c r="D902" s="385"/>
      <c r="E902" s="385"/>
      <c r="F902" s="385"/>
      <c r="G902" s="385"/>
      <c r="H902" s="385"/>
      <c r="I902" s="385"/>
      <c r="J902" s="385"/>
      <c r="K902" s="385"/>
    </row>
    <row r="903">
      <c r="A903" s="385"/>
      <c r="B903" s="385"/>
      <c r="C903" s="385"/>
      <c r="D903" s="385"/>
      <c r="E903" s="385"/>
      <c r="F903" s="385"/>
      <c r="G903" s="385"/>
      <c r="H903" s="385"/>
      <c r="I903" s="385"/>
      <c r="J903" s="385"/>
      <c r="K903" s="385"/>
    </row>
    <row r="904">
      <c r="A904" s="385"/>
      <c r="B904" s="385"/>
      <c r="C904" s="385"/>
      <c r="D904" s="385"/>
      <c r="E904" s="385"/>
      <c r="F904" s="385"/>
      <c r="G904" s="385"/>
      <c r="H904" s="385"/>
      <c r="I904" s="385"/>
      <c r="J904" s="385"/>
      <c r="K904" s="385"/>
    </row>
    <row r="905">
      <c r="A905" s="385"/>
      <c r="B905" s="385"/>
      <c r="C905" s="385"/>
      <c r="D905" s="385"/>
      <c r="E905" s="385"/>
      <c r="F905" s="385"/>
      <c r="G905" s="385"/>
      <c r="H905" s="385"/>
      <c r="I905" s="385"/>
      <c r="J905" s="385"/>
      <c r="K905" s="385"/>
    </row>
    <row r="906">
      <c r="A906" s="385"/>
      <c r="B906" s="385"/>
      <c r="C906" s="385"/>
      <c r="D906" s="385"/>
      <c r="E906" s="385"/>
      <c r="F906" s="385"/>
      <c r="G906" s="385"/>
      <c r="H906" s="385"/>
      <c r="I906" s="385"/>
      <c r="J906" s="385"/>
      <c r="K906" s="385"/>
    </row>
    <row r="907">
      <c r="A907" s="385"/>
      <c r="B907" s="385"/>
      <c r="C907" s="385"/>
      <c r="D907" s="385"/>
      <c r="E907" s="385"/>
      <c r="F907" s="385"/>
      <c r="G907" s="385"/>
      <c r="H907" s="385"/>
      <c r="I907" s="385"/>
      <c r="J907" s="385"/>
      <c r="K907" s="385"/>
    </row>
    <row r="908">
      <c r="A908" s="385"/>
      <c r="B908" s="385"/>
      <c r="C908" s="385"/>
      <c r="D908" s="385"/>
      <c r="E908" s="385"/>
      <c r="F908" s="385"/>
      <c r="G908" s="385"/>
      <c r="H908" s="385"/>
      <c r="I908" s="385"/>
      <c r="J908" s="385"/>
      <c r="K908" s="385"/>
    </row>
    <row r="909">
      <c r="A909" s="385"/>
      <c r="B909" s="385"/>
      <c r="C909" s="385"/>
      <c r="D909" s="385"/>
      <c r="E909" s="385"/>
      <c r="F909" s="385"/>
      <c r="G909" s="385"/>
      <c r="H909" s="385"/>
      <c r="I909" s="385"/>
      <c r="J909" s="385"/>
      <c r="K909" s="385"/>
    </row>
    <row r="910">
      <c r="A910" s="385"/>
      <c r="B910" s="385"/>
      <c r="C910" s="385"/>
      <c r="D910" s="385"/>
      <c r="E910" s="385"/>
      <c r="F910" s="385"/>
      <c r="G910" s="385"/>
      <c r="H910" s="385"/>
      <c r="I910" s="385"/>
      <c r="J910" s="385"/>
      <c r="K910" s="385"/>
    </row>
    <row r="911">
      <c r="A911" s="385"/>
      <c r="B911" s="385"/>
      <c r="C911" s="385"/>
      <c r="D911" s="385"/>
      <c r="E911" s="385"/>
      <c r="F911" s="385"/>
      <c r="G911" s="385"/>
      <c r="H911" s="385"/>
      <c r="I911" s="385"/>
      <c r="J911" s="385"/>
      <c r="K911" s="385"/>
    </row>
    <row r="912">
      <c r="A912" s="385"/>
      <c r="B912" s="385"/>
      <c r="C912" s="385"/>
      <c r="D912" s="385"/>
      <c r="E912" s="385"/>
      <c r="F912" s="385"/>
      <c r="G912" s="385"/>
      <c r="H912" s="385"/>
      <c r="I912" s="385"/>
      <c r="J912" s="385"/>
      <c r="K912" s="385"/>
    </row>
    <row r="913">
      <c r="A913" s="385"/>
      <c r="B913" s="385"/>
      <c r="C913" s="385"/>
      <c r="D913" s="385"/>
      <c r="E913" s="385"/>
      <c r="F913" s="385"/>
      <c r="G913" s="385"/>
      <c r="H913" s="385"/>
      <c r="I913" s="385"/>
      <c r="J913" s="385"/>
      <c r="K913" s="385"/>
    </row>
    <row r="914">
      <c r="A914" s="385"/>
      <c r="B914" s="385"/>
      <c r="C914" s="385"/>
      <c r="D914" s="385"/>
      <c r="E914" s="385"/>
      <c r="F914" s="385"/>
      <c r="G914" s="385"/>
      <c r="H914" s="385"/>
      <c r="I914" s="385"/>
      <c r="J914" s="385"/>
      <c r="K914" s="385"/>
    </row>
    <row r="915">
      <c r="A915" s="385"/>
      <c r="B915" s="385"/>
      <c r="C915" s="385"/>
      <c r="D915" s="385"/>
      <c r="E915" s="385"/>
      <c r="F915" s="385"/>
      <c r="G915" s="385"/>
      <c r="H915" s="385"/>
      <c r="I915" s="385"/>
      <c r="J915" s="385"/>
      <c r="K915" s="385"/>
    </row>
    <row r="916">
      <c r="A916" s="385"/>
      <c r="B916" s="385"/>
      <c r="C916" s="385"/>
      <c r="D916" s="385"/>
      <c r="E916" s="385"/>
      <c r="F916" s="385"/>
      <c r="G916" s="385"/>
      <c r="H916" s="385"/>
      <c r="I916" s="385"/>
      <c r="J916" s="385"/>
      <c r="K916" s="385"/>
    </row>
    <row r="917">
      <c r="A917" s="385"/>
      <c r="B917" s="385"/>
      <c r="C917" s="385"/>
      <c r="D917" s="385"/>
      <c r="E917" s="385"/>
      <c r="F917" s="385"/>
      <c r="G917" s="385"/>
      <c r="H917" s="385"/>
      <c r="I917" s="385"/>
      <c r="J917" s="385"/>
      <c r="K917" s="385"/>
    </row>
    <row r="918">
      <c r="A918" s="385"/>
      <c r="B918" s="385"/>
      <c r="C918" s="385"/>
      <c r="D918" s="385"/>
      <c r="E918" s="385"/>
      <c r="F918" s="385"/>
      <c r="G918" s="385"/>
      <c r="H918" s="385"/>
      <c r="I918" s="385"/>
      <c r="J918" s="385"/>
      <c r="K918" s="385"/>
    </row>
    <row r="919">
      <c r="A919" s="385"/>
      <c r="B919" s="385"/>
      <c r="C919" s="385"/>
      <c r="D919" s="385"/>
      <c r="E919" s="385"/>
      <c r="F919" s="385"/>
      <c r="G919" s="385"/>
      <c r="H919" s="385"/>
      <c r="I919" s="385"/>
      <c r="J919" s="385"/>
      <c r="K919" s="385"/>
    </row>
    <row r="920">
      <c r="A920" s="385"/>
      <c r="B920" s="385"/>
      <c r="C920" s="385"/>
      <c r="D920" s="385"/>
      <c r="E920" s="385"/>
      <c r="F920" s="385"/>
      <c r="G920" s="385"/>
      <c r="H920" s="385"/>
      <c r="I920" s="385"/>
      <c r="J920" s="385"/>
      <c r="K920" s="385"/>
    </row>
    <row r="921">
      <c r="A921" s="385"/>
      <c r="B921" s="385"/>
      <c r="C921" s="385"/>
      <c r="D921" s="385"/>
      <c r="E921" s="385"/>
      <c r="F921" s="385"/>
      <c r="G921" s="385"/>
      <c r="H921" s="385"/>
      <c r="I921" s="385"/>
      <c r="J921" s="385"/>
      <c r="K921" s="385"/>
    </row>
    <row r="922">
      <c r="A922" s="385"/>
      <c r="B922" s="385"/>
      <c r="C922" s="385"/>
      <c r="D922" s="385"/>
      <c r="E922" s="385"/>
      <c r="F922" s="385"/>
      <c r="G922" s="385"/>
      <c r="H922" s="385"/>
      <c r="I922" s="385"/>
      <c r="J922" s="385"/>
      <c r="K922" s="385"/>
    </row>
    <row r="923">
      <c r="A923" s="385"/>
      <c r="B923" s="385"/>
      <c r="C923" s="385"/>
      <c r="D923" s="385"/>
      <c r="E923" s="385"/>
      <c r="F923" s="385"/>
      <c r="G923" s="385"/>
      <c r="H923" s="385"/>
      <c r="I923" s="385"/>
      <c r="J923" s="385"/>
      <c r="K923" s="385"/>
    </row>
    <row r="924">
      <c r="A924" s="385"/>
      <c r="B924" s="385"/>
      <c r="C924" s="385"/>
      <c r="D924" s="385"/>
      <c r="E924" s="385"/>
      <c r="F924" s="385"/>
      <c r="G924" s="385"/>
      <c r="H924" s="385"/>
      <c r="I924" s="385"/>
      <c r="J924" s="385"/>
      <c r="K924" s="385"/>
    </row>
    <row r="925">
      <c r="A925" s="385"/>
      <c r="B925" s="385"/>
      <c r="C925" s="385"/>
      <c r="D925" s="385"/>
      <c r="E925" s="385"/>
      <c r="F925" s="385"/>
      <c r="G925" s="385"/>
      <c r="H925" s="385"/>
      <c r="I925" s="385"/>
      <c r="J925" s="385"/>
      <c r="K925" s="385"/>
    </row>
    <row r="926">
      <c r="A926" s="385"/>
      <c r="B926" s="385"/>
      <c r="C926" s="385"/>
      <c r="D926" s="385"/>
      <c r="E926" s="385"/>
      <c r="F926" s="385"/>
      <c r="G926" s="385"/>
      <c r="H926" s="385"/>
      <c r="I926" s="385"/>
      <c r="J926" s="385"/>
      <c r="K926" s="385"/>
    </row>
    <row r="927">
      <c r="A927" s="385"/>
      <c r="B927" s="385"/>
      <c r="C927" s="385"/>
      <c r="D927" s="385"/>
      <c r="E927" s="385"/>
      <c r="F927" s="385"/>
      <c r="G927" s="385"/>
      <c r="H927" s="385"/>
      <c r="I927" s="385"/>
      <c r="J927" s="385"/>
      <c r="K927" s="385"/>
    </row>
    <row r="928">
      <c r="A928" s="385"/>
      <c r="B928" s="385"/>
      <c r="C928" s="385"/>
      <c r="D928" s="385"/>
      <c r="E928" s="385"/>
      <c r="F928" s="385"/>
      <c r="G928" s="385"/>
      <c r="H928" s="385"/>
      <c r="I928" s="385"/>
      <c r="J928" s="385"/>
      <c r="K928" s="385"/>
    </row>
    <row r="929">
      <c r="A929" s="385"/>
      <c r="B929" s="385"/>
      <c r="C929" s="385"/>
      <c r="D929" s="385"/>
      <c r="E929" s="385"/>
      <c r="F929" s="385"/>
      <c r="G929" s="385"/>
      <c r="H929" s="385"/>
      <c r="I929" s="385"/>
      <c r="J929" s="385"/>
      <c r="K929" s="385"/>
    </row>
    <row r="930">
      <c r="A930" s="385"/>
      <c r="B930" s="385"/>
      <c r="C930" s="385"/>
      <c r="D930" s="385"/>
      <c r="E930" s="385"/>
      <c r="F930" s="385"/>
      <c r="G930" s="385"/>
      <c r="H930" s="385"/>
      <c r="I930" s="385"/>
      <c r="J930" s="385"/>
      <c r="K930" s="385"/>
    </row>
    <row r="931">
      <c r="A931" s="385"/>
      <c r="B931" s="385"/>
      <c r="C931" s="385"/>
      <c r="D931" s="385"/>
      <c r="E931" s="385"/>
      <c r="F931" s="385"/>
      <c r="G931" s="385"/>
      <c r="H931" s="385"/>
      <c r="I931" s="385"/>
      <c r="J931" s="385"/>
      <c r="K931" s="385"/>
    </row>
    <row r="932">
      <c r="A932" s="385"/>
      <c r="B932" s="385"/>
      <c r="C932" s="385"/>
      <c r="D932" s="385"/>
      <c r="E932" s="385"/>
      <c r="F932" s="385"/>
      <c r="G932" s="385"/>
      <c r="H932" s="385"/>
      <c r="I932" s="385"/>
      <c r="J932" s="385"/>
      <c r="K932" s="385"/>
    </row>
    <row r="933">
      <c r="A933" s="385"/>
      <c r="B933" s="385"/>
      <c r="C933" s="385"/>
      <c r="D933" s="385"/>
      <c r="E933" s="385"/>
      <c r="F933" s="385"/>
      <c r="G933" s="385"/>
      <c r="H933" s="385"/>
      <c r="I933" s="385"/>
      <c r="J933" s="385"/>
      <c r="K933" s="385"/>
    </row>
    <row r="934">
      <c r="A934" s="385"/>
      <c r="B934" s="385"/>
      <c r="C934" s="385"/>
      <c r="D934" s="385"/>
      <c r="E934" s="385"/>
      <c r="F934" s="385"/>
      <c r="G934" s="385"/>
      <c r="H934" s="385"/>
      <c r="I934" s="385"/>
      <c r="J934" s="385"/>
      <c r="K934" s="385"/>
    </row>
    <row r="935">
      <c r="A935" s="385"/>
      <c r="B935" s="385"/>
      <c r="C935" s="385"/>
      <c r="D935" s="385"/>
      <c r="E935" s="385"/>
      <c r="F935" s="385"/>
      <c r="G935" s="385"/>
      <c r="H935" s="385"/>
      <c r="I935" s="385"/>
      <c r="J935" s="385"/>
      <c r="K935" s="385"/>
    </row>
    <row r="936">
      <c r="A936" s="385"/>
      <c r="B936" s="385"/>
      <c r="C936" s="385"/>
      <c r="D936" s="385"/>
      <c r="E936" s="385"/>
      <c r="F936" s="385"/>
      <c r="G936" s="385"/>
      <c r="H936" s="385"/>
      <c r="I936" s="385"/>
      <c r="J936" s="385"/>
      <c r="K936" s="385"/>
    </row>
    <row r="937">
      <c r="A937" s="385"/>
      <c r="B937" s="385"/>
      <c r="C937" s="385"/>
      <c r="D937" s="385"/>
      <c r="E937" s="385"/>
      <c r="F937" s="385"/>
      <c r="G937" s="385"/>
      <c r="H937" s="385"/>
      <c r="I937" s="385"/>
      <c r="J937" s="385"/>
      <c r="K937" s="385"/>
    </row>
    <row r="938">
      <c r="A938" s="385"/>
      <c r="B938" s="385"/>
      <c r="C938" s="385"/>
      <c r="D938" s="385"/>
      <c r="E938" s="385"/>
      <c r="F938" s="385"/>
      <c r="G938" s="385"/>
      <c r="H938" s="385"/>
      <c r="I938" s="385"/>
      <c r="J938" s="385"/>
      <c r="K938" s="385"/>
    </row>
    <row r="939">
      <c r="A939" s="385"/>
      <c r="B939" s="385"/>
      <c r="C939" s="385"/>
      <c r="D939" s="385"/>
      <c r="E939" s="385"/>
      <c r="F939" s="385"/>
      <c r="G939" s="385"/>
      <c r="H939" s="385"/>
      <c r="I939" s="385"/>
      <c r="J939" s="385"/>
      <c r="K939" s="385"/>
    </row>
    <row r="940">
      <c r="A940" s="385"/>
      <c r="B940" s="385"/>
      <c r="C940" s="385"/>
      <c r="D940" s="385"/>
      <c r="E940" s="385"/>
      <c r="F940" s="385"/>
      <c r="G940" s="385"/>
      <c r="H940" s="385"/>
      <c r="I940" s="385"/>
      <c r="J940" s="385"/>
      <c r="K940" s="385"/>
    </row>
    <row r="941">
      <c r="A941" s="385"/>
      <c r="B941" s="385"/>
      <c r="C941" s="385"/>
      <c r="D941" s="385"/>
      <c r="E941" s="385"/>
      <c r="F941" s="385"/>
      <c r="G941" s="385"/>
      <c r="H941" s="385"/>
      <c r="I941" s="385"/>
      <c r="J941" s="385"/>
      <c r="K941" s="385"/>
    </row>
    <row r="942">
      <c r="A942" s="385"/>
      <c r="B942" s="385"/>
      <c r="C942" s="385"/>
      <c r="D942" s="385"/>
      <c r="E942" s="385"/>
      <c r="F942" s="385"/>
      <c r="G942" s="385"/>
      <c r="H942" s="385"/>
      <c r="I942" s="385"/>
      <c r="J942" s="385"/>
      <c r="K942" s="385"/>
    </row>
    <row r="943">
      <c r="A943" s="385"/>
      <c r="B943" s="385"/>
      <c r="C943" s="385"/>
      <c r="D943" s="385"/>
      <c r="E943" s="385"/>
      <c r="F943" s="385"/>
      <c r="G943" s="385"/>
      <c r="H943" s="385"/>
      <c r="I943" s="385"/>
      <c r="J943" s="385"/>
      <c r="K943" s="385"/>
    </row>
    <row r="944">
      <c r="A944" s="385"/>
      <c r="B944" s="385"/>
      <c r="C944" s="385"/>
      <c r="D944" s="385"/>
      <c r="E944" s="385"/>
      <c r="F944" s="385"/>
      <c r="G944" s="385"/>
      <c r="H944" s="385"/>
      <c r="I944" s="385"/>
      <c r="J944" s="385"/>
      <c r="K944" s="385"/>
    </row>
    <row r="945">
      <c r="A945" s="385"/>
      <c r="B945" s="385"/>
      <c r="C945" s="385"/>
      <c r="D945" s="385"/>
      <c r="E945" s="385"/>
      <c r="F945" s="385"/>
      <c r="G945" s="385"/>
      <c r="H945" s="385"/>
      <c r="I945" s="385"/>
      <c r="J945" s="385"/>
      <c r="K945" s="385"/>
    </row>
    <row r="946">
      <c r="A946" s="385"/>
      <c r="B946" s="385"/>
      <c r="C946" s="385"/>
      <c r="D946" s="385"/>
      <c r="E946" s="385"/>
      <c r="F946" s="385"/>
      <c r="G946" s="385"/>
      <c r="H946" s="385"/>
      <c r="I946" s="385"/>
      <c r="J946" s="385"/>
      <c r="K946" s="385"/>
    </row>
    <row r="947">
      <c r="A947" s="385"/>
      <c r="B947" s="385"/>
      <c r="C947" s="385"/>
      <c r="D947" s="385"/>
      <c r="E947" s="385"/>
      <c r="F947" s="385"/>
      <c r="G947" s="385"/>
      <c r="H947" s="385"/>
      <c r="I947" s="385"/>
      <c r="J947" s="385"/>
      <c r="K947" s="385"/>
    </row>
    <row r="948">
      <c r="A948" s="385"/>
      <c r="B948" s="385"/>
      <c r="C948" s="385"/>
      <c r="D948" s="385"/>
      <c r="E948" s="385"/>
      <c r="F948" s="385"/>
      <c r="G948" s="385"/>
      <c r="H948" s="385"/>
      <c r="I948" s="385"/>
      <c r="J948" s="385"/>
      <c r="K948" s="385"/>
    </row>
    <row r="949">
      <c r="A949" s="385"/>
      <c r="B949" s="385"/>
      <c r="C949" s="385"/>
      <c r="D949" s="385"/>
      <c r="E949" s="385"/>
      <c r="F949" s="385"/>
      <c r="G949" s="385"/>
      <c r="H949" s="385"/>
      <c r="I949" s="385"/>
      <c r="J949" s="385"/>
      <c r="K949" s="385"/>
    </row>
    <row r="950">
      <c r="A950" s="385"/>
      <c r="B950" s="385"/>
      <c r="C950" s="385"/>
      <c r="D950" s="385"/>
      <c r="E950" s="385"/>
      <c r="F950" s="385"/>
      <c r="G950" s="385"/>
      <c r="H950" s="385"/>
      <c r="I950" s="385"/>
      <c r="J950" s="385"/>
      <c r="K950" s="385"/>
    </row>
    <row r="951">
      <c r="A951" s="385"/>
      <c r="B951" s="385"/>
      <c r="C951" s="385"/>
      <c r="D951" s="385"/>
      <c r="E951" s="385"/>
      <c r="F951" s="385"/>
      <c r="G951" s="385"/>
      <c r="H951" s="385"/>
      <c r="I951" s="385"/>
      <c r="J951" s="385"/>
      <c r="K951" s="385"/>
    </row>
    <row r="952">
      <c r="A952" s="385"/>
      <c r="B952" s="385"/>
      <c r="C952" s="385"/>
      <c r="D952" s="385"/>
      <c r="E952" s="385"/>
      <c r="F952" s="385"/>
      <c r="G952" s="385"/>
      <c r="H952" s="385"/>
      <c r="I952" s="385"/>
      <c r="J952" s="385"/>
      <c r="K952" s="385"/>
    </row>
    <row r="953">
      <c r="A953" s="385"/>
      <c r="B953" s="385"/>
      <c r="C953" s="385"/>
      <c r="D953" s="385"/>
      <c r="E953" s="385"/>
      <c r="F953" s="385"/>
      <c r="G953" s="385"/>
      <c r="H953" s="385"/>
      <c r="I953" s="385"/>
      <c r="J953" s="385"/>
      <c r="K953" s="385"/>
    </row>
    <row r="954">
      <c r="A954" s="385"/>
      <c r="B954" s="385"/>
      <c r="C954" s="385"/>
      <c r="D954" s="385"/>
      <c r="E954" s="385"/>
      <c r="F954" s="385"/>
      <c r="G954" s="385"/>
      <c r="H954" s="385"/>
      <c r="I954" s="385"/>
      <c r="J954" s="385"/>
      <c r="K954" s="385"/>
    </row>
    <row r="955">
      <c r="A955" s="385"/>
      <c r="B955" s="385"/>
      <c r="C955" s="385"/>
      <c r="D955" s="385"/>
      <c r="E955" s="385"/>
      <c r="F955" s="385"/>
      <c r="G955" s="385"/>
      <c r="H955" s="385"/>
      <c r="I955" s="385"/>
      <c r="J955" s="385"/>
      <c r="K955" s="385"/>
    </row>
    <row r="956">
      <c r="A956" s="385"/>
      <c r="B956" s="385"/>
      <c r="C956" s="385"/>
      <c r="D956" s="385"/>
      <c r="E956" s="385"/>
      <c r="F956" s="385"/>
      <c r="G956" s="385"/>
      <c r="H956" s="385"/>
      <c r="I956" s="385"/>
      <c r="J956" s="385"/>
      <c r="K956" s="385"/>
    </row>
    <row r="957">
      <c r="A957" s="385"/>
      <c r="B957" s="385"/>
      <c r="C957" s="385"/>
      <c r="D957" s="385"/>
      <c r="E957" s="385"/>
      <c r="F957" s="385"/>
      <c r="G957" s="385"/>
      <c r="H957" s="385"/>
      <c r="I957" s="385"/>
      <c r="J957" s="385"/>
      <c r="K957" s="385"/>
    </row>
    <row r="958">
      <c r="A958" s="385"/>
      <c r="B958" s="385"/>
      <c r="C958" s="385"/>
      <c r="D958" s="385"/>
      <c r="E958" s="385"/>
      <c r="F958" s="385"/>
      <c r="G958" s="385"/>
      <c r="H958" s="385"/>
      <c r="I958" s="385"/>
      <c r="J958" s="385"/>
      <c r="K958" s="385"/>
    </row>
    <row r="959">
      <c r="A959" s="385"/>
      <c r="B959" s="385"/>
      <c r="C959" s="385"/>
      <c r="D959" s="385"/>
      <c r="E959" s="385"/>
      <c r="F959" s="385"/>
      <c r="G959" s="385"/>
      <c r="H959" s="385"/>
      <c r="I959" s="385"/>
      <c r="J959" s="385"/>
      <c r="K959" s="385"/>
    </row>
    <row r="960">
      <c r="A960" s="385"/>
      <c r="B960" s="385"/>
      <c r="C960" s="385"/>
      <c r="D960" s="385"/>
      <c r="E960" s="385"/>
      <c r="F960" s="385"/>
      <c r="G960" s="385"/>
      <c r="H960" s="385"/>
      <c r="I960" s="385"/>
      <c r="J960" s="385"/>
      <c r="K960" s="385"/>
    </row>
    <row r="961">
      <c r="A961" s="385"/>
      <c r="B961" s="385"/>
      <c r="C961" s="385"/>
      <c r="D961" s="385"/>
      <c r="E961" s="385"/>
      <c r="F961" s="385"/>
      <c r="G961" s="385"/>
      <c r="H961" s="385"/>
      <c r="I961" s="385"/>
      <c r="J961" s="385"/>
      <c r="K961" s="385"/>
    </row>
    <row r="962">
      <c r="A962" s="385"/>
      <c r="B962" s="385"/>
      <c r="C962" s="385"/>
      <c r="D962" s="385"/>
      <c r="E962" s="385"/>
      <c r="F962" s="385"/>
      <c r="G962" s="385"/>
      <c r="H962" s="385"/>
      <c r="I962" s="385"/>
      <c r="J962" s="385"/>
      <c r="K962" s="385"/>
    </row>
    <row r="963">
      <c r="A963" s="385"/>
      <c r="B963" s="385"/>
      <c r="C963" s="385"/>
      <c r="D963" s="385"/>
      <c r="E963" s="385"/>
      <c r="F963" s="385"/>
      <c r="G963" s="385"/>
      <c r="H963" s="385"/>
      <c r="I963" s="385"/>
      <c r="J963" s="385"/>
      <c r="K963" s="385"/>
    </row>
    <row r="964">
      <c r="A964" s="385"/>
      <c r="B964" s="385"/>
      <c r="C964" s="385"/>
      <c r="D964" s="385"/>
      <c r="E964" s="385"/>
      <c r="F964" s="385"/>
      <c r="G964" s="385"/>
      <c r="H964" s="385"/>
      <c r="I964" s="385"/>
      <c r="J964" s="385"/>
      <c r="K964" s="385"/>
    </row>
    <row r="965">
      <c r="A965" s="385"/>
      <c r="B965" s="385"/>
      <c r="C965" s="385"/>
      <c r="D965" s="385"/>
      <c r="E965" s="385"/>
      <c r="F965" s="385"/>
      <c r="G965" s="385"/>
      <c r="H965" s="385"/>
      <c r="I965" s="385"/>
      <c r="J965" s="385"/>
      <c r="K965" s="385"/>
    </row>
    <row r="966">
      <c r="A966" s="385"/>
      <c r="B966" s="385"/>
      <c r="C966" s="385"/>
      <c r="D966" s="385"/>
      <c r="E966" s="385"/>
      <c r="F966" s="385"/>
      <c r="G966" s="385"/>
      <c r="H966" s="385"/>
      <c r="I966" s="385"/>
      <c r="J966" s="385"/>
      <c r="K966" s="385"/>
    </row>
    <row r="967">
      <c r="A967" s="385"/>
      <c r="B967" s="385"/>
      <c r="C967" s="385"/>
      <c r="D967" s="385"/>
      <c r="E967" s="385"/>
      <c r="F967" s="385"/>
      <c r="G967" s="385"/>
      <c r="H967" s="385"/>
      <c r="I967" s="385"/>
      <c r="J967" s="385"/>
      <c r="K967" s="385"/>
    </row>
    <row r="968">
      <c r="A968" s="385"/>
      <c r="B968" s="385"/>
      <c r="C968" s="385"/>
      <c r="D968" s="385"/>
      <c r="E968" s="385"/>
      <c r="F968" s="385"/>
      <c r="G968" s="385"/>
      <c r="H968" s="385"/>
      <c r="I968" s="385"/>
      <c r="J968" s="385"/>
      <c r="K968" s="385"/>
    </row>
    <row r="969">
      <c r="A969" s="385"/>
      <c r="B969" s="385"/>
      <c r="C969" s="385"/>
      <c r="D969" s="385"/>
      <c r="E969" s="385"/>
      <c r="F969" s="385"/>
      <c r="G969" s="385"/>
      <c r="H969" s="385"/>
      <c r="I969" s="385"/>
      <c r="J969" s="385"/>
      <c r="K969" s="385"/>
    </row>
    <row r="970">
      <c r="A970" s="385"/>
      <c r="B970" s="385"/>
      <c r="C970" s="385"/>
      <c r="D970" s="385"/>
      <c r="E970" s="385"/>
      <c r="F970" s="385"/>
      <c r="G970" s="385"/>
      <c r="H970" s="385"/>
      <c r="I970" s="385"/>
      <c r="J970" s="385"/>
      <c r="K970" s="385"/>
    </row>
    <row r="971">
      <c r="A971" s="385"/>
      <c r="B971" s="385"/>
      <c r="C971" s="385"/>
      <c r="D971" s="385"/>
      <c r="E971" s="385"/>
      <c r="F971" s="385"/>
      <c r="G971" s="385"/>
      <c r="H971" s="385"/>
      <c r="I971" s="385"/>
      <c r="J971" s="385"/>
      <c r="K971" s="385"/>
    </row>
    <row r="972">
      <c r="A972" s="385"/>
      <c r="B972" s="385"/>
      <c r="C972" s="385"/>
      <c r="D972" s="385"/>
      <c r="E972" s="385"/>
      <c r="F972" s="385"/>
      <c r="G972" s="385"/>
      <c r="H972" s="385"/>
      <c r="I972" s="385"/>
      <c r="J972" s="385"/>
      <c r="K972" s="385"/>
    </row>
    <row r="973">
      <c r="A973" s="385"/>
      <c r="B973" s="385"/>
      <c r="C973" s="385"/>
      <c r="D973" s="385"/>
      <c r="E973" s="385"/>
      <c r="F973" s="385"/>
      <c r="G973" s="385"/>
      <c r="H973" s="385"/>
      <c r="I973" s="385"/>
      <c r="J973" s="385"/>
      <c r="K973" s="385"/>
    </row>
    <row r="974">
      <c r="A974" s="385"/>
      <c r="B974" s="385"/>
      <c r="C974" s="385"/>
      <c r="D974" s="385"/>
      <c r="E974" s="385"/>
      <c r="F974" s="385"/>
      <c r="G974" s="385"/>
      <c r="H974" s="385"/>
      <c r="I974" s="385"/>
      <c r="J974" s="385"/>
      <c r="K974" s="385"/>
    </row>
    <row r="975">
      <c r="A975" s="385"/>
      <c r="B975" s="385"/>
      <c r="C975" s="385"/>
      <c r="D975" s="385"/>
      <c r="E975" s="385"/>
      <c r="F975" s="385"/>
      <c r="G975" s="385"/>
      <c r="H975" s="385"/>
      <c r="I975" s="385"/>
      <c r="J975" s="385"/>
      <c r="K975" s="385"/>
    </row>
    <row r="976">
      <c r="A976" s="385"/>
      <c r="B976" s="385"/>
      <c r="C976" s="385"/>
      <c r="D976" s="385"/>
      <c r="E976" s="385"/>
      <c r="F976" s="385"/>
      <c r="G976" s="385"/>
      <c r="H976" s="385"/>
      <c r="I976" s="385"/>
      <c r="J976" s="385"/>
      <c r="K976" s="385"/>
    </row>
    <row r="977">
      <c r="A977" s="385"/>
      <c r="B977" s="385"/>
      <c r="C977" s="385"/>
      <c r="D977" s="385"/>
      <c r="E977" s="385"/>
      <c r="F977" s="385"/>
      <c r="G977" s="385"/>
      <c r="H977" s="385"/>
      <c r="I977" s="385"/>
      <c r="J977" s="385"/>
      <c r="K977" s="385"/>
    </row>
    <row r="978">
      <c r="A978" s="385"/>
      <c r="B978" s="385"/>
      <c r="C978" s="385"/>
      <c r="D978" s="385"/>
      <c r="E978" s="385"/>
      <c r="F978" s="385"/>
      <c r="G978" s="385"/>
      <c r="H978" s="385"/>
      <c r="I978" s="385"/>
      <c r="J978" s="385"/>
      <c r="K978" s="385"/>
    </row>
    <row r="979">
      <c r="A979" s="385"/>
      <c r="B979" s="385"/>
      <c r="C979" s="385"/>
      <c r="D979" s="385"/>
      <c r="E979" s="385"/>
      <c r="F979" s="385"/>
      <c r="G979" s="385"/>
      <c r="H979" s="385"/>
      <c r="I979" s="385"/>
      <c r="J979" s="385"/>
      <c r="K979" s="385"/>
    </row>
    <row r="980">
      <c r="A980" s="385"/>
      <c r="B980" s="385"/>
      <c r="C980" s="385"/>
      <c r="D980" s="385"/>
      <c r="E980" s="385"/>
      <c r="F980" s="385"/>
      <c r="G980" s="385"/>
      <c r="H980" s="385"/>
      <c r="I980" s="385"/>
      <c r="J980" s="385"/>
      <c r="K980" s="385"/>
    </row>
    <row r="981">
      <c r="A981" s="385"/>
      <c r="B981" s="385"/>
      <c r="C981" s="385"/>
      <c r="D981" s="385"/>
      <c r="E981" s="385"/>
      <c r="F981" s="385"/>
      <c r="G981" s="385"/>
      <c r="H981" s="385"/>
      <c r="I981" s="385"/>
      <c r="J981" s="385"/>
      <c r="K981" s="385"/>
    </row>
    <row r="982">
      <c r="A982" s="385"/>
      <c r="B982" s="385"/>
      <c r="C982" s="385"/>
      <c r="D982" s="385"/>
      <c r="E982" s="385"/>
      <c r="F982" s="385"/>
      <c r="G982" s="385"/>
      <c r="H982" s="385"/>
      <c r="I982" s="385"/>
      <c r="J982" s="385"/>
      <c r="K982" s="385"/>
    </row>
    <row r="983">
      <c r="A983" s="385"/>
      <c r="B983" s="385"/>
      <c r="C983" s="385"/>
      <c r="D983" s="385"/>
      <c r="E983" s="385"/>
      <c r="F983" s="385"/>
      <c r="G983" s="385"/>
      <c r="H983" s="385"/>
      <c r="I983" s="385"/>
      <c r="J983" s="385"/>
      <c r="K983" s="385"/>
    </row>
    <row r="984">
      <c r="A984" s="385"/>
      <c r="B984" s="385"/>
      <c r="C984" s="385"/>
      <c r="D984" s="385"/>
      <c r="E984" s="385"/>
      <c r="F984" s="385"/>
      <c r="G984" s="385"/>
      <c r="H984" s="385"/>
      <c r="I984" s="385"/>
      <c r="J984" s="385"/>
      <c r="K984" s="385"/>
    </row>
    <row r="985">
      <c r="A985" s="385"/>
      <c r="B985" s="385"/>
      <c r="C985" s="385"/>
      <c r="D985" s="385"/>
      <c r="E985" s="385"/>
      <c r="F985" s="385"/>
      <c r="G985" s="385"/>
      <c r="H985" s="385"/>
      <c r="I985" s="385"/>
      <c r="J985" s="385"/>
      <c r="K985" s="385"/>
    </row>
    <row r="986">
      <c r="A986" s="385"/>
      <c r="B986" s="385"/>
      <c r="C986" s="385"/>
      <c r="D986" s="385"/>
      <c r="E986" s="385"/>
      <c r="F986" s="385"/>
      <c r="G986" s="385"/>
      <c r="H986" s="385"/>
      <c r="I986" s="385"/>
      <c r="J986" s="385"/>
      <c r="K986" s="385"/>
    </row>
    <row r="987">
      <c r="A987" s="385"/>
      <c r="B987" s="385"/>
      <c r="C987" s="385"/>
      <c r="D987" s="385"/>
      <c r="E987" s="385"/>
      <c r="F987" s="385"/>
      <c r="G987" s="385"/>
      <c r="H987" s="385"/>
      <c r="I987" s="385"/>
      <c r="J987" s="385"/>
      <c r="K987" s="385"/>
    </row>
    <row r="988">
      <c r="A988" s="385"/>
      <c r="B988" s="385"/>
      <c r="C988" s="385"/>
      <c r="D988" s="385"/>
      <c r="E988" s="385"/>
      <c r="F988" s="385"/>
      <c r="G988" s="385"/>
      <c r="H988" s="385"/>
      <c r="I988" s="385"/>
      <c r="J988" s="385"/>
      <c r="K988" s="385"/>
    </row>
    <row r="989">
      <c r="A989" s="385"/>
      <c r="B989" s="385"/>
      <c r="C989" s="385"/>
      <c r="D989" s="385"/>
      <c r="E989" s="385"/>
      <c r="F989" s="385"/>
      <c r="G989" s="385"/>
      <c r="H989" s="385"/>
      <c r="I989" s="385"/>
      <c r="J989" s="385"/>
      <c r="K989" s="385"/>
    </row>
    <row r="990">
      <c r="A990" s="385"/>
      <c r="B990" s="385"/>
      <c r="C990" s="385"/>
      <c r="D990" s="385"/>
      <c r="E990" s="385"/>
      <c r="F990" s="385"/>
      <c r="G990" s="385"/>
      <c r="H990" s="385"/>
      <c r="I990" s="385"/>
      <c r="J990" s="385"/>
      <c r="K990" s="385"/>
    </row>
    <row r="991">
      <c r="A991" s="385"/>
      <c r="B991" s="385"/>
      <c r="C991" s="385"/>
      <c r="D991" s="385"/>
      <c r="E991" s="385"/>
      <c r="F991" s="385"/>
      <c r="G991" s="385"/>
      <c r="H991" s="385"/>
      <c r="I991" s="385"/>
      <c r="J991" s="385"/>
      <c r="K991" s="385"/>
    </row>
    <row r="992">
      <c r="A992" s="385"/>
      <c r="B992" s="385"/>
      <c r="C992" s="385"/>
      <c r="D992" s="385"/>
      <c r="E992" s="385"/>
      <c r="F992" s="385"/>
      <c r="G992" s="385"/>
      <c r="H992" s="385"/>
      <c r="I992" s="385"/>
      <c r="J992" s="385"/>
      <c r="K992" s="385"/>
    </row>
    <row r="993">
      <c r="A993" s="385"/>
      <c r="B993" s="385"/>
      <c r="C993" s="385"/>
      <c r="D993" s="385"/>
      <c r="E993" s="385"/>
      <c r="F993" s="385"/>
      <c r="G993" s="385"/>
      <c r="H993" s="385"/>
      <c r="I993" s="385"/>
      <c r="J993" s="385"/>
      <c r="K993" s="385"/>
    </row>
    <row r="994">
      <c r="A994" s="385"/>
      <c r="B994" s="385"/>
      <c r="C994" s="385"/>
      <c r="D994" s="385"/>
      <c r="E994" s="385"/>
      <c r="F994" s="385"/>
      <c r="G994" s="385"/>
      <c r="H994" s="385"/>
      <c r="I994" s="385"/>
      <c r="J994" s="385"/>
      <c r="K994" s="385"/>
    </row>
    <row r="995">
      <c r="A995" s="385"/>
      <c r="B995" s="385"/>
      <c r="C995" s="385"/>
      <c r="D995" s="385"/>
      <c r="E995" s="385"/>
      <c r="F995" s="385"/>
      <c r="G995" s="385"/>
      <c r="H995" s="385"/>
      <c r="I995" s="385"/>
      <c r="J995" s="385"/>
      <c r="K995" s="385"/>
    </row>
    <row r="996">
      <c r="A996" s="385"/>
      <c r="B996" s="385"/>
      <c r="C996" s="385"/>
      <c r="D996" s="385"/>
      <c r="E996" s="385"/>
      <c r="F996" s="385"/>
      <c r="G996" s="385"/>
      <c r="H996" s="385"/>
      <c r="I996" s="385"/>
      <c r="J996" s="385"/>
      <c r="K996" s="385"/>
    </row>
    <row r="997">
      <c r="A997" s="385"/>
      <c r="B997" s="385"/>
      <c r="C997" s="385"/>
      <c r="D997" s="385"/>
      <c r="E997" s="385"/>
      <c r="F997" s="385"/>
      <c r="G997" s="385"/>
      <c r="H997" s="385"/>
      <c r="I997" s="385"/>
      <c r="J997" s="385"/>
      <c r="K997" s="385"/>
    </row>
    <row r="998">
      <c r="A998" s="385"/>
      <c r="B998" s="385"/>
      <c r="C998" s="385"/>
      <c r="D998" s="385"/>
      <c r="E998" s="385"/>
      <c r="F998" s="385"/>
      <c r="G998" s="385"/>
      <c r="H998" s="385"/>
      <c r="I998" s="385"/>
      <c r="J998" s="385"/>
      <c r="K998" s="385"/>
    </row>
    <row r="999">
      <c r="A999" s="385"/>
      <c r="B999" s="385"/>
      <c r="C999" s="385"/>
      <c r="D999" s="385"/>
      <c r="E999" s="385"/>
      <c r="F999" s="385"/>
      <c r="G999" s="385"/>
      <c r="H999" s="385"/>
      <c r="I999" s="385"/>
      <c r="J999" s="385"/>
      <c r="K999" s="385"/>
    </row>
    <row r="1000">
      <c r="A1000" s="385"/>
      <c r="B1000" s="385"/>
      <c r="C1000" s="385"/>
      <c r="D1000" s="385"/>
      <c r="E1000" s="385"/>
      <c r="F1000" s="385"/>
      <c r="G1000" s="385"/>
      <c r="H1000" s="385"/>
      <c r="I1000" s="385"/>
      <c r="J1000" s="385"/>
      <c r="K1000" s="385"/>
    </row>
    <row r="1001">
      <c r="A1001" s="385"/>
      <c r="B1001" s="385"/>
      <c r="C1001" s="385"/>
      <c r="D1001" s="385"/>
      <c r="E1001" s="385"/>
      <c r="F1001" s="385"/>
      <c r="G1001" s="385"/>
      <c r="H1001" s="385"/>
      <c r="I1001" s="385"/>
      <c r="J1001" s="385"/>
      <c r="K1001" s="385"/>
    </row>
  </sheetData>
  <hyperlinks>
    <hyperlink r:id="rId2" ref="A1"/>
  </hyperlinks>
  <drawing r:id="rId3"/>
  <legacyDrawing r:id="rId4"/>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7.29" defaultRowHeight="15.0"/>
  <cols>
    <col customWidth="1" min="2" max="2" width="85.14"/>
  </cols>
  <sheetData>
    <row r="1">
      <c r="A1" s="40" t="s">
        <v>65</v>
      </c>
      <c r="B1" s="41"/>
    </row>
    <row r="2">
      <c r="A2" s="42" t="s">
        <v>66</v>
      </c>
      <c r="B2" s="43" t="s">
        <v>67</v>
      </c>
    </row>
    <row r="3">
      <c r="A3" s="42" t="s">
        <v>68</v>
      </c>
      <c r="B3" s="43" t="s">
        <v>69</v>
      </c>
    </row>
    <row r="4">
      <c r="A4" s="42" t="s">
        <v>70</v>
      </c>
      <c r="B4" s="43" t="s">
        <v>71</v>
      </c>
    </row>
    <row r="5">
      <c r="A5" s="42" t="s">
        <v>72</v>
      </c>
      <c r="B5" s="43" t="s">
        <v>1370</v>
      </c>
    </row>
  </sheetData>
  <hyperlinks>
    <hyperlink display="Summ" location="Summ!A1" ref="A2"/>
    <hyperlink display="Historic" location="Historic!A1" ref="A3"/>
    <hyperlink display="Flex" location="Flex!A1" ref="A4"/>
    <hyperlink display="Country" location="Country!A1" ref="A5"/>
  </hyperlink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sheetViews>
  <sheetFormatPr customHeight="1" defaultColWidth="17.29" defaultRowHeight="15.0"/>
  <cols>
    <col customWidth="1" min="1" max="1" width="28.43"/>
    <col customWidth="1" min="2" max="2" width="19.29"/>
  </cols>
  <sheetData>
    <row r="1">
      <c r="A1" s="50" t="s">
        <v>139</v>
      </c>
      <c r="B1" s="79"/>
      <c r="C1" s="79"/>
      <c r="D1" s="79"/>
      <c r="E1" s="79"/>
      <c r="F1" s="79"/>
      <c r="G1" s="79"/>
      <c r="H1" s="79"/>
      <c r="I1" s="50"/>
      <c r="J1" s="52"/>
      <c r="K1" s="52"/>
      <c r="L1" s="52"/>
      <c r="M1" s="52"/>
      <c r="N1" s="52"/>
      <c r="O1" s="52"/>
      <c r="P1" s="52"/>
      <c r="Q1" s="52"/>
      <c r="R1" s="52"/>
      <c r="S1" s="52"/>
      <c r="T1" s="52"/>
      <c r="U1" s="52"/>
      <c r="V1" s="52"/>
      <c r="W1" s="52"/>
      <c r="X1" s="52"/>
      <c r="Y1" s="52"/>
    </row>
    <row r="2">
      <c r="B2" s="53"/>
      <c r="C2" s="53">
        <v>2018.0</v>
      </c>
      <c r="D2" s="53">
        <v>2019.0</v>
      </c>
      <c r="E2" s="53">
        <v>2020.0</v>
      </c>
      <c r="F2" s="53">
        <v>2021.0</v>
      </c>
      <c r="G2" s="53">
        <v>2022.0</v>
      </c>
      <c r="H2" s="53">
        <v>2023.0</v>
      </c>
      <c r="I2" s="191" t="s">
        <v>1371</v>
      </c>
    </row>
    <row r="3">
      <c r="A3" s="53" t="s">
        <v>1372</v>
      </c>
      <c r="B3" s="53" t="s">
        <v>1373</v>
      </c>
      <c r="C3" s="329">
        <f>SUMIFS(Historic!$F$2:$F$151,Historic!$C$2:$C$151,$A$3,Historic!$A$2:$A$151,C$2)</f>
        <v>10381813</v>
      </c>
      <c r="D3" s="329">
        <f>SUMIFS(Historic!$F$2:$F$151,Historic!$C$2:$C$151,$A$3,Historic!$A$2:$A$151,D$2)</f>
        <v>20750939</v>
      </c>
      <c r="E3" s="329">
        <f>SUMIFS(Historic!$F$2:$F$151,Historic!$C$2:$C$151,$A$3,Historic!$A$2:$A$151,E$2)</f>
        <v>6196718</v>
      </c>
      <c r="F3" s="329">
        <f>SUMIFS(Historic!$F$2:$F$151,Historic!$C$2:$C$151,$A$3,Historic!$A$2:$A$151,F$2)</f>
        <v>9077819</v>
      </c>
      <c r="G3" s="329">
        <f>SUMIFS(Historic!$F$2:$F$151,Historic!$C$2:$C$151,$A$3,Historic!$A$2:$A$151,G$2)</f>
        <v>10936087</v>
      </c>
      <c r="H3" s="329">
        <f>SUMIFS(Historic!$F$2:$F$151,Historic!$C$2:$C$151,$A$3,Historic!$A$2:$A$151,H$2)</f>
        <v>47745591</v>
      </c>
      <c r="I3" s="329">
        <f t="shared" ref="I3:I12" si="1">SUM(C3:H3)</f>
        <v>105088967</v>
      </c>
    </row>
    <row r="4">
      <c r="B4" s="53" t="s">
        <v>1374</v>
      </c>
      <c r="C4" s="329">
        <f>SUMIFS(Historic!$G$2:$G$151,Historic!$C$2:$C$151,$A$3,Historic!$A$2:$A$151,C$2)</f>
        <v>37025961</v>
      </c>
      <c r="D4" s="329">
        <f>SUMIFS(Historic!$G$2:$G$151,Historic!$C$2:$C$151,$A$3,Historic!$A$2:$A$151,D$2)</f>
        <v>26013812</v>
      </c>
      <c r="E4" s="329">
        <f>SUMIFS(Historic!$G$2:$G$151,Historic!$C$2:$C$151,$A$3,Historic!$A$2:$A$151,E$2)</f>
        <v>22626296</v>
      </c>
      <c r="F4" s="329">
        <f>SUMIFS(Historic!$G$2:$G$151,Historic!$C$2:$C$151,$A$3,Historic!$A$2:$A$151,F$2)</f>
        <v>72791750</v>
      </c>
      <c r="G4" s="329">
        <f>SUMIFS(Historic!$G$2:$G$151,Historic!$C$2:$C$151,$A$3,Historic!$A$2:$A$151,G$2)</f>
        <v>79630908</v>
      </c>
      <c r="H4" s="329">
        <f>SUMIFS(Historic!$G$2:$G$151,Historic!$C$2:$C$151,$A$3,Historic!$A$2:$A$151,H$2)</f>
        <v>72971671</v>
      </c>
      <c r="I4" s="329">
        <f t="shared" si="1"/>
        <v>311060398</v>
      </c>
      <c r="J4" s="329">
        <f>sum(I3:I4)</f>
        <v>416149365</v>
      </c>
    </row>
    <row r="5">
      <c r="A5" s="53" t="s">
        <v>1375</v>
      </c>
      <c r="B5" s="53" t="s">
        <v>1373</v>
      </c>
      <c r="C5" s="329">
        <f>SUMIFS(Historic!$F$2:$F$151,Historic!$C$2:$C$151,$A$5,Historic!$A$2:$A$151,C$2)</f>
        <v>1500465</v>
      </c>
      <c r="D5" s="329">
        <f>SUMIFS(Historic!$F$2:$F$151,Historic!$C$2:$C$151,$A$5,Historic!$A$2:$A$151,D$2)</f>
        <v>1161717</v>
      </c>
      <c r="E5" s="329">
        <f>SUMIFS(Historic!$F$2:$F$151,Historic!$C$2:$C$151,$A$5,Historic!$A$2:$A$151,E$2)</f>
        <v>1330818</v>
      </c>
      <c r="F5" s="329">
        <f>SUMIFS(Historic!$F$2:$F$151,Historic!$C$2:$C$151,$A$5,Historic!$A$2:$A$151,F$2)</f>
        <v>24415858</v>
      </c>
      <c r="G5" s="329">
        <f>SUMIFS(Historic!$F$2:$F$151,Historic!$C$2:$C$151,$A$5,Historic!$A$2:$A$151,G$2)</f>
        <v>12062030</v>
      </c>
      <c r="H5" s="329">
        <f>SUMIFS(Historic!$F$2:$F$151,Historic!$C$2:$C$151,$A$5,Historic!$A$2:$A$151,H$2)</f>
        <v>8445745</v>
      </c>
      <c r="I5" s="329">
        <f t="shared" si="1"/>
        <v>48916633</v>
      </c>
    </row>
    <row r="6">
      <c r="A6" s="53"/>
      <c r="B6" s="53" t="s">
        <v>1374</v>
      </c>
      <c r="C6" s="329">
        <f>SUMIFS(Historic!$G$2:$G$151,Historic!$C$2:$C$151,$A$5,Historic!$A$2:$A$151,C$2)</f>
        <v>485260</v>
      </c>
      <c r="D6" s="329">
        <f>SUMIFS(Historic!$G$2:$G$151,Historic!$C$2:$C$151,$A$5,Historic!$A$2:$A$151,D$2)</f>
        <v>282812</v>
      </c>
      <c r="E6" s="329">
        <f>SUMIFS(Historic!$G$2:$G$151,Historic!$C$2:$C$151,$A$5,Historic!$A$2:$A$151,E$2)</f>
        <v>154527</v>
      </c>
      <c r="F6" s="329">
        <f>SUMIFS(Historic!$G$2:$G$151,Historic!$C$2:$C$151,$A$5,Historic!$A$2:$A$151,F$2)</f>
        <v>5255931</v>
      </c>
      <c r="G6" s="329">
        <f>SUMIFS(Historic!$G$2:$G$151,Historic!$C$2:$C$151,$A$5,Historic!$A$2:$A$151,G$2)</f>
        <v>1215197</v>
      </c>
      <c r="H6" s="329">
        <f>SUMIFS(Historic!$G$2:$G$151,Historic!$C$2:$C$151,$A$5,Historic!$A$2:$A$151,H$2)</f>
        <v>4086290</v>
      </c>
      <c r="I6" s="329">
        <f t="shared" si="1"/>
        <v>11480017</v>
      </c>
      <c r="J6" s="329">
        <f>sum(I5:I6)</f>
        <v>60396650</v>
      </c>
    </row>
    <row r="7">
      <c r="A7" s="53" t="s">
        <v>1376</v>
      </c>
      <c r="B7" s="53" t="s">
        <v>1373</v>
      </c>
      <c r="C7" s="329">
        <f>SUMIFS(Historic!$F$2:$F$151,Historic!$C$2:$C$151,$A$7,Historic!$A$2:$A$151,C$2)</f>
        <v>0</v>
      </c>
      <c r="D7" s="329">
        <f>SUMIFS(Historic!$F$2:$F$151,Historic!$C$2:$C$151,$A$7,Historic!$A$2:$A$151,D$2)</f>
        <v>0</v>
      </c>
      <c r="E7" s="329">
        <f>SUMIFS(Historic!$F$2:$F$151,Historic!$C$2:$C$151,$A$7,Historic!$A$2:$A$151,E$2)</f>
        <v>43026819</v>
      </c>
      <c r="F7" s="329">
        <f>SUMIFS(Historic!$F$2:$F$151,Historic!$C$2:$C$151,$A$7,Historic!$A$2:$A$151,F$2)</f>
        <v>19125068</v>
      </c>
      <c r="G7" s="329">
        <f>SUMIFS(Historic!$F$2:$F$151,Historic!$C$2:$C$151,$A$7,Historic!$A$2:$A$151,G$2)</f>
        <v>9975288</v>
      </c>
      <c r="H7" s="329">
        <f>SUMIFS(Historic!$F$2:$F$151,Historic!$C$2:$C$151,$A$7,Historic!$A$2:$A$151,H$2)</f>
        <v>4864443</v>
      </c>
      <c r="I7" s="329">
        <f t="shared" si="1"/>
        <v>76991618</v>
      </c>
    </row>
    <row r="8">
      <c r="A8" s="53"/>
      <c r="B8" s="53" t="s">
        <v>1374</v>
      </c>
      <c r="C8" s="329">
        <f>SUMIFS(Historic!$G$2:$G$151,Historic!$C$2:$C$151,$A$7,Historic!$A$2:$A$151,C$2)</f>
        <v>0</v>
      </c>
      <c r="D8" s="329">
        <f>SUMIFS(Historic!$G$2:$G$151,Historic!$C$2:$C$151,$A$7,Historic!$A$2:$A$151,D$2)</f>
        <v>0</v>
      </c>
      <c r="E8" s="329">
        <f>SUMIFS(Historic!$G$2:$G$151,Historic!$C$2:$C$151,$A$7,Historic!$A$2:$A$151,E$2)</f>
        <v>13862431</v>
      </c>
      <c r="F8" s="329">
        <f>SUMIFS(Historic!$G$2:$G$151,Historic!$C$2:$C$151,$A$7,Historic!$A$2:$A$151,F$2)</f>
        <v>24970567</v>
      </c>
      <c r="G8" s="329">
        <f>SUMIFS(Historic!$G$2:$G$151,Historic!$C$2:$C$151,$A$7,Historic!$A$2:$A$151,G$2)</f>
        <v>10237236</v>
      </c>
      <c r="H8" s="329">
        <f>SUMIFS(Historic!$G$2:$G$151,Historic!$C$2:$C$151,$A$7,Historic!$A$2:$A$151,H$2)</f>
        <v>2073743</v>
      </c>
      <c r="I8" s="329">
        <f t="shared" si="1"/>
        <v>51143977</v>
      </c>
      <c r="J8" s="329">
        <f>sum(I7:I8)</f>
        <v>128135595</v>
      </c>
    </row>
    <row r="9">
      <c r="A9" s="53" t="s">
        <v>1377</v>
      </c>
      <c r="B9" s="53" t="s">
        <v>1373</v>
      </c>
      <c r="C9" s="329">
        <f>SUMIFS(Historic!$F$2:$F$151,Historic!$C$2:$C$151,$A$9,Historic!$A$2:$A$151,C$2)</f>
        <v>-8163</v>
      </c>
      <c r="D9" s="329">
        <f>SUMIFS(Historic!$F$2:$F$151,Historic!$C$2:$C$151,$A$9,Historic!$A$2:$A$151,D$2)</f>
        <v>90633</v>
      </c>
      <c r="E9" s="329">
        <f>SUMIFS(Historic!$F$2:$F$151,Historic!$C$2:$C$151,$A$9,Historic!$A$2:$A$151,E$2)</f>
        <v>0</v>
      </c>
      <c r="F9" s="329">
        <f>SUMIFS(Historic!$F$2:$F$151,Historic!$C$2:$C$151,$A$9,Historic!$A$2:$A$151,F$2)</f>
        <v>21891</v>
      </c>
      <c r="G9" s="329">
        <f>SUMIFS(Historic!$F$2:$F$151,Historic!$C$2:$C$151,$A$9,Historic!$A$2:$A$151,G$2)</f>
        <v>86394</v>
      </c>
      <c r="H9" s="329">
        <f>SUMIFS(Historic!$F$2:$F$151,Historic!$C$2:$C$151,$A$9,Historic!$A$2:$A$151,H$2)</f>
        <v>218552</v>
      </c>
      <c r="I9" s="329">
        <f t="shared" si="1"/>
        <v>409307</v>
      </c>
    </row>
    <row r="10">
      <c r="A10" s="53"/>
      <c r="B10" s="53" t="s">
        <v>1374</v>
      </c>
      <c r="C10" s="329">
        <f>SUMIFS(Historic!$G$2:$G$151,Historic!$C$2:$C$151,$A$9,Historic!$A$2:$A$151,C$2)</f>
        <v>2541717</v>
      </c>
      <c r="D10" s="329">
        <f>SUMIFS(Historic!$G$2:$G$151,Historic!$C$2:$C$151,$A$9,Historic!$A$2:$A$151,D$2)</f>
        <v>6500189</v>
      </c>
      <c r="E10" s="329">
        <f>SUMIFS(Historic!$G$2:$G$151,Historic!$C$2:$C$151,$A$9,Historic!$A$2:$A$151,E$2)</f>
        <v>2825158</v>
      </c>
      <c r="F10" s="329">
        <f>SUMIFS(Historic!$G$2:$G$151,Historic!$C$2:$C$151,$A$9,Historic!$A$2:$A$151,F$2)</f>
        <v>11403335</v>
      </c>
      <c r="G10" s="329">
        <f>SUMIFS(Historic!$G$2:$G$151,Historic!$C$2:$C$151,$A$9,Historic!$A$2:$A$151,G$2)</f>
        <v>827969</v>
      </c>
      <c r="H10" s="329">
        <f>SUMIFS(Historic!$G$2:$G$151,Historic!$C$2:$C$151,$A$9,Historic!$A$2:$A$151,H$2)</f>
        <v>4662642</v>
      </c>
      <c r="I10" s="329">
        <f t="shared" si="1"/>
        <v>28761010</v>
      </c>
      <c r="J10" s="329">
        <f>sum(I9:I10)</f>
        <v>29170317</v>
      </c>
    </row>
    <row r="11">
      <c r="A11" s="53" t="s">
        <v>1378</v>
      </c>
      <c r="B11" s="53" t="s">
        <v>1373</v>
      </c>
      <c r="C11" s="329">
        <f>SUMIFS(Historic!$F$2:$F$151,Historic!$C$2:$C$151,$A$11,Historic!$A$2:$A$151,C$2)</f>
        <v>0</v>
      </c>
      <c r="D11" s="329">
        <f>SUMIFS(Historic!$F$2:$F$151,Historic!$C$2:$C$151,$A$11,Historic!$A$2:$A$151,D$2)</f>
        <v>130004</v>
      </c>
      <c r="E11" s="329">
        <f>SUMIFS(Historic!$F$2:$F$151,Historic!$C$2:$C$151,$A$11,Historic!$A$2:$A$151,E$2)</f>
        <v>3130639</v>
      </c>
      <c r="F11" s="329">
        <f>SUMIFS(Historic!$F$2:$F$151,Historic!$C$2:$C$151,$A$11,Historic!$A$2:$A$151,F$2)</f>
        <v>8212241</v>
      </c>
      <c r="G11" s="329">
        <f>SUMIFS(Historic!$F$2:$F$151,Historic!$C$2:$C$151,$A$11,Historic!$A$2:$A$151,G$2)</f>
        <v>9150162</v>
      </c>
      <c r="H11" s="329">
        <f>SUMIFS(Historic!$F$2:$F$151,Historic!$C$2:$C$151,$A$11,Historic!$A$2:$A$151,H$2)</f>
        <v>7985791</v>
      </c>
      <c r="I11" s="329">
        <f t="shared" si="1"/>
        <v>28608837</v>
      </c>
    </row>
    <row r="12">
      <c r="A12" s="53"/>
      <c r="B12" s="53" t="s">
        <v>1374</v>
      </c>
      <c r="C12" s="329">
        <f>SUMIFS(Historic!$G$2:$G$151,Historic!$C$2:$C$151,$A$11,Historic!$A$2:$A$151,C$2)</f>
        <v>0</v>
      </c>
      <c r="D12" s="329">
        <f>SUMIFS(Historic!$G$2:$G$151,Historic!$C$2:$C$151,$A$11,Historic!$A$2:$A$151,D$2)</f>
        <v>0</v>
      </c>
      <c r="E12" s="329">
        <f>SUMIFS(Historic!$G$2:$G$151,Historic!$C$2:$C$151,$A$11,Historic!$A$2:$A$151,E$2)</f>
        <v>111231</v>
      </c>
      <c r="F12" s="329">
        <f>SUMIFS(Historic!$G$2:$G$151,Historic!$C$2:$C$151,$A$11,Historic!$A$2:$A$151,F$2)</f>
        <v>4452006</v>
      </c>
      <c r="G12" s="329">
        <f>SUMIFS(Historic!$G$2:$G$151,Historic!$C$2:$C$151,$A$11,Historic!$A$2:$A$151,G$2)</f>
        <v>6222318</v>
      </c>
      <c r="H12" s="329">
        <f>SUMIFS(Historic!$G$2:$G$151,Historic!$C$2:$C$151,$A$11,Historic!$A$2:$A$151,H$2)</f>
        <v>5668556</v>
      </c>
      <c r="I12" s="329">
        <f t="shared" si="1"/>
        <v>16454111</v>
      </c>
      <c r="J12" s="329">
        <f>sum(I11:I12)</f>
        <v>45062948</v>
      </c>
    </row>
    <row r="13">
      <c r="A13" s="53" t="s">
        <v>1379</v>
      </c>
      <c r="B13" s="53" t="s">
        <v>1373</v>
      </c>
      <c r="C13" s="329">
        <f>SUMIFS(Historic!$G$2:$G$151,Historic!$C$2:$C$151,$A$11,Historic!$A$2:$A$151,C$2)</f>
        <v>0</v>
      </c>
      <c r="D13" s="329">
        <f>SUMIFS(Historic!$G$2:$G$151,Historic!$C$2:$C$151,$A$11,Historic!$A$2:$A$151,D$2)</f>
        <v>0</v>
      </c>
      <c r="E13" s="329">
        <f>SUMIFS(Historic!$G$2:$G$151,Historic!$C$2:$C$151,$A$11,Historic!$A$2:$A$151,E$2)</f>
        <v>111231</v>
      </c>
      <c r="F13" s="329">
        <f>SUMIFS(Historic!$G$2:$G$151,Historic!$C$2:$C$151,$A$11,Historic!$A$2:$A$151,F$2)</f>
        <v>4452006</v>
      </c>
      <c r="G13" s="329">
        <f>SUMIFS(Historic!$G$2:$G$151,Historic!$C$2:$C$151,$A$11,Historic!$A$2:$A$151,G$2)</f>
        <v>6222318</v>
      </c>
      <c r="H13" s="329">
        <f>SUMIFS(Historic!$G$2:$G$151,Historic!$C$2:$C$151,$A$11,Historic!$A$2:$A$151,H$2)</f>
        <v>5668556</v>
      </c>
    </row>
    <row r="14">
      <c r="A14" s="53"/>
      <c r="B14" s="53" t="s">
        <v>1374</v>
      </c>
      <c r="C14" s="329">
        <f>SUMIFS(Historic!$F$2:$F$151,Historic!$C$2:$C$151,$A$11,Historic!$A$2:$A$151,C$2)</f>
        <v>0</v>
      </c>
      <c r="D14" s="329">
        <f>SUMIFS(Historic!$F$2:$F$151,Historic!$C$2:$C$151,$A$11,Historic!$A$2:$A$151,D$2)</f>
        <v>130004</v>
      </c>
      <c r="E14" s="329">
        <f>SUMIFS(Historic!$F$2:$F$151,Historic!$C$2:$C$151,$A$11,Historic!$A$2:$A$151,E$2)</f>
        <v>3130639</v>
      </c>
      <c r="F14" s="329">
        <f>SUMIFS(Historic!$F$2:$F$151,Historic!$C$2:$C$151,$A$11,Historic!$A$2:$A$151,F$2)</f>
        <v>8212241</v>
      </c>
      <c r="G14" s="329">
        <f>SUMIFS(Historic!$F$2:$F$151,Historic!$C$2:$C$151,$A$11,Historic!$A$2:$A$151,G$2)</f>
        <v>9150162</v>
      </c>
      <c r="H14" s="329">
        <f>SUMIFS(Historic!$F$2:$F$151,Historic!$C$2:$C$151,$A$11,Historic!$A$2:$A$151,H$2)</f>
        <v>7985791</v>
      </c>
    </row>
    <row r="15">
      <c r="A15" s="53"/>
    </row>
    <row r="16">
      <c r="A16" s="53"/>
      <c r="B16" s="53">
        <v>2018.0</v>
      </c>
      <c r="C16" s="53">
        <v>2019.0</v>
      </c>
      <c r="D16" s="53">
        <v>2020.0</v>
      </c>
      <c r="E16" s="53">
        <v>2021.0</v>
      </c>
      <c r="F16" s="53">
        <v>2022.0</v>
      </c>
      <c r="G16" s="53">
        <v>2023.0</v>
      </c>
    </row>
    <row r="17">
      <c r="A17" s="53" t="s">
        <v>1380</v>
      </c>
      <c r="B17" s="329">
        <f t="shared" ref="B17:G17" si="2">C3</f>
        <v>10381813</v>
      </c>
      <c r="C17" s="329">
        <f t="shared" si="2"/>
        <v>20750939</v>
      </c>
      <c r="D17" s="329">
        <f t="shared" si="2"/>
        <v>6196718</v>
      </c>
      <c r="E17" s="329">
        <f t="shared" si="2"/>
        <v>9077819</v>
      </c>
      <c r="F17" s="329">
        <f t="shared" si="2"/>
        <v>10936087</v>
      </c>
      <c r="G17" s="329">
        <f t="shared" si="2"/>
        <v>47745591</v>
      </c>
    </row>
    <row r="18">
      <c r="A18" s="53" t="s">
        <v>1381</v>
      </c>
      <c r="B18" s="329">
        <f t="shared" ref="B18:G18" si="3">C4</f>
        <v>37025961</v>
      </c>
      <c r="C18" s="329">
        <f t="shared" si="3"/>
        <v>26013812</v>
      </c>
      <c r="D18" s="329">
        <f t="shared" si="3"/>
        <v>22626296</v>
      </c>
      <c r="E18" s="329">
        <f t="shared" si="3"/>
        <v>72791750</v>
      </c>
      <c r="F18" s="329">
        <f t="shared" si="3"/>
        <v>79630908</v>
      </c>
      <c r="G18" s="329">
        <f t="shared" si="3"/>
        <v>72971671</v>
      </c>
    </row>
    <row r="19">
      <c r="A19" s="53" t="s">
        <v>1382</v>
      </c>
      <c r="B19" s="329">
        <f t="shared" ref="B19:G19" si="4">SUM(C6,C8,C10,C12)</f>
        <v>3026977</v>
      </c>
      <c r="C19" s="329">
        <f t="shared" si="4"/>
        <v>6783001</v>
      </c>
      <c r="D19" s="329">
        <f t="shared" si="4"/>
        <v>16953347</v>
      </c>
      <c r="E19" s="329">
        <f t="shared" si="4"/>
        <v>46081839</v>
      </c>
      <c r="F19" s="329">
        <f t="shared" si="4"/>
        <v>18502720</v>
      </c>
      <c r="G19" s="329">
        <f t="shared" si="4"/>
        <v>16491231</v>
      </c>
    </row>
    <row r="20">
      <c r="A20" s="53" t="s">
        <v>1383</v>
      </c>
      <c r="B20" s="329">
        <f t="shared" ref="B20:G20" si="5">SUM(C5,C7,C9,C11)</f>
        <v>1492302</v>
      </c>
      <c r="C20" s="329">
        <f t="shared" si="5"/>
        <v>1382354</v>
      </c>
      <c r="D20" s="329">
        <f t="shared" si="5"/>
        <v>47488276</v>
      </c>
      <c r="E20" s="329">
        <f t="shared" si="5"/>
        <v>51775058</v>
      </c>
      <c r="F20" s="329">
        <f t="shared" si="5"/>
        <v>31273874</v>
      </c>
      <c r="G20" s="329">
        <f t="shared" si="5"/>
        <v>21514531</v>
      </c>
    </row>
    <row r="21">
      <c r="J21" s="366"/>
    </row>
    <row r="22">
      <c r="J22" s="366"/>
    </row>
    <row r="23">
      <c r="J23" s="192"/>
    </row>
    <row r="24">
      <c r="A24" s="191"/>
      <c r="B24" s="53" t="s">
        <v>1384</v>
      </c>
      <c r="C24" s="53" t="s">
        <v>1375</v>
      </c>
      <c r="D24" s="53" t="s">
        <v>1376</v>
      </c>
      <c r="E24" s="53" t="s">
        <v>1377</v>
      </c>
      <c r="F24" s="53" t="s">
        <v>1378</v>
      </c>
      <c r="G24" s="53" t="s">
        <v>1379</v>
      </c>
    </row>
    <row r="25">
      <c r="A25" s="53" t="s">
        <v>1373</v>
      </c>
      <c r="B25" s="329">
        <f t="shared" ref="B25:B26" si="6">H3</f>
        <v>47745591</v>
      </c>
      <c r="C25" s="329">
        <f t="shared" ref="C25:C26" si="7">H5</f>
        <v>8445745</v>
      </c>
      <c r="D25" s="329">
        <f t="shared" ref="D25:D26" si="8">H7</f>
        <v>4864443</v>
      </c>
      <c r="E25" s="329">
        <f t="shared" ref="E25:E26" si="9">H9</f>
        <v>218552</v>
      </c>
      <c r="F25" s="329">
        <f t="shared" ref="F25:F26" si="10">H11</f>
        <v>7985791</v>
      </c>
      <c r="G25" s="329">
        <f t="shared" ref="G25:G26" si="11">H13</f>
        <v>5668556</v>
      </c>
    </row>
    <row r="26">
      <c r="A26" s="53" t="s">
        <v>1374</v>
      </c>
      <c r="B26" s="329">
        <f t="shared" si="6"/>
        <v>72971671</v>
      </c>
      <c r="C26" s="329">
        <f t="shared" si="7"/>
        <v>4086290</v>
      </c>
      <c r="D26" s="329">
        <f t="shared" si="8"/>
        <v>2073743</v>
      </c>
      <c r="E26" s="329">
        <f t="shared" si="9"/>
        <v>4662642</v>
      </c>
      <c r="F26" s="329">
        <f t="shared" si="10"/>
        <v>5668556</v>
      </c>
      <c r="G26" s="329">
        <f t="shared" si="11"/>
        <v>7985791</v>
      </c>
    </row>
    <row r="27">
      <c r="A27" s="53"/>
    </row>
    <row r="28">
      <c r="A28" s="53"/>
    </row>
    <row r="29">
      <c r="A29" s="50" t="s">
        <v>1385</v>
      </c>
      <c r="B29" s="52"/>
      <c r="C29" s="52"/>
      <c r="D29" s="52"/>
      <c r="E29" s="52"/>
      <c r="F29" s="52"/>
      <c r="G29" s="52"/>
      <c r="H29" s="52"/>
      <c r="I29" s="52"/>
      <c r="J29" s="52"/>
      <c r="K29" s="52"/>
      <c r="L29" s="52"/>
      <c r="M29" s="52"/>
      <c r="N29" s="52"/>
      <c r="O29" s="52"/>
      <c r="P29" s="52"/>
      <c r="Q29" s="52"/>
      <c r="R29" s="52"/>
      <c r="S29" s="52"/>
      <c r="T29" s="52"/>
      <c r="U29" s="52"/>
      <c r="V29" s="52"/>
      <c r="W29" s="52"/>
      <c r="X29" s="52"/>
      <c r="Y29" s="52"/>
    </row>
    <row r="30">
      <c r="B30" s="25" t="s">
        <v>74</v>
      </c>
      <c r="C30" s="25" t="s">
        <v>75</v>
      </c>
      <c r="D30" s="25" t="s">
        <v>76</v>
      </c>
      <c r="E30" s="25" t="s">
        <v>77</v>
      </c>
      <c r="F30" s="25" t="s">
        <v>78</v>
      </c>
    </row>
    <row r="31">
      <c r="A31" s="391" t="s">
        <v>1386</v>
      </c>
      <c r="B31" s="167">
        <f>Flex!B7</f>
        <v>7801000</v>
      </c>
      <c r="C31" s="167">
        <f>Flex!B5</f>
        <v>14327686</v>
      </c>
      <c r="D31" s="182"/>
      <c r="E31" s="167">
        <f>Flex!B4</f>
        <v>13014878</v>
      </c>
      <c r="F31" s="167">
        <f>Flex!B6</f>
        <v>8649386</v>
      </c>
    </row>
    <row r="32">
      <c r="A32" s="53" t="s">
        <v>1387</v>
      </c>
      <c r="B32" s="99">
        <f t="shared" ref="B32:F32" si="12">B31/sum($B$31:$F$31)</f>
        <v>0.178133695</v>
      </c>
      <c r="C32" s="99">
        <f t="shared" si="12"/>
        <v>0.3271687794</v>
      </c>
      <c r="D32" s="99">
        <f t="shared" si="12"/>
        <v>0</v>
      </c>
      <c r="E32" s="99">
        <f t="shared" si="12"/>
        <v>0.2971911689</v>
      </c>
      <c r="F32" s="99">
        <f t="shared" si="12"/>
        <v>0.1975063566</v>
      </c>
    </row>
    <row r="34">
      <c r="B34" s="25" t="s">
        <v>74</v>
      </c>
      <c r="C34" s="25" t="s">
        <v>75</v>
      </c>
      <c r="D34" s="25" t="s">
        <v>76</v>
      </c>
      <c r="E34" s="25" t="s">
        <v>77</v>
      </c>
      <c r="F34" s="25" t="s">
        <v>78</v>
      </c>
    </row>
    <row r="35">
      <c r="A35" s="53">
        <v>2018.0</v>
      </c>
      <c r="B35" s="167">
        <f>SUMIFS(Historic!$E$2:$E$151,Historic!$C$2:$C$151,"Large transfers for poverty relief",Historic!$B$2:$B$151,B$34,Historic!$A$2:$A$151,$A35)</f>
        <v>16186235</v>
      </c>
      <c r="C35" s="167">
        <f>SUMIFS(Historic!$E$2:$E$151,Historic!$C$2:$C$151,"Large transfers for poverty relief",Historic!$B$2:$B$151,C$34,Historic!$A$2:$A$151,$A35)</f>
        <v>4500037</v>
      </c>
      <c r="D35" s="167">
        <f>SUMIFS(Historic!$E$2:$E$151,Historic!$C$2:$C$151,"Large transfers for poverty relief",Historic!$B$2:$B$151,D$34,Historic!$A$2:$A$151,$A35)</f>
        <v>0</v>
      </c>
      <c r="E35" s="167">
        <f>SUMIFS(Historic!$E$2:$E$151,Historic!$C$2:$C$151,"Large transfers for poverty relief",Historic!$B$2:$B$151,E$34,Historic!$A$2:$A$151,$A35)</f>
        <v>10649677</v>
      </c>
      <c r="F35" s="167">
        <f>SUMIFS(Historic!$E$2:$E$151,Historic!$C$2:$C$151,"Large transfers for poverty relief",Historic!$B$2:$B$151,F$34,Historic!$A$2:$A$151,$A35)</f>
        <v>7217166</v>
      </c>
    </row>
    <row r="36">
      <c r="A36" s="53">
        <v>2019.0</v>
      </c>
      <c r="B36" s="167">
        <f>SUMIFS(Historic!$E$2:$E$151,Historic!$C$2:$C$151,"Large transfers for poverty relief",Historic!$B$2:$B$151,B$34,Historic!$A$2:$A$151,$A36)</f>
        <v>10958185</v>
      </c>
      <c r="C36" s="167">
        <f>SUMIFS(Historic!$E$2:$E$151,Historic!$C$2:$C$151,"Large transfers for poverty relief",Historic!$B$2:$B$151,C$34,Historic!$A$2:$A$151,$A36)</f>
        <v>334465</v>
      </c>
      <c r="D36" s="167">
        <f>SUMIFS(Historic!$E$2:$E$151,Historic!$C$2:$C$151,"Large transfers for poverty relief",Historic!$B$2:$B$151,D$34,Historic!$A$2:$A$151,$A36)</f>
        <v>0</v>
      </c>
      <c r="E36" s="167">
        <f>SUMIFS(Historic!$E$2:$E$151,Historic!$C$2:$C$151,"Large transfers for poverty relief",Historic!$B$2:$B$151,E$34,Historic!$A$2:$A$151,$A36)</f>
        <v>8155819</v>
      </c>
      <c r="F36" s="167">
        <f>SUMIFS(Historic!$E$2:$E$151,Historic!$C$2:$C$151,"Large transfers for poverty relief",Historic!$B$2:$B$151,F$34,Historic!$A$2:$A$151,$A36)</f>
        <v>24986265</v>
      </c>
    </row>
    <row r="37">
      <c r="A37" s="53">
        <v>2020.0</v>
      </c>
      <c r="B37" s="167">
        <f>SUMIFS(Historic!$E$2:$E$151,Historic!$C$2:$C$151,"Large transfers for poverty relief",Historic!$B$2:$B$151,B$34,Historic!$A$2:$A$151,$A37)</f>
        <v>8225058</v>
      </c>
      <c r="C37" s="167">
        <f>SUMIFS(Historic!$E$2:$E$151,Historic!$C$2:$C$151,"Large transfers for poverty relief",Historic!$B$2:$B$151,C$34,Historic!$A$2:$A$151,$A37)</f>
        <v>7457197</v>
      </c>
      <c r="D37" s="167">
        <f>SUMIFS(Historic!$E$2:$E$151,Historic!$C$2:$C$151,"Large transfers for poverty relief",Historic!$B$2:$B$151,D$34,Historic!$A$2:$A$151,$A37)</f>
        <v>0</v>
      </c>
      <c r="E37" s="167">
        <f>SUMIFS(Historic!$E$2:$E$151,Historic!$C$2:$C$151,"Large transfers for poverty relief",Historic!$B$2:$B$151,E$34,Historic!$A$2:$A$151,$A37)</f>
        <v>4935583</v>
      </c>
      <c r="F37" s="167">
        <f>SUMIFS(Historic!$E$2:$E$151,Historic!$C$2:$C$151,"Large transfers for poverty relief",Historic!$B$2:$B$151,F$34,Historic!$A$2:$A$151,$A37)</f>
        <v>4465543</v>
      </c>
    </row>
    <row r="38">
      <c r="A38" s="53">
        <v>2021.0</v>
      </c>
      <c r="B38" s="167">
        <f>SUMIFS(Historic!$E$2:$E$151,Historic!$C$2:$C$151,"Large transfers for poverty relief",Historic!$B$2:$B$151,B$34,Historic!$A$2:$A$151,$A38)</f>
        <v>15249775</v>
      </c>
      <c r="C38" s="167">
        <f>SUMIFS(Historic!$E$2:$E$151,Historic!$C$2:$C$151,"Large transfers for poverty relief",Historic!$B$2:$B$151,C$34,Historic!$A$2:$A$151,$A38)</f>
        <v>23007782</v>
      </c>
      <c r="D38" s="167">
        <f>SUMIFS(Historic!$E$2:$E$151,Historic!$C$2:$C$151,"Large transfers for poverty relief",Historic!$B$2:$B$151,D$34,Historic!$A$2:$A$151,$A38)</f>
        <v>0</v>
      </c>
      <c r="E38" s="167">
        <f>SUMIFS(Historic!$E$2:$E$151,Historic!$C$2:$C$151,"Large transfers for poverty relief",Historic!$B$2:$B$151,E$34,Historic!$A$2:$A$151,$A38)</f>
        <v>18754734</v>
      </c>
      <c r="F38" s="167">
        <f>SUMIFS(Historic!$E$2:$E$151,Historic!$C$2:$C$151,"Large transfers for poverty relief",Historic!$B$2:$B$151,F$34,Historic!$A$2:$A$151,$A38)</f>
        <v>7166217</v>
      </c>
    </row>
    <row r="39">
      <c r="A39" s="53">
        <v>2022.0</v>
      </c>
      <c r="B39" s="167">
        <f>SUMIFS(Historic!$E$2:$E$151,Historic!$C$2:$C$151,"Large transfers for poverty relief",Historic!$B$2:$B$151,B$34,Historic!$A$2:$A$151,$A39)</f>
        <v>22280216</v>
      </c>
      <c r="C39" s="167">
        <f>SUMIFS(Historic!$E$2:$E$151,Historic!$C$2:$C$151,"Large transfers for poverty relief",Historic!$B$2:$B$151,C$34,Historic!$A$2:$A$151,$A39)</f>
        <v>4032697</v>
      </c>
      <c r="D39" s="167">
        <f>SUMIFS(Historic!$E$2:$E$151,Historic!$C$2:$C$151,"Large transfers for poverty relief",Historic!$B$2:$B$151,D$34,Historic!$A$2:$A$151,$A39)</f>
        <v>0</v>
      </c>
      <c r="E39" s="167">
        <f>SUMIFS(Historic!$E$2:$E$151,Historic!$C$2:$C$151,"Large transfers for poverty relief",Historic!$B$2:$B$151,E$34,Historic!$A$2:$A$151,$A39)</f>
        <v>27208357</v>
      </c>
      <c r="F39" s="167">
        <f>SUMIFS(Historic!$E$2:$E$151,Historic!$C$2:$C$151,"Large transfers for poverty relief",Historic!$B$2:$B$151,F$34,Historic!$A$2:$A$151,$A39)</f>
        <v>8410615</v>
      </c>
    </row>
    <row r="40">
      <c r="A40" s="53">
        <v>2023.0</v>
      </c>
      <c r="B40" s="167">
        <f>SUMIFS(Historic!$E$2:$E$151,Historic!$C$2:$C$151,"Large transfers for poverty relief",Historic!$B$2:$B$151,B$34,Historic!$A$2:$A$151,$A40)</f>
        <v>11690469</v>
      </c>
      <c r="C40" s="167">
        <f>SUMIFS(Historic!$E$2:$E$151,Historic!$C$2:$C$151,"Large transfers for poverty relief",Historic!$B$2:$B$151,C$34,Historic!$A$2:$A$151,$A40)</f>
        <v>49593702</v>
      </c>
      <c r="D40" s="167">
        <f>SUMIFS(Historic!$E$2:$E$151,Historic!$C$2:$C$151,"Large transfers for poverty relief",Historic!$B$2:$B$151,D$34,Historic!$A$2:$A$151,$A40)</f>
        <v>8249276</v>
      </c>
      <c r="E40" s="167">
        <f>SUMIFS(Historic!$E$2:$E$151,Historic!$C$2:$C$151,"Large transfers for poverty relief",Historic!$B$2:$B$151,E$34,Historic!$A$2:$A$151,$A40)</f>
        <v>37040243</v>
      </c>
      <c r="F40" s="167">
        <f>SUMIFS(Historic!$E$2:$E$151,Historic!$C$2:$C$151,"Large transfers for poverty relief",Historic!$B$2:$B$151,F$34,Historic!$A$2:$A$151,$A40)</f>
        <v>10039811</v>
      </c>
    </row>
    <row r="43">
      <c r="A43" s="50" t="s">
        <v>1388</v>
      </c>
      <c r="B43" s="52"/>
      <c r="C43" s="52"/>
      <c r="D43" s="52"/>
      <c r="E43" s="52"/>
      <c r="F43" s="52"/>
      <c r="G43" s="52"/>
      <c r="H43" s="52"/>
      <c r="I43" s="52"/>
      <c r="J43" s="52"/>
      <c r="K43" s="52"/>
      <c r="L43" s="52"/>
      <c r="M43" s="52"/>
      <c r="N43" s="52"/>
      <c r="O43" s="52"/>
      <c r="P43" s="52"/>
      <c r="Q43" s="52"/>
      <c r="R43" s="52"/>
      <c r="S43" s="52"/>
      <c r="T43" s="52"/>
      <c r="U43" s="52"/>
      <c r="V43" s="52"/>
      <c r="W43" s="52"/>
      <c r="X43" s="52"/>
      <c r="Y43" s="52"/>
    </row>
    <row r="44">
      <c r="A44" s="22" t="s">
        <v>1372</v>
      </c>
      <c r="B44" s="22"/>
      <c r="C44" s="22"/>
      <c r="D44" s="22"/>
      <c r="E44" s="22"/>
      <c r="F44" s="22"/>
      <c r="G44" s="22"/>
    </row>
    <row r="45">
      <c r="A45" s="22"/>
      <c r="B45" s="392">
        <v>2018.0</v>
      </c>
      <c r="C45" s="392">
        <v>2019.0</v>
      </c>
      <c r="D45" s="392">
        <v>2020.0</v>
      </c>
      <c r="E45" s="392">
        <v>2021.0</v>
      </c>
      <c r="F45" s="392">
        <v>2022.0</v>
      </c>
      <c r="G45" s="392">
        <v>2023.0</v>
      </c>
      <c r="H45" s="191" t="s">
        <v>1050</v>
      </c>
    </row>
    <row r="46">
      <c r="A46" s="22" t="s">
        <v>1389</v>
      </c>
      <c r="B46" s="188">
        <f t="shared" ref="B46:G46" si="13">C3+C4</f>
        <v>47407774</v>
      </c>
      <c r="C46" s="188">
        <f t="shared" si="13"/>
        <v>46764751</v>
      </c>
      <c r="D46" s="188">
        <f t="shared" si="13"/>
        <v>28823014</v>
      </c>
      <c r="E46" s="188">
        <f t="shared" si="13"/>
        <v>81869569</v>
      </c>
      <c r="F46" s="188">
        <f t="shared" si="13"/>
        <v>90566995</v>
      </c>
      <c r="G46" s="188">
        <f t="shared" si="13"/>
        <v>120717262</v>
      </c>
      <c r="H46" s="329">
        <f t="shared" ref="H46:H47" si="14">SUM(B46:G46)</f>
        <v>416149365</v>
      </c>
    </row>
    <row r="47">
      <c r="A47" s="22" t="s">
        <v>1390</v>
      </c>
      <c r="B47" s="188">
        <f>SUMIFS(Historic!$I$2:$I$151,Historic!$C$2:$C$151,$A$44,Historic!$A$2:$A$151,B$45)</f>
        <v>10350000</v>
      </c>
      <c r="C47" s="188">
        <f>SUMIFS(Historic!$I$2:$I$151,Historic!$C$2:$C$151,$A$44,Historic!$A$2:$A$151,C$45)</f>
        <v>3350000</v>
      </c>
      <c r="D47" s="188">
        <f>SUMIFS(Historic!$I$2:$I$151,Historic!$C$2:$C$151,$A$44,Historic!$A$2:$A$151,D$45)</f>
        <v>50000</v>
      </c>
      <c r="E47" s="188">
        <f>SUMIFS(Historic!$I$2:$I$151,Historic!$C$2:$C$151,$A$44,Historic!$A$2:$A$151,E$45)</f>
        <v>707272</v>
      </c>
      <c r="F47" s="188">
        <f>SUMIFS(Historic!$I$2:$I$151,Historic!$C$2:$C$151,$A$44,Historic!$A$2:$A$151,F$45)</f>
        <v>3045000</v>
      </c>
      <c r="G47" s="188">
        <f>SUMIFS(Historic!$I$2:$I$151,Historic!$C$2:$C$151,$A$44,Historic!$A$2:$A$151,G$45)</f>
        <v>6250000</v>
      </c>
      <c r="H47" s="329">
        <f t="shared" si="14"/>
        <v>23752272</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pane ySplit="1.0" topLeftCell="A2" activePane="bottomLeft" state="frozen"/>
      <selection activeCell="B3" sqref="B3" pane="bottomLeft"/>
    </sheetView>
  </sheetViews>
  <sheetFormatPr customHeight="1" defaultColWidth="17.29" defaultRowHeight="15.0"/>
  <cols>
    <col customWidth="1" min="3" max="3" width="25.57"/>
    <col customWidth="1" min="4" max="4" width="42.57"/>
  </cols>
  <sheetData>
    <row r="1" ht="45.75" customHeight="1">
      <c r="A1" s="393" t="s">
        <v>729</v>
      </c>
      <c r="B1" s="393" t="s">
        <v>72</v>
      </c>
      <c r="C1" s="393" t="s">
        <v>1391</v>
      </c>
      <c r="D1" s="393" t="s">
        <v>1392</v>
      </c>
      <c r="E1" s="394" t="s">
        <v>1393</v>
      </c>
      <c r="F1" s="394" t="s">
        <v>1394</v>
      </c>
      <c r="G1" s="394" t="s">
        <v>1395</v>
      </c>
      <c r="H1" s="395" t="s">
        <v>1396</v>
      </c>
      <c r="I1" s="393" t="s">
        <v>1397</v>
      </c>
      <c r="J1" s="396"/>
      <c r="K1" s="396"/>
      <c r="L1" s="396"/>
      <c r="M1" s="396"/>
      <c r="N1" s="396"/>
      <c r="O1" s="396"/>
      <c r="P1" s="396"/>
      <c r="Q1" s="396"/>
      <c r="R1" s="396"/>
      <c r="S1" s="396"/>
      <c r="T1" s="396"/>
      <c r="U1" s="396"/>
      <c r="V1" s="396"/>
      <c r="W1" s="396"/>
      <c r="X1" s="396"/>
      <c r="Y1" s="396"/>
      <c r="Z1" s="396"/>
      <c r="AA1" s="396"/>
    </row>
    <row r="2">
      <c r="A2" s="397">
        <v>2024.0</v>
      </c>
      <c r="B2" s="397" t="s">
        <v>77</v>
      </c>
      <c r="C2" s="397" t="s">
        <v>1372</v>
      </c>
      <c r="D2" s="397" t="s">
        <v>1372</v>
      </c>
      <c r="E2" s="398">
        <v>1.0E7</v>
      </c>
      <c r="F2" s="399">
        <v>0.0</v>
      </c>
      <c r="G2" s="398">
        <v>1.0E7</v>
      </c>
      <c r="H2" s="400">
        <v>1.0</v>
      </c>
      <c r="I2" s="401"/>
      <c r="J2" s="401"/>
      <c r="K2" s="401"/>
      <c r="L2" s="401"/>
      <c r="M2" s="401"/>
      <c r="N2" s="401"/>
      <c r="O2" s="401"/>
      <c r="P2" s="401"/>
      <c r="Q2" s="401"/>
      <c r="R2" s="401"/>
      <c r="S2" s="401"/>
      <c r="T2" s="401"/>
      <c r="U2" s="401"/>
      <c r="V2" s="401"/>
      <c r="W2" s="401"/>
      <c r="X2" s="401"/>
      <c r="Y2" s="401"/>
      <c r="Z2" s="401"/>
      <c r="AA2" s="401"/>
    </row>
    <row r="3">
      <c r="A3" s="397">
        <v>2024.0</v>
      </c>
      <c r="B3" s="397" t="s">
        <v>74</v>
      </c>
      <c r="C3" s="397" t="s">
        <v>1376</v>
      </c>
      <c r="D3" s="397" t="s">
        <v>1376</v>
      </c>
      <c r="E3" s="398">
        <v>650000.0</v>
      </c>
      <c r="F3" s="399">
        <v>0.0</v>
      </c>
      <c r="G3" s="398">
        <v>650000.0</v>
      </c>
      <c r="H3" s="400">
        <v>1.0</v>
      </c>
      <c r="I3" s="401"/>
      <c r="J3" s="401"/>
      <c r="K3" s="401"/>
      <c r="L3" s="401"/>
      <c r="M3" s="401"/>
      <c r="N3" s="401"/>
      <c r="O3" s="401"/>
      <c r="P3" s="401"/>
      <c r="Q3" s="401"/>
      <c r="R3" s="401"/>
      <c r="S3" s="401"/>
      <c r="T3" s="401"/>
      <c r="U3" s="401"/>
      <c r="V3" s="401"/>
      <c r="W3" s="401"/>
      <c r="X3" s="401"/>
      <c r="Y3" s="401"/>
      <c r="Z3" s="401"/>
      <c r="AA3" s="401"/>
    </row>
    <row r="4">
      <c r="A4" s="397">
        <v>2024.0</v>
      </c>
      <c r="B4" s="397" t="s">
        <v>527</v>
      </c>
      <c r="C4" s="397" t="s">
        <v>1378</v>
      </c>
      <c r="D4" s="397" t="s">
        <v>1398</v>
      </c>
      <c r="E4" s="398">
        <v>2000000.0</v>
      </c>
      <c r="F4" s="399">
        <v>0.0</v>
      </c>
      <c r="G4" s="398">
        <v>2000000.0</v>
      </c>
      <c r="H4" s="400">
        <v>1.0</v>
      </c>
      <c r="I4" s="401"/>
      <c r="J4" s="401"/>
      <c r="K4" s="401"/>
      <c r="L4" s="401"/>
      <c r="M4" s="401"/>
      <c r="N4" s="401"/>
      <c r="O4" s="401"/>
      <c r="P4" s="401"/>
      <c r="Q4" s="401"/>
      <c r="R4" s="401"/>
      <c r="S4" s="401"/>
      <c r="T4" s="401"/>
      <c r="U4" s="401"/>
      <c r="V4" s="401"/>
      <c r="W4" s="401"/>
      <c r="X4" s="401"/>
      <c r="Y4" s="401"/>
      <c r="Z4" s="401"/>
      <c r="AA4" s="401"/>
    </row>
    <row r="5">
      <c r="A5" s="397">
        <v>2024.0</v>
      </c>
      <c r="B5" s="397" t="s">
        <v>614</v>
      </c>
      <c r="C5" s="397" t="s">
        <v>1376</v>
      </c>
      <c r="D5" s="397" t="s">
        <v>1399</v>
      </c>
      <c r="E5" s="398">
        <v>2500000.0</v>
      </c>
      <c r="F5" s="399">
        <v>0.0</v>
      </c>
      <c r="G5" s="398">
        <v>2500000.0</v>
      </c>
      <c r="H5" s="400">
        <v>1.0</v>
      </c>
      <c r="I5" s="401"/>
      <c r="J5" s="401"/>
      <c r="K5" s="401"/>
      <c r="L5" s="401"/>
      <c r="M5" s="401"/>
      <c r="N5" s="401"/>
      <c r="O5" s="401"/>
      <c r="P5" s="401"/>
      <c r="Q5" s="401"/>
      <c r="R5" s="401"/>
      <c r="S5" s="401"/>
      <c r="T5" s="401"/>
      <c r="U5" s="401"/>
      <c r="V5" s="401"/>
      <c r="W5" s="401"/>
      <c r="X5" s="401"/>
      <c r="Y5" s="401"/>
      <c r="Z5" s="401"/>
      <c r="AA5" s="401"/>
    </row>
    <row r="6">
      <c r="A6" s="397">
        <v>2024.0</v>
      </c>
      <c r="B6" s="397" t="s">
        <v>1400</v>
      </c>
      <c r="C6" s="397" t="s">
        <v>1376</v>
      </c>
      <c r="D6" s="397" t="s">
        <v>1376</v>
      </c>
      <c r="E6" s="398">
        <v>1000000.0</v>
      </c>
      <c r="F6" s="399">
        <v>0.0</v>
      </c>
      <c r="G6" s="398">
        <v>1000000.0</v>
      </c>
      <c r="H6" s="400">
        <v>1.0</v>
      </c>
      <c r="I6" s="401"/>
      <c r="J6" s="401"/>
      <c r="K6" s="401"/>
      <c r="L6" s="401"/>
      <c r="M6" s="401"/>
      <c r="N6" s="401"/>
      <c r="O6" s="401"/>
      <c r="P6" s="401"/>
      <c r="Q6" s="401"/>
      <c r="R6" s="401"/>
      <c r="S6" s="401"/>
      <c r="T6" s="401"/>
      <c r="U6" s="401"/>
      <c r="V6" s="401"/>
      <c r="W6" s="401"/>
      <c r="X6" s="401"/>
      <c r="Y6" s="401"/>
      <c r="Z6" s="401"/>
      <c r="AA6" s="401"/>
    </row>
    <row r="7">
      <c r="A7" s="397">
        <v>2024.0</v>
      </c>
      <c r="B7" s="397" t="s">
        <v>74</v>
      </c>
      <c r="C7" s="397" t="s">
        <v>1372</v>
      </c>
      <c r="D7" s="397" t="s">
        <v>1372</v>
      </c>
      <c r="E7" s="398">
        <v>7000000.0</v>
      </c>
      <c r="F7" s="399">
        <v>0.0</v>
      </c>
      <c r="G7" s="398">
        <v>7000000.0</v>
      </c>
      <c r="H7" s="400">
        <v>1.0</v>
      </c>
      <c r="I7" s="401"/>
      <c r="J7" s="401"/>
      <c r="K7" s="401"/>
      <c r="L7" s="401"/>
      <c r="M7" s="401"/>
      <c r="N7" s="401"/>
      <c r="O7" s="401"/>
      <c r="P7" s="401"/>
      <c r="Q7" s="401"/>
      <c r="R7" s="401"/>
      <c r="S7" s="401"/>
      <c r="T7" s="401"/>
      <c r="U7" s="401"/>
      <c r="V7" s="401"/>
      <c r="W7" s="401"/>
      <c r="X7" s="401"/>
      <c r="Y7" s="401"/>
      <c r="Z7" s="401"/>
      <c r="AA7" s="401"/>
    </row>
    <row r="8">
      <c r="A8" s="397">
        <v>2024.0</v>
      </c>
      <c r="B8" s="397" t="s">
        <v>75</v>
      </c>
      <c r="C8" s="397" t="s">
        <v>1372</v>
      </c>
      <c r="D8" s="397" t="s">
        <v>1372</v>
      </c>
      <c r="E8" s="398">
        <v>1.0E7</v>
      </c>
      <c r="F8" s="398">
        <v>0.0</v>
      </c>
      <c r="G8" s="398">
        <v>1.0E7</v>
      </c>
      <c r="H8" s="400">
        <v>1.0</v>
      </c>
      <c r="I8" s="401"/>
      <c r="J8" s="401"/>
      <c r="K8" s="401"/>
      <c r="L8" s="401"/>
      <c r="M8" s="401"/>
      <c r="N8" s="401"/>
      <c r="O8" s="401"/>
      <c r="P8" s="401"/>
      <c r="Q8" s="401"/>
      <c r="R8" s="401"/>
      <c r="S8" s="401"/>
      <c r="T8" s="401"/>
      <c r="U8" s="401"/>
      <c r="V8" s="401"/>
      <c r="W8" s="401"/>
      <c r="X8" s="401"/>
      <c r="Y8" s="401"/>
      <c r="Z8" s="401"/>
      <c r="AA8" s="401"/>
    </row>
    <row r="9">
      <c r="A9" s="397">
        <v>2024.0</v>
      </c>
      <c r="B9" s="397" t="s">
        <v>78</v>
      </c>
      <c r="C9" s="397" t="s">
        <v>1372</v>
      </c>
      <c r="D9" s="397" t="s">
        <v>1372</v>
      </c>
      <c r="E9" s="398">
        <v>7000000.0</v>
      </c>
      <c r="F9" s="398">
        <v>0.0</v>
      </c>
      <c r="G9" s="398">
        <v>7000000.0</v>
      </c>
      <c r="H9" s="400">
        <v>1.0</v>
      </c>
      <c r="I9" s="401"/>
      <c r="J9" s="401"/>
      <c r="K9" s="401"/>
      <c r="L9" s="401"/>
      <c r="M9" s="401"/>
      <c r="N9" s="401"/>
      <c r="O9" s="401"/>
      <c r="P9" s="401"/>
      <c r="Q9" s="401"/>
      <c r="R9" s="401"/>
      <c r="S9" s="401"/>
      <c r="T9" s="401"/>
      <c r="U9" s="401"/>
      <c r="V9" s="401"/>
      <c r="W9" s="401"/>
      <c r="X9" s="401"/>
      <c r="Y9" s="401"/>
      <c r="Z9" s="401"/>
      <c r="AA9" s="401"/>
    </row>
    <row r="10">
      <c r="A10" s="397">
        <v>2023.0</v>
      </c>
      <c r="B10" s="397" t="s">
        <v>1401</v>
      </c>
      <c r="C10" s="397" t="s">
        <v>1377</v>
      </c>
      <c r="D10" s="397" t="s">
        <v>1377</v>
      </c>
      <c r="E10" s="398">
        <v>4881194.0</v>
      </c>
      <c r="F10" s="399">
        <v>218552.0</v>
      </c>
      <c r="G10" s="398">
        <v>4662642.0</v>
      </c>
      <c r="H10" s="400">
        <v>0.955225709119531</v>
      </c>
      <c r="I10" s="401"/>
      <c r="J10" s="401"/>
      <c r="K10" s="401"/>
      <c r="L10" s="401"/>
      <c r="M10" s="401"/>
      <c r="N10" s="401"/>
      <c r="O10" s="401"/>
      <c r="P10" s="401"/>
      <c r="Q10" s="401"/>
      <c r="R10" s="401"/>
      <c r="S10" s="401"/>
      <c r="T10" s="401"/>
      <c r="U10" s="401"/>
      <c r="V10" s="401"/>
      <c r="W10" s="401"/>
      <c r="X10" s="401"/>
      <c r="Y10" s="401"/>
      <c r="Z10" s="401"/>
      <c r="AA10" s="401"/>
    </row>
    <row r="11">
      <c r="A11" s="397">
        <v>2023.0</v>
      </c>
      <c r="B11" s="397" t="s">
        <v>1400</v>
      </c>
      <c r="C11" s="397" t="s">
        <v>1402</v>
      </c>
      <c r="D11" s="397" t="s">
        <v>1402</v>
      </c>
      <c r="E11" s="398">
        <v>275287.0</v>
      </c>
      <c r="F11" s="398">
        <v>275287.0</v>
      </c>
      <c r="G11" s="399">
        <v>0.0</v>
      </c>
      <c r="H11" s="400">
        <v>0.0</v>
      </c>
      <c r="I11" s="401"/>
      <c r="J11" s="401"/>
      <c r="K11" s="401"/>
      <c r="L11" s="401"/>
      <c r="M11" s="401"/>
      <c r="N11" s="401"/>
      <c r="O11" s="401"/>
      <c r="P11" s="401"/>
      <c r="Q11" s="401"/>
      <c r="R11" s="401"/>
      <c r="S11" s="401"/>
      <c r="T11" s="401"/>
      <c r="U11" s="401"/>
      <c r="V11" s="401"/>
      <c r="W11" s="401"/>
      <c r="X11" s="401"/>
      <c r="Y11" s="401"/>
      <c r="Z11" s="401"/>
      <c r="AA11" s="401"/>
    </row>
    <row r="12">
      <c r="A12" s="397">
        <v>2023.0</v>
      </c>
      <c r="B12" s="397" t="s">
        <v>1403</v>
      </c>
      <c r="C12" s="397" t="s">
        <v>1379</v>
      </c>
      <c r="D12" s="397" t="s">
        <v>1404</v>
      </c>
      <c r="E12" s="398">
        <v>5953255.0</v>
      </c>
      <c r="F12" s="399">
        <v>5449868.0</v>
      </c>
      <c r="G12" s="398">
        <v>503387.0</v>
      </c>
      <c r="H12" s="400">
        <v>0.08455659970889874</v>
      </c>
      <c r="I12" s="401"/>
      <c r="J12" s="401"/>
      <c r="K12" s="401"/>
      <c r="L12" s="401"/>
      <c r="M12" s="401"/>
      <c r="N12" s="401"/>
      <c r="O12" s="401"/>
      <c r="P12" s="401"/>
      <c r="Q12" s="401"/>
      <c r="R12" s="401"/>
      <c r="S12" s="401"/>
      <c r="T12" s="401"/>
      <c r="U12" s="401"/>
      <c r="V12" s="401"/>
      <c r="W12" s="401"/>
      <c r="X12" s="401"/>
      <c r="Y12" s="401"/>
      <c r="Z12" s="401"/>
      <c r="AA12" s="401"/>
    </row>
    <row r="13">
      <c r="A13" s="397">
        <v>2023.0</v>
      </c>
      <c r="B13" s="397" t="s">
        <v>76</v>
      </c>
      <c r="C13" s="397" t="s">
        <v>1375</v>
      </c>
      <c r="D13" s="397" t="s">
        <v>1405</v>
      </c>
      <c r="E13" s="398">
        <v>1773525.0</v>
      </c>
      <c r="F13" s="398">
        <v>0.0</v>
      </c>
      <c r="G13" s="398">
        <v>1773525.0</v>
      </c>
      <c r="H13" s="400">
        <v>1.0</v>
      </c>
      <c r="I13" s="398">
        <v>5000000.0</v>
      </c>
      <c r="J13" s="401"/>
      <c r="K13" s="401"/>
      <c r="L13" s="401"/>
      <c r="M13" s="401"/>
      <c r="N13" s="401"/>
      <c r="O13" s="401"/>
      <c r="P13" s="401"/>
      <c r="Q13" s="401"/>
      <c r="R13" s="401"/>
      <c r="S13" s="401"/>
      <c r="T13" s="401"/>
      <c r="U13" s="401"/>
      <c r="V13" s="401"/>
      <c r="W13" s="401"/>
      <c r="X13" s="401"/>
      <c r="Y13" s="401"/>
      <c r="Z13" s="401"/>
      <c r="AA13" s="401"/>
    </row>
    <row r="14">
      <c r="A14" s="397">
        <v>2023.0</v>
      </c>
      <c r="B14" s="397" t="s">
        <v>76</v>
      </c>
      <c r="C14" s="397" t="s">
        <v>1372</v>
      </c>
      <c r="D14" s="397" t="s">
        <v>1372</v>
      </c>
      <c r="E14" s="398">
        <v>8249276.0</v>
      </c>
      <c r="F14" s="399">
        <v>2517334.0</v>
      </c>
      <c r="G14" s="398">
        <v>5731942.0</v>
      </c>
      <c r="H14" s="400">
        <v>0.6948418261190437</v>
      </c>
      <c r="I14" s="398">
        <v>5000000.0</v>
      </c>
      <c r="J14" s="401"/>
      <c r="K14" s="401"/>
      <c r="L14" s="401"/>
      <c r="M14" s="401"/>
      <c r="N14" s="401"/>
      <c r="O14" s="401"/>
      <c r="P14" s="401"/>
      <c r="Q14" s="401"/>
      <c r="R14" s="401"/>
      <c r="S14" s="401"/>
      <c r="T14" s="401"/>
      <c r="U14" s="401"/>
      <c r="V14" s="401"/>
      <c r="W14" s="401"/>
      <c r="X14" s="401"/>
      <c r="Y14" s="401"/>
      <c r="Z14" s="401"/>
      <c r="AA14" s="401"/>
    </row>
    <row r="15">
      <c r="A15" s="397">
        <v>2023.0</v>
      </c>
      <c r="B15" s="397" t="s">
        <v>76</v>
      </c>
      <c r="C15" s="397" t="s">
        <v>1375</v>
      </c>
      <c r="D15" s="397" t="s">
        <v>1406</v>
      </c>
      <c r="E15" s="398">
        <v>4585056.0</v>
      </c>
      <c r="F15" s="399">
        <v>4138244.0</v>
      </c>
      <c r="G15" s="398">
        <v>446812.0</v>
      </c>
      <c r="H15" s="400">
        <v>0.0974496276599457</v>
      </c>
      <c r="I15" s="398">
        <v>2500000.0</v>
      </c>
      <c r="J15" s="401"/>
      <c r="K15" s="401"/>
      <c r="L15" s="401"/>
      <c r="M15" s="401"/>
      <c r="N15" s="401"/>
      <c r="O15" s="401"/>
      <c r="P15" s="401"/>
      <c r="Q15" s="401"/>
      <c r="R15" s="401"/>
      <c r="S15" s="401"/>
      <c r="T15" s="401"/>
      <c r="U15" s="401"/>
      <c r="V15" s="401"/>
      <c r="W15" s="401"/>
      <c r="X15" s="401"/>
      <c r="Y15" s="401"/>
      <c r="Z15" s="401"/>
      <c r="AA15" s="401"/>
    </row>
    <row r="16">
      <c r="A16" s="397">
        <v>2023.0</v>
      </c>
      <c r="B16" s="397" t="s">
        <v>76</v>
      </c>
      <c r="C16" s="397" t="s">
        <v>1376</v>
      </c>
      <c r="D16" s="397" t="s">
        <v>1376</v>
      </c>
      <c r="E16" s="398">
        <v>1895129.0</v>
      </c>
      <c r="F16" s="399">
        <v>645783.0</v>
      </c>
      <c r="G16" s="398">
        <v>1249346.0</v>
      </c>
      <c r="H16" s="400">
        <v>0.659240611061305</v>
      </c>
      <c r="I16" s="398">
        <v>645783.0</v>
      </c>
      <c r="J16" s="401"/>
      <c r="K16" s="401"/>
      <c r="L16" s="401"/>
      <c r="M16" s="401"/>
      <c r="N16" s="401"/>
      <c r="O16" s="401"/>
      <c r="P16" s="401"/>
      <c r="Q16" s="401"/>
      <c r="R16" s="401"/>
      <c r="S16" s="401"/>
      <c r="T16" s="401"/>
      <c r="U16" s="401"/>
      <c r="V16" s="401"/>
      <c r="W16" s="401"/>
      <c r="X16" s="401"/>
      <c r="Y16" s="401"/>
      <c r="Z16" s="401"/>
      <c r="AA16" s="401"/>
    </row>
    <row r="17">
      <c r="A17" s="397">
        <v>2023.0</v>
      </c>
      <c r="B17" s="397" t="s">
        <v>614</v>
      </c>
      <c r="C17" s="397" t="s">
        <v>1376</v>
      </c>
      <c r="D17" s="397" t="s">
        <v>1399</v>
      </c>
      <c r="E17" s="398">
        <v>1578898.0</v>
      </c>
      <c r="F17" s="399">
        <v>1107958.0</v>
      </c>
      <c r="G17" s="398">
        <v>470940.0</v>
      </c>
      <c r="H17" s="400">
        <v>0.29827132595012473</v>
      </c>
      <c r="I17" s="401"/>
      <c r="J17" s="401"/>
      <c r="K17" s="401"/>
      <c r="L17" s="401"/>
      <c r="M17" s="401"/>
      <c r="N17" s="401"/>
      <c r="O17" s="401"/>
      <c r="P17" s="401"/>
      <c r="Q17" s="401"/>
      <c r="R17" s="401"/>
      <c r="S17" s="401"/>
      <c r="T17" s="401"/>
      <c r="U17" s="401"/>
      <c r="V17" s="401"/>
      <c r="W17" s="401"/>
      <c r="X17" s="401"/>
      <c r="Y17" s="401"/>
      <c r="Z17" s="401"/>
      <c r="AA17" s="401"/>
    </row>
    <row r="18">
      <c r="A18" s="397">
        <v>2024.0</v>
      </c>
      <c r="B18" s="397" t="s">
        <v>1407</v>
      </c>
      <c r="C18" s="397" t="s">
        <v>1376</v>
      </c>
      <c r="D18" s="397" t="s">
        <v>1408</v>
      </c>
      <c r="E18" s="398">
        <v>1452132.0</v>
      </c>
      <c r="F18" s="399">
        <v>1452132.0</v>
      </c>
      <c r="G18" s="398">
        <v>0.0</v>
      </c>
      <c r="H18" s="402">
        <v>0.0</v>
      </c>
      <c r="I18" s="398">
        <v>1452132.0</v>
      </c>
      <c r="J18" s="401"/>
      <c r="K18" s="401"/>
      <c r="L18" s="401"/>
      <c r="M18" s="401"/>
      <c r="N18" s="401"/>
      <c r="O18" s="401"/>
      <c r="P18" s="401"/>
      <c r="Q18" s="401"/>
      <c r="R18" s="401"/>
      <c r="S18" s="401"/>
      <c r="T18" s="401"/>
      <c r="U18" s="401"/>
      <c r="V18" s="401"/>
      <c r="W18" s="401"/>
      <c r="X18" s="401"/>
      <c r="Y18" s="401"/>
      <c r="Z18" s="401"/>
      <c r="AA18" s="401"/>
    </row>
    <row r="19">
      <c r="A19" s="397">
        <v>2023.0</v>
      </c>
      <c r="B19" s="397" t="s">
        <v>1407</v>
      </c>
      <c r="C19" s="397" t="s">
        <v>1376</v>
      </c>
      <c r="D19" s="397" t="s">
        <v>1409</v>
      </c>
      <c r="E19" s="398">
        <v>1508.0</v>
      </c>
      <c r="F19" s="399">
        <v>1.0</v>
      </c>
      <c r="G19" s="399">
        <v>1507.0</v>
      </c>
      <c r="H19" s="402">
        <v>0.0</v>
      </c>
      <c r="I19" s="401"/>
      <c r="J19" s="401"/>
      <c r="K19" s="401"/>
      <c r="L19" s="401"/>
      <c r="M19" s="401"/>
      <c r="N19" s="401"/>
      <c r="O19" s="401"/>
      <c r="P19" s="401"/>
      <c r="Q19" s="401"/>
      <c r="R19" s="401"/>
      <c r="S19" s="401"/>
      <c r="T19" s="401"/>
      <c r="U19" s="401"/>
      <c r="V19" s="401"/>
      <c r="W19" s="401"/>
      <c r="X19" s="401"/>
      <c r="Y19" s="401"/>
      <c r="Z19" s="401"/>
      <c r="AA19" s="401"/>
    </row>
    <row r="20">
      <c r="A20" s="397">
        <v>2023.0</v>
      </c>
      <c r="B20" s="397" t="s">
        <v>1407</v>
      </c>
      <c r="C20" s="397" t="s">
        <v>1372</v>
      </c>
      <c r="D20" s="397" t="s">
        <v>1410</v>
      </c>
      <c r="E20" s="398">
        <v>316507.0</v>
      </c>
      <c r="F20" s="399">
        <v>316507.0</v>
      </c>
      <c r="G20" s="398">
        <v>0.0</v>
      </c>
      <c r="H20" s="402">
        <v>0.0</v>
      </c>
      <c r="I20" s="401"/>
      <c r="J20" s="401"/>
      <c r="K20" s="401"/>
      <c r="L20" s="401"/>
      <c r="M20" s="401"/>
      <c r="N20" s="401"/>
      <c r="O20" s="401"/>
      <c r="P20" s="401"/>
      <c r="Q20" s="401"/>
      <c r="R20" s="401"/>
      <c r="S20" s="401"/>
      <c r="T20" s="401"/>
      <c r="U20" s="401"/>
      <c r="V20" s="401"/>
      <c r="W20" s="401"/>
      <c r="X20" s="401"/>
      <c r="Y20" s="401"/>
      <c r="Z20" s="401"/>
      <c r="AA20" s="401"/>
    </row>
    <row r="21">
      <c r="A21" s="397">
        <v>2023.0</v>
      </c>
      <c r="B21" s="397" t="s">
        <v>74</v>
      </c>
      <c r="C21" s="397" t="s">
        <v>1372</v>
      </c>
      <c r="D21" s="397" t="s">
        <v>1372</v>
      </c>
      <c r="E21" s="398">
        <v>9440481.0</v>
      </c>
      <c r="F21" s="399">
        <v>4906442.0</v>
      </c>
      <c r="G21" s="399">
        <v>4534039.0</v>
      </c>
      <c r="H21" s="400">
        <v>0.4802762698214212</v>
      </c>
      <c r="I21" s="401"/>
      <c r="J21" s="401"/>
      <c r="K21" s="401"/>
      <c r="L21" s="401"/>
      <c r="M21" s="401"/>
      <c r="N21" s="401"/>
      <c r="O21" s="401"/>
      <c r="P21" s="401"/>
      <c r="Q21" s="401"/>
      <c r="R21" s="401"/>
      <c r="S21" s="401"/>
      <c r="T21" s="401"/>
      <c r="U21" s="401"/>
      <c r="V21" s="401"/>
      <c r="W21" s="401"/>
      <c r="X21" s="401"/>
      <c r="Y21" s="401"/>
      <c r="Z21" s="401"/>
      <c r="AA21" s="401"/>
    </row>
    <row r="22">
      <c r="A22" s="397">
        <v>2023.0</v>
      </c>
      <c r="B22" s="397" t="s">
        <v>74</v>
      </c>
      <c r="C22" s="397" t="s">
        <v>1375</v>
      </c>
      <c r="D22" s="397" t="s">
        <v>1375</v>
      </c>
      <c r="E22" s="398">
        <v>2025683.0</v>
      </c>
      <c r="F22" s="399">
        <v>1884703.0</v>
      </c>
      <c r="G22" s="399">
        <v>140980.0</v>
      </c>
      <c r="H22" s="400">
        <v>0.06959627937836275</v>
      </c>
      <c r="I22" s="401"/>
      <c r="J22" s="401"/>
      <c r="K22" s="401"/>
      <c r="L22" s="401"/>
      <c r="M22" s="401"/>
      <c r="N22" s="401"/>
      <c r="O22" s="401"/>
      <c r="P22" s="401"/>
      <c r="Q22" s="401"/>
      <c r="R22" s="401"/>
      <c r="S22" s="401"/>
      <c r="T22" s="401"/>
      <c r="U22" s="401"/>
      <c r="V22" s="401"/>
      <c r="W22" s="401"/>
      <c r="X22" s="401"/>
      <c r="Y22" s="401"/>
      <c r="Z22" s="401"/>
      <c r="AA22" s="401"/>
    </row>
    <row r="23">
      <c r="A23" s="397">
        <v>2023.0</v>
      </c>
      <c r="B23" s="397" t="s">
        <v>74</v>
      </c>
      <c r="C23" s="397" t="s">
        <v>1372</v>
      </c>
      <c r="D23" s="397" t="s">
        <v>1411</v>
      </c>
      <c r="E23" s="398">
        <v>2249988.0</v>
      </c>
      <c r="F23" s="399">
        <v>2249988.0</v>
      </c>
      <c r="G23" s="399">
        <v>0.0</v>
      </c>
      <c r="H23" s="400">
        <v>0.0</v>
      </c>
      <c r="I23" s="401"/>
      <c r="J23" s="401"/>
      <c r="K23" s="401"/>
      <c r="L23" s="401"/>
      <c r="M23" s="401"/>
      <c r="N23" s="401"/>
      <c r="O23" s="401"/>
      <c r="P23" s="401"/>
      <c r="Q23" s="401"/>
      <c r="R23" s="401"/>
      <c r="S23" s="401"/>
      <c r="T23" s="401"/>
      <c r="U23" s="401"/>
      <c r="V23" s="401"/>
      <c r="W23" s="401"/>
      <c r="X23" s="401"/>
      <c r="Y23" s="401"/>
      <c r="Z23" s="401"/>
      <c r="AA23" s="401"/>
    </row>
    <row r="24">
      <c r="A24" s="397">
        <v>2023.0</v>
      </c>
      <c r="B24" s="397" t="s">
        <v>527</v>
      </c>
      <c r="C24" s="397" t="s">
        <v>1372</v>
      </c>
      <c r="D24" s="397" t="s">
        <v>1372</v>
      </c>
      <c r="E24" s="398">
        <v>3787254.0</v>
      </c>
      <c r="F24" s="399">
        <v>455479.0</v>
      </c>
      <c r="G24" s="398">
        <v>3331775.0</v>
      </c>
      <c r="H24" s="400">
        <v>0.8797337067965338</v>
      </c>
      <c r="I24" s="401"/>
      <c r="J24" s="401"/>
      <c r="K24" s="401"/>
      <c r="L24" s="401"/>
      <c r="M24" s="401"/>
      <c r="N24" s="401"/>
      <c r="O24" s="401"/>
      <c r="P24" s="401"/>
      <c r="Q24" s="401"/>
      <c r="R24" s="401"/>
      <c r="S24" s="401"/>
      <c r="T24" s="401"/>
      <c r="U24" s="401"/>
      <c r="V24" s="401"/>
      <c r="W24" s="401"/>
      <c r="X24" s="401"/>
      <c r="Y24" s="401"/>
      <c r="Z24" s="401"/>
      <c r="AA24" s="401"/>
    </row>
    <row r="25">
      <c r="A25" s="397">
        <v>2023.0</v>
      </c>
      <c r="B25" s="397" t="s">
        <v>527</v>
      </c>
      <c r="C25" s="397" t="s">
        <v>1378</v>
      </c>
      <c r="D25" s="397" t="s">
        <v>1412</v>
      </c>
      <c r="E25" s="398">
        <v>2853797.0</v>
      </c>
      <c r="F25" s="398">
        <v>1577847.0</v>
      </c>
      <c r="G25" s="398">
        <v>1275950.0</v>
      </c>
      <c r="H25" s="400">
        <v>0.4471060835791754</v>
      </c>
      <c r="I25" s="398">
        <v>6552000.0</v>
      </c>
      <c r="J25" s="401"/>
      <c r="K25" s="401"/>
      <c r="L25" s="401"/>
      <c r="M25" s="401"/>
      <c r="N25" s="401"/>
      <c r="O25" s="401"/>
      <c r="P25" s="401"/>
      <c r="Q25" s="401"/>
      <c r="R25" s="401"/>
      <c r="S25" s="401"/>
      <c r="T25" s="401"/>
      <c r="U25" s="401"/>
      <c r="V25" s="401"/>
      <c r="W25" s="401"/>
      <c r="X25" s="401"/>
      <c r="Y25" s="401"/>
      <c r="Z25" s="401"/>
      <c r="AA25" s="401"/>
    </row>
    <row r="26">
      <c r="A26" s="397">
        <v>2023.0</v>
      </c>
      <c r="B26" s="397" t="s">
        <v>527</v>
      </c>
      <c r="C26" s="397" t="s">
        <v>1375</v>
      </c>
      <c r="D26" s="397" t="s">
        <v>1375</v>
      </c>
      <c r="E26" s="398">
        <v>2799394.0</v>
      </c>
      <c r="F26" s="399">
        <v>1074421.0</v>
      </c>
      <c r="G26" s="399">
        <v>1724973.0</v>
      </c>
      <c r="H26" s="400">
        <v>0.6161951479498777</v>
      </c>
      <c r="I26" s="401"/>
      <c r="J26" s="401"/>
      <c r="K26" s="401"/>
      <c r="L26" s="401"/>
      <c r="M26" s="401"/>
      <c r="N26" s="401"/>
      <c r="O26" s="401"/>
      <c r="P26" s="401"/>
      <c r="Q26" s="401"/>
      <c r="R26" s="401"/>
      <c r="S26" s="401"/>
      <c r="T26" s="401"/>
      <c r="U26" s="401"/>
      <c r="V26" s="401"/>
      <c r="W26" s="401"/>
      <c r="X26" s="401"/>
      <c r="Y26" s="401"/>
      <c r="Z26" s="401"/>
      <c r="AA26" s="401"/>
    </row>
    <row r="27">
      <c r="A27" s="397">
        <v>2023.0</v>
      </c>
      <c r="B27" s="397" t="s">
        <v>527</v>
      </c>
      <c r="C27" s="397" t="s">
        <v>1378</v>
      </c>
      <c r="D27" s="397" t="s">
        <v>1413</v>
      </c>
      <c r="E27" s="398">
        <v>701240.0</v>
      </c>
      <c r="F27" s="399">
        <v>625000.0</v>
      </c>
      <c r="G27" s="399">
        <v>76240.0</v>
      </c>
      <c r="H27" s="400">
        <v>0.1087216930009697</v>
      </c>
      <c r="I27" s="398">
        <v>625000.0</v>
      </c>
      <c r="J27" s="401"/>
      <c r="K27" s="401"/>
      <c r="L27" s="401"/>
      <c r="M27" s="401"/>
      <c r="N27" s="401"/>
      <c r="O27" s="401"/>
      <c r="P27" s="401"/>
      <c r="Q27" s="401"/>
      <c r="R27" s="401"/>
      <c r="S27" s="401"/>
      <c r="T27" s="401"/>
      <c r="U27" s="401"/>
      <c r="V27" s="401"/>
      <c r="W27" s="401"/>
      <c r="X27" s="401"/>
      <c r="Y27" s="401"/>
      <c r="Z27" s="401"/>
      <c r="AA27" s="401"/>
    </row>
    <row r="28">
      <c r="A28" s="397">
        <v>2023.0</v>
      </c>
      <c r="B28" s="397" t="s">
        <v>527</v>
      </c>
      <c r="C28" s="397" t="s">
        <v>1378</v>
      </c>
      <c r="D28" s="397" t="s">
        <v>1398</v>
      </c>
      <c r="E28" s="398">
        <v>211670.0</v>
      </c>
      <c r="F28" s="399">
        <v>66483.0</v>
      </c>
      <c r="G28" s="399">
        <v>145187.0</v>
      </c>
      <c r="H28" s="400">
        <v>0.6859120328813719</v>
      </c>
      <c r="I28" s="398">
        <v>115000.0</v>
      </c>
      <c r="J28" s="401"/>
      <c r="K28" s="401"/>
      <c r="L28" s="401"/>
      <c r="M28" s="401"/>
      <c r="N28" s="401"/>
      <c r="O28" s="401"/>
      <c r="P28" s="401"/>
      <c r="Q28" s="401"/>
      <c r="R28" s="401"/>
      <c r="S28" s="401"/>
      <c r="T28" s="401"/>
      <c r="U28" s="401"/>
      <c r="V28" s="401"/>
      <c r="W28" s="401"/>
      <c r="X28" s="401"/>
      <c r="Y28" s="401"/>
      <c r="Z28" s="401"/>
      <c r="AA28" s="401"/>
    </row>
    <row r="29">
      <c r="A29" s="397">
        <v>2023.0</v>
      </c>
      <c r="B29" s="397" t="s">
        <v>75</v>
      </c>
      <c r="C29" s="397" t="s">
        <v>1372</v>
      </c>
      <c r="D29" s="397" t="s">
        <v>1372</v>
      </c>
      <c r="E29" s="398">
        <v>4.7699881E7</v>
      </c>
      <c r="F29" s="399">
        <v>2.6189967E7</v>
      </c>
      <c r="G29" s="399">
        <v>2.1509914E7</v>
      </c>
      <c r="H29" s="400">
        <v>0.4509427182847689</v>
      </c>
      <c r="I29" s="401"/>
      <c r="J29" s="401"/>
      <c r="K29" s="401"/>
      <c r="L29" s="401"/>
      <c r="M29" s="401"/>
      <c r="N29" s="401"/>
      <c r="O29" s="401"/>
      <c r="P29" s="401"/>
      <c r="Q29" s="401"/>
      <c r="R29" s="401"/>
      <c r="S29" s="401"/>
      <c r="T29" s="401"/>
      <c r="U29" s="401"/>
      <c r="V29" s="401"/>
      <c r="W29" s="401"/>
      <c r="X29" s="401"/>
      <c r="Y29" s="401"/>
      <c r="Z29" s="401"/>
      <c r="AA29" s="401"/>
    </row>
    <row r="30">
      <c r="A30" s="397">
        <v>2023.0</v>
      </c>
      <c r="B30" s="397" t="s">
        <v>75</v>
      </c>
      <c r="C30" s="397" t="s">
        <v>1372</v>
      </c>
      <c r="D30" s="397" t="s">
        <v>1414</v>
      </c>
      <c r="E30" s="398">
        <v>1893821.0</v>
      </c>
      <c r="F30" s="399">
        <v>844223.0</v>
      </c>
      <c r="G30" s="399">
        <v>1049598.0</v>
      </c>
      <c r="H30" s="400">
        <v>0.5542223895500156</v>
      </c>
      <c r="I30" s="398">
        <v>1250000.0</v>
      </c>
      <c r="J30" s="401"/>
      <c r="K30" s="401"/>
      <c r="L30" s="401"/>
      <c r="M30" s="401"/>
      <c r="N30" s="401"/>
      <c r="O30" s="401"/>
      <c r="P30" s="401"/>
      <c r="Q30" s="401"/>
      <c r="R30" s="401"/>
      <c r="S30" s="401"/>
      <c r="T30" s="401"/>
      <c r="U30" s="401"/>
      <c r="V30" s="401"/>
      <c r="W30" s="401"/>
      <c r="X30" s="401"/>
      <c r="Y30" s="401"/>
      <c r="Z30" s="401"/>
      <c r="AA30" s="401"/>
    </row>
    <row r="31">
      <c r="A31" s="397">
        <v>2023.0</v>
      </c>
      <c r="B31" s="397" t="s">
        <v>75</v>
      </c>
      <c r="C31" s="397" t="s">
        <v>1375</v>
      </c>
      <c r="D31" s="397" t="s">
        <v>1375</v>
      </c>
      <c r="E31" s="398">
        <v>1194012.0</v>
      </c>
      <c r="F31" s="399">
        <v>1194012.0</v>
      </c>
      <c r="G31" s="399">
        <v>0.0</v>
      </c>
      <c r="H31" s="400">
        <v>0.0</v>
      </c>
      <c r="I31" s="401"/>
      <c r="J31" s="401"/>
      <c r="K31" s="401"/>
      <c r="L31" s="401"/>
      <c r="M31" s="401"/>
      <c r="N31" s="401"/>
      <c r="O31" s="401"/>
      <c r="P31" s="401"/>
      <c r="Q31" s="401"/>
      <c r="R31" s="401"/>
      <c r="S31" s="401"/>
      <c r="T31" s="401"/>
      <c r="U31" s="401"/>
      <c r="V31" s="401"/>
      <c r="W31" s="401"/>
      <c r="X31" s="401"/>
      <c r="Y31" s="401"/>
      <c r="Z31" s="401"/>
      <c r="AA31" s="401"/>
    </row>
    <row r="32">
      <c r="A32" s="397">
        <v>2023.0</v>
      </c>
      <c r="B32" s="397" t="s">
        <v>75</v>
      </c>
      <c r="C32" s="397" t="s">
        <v>1378</v>
      </c>
      <c r="D32" s="397" t="s">
        <v>1413</v>
      </c>
      <c r="E32" s="398">
        <v>2495203.0</v>
      </c>
      <c r="F32" s="399">
        <v>2172257.0</v>
      </c>
      <c r="G32" s="399">
        <v>322946.0</v>
      </c>
      <c r="H32" s="400">
        <v>0.12942674403645715</v>
      </c>
      <c r="I32" s="397"/>
      <c r="J32" s="401"/>
      <c r="K32" s="401"/>
      <c r="L32" s="401"/>
      <c r="M32" s="401"/>
      <c r="N32" s="401"/>
      <c r="O32" s="401"/>
      <c r="P32" s="401"/>
      <c r="Q32" s="401"/>
      <c r="R32" s="401"/>
      <c r="S32" s="401"/>
      <c r="T32" s="401"/>
      <c r="U32" s="401"/>
      <c r="V32" s="401"/>
      <c r="W32" s="401"/>
      <c r="X32" s="401"/>
      <c r="Y32" s="401"/>
      <c r="Z32" s="401"/>
      <c r="AA32" s="401"/>
    </row>
    <row r="33">
      <c r="A33" s="397">
        <v>2023.0</v>
      </c>
      <c r="B33" s="397" t="s">
        <v>75</v>
      </c>
      <c r="C33" s="397" t="s">
        <v>1376</v>
      </c>
      <c r="D33" s="397" t="s">
        <v>1376</v>
      </c>
      <c r="E33" s="398">
        <v>1127744.0</v>
      </c>
      <c r="F33" s="399">
        <v>271457.0</v>
      </c>
      <c r="G33" s="399">
        <v>856287.0</v>
      </c>
      <c r="H33" s="400">
        <v>0.7592920024402702</v>
      </c>
      <c r="I33" s="401"/>
      <c r="J33" s="401"/>
      <c r="K33" s="401"/>
      <c r="L33" s="401"/>
      <c r="M33" s="401"/>
      <c r="N33" s="401"/>
      <c r="O33" s="401"/>
      <c r="P33" s="401"/>
      <c r="Q33" s="401"/>
      <c r="R33" s="401"/>
      <c r="S33" s="401"/>
      <c r="T33" s="401"/>
      <c r="U33" s="401"/>
      <c r="V33" s="401"/>
      <c r="W33" s="401"/>
      <c r="X33" s="401"/>
      <c r="Y33" s="401"/>
      <c r="Z33" s="401"/>
      <c r="AA33" s="401"/>
    </row>
    <row r="34">
      <c r="A34" s="397">
        <v>2023.0</v>
      </c>
      <c r="B34" s="397" t="s">
        <v>681</v>
      </c>
      <c r="C34" s="397" t="s">
        <v>1378</v>
      </c>
      <c r="D34" s="397" t="s">
        <v>1415</v>
      </c>
      <c r="E34" s="398">
        <v>2495542.0</v>
      </c>
      <c r="F34" s="399">
        <v>44204.0</v>
      </c>
      <c r="G34" s="399">
        <v>2451338.0</v>
      </c>
      <c r="H34" s="400">
        <v>0.982286813846451</v>
      </c>
      <c r="I34" s="397"/>
      <c r="J34" s="401"/>
      <c r="K34" s="401"/>
      <c r="L34" s="401"/>
      <c r="M34" s="401"/>
      <c r="N34" s="401"/>
      <c r="O34" s="401"/>
      <c r="P34" s="401"/>
      <c r="Q34" s="401"/>
      <c r="R34" s="401"/>
      <c r="S34" s="401"/>
      <c r="T34" s="401"/>
      <c r="U34" s="401"/>
      <c r="V34" s="401"/>
      <c r="W34" s="401"/>
      <c r="X34" s="401"/>
      <c r="Y34" s="401"/>
      <c r="Z34" s="401"/>
      <c r="AA34" s="401"/>
    </row>
    <row r="35">
      <c r="A35" s="397">
        <v>2023.0</v>
      </c>
      <c r="B35" s="397" t="s">
        <v>681</v>
      </c>
      <c r="C35" s="397" t="s">
        <v>1378</v>
      </c>
      <c r="D35" s="397" t="s">
        <v>1416</v>
      </c>
      <c r="E35" s="398">
        <v>2896895.0</v>
      </c>
      <c r="F35" s="399">
        <v>1500000.0</v>
      </c>
      <c r="G35" s="399">
        <v>1396895.0</v>
      </c>
      <c r="H35" s="400">
        <v>0.48220422210677294</v>
      </c>
      <c r="I35" s="398">
        <v>1500000.0</v>
      </c>
      <c r="J35" s="401"/>
      <c r="K35" s="401"/>
      <c r="L35" s="401"/>
      <c r="M35" s="401"/>
      <c r="N35" s="401"/>
      <c r="O35" s="401"/>
      <c r="P35" s="401"/>
      <c r="Q35" s="401"/>
      <c r="R35" s="401"/>
      <c r="S35" s="401"/>
      <c r="T35" s="401"/>
      <c r="U35" s="401"/>
      <c r="V35" s="401"/>
      <c r="W35" s="401"/>
      <c r="X35" s="401"/>
      <c r="Y35" s="401"/>
      <c r="Z35" s="401"/>
      <c r="AA35" s="401"/>
    </row>
    <row r="36">
      <c r="A36" s="397">
        <v>2023.0</v>
      </c>
      <c r="B36" s="397" t="s">
        <v>556</v>
      </c>
      <c r="C36" s="397" t="s">
        <v>1376</v>
      </c>
      <c r="D36" s="397" t="s">
        <v>1417</v>
      </c>
      <c r="E36" s="398">
        <v>1824425.0</v>
      </c>
      <c r="F36" s="399">
        <v>1786766.0</v>
      </c>
      <c r="G36" s="399">
        <v>37659.0</v>
      </c>
      <c r="H36" s="400">
        <v>0.02064157200213766</v>
      </c>
      <c r="I36" s="401"/>
      <c r="J36" s="401"/>
      <c r="K36" s="401"/>
      <c r="L36" s="401"/>
      <c r="M36" s="401"/>
      <c r="N36" s="401"/>
      <c r="O36" s="401"/>
      <c r="P36" s="401"/>
      <c r="Q36" s="401"/>
      <c r="R36" s="401"/>
      <c r="S36" s="401"/>
      <c r="T36" s="401"/>
      <c r="U36" s="401"/>
      <c r="V36" s="401"/>
      <c r="W36" s="401"/>
      <c r="X36" s="401"/>
      <c r="Y36" s="401"/>
      <c r="Z36" s="401"/>
      <c r="AA36" s="401"/>
    </row>
    <row r="37">
      <c r="A37" s="397">
        <v>2023.0</v>
      </c>
      <c r="B37" s="397" t="s">
        <v>77</v>
      </c>
      <c r="C37" s="397" t="s">
        <v>1372</v>
      </c>
      <c r="D37" s="397" t="s">
        <v>1372</v>
      </c>
      <c r="E37" s="398">
        <v>3.7040243E7</v>
      </c>
      <c r="F37" s="399">
        <v>7282938.0</v>
      </c>
      <c r="G37" s="399">
        <v>2.9757305E7</v>
      </c>
      <c r="H37" s="400">
        <v>0.8033776938234449</v>
      </c>
      <c r="I37" s="401"/>
      <c r="J37" s="401"/>
      <c r="K37" s="401"/>
      <c r="L37" s="401"/>
      <c r="M37" s="401"/>
      <c r="N37" s="401"/>
      <c r="O37" s="401"/>
      <c r="P37" s="401"/>
      <c r="Q37" s="401"/>
      <c r="R37" s="401"/>
      <c r="S37" s="401"/>
      <c r="T37" s="401"/>
      <c r="U37" s="401"/>
      <c r="V37" s="401"/>
      <c r="W37" s="401"/>
      <c r="X37" s="401"/>
      <c r="Y37" s="401"/>
      <c r="Z37" s="401"/>
      <c r="AA37" s="401"/>
    </row>
    <row r="38">
      <c r="A38" s="397">
        <v>2023.0</v>
      </c>
      <c r="B38" s="397" t="s">
        <v>1418</v>
      </c>
      <c r="C38" s="397" t="s">
        <v>1376</v>
      </c>
      <c r="D38" s="397" t="s">
        <v>1376</v>
      </c>
      <c r="E38" s="398">
        <v>1203839.0</v>
      </c>
      <c r="F38" s="399">
        <v>676808.0</v>
      </c>
      <c r="G38" s="399">
        <v>527031.0</v>
      </c>
      <c r="H38" s="400">
        <v>0.43779193064853356</v>
      </c>
      <c r="I38" s="401"/>
      <c r="J38" s="401"/>
      <c r="K38" s="401"/>
      <c r="L38" s="401"/>
      <c r="M38" s="401"/>
      <c r="N38" s="401"/>
      <c r="O38" s="401"/>
      <c r="P38" s="401"/>
      <c r="Q38" s="401"/>
      <c r="R38" s="401"/>
      <c r="S38" s="401"/>
      <c r="T38" s="401"/>
      <c r="U38" s="401"/>
      <c r="V38" s="401"/>
      <c r="W38" s="401"/>
      <c r="X38" s="401"/>
      <c r="Y38" s="401"/>
      <c r="Z38" s="401"/>
      <c r="AA38" s="401"/>
    </row>
    <row r="39">
      <c r="A39" s="397">
        <v>2023.0</v>
      </c>
      <c r="B39" s="397" t="s">
        <v>1006</v>
      </c>
      <c r="C39" s="397" t="s">
        <v>1376</v>
      </c>
      <c r="D39" s="397" t="s">
        <v>1408</v>
      </c>
      <c r="E39" s="398">
        <v>-592224.0</v>
      </c>
      <c r="F39" s="399">
        <v>374706.0</v>
      </c>
      <c r="G39" s="399">
        <v>-966930.0</v>
      </c>
      <c r="H39" s="400">
        <v>1.632709920570595</v>
      </c>
      <c r="I39" s="401"/>
      <c r="J39" s="401"/>
      <c r="K39" s="401"/>
      <c r="L39" s="401"/>
      <c r="M39" s="401"/>
      <c r="N39" s="401"/>
      <c r="O39" s="401"/>
      <c r="P39" s="401"/>
      <c r="Q39" s="401"/>
      <c r="R39" s="401"/>
      <c r="S39" s="401"/>
      <c r="T39" s="401"/>
      <c r="U39" s="401"/>
      <c r="V39" s="401"/>
      <c r="W39" s="401"/>
      <c r="X39" s="401"/>
      <c r="Y39" s="401"/>
      <c r="Z39" s="401"/>
      <c r="AA39" s="401"/>
    </row>
    <row r="40">
      <c r="A40" s="397">
        <v>2023.0</v>
      </c>
      <c r="B40" s="397" t="s">
        <v>661</v>
      </c>
      <c r="C40" s="397" t="s">
        <v>1378</v>
      </c>
      <c r="D40" s="397" t="s">
        <v>1419</v>
      </c>
      <c r="E40" s="398">
        <v>2000000.0</v>
      </c>
      <c r="F40" s="399">
        <v>2000000.0</v>
      </c>
      <c r="G40" s="399"/>
      <c r="H40" s="400">
        <v>0.0</v>
      </c>
      <c r="I40" s="401"/>
      <c r="J40" s="401"/>
      <c r="K40" s="401"/>
      <c r="L40" s="401"/>
      <c r="M40" s="401"/>
      <c r="N40" s="401"/>
      <c r="O40" s="401"/>
      <c r="P40" s="401"/>
      <c r="Q40" s="401"/>
      <c r="R40" s="401"/>
      <c r="S40" s="401"/>
      <c r="T40" s="401"/>
      <c r="U40" s="401"/>
      <c r="V40" s="401"/>
      <c r="W40" s="401"/>
      <c r="X40" s="401"/>
      <c r="Y40" s="401"/>
      <c r="Z40" s="401"/>
      <c r="AA40" s="401"/>
    </row>
    <row r="41">
      <c r="A41" s="397">
        <v>2023.0</v>
      </c>
      <c r="B41" s="397" t="s">
        <v>1400</v>
      </c>
      <c r="C41" s="397" t="s">
        <v>1376</v>
      </c>
      <c r="D41" s="397" t="s">
        <v>1376</v>
      </c>
      <c r="E41" s="398">
        <v>-101133.0</v>
      </c>
      <c r="F41" s="399">
        <v>964.0</v>
      </c>
      <c r="G41" s="399">
        <v>-102097.0</v>
      </c>
      <c r="H41" s="400">
        <v>1.0095320024126646</v>
      </c>
      <c r="I41" s="401"/>
      <c r="J41" s="401"/>
      <c r="K41" s="401"/>
      <c r="L41" s="401"/>
      <c r="M41" s="401"/>
      <c r="N41" s="401"/>
      <c r="O41" s="401"/>
      <c r="P41" s="401"/>
      <c r="Q41" s="401"/>
      <c r="R41" s="401"/>
      <c r="S41" s="401"/>
      <c r="T41" s="401"/>
      <c r="U41" s="401"/>
      <c r="V41" s="401"/>
      <c r="W41" s="401"/>
      <c r="X41" s="401"/>
      <c r="Y41" s="401"/>
      <c r="Z41" s="401"/>
      <c r="AA41" s="401"/>
    </row>
    <row r="42">
      <c r="A42" s="397">
        <v>2023.0</v>
      </c>
      <c r="B42" s="397" t="s">
        <v>75</v>
      </c>
      <c r="C42" s="397" t="s">
        <v>1375</v>
      </c>
      <c r="D42" s="397" t="s">
        <v>1420</v>
      </c>
      <c r="E42" s="398">
        <v>154365.0</v>
      </c>
      <c r="F42" s="399">
        <v>154365.0</v>
      </c>
      <c r="G42" s="399">
        <v>0.0</v>
      </c>
      <c r="H42" s="400">
        <v>0.0</v>
      </c>
      <c r="I42" s="401"/>
      <c r="J42" s="401"/>
      <c r="K42" s="401"/>
      <c r="L42" s="401"/>
      <c r="M42" s="401"/>
      <c r="N42" s="401"/>
      <c r="O42" s="401"/>
      <c r="P42" s="401"/>
      <c r="Q42" s="401"/>
      <c r="R42" s="401"/>
      <c r="S42" s="401"/>
      <c r="T42" s="401"/>
      <c r="U42" s="401"/>
      <c r="V42" s="401"/>
      <c r="W42" s="401"/>
      <c r="X42" s="401"/>
      <c r="Y42" s="401"/>
      <c r="Z42" s="401"/>
      <c r="AA42" s="401"/>
    </row>
    <row r="43">
      <c r="A43" s="397">
        <v>2023.0</v>
      </c>
      <c r="B43" s="397" t="s">
        <v>78</v>
      </c>
      <c r="C43" s="397" t="s">
        <v>1372</v>
      </c>
      <c r="D43" s="397" t="s">
        <v>1372</v>
      </c>
      <c r="E43" s="398">
        <v>5422638.0</v>
      </c>
      <c r="F43" s="399">
        <v>117474.0</v>
      </c>
      <c r="G43" s="399">
        <v>5305164.0</v>
      </c>
      <c r="H43" s="400">
        <v>0.9783363742886765</v>
      </c>
      <c r="I43" s="401"/>
      <c r="J43" s="401"/>
      <c r="K43" s="401"/>
      <c r="L43" s="401"/>
      <c r="M43" s="401"/>
      <c r="N43" s="401"/>
      <c r="O43" s="401"/>
      <c r="P43" s="401"/>
      <c r="Q43" s="401"/>
      <c r="R43" s="401"/>
      <c r="S43" s="401"/>
      <c r="T43" s="401"/>
      <c r="U43" s="401"/>
      <c r="V43" s="401"/>
      <c r="W43" s="401"/>
      <c r="X43" s="401"/>
      <c r="Y43" s="401"/>
      <c r="Z43" s="401"/>
      <c r="AA43" s="401"/>
    </row>
    <row r="44">
      <c r="A44" s="397">
        <v>2023.0</v>
      </c>
      <c r="B44" s="397" t="s">
        <v>78</v>
      </c>
      <c r="C44" s="397" t="s">
        <v>1372</v>
      </c>
      <c r="D44" s="397" t="s">
        <v>1421</v>
      </c>
      <c r="E44" s="398">
        <v>2816911.0</v>
      </c>
      <c r="F44" s="399">
        <v>2816912.0</v>
      </c>
      <c r="G44" s="399">
        <v>-1.0</v>
      </c>
      <c r="H44" s="400">
        <v>-3.5499879122911585E-7</v>
      </c>
      <c r="I44" s="401"/>
      <c r="J44" s="401"/>
      <c r="K44" s="401"/>
      <c r="L44" s="401"/>
      <c r="M44" s="401"/>
      <c r="N44" s="401"/>
      <c r="O44" s="401"/>
      <c r="P44" s="401"/>
      <c r="Q44" s="401"/>
      <c r="R44" s="401"/>
      <c r="S44" s="401"/>
      <c r="T44" s="401"/>
      <c r="U44" s="401"/>
      <c r="V44" s="401"/>
      <c r="W44" s="401"/>
      <c r="X44" s="401"/>
      <c r="Y44" s="401"/>
      <c r="Z44" s="401"/>
      <c r="AA44" s="401"/>
    </row>
    <row r="45">
      <c r="A45" s="397">
        <v>2023.0</v>
      </c>
      <c r="B45" s="397" t="s">
        <v>78</v>
      </c>
      <c r="C45" s="397" t="s">
        <v>1372</v>
      </c>
      <c r="D45" s="397" t="s">
        <v>1414</v>
      </c>
      <c r="E45" s="398">
        <v>1800262.0</v>
      </c>
      <c r="F45" s="399">
        <v>48327.0</v>
      </c>
      <c r="G45" s="399">
        <v>1751935.0</v>
      </c>
      <c r="H45" s="400">
        <v>0.9731555740220035</v>
      </c>
      <c r="I45" s="401"/>
      <c r="J45" s="401"/>
      <c r="K45" s="401"/>
      <c r="L45" s="401"/>
      <c r="M45" s="401"/>
      <c r="N45" s="401"/>
      <c r="O45" s="401"/>
      <c r="P45" s="401"/>
      <c r="Q45" s="401"/>
      <c r="R45" s="401"/>
      <c r="S45" s="401"/>
      <c r="T45" s="401"/>
      <c r="U45" s="401"/>
      <c r="V45" s="401"/>
      <c r="W45" s="401"/>
      <c r="X45" s="401"/>
      <c r="Y45" s="401"/>
      <c r="Z45" s="401"/>
      <c r="AA45" s="401"/>
    </row>
    <row r="46">
      <c r="A46" s="397">
        <v>2022.0</v>
      </c>
      <c r="B46" s="403" t="s">
        <v>527</v>
      </c>
      <c r="C46" s="397" t="s">
        <v>1372</v>
      </c>
      <c r="D46" s="403" t="s">
        <v>1372</v>
      </c>
      <c r="E46" s="399">
        <v>1.480926E7</v>
      </c>
      <c r="F46" s="398">
        <v>0.0</v>
      </c>
      <c r="G46" s="399">
        <v>1.480926E7</v>
      </c>
      <c r="H46" s="400">
        <v>1.0</v>
      </c>
      <c r="I46" s="401"/>
      <c r="J46" s="401"/>
      <c r="K46" s="401"/>
      <c r="L46" s="401"/>
      <c r="M46" s="401"/>
      <c r="N46" s="401"/>
      <c r="O46" s="401"/>
      <c r="P46" s="401"/>
      <c r="Q46" s="401"/>
      <c r="R46" s="401"/>
      <c r="S46" s="401"/>
      <c r="T46" s="401"/>
      <c r="U46" s="401"/>
      <c r="V46" s="401"/>
      <c r="W46" s="401"/>
      <c r="X46" s="401"/>
      <c r="Y46" s="401"/>
      <c r="Z46" s="401"/>
      <c r="AA46" s="401"/>
    </row>
    <row r="47">
      <c r="A47" s="397">
        <v>2022.0</v>
      </c>
      <c r="B47" s="397" t="s">
        <v>527</v>
      </c>
      <c r="C47" s="397" t="s">
        <v>1375</v>
      </c>
      <c r="D47" s="397" t="s">
        <v>1375</v>
      </c>
      <c r="E47" s="398">
        <v>1.1936667E7</v>
      </c>
      <c r="F47" s="399">
        <v>8936667.0</v>
      </c>
      <c r="G47" s="399">
        <v>3000000.0</v>
      </c>
      <c r="H47" s="400">
        <v>0.25132643810872835</v>
      </c>
      <c r="I47" s="401"/>
      <c r="J47" s="401"/>
      <c r="K47" s="401"/>
      <c r="L47" s="401"/>
      <c r="M47" s="401"/>
      <c r="N47" s="401"/>
      <c r="O47" s="401"/>
      <c r="P47" s="401"/>
      <c r="Q47" s="401"/>
      <c r="R47" s="401"/>
      <c r="S47" s="401"/>
      <c r="T47" s="401"/>
      <c r="U47" s="401"/>
      <c r="V47" s="401"/>
      <c r="W47" s="401"/>
      <c r="X47" s="401"/>
      <c r="Y47" s="401"/>
      <c r="Z47" s="401"/>
      <c r="AA47" s="401"/>
    </row>
    <row r="48">
      <c r="A48" s="397">
        <v>2022.0</v>
      </c>
      <c r="B48" s="397" t="s">
        <v>527</v>
      </c>
      <c r="C48" s="397" t="s">
        <v>1378</v>
      </c>
      <c r="D48" s="397" t="s">
        <v>1412</v>
      </c>
      <c r="E48" s="398">
        <v>4977817.0</v>
      </c>
      <c r="F48" s="398">
        <v>3877817.0</v>
      </c>
      <c r="G48" s="398">
        <v>1100000.0</v>
      </c>
      <c r="H48" s="400">
        <v>0.22098040164996022</v>
      </c>
      <c r="I48" s="398">
        <v>5329122.0</v>
      </c>
      <c r="J48" s="401"/>
      <c r="K48" s="401"/>
      <c r="L48" s="401"/>
      <c r="M48" s="401"/>
      <c r="N48" s="401"/>
      <c r="O48" s="401"/>
      <c r="P48" s="401"/>
      <c r="Q48" s="401"/>
      <c r="R48" s="401"/>
      <c r="S48" s="401"/>
      <c r="T48" s="401"/>
      <c r="U48" s="401"/>
      <c r="V48" s="401"/>
      <c r="W48" s="401"/>
      <c r="X48" s="401"/>
      <c r="Y48" s="401"/>
      <c r="Z48" s="401"/>
      <c r="AA48" s="401"/>
    </row>
    <row r="49">
      <c r="A49" s="397">
        <v>2022.0</v>
      </c>
      <c r="B49" s="397" t="s">
        <v>1400</v>
      </c>
      <c r="C49" s="397" t="s">
        <v>1376</v>
      </c>
      <c r="D49" s="397" t="s">
        <v>1376</v>
      </c>
      <c r="E49" s="398">
        <v>-2587566.0</v>
      </c>
      <c r="F49" s="398">
        <v>0.0</v>
      </c>
      <c r="G49" s="399">
        <v>-2587566.0</v>
      </c>
      <c r="H49" s="400">
        <v>1.0</v>
      </c>
      <c r="I49" s="401"/>
      <c r="J49" s="401"/>
      <c r="K49" s="401"/>
      <c r="L49" s="401"/>
      <c r="M49" s="401"/>
      <c r="N49" s="401"/>
      <c r="O49" s="401"/>
      <c r="P49" s="401"/>
      <c r="Q49" s="401"/>
      <c r="R49" s="401"/>
      <c r="S49" s="401"/>
      <c r="T49" s="401"/>
      <c r="U49" s="401"/>
      <c r="V49" s="401"/>
      <c r="W49" s="401"/>
      <c r="X49" s="401"/>
      <c r="Y49" s="401"/>
      <c r="Z49" s="401"/>
      <c r="AA49" s="401"/>
    </row>
    <row r="50">
      <c r="A50" s="397">
        <v>2022.0</v>
      </c>
      <c r="B50" s="397" t="s">
        <v>1407</v>
      </c>
      <c r="C50" s="397" t="s">
        <v>1376</v>
      </c>
      <c r="D50" s="397" t="s">
        <v>1422</v>
      </c>
      <c r="E50" s="398">
        <v>6658747.0</v>
      </c>
      <c r="F50" s="399">
        <v>6620489.0</v>
      </c>
      <c r="G50" s="399">
        <v>38258.0</v>
      </c>
      <c r="H50" s="400">
        <v>0.005745525396895242</v>
      </c>
      <c r="I50" s="401"/>
      <c r="J50" s="401"/>
      <c r="K50" s="401"/>
      <c r="L50" s="401"/>
      <c r="M50" s="401"/>
      <c r="N50" s="401"/>
      <c r="O50" s="401"/>
      <c r="P50" s="401"/>
      <c r="Q50" s="401"/>
      <c r="R50" s="401"/>
      <c r="S50" s="401"/>
      <c r="T50" s="401"/>
      <c r="U50" s="401"/>
      <c r="V50" s="401"/>
      <c r="W50" s="401"/>
      <c r="X50" s="401"/>
      <c r="Y50" s="401"/>
      <c r="Z50" s="401"/>
      <c r="AA50" s="401"/>
    </row>
    <row r="51">
      <c r="A51" s="397">
        <v>2022.0</v>
      </c>
      <c r="B51" s="397" t="s">
        <v>1407</v>
      </c>
      <c r="C51" s="397" t="s">
        <v>1372</v>
      </c>
      <c r="D51" s="397" t="s">
        <v>1423</v>
      </c>
      <c r="E51" s="398">
        <v>2938670.0</v>
      </c>
      <c r="F51" s="399">
        <v>49997.0</v>
      </c>
      <c r="G51" s="399">
        <v>2888673.0</v>
      </c>
      <c r="H51" s="400">
        <v>0.9829865211132928</v>
      </c>
      <c r="I51" s="397"/>
      <c r="J51" s="401"/>
      <c r="K51" s="401"/>
      <c r="L51" s="401"/>
      <c r="M51" s="401"/>
      <c r="N51" s="401"/>
      <c r="O51" s="401"/>
      <c r="P51" s="401"/>
      <c r="Q51" s="401"/>
      <c r="R51" s="401"/>
      <c r="S51" s="401"/>
      <c r="T51" s="401"/>
      <c r="U51" s="401"/>
      <c r="V51" s="401"/>
      <c r="W51" s="401"/>
      <c r="X51" s="401"/>
      <c r="Y51" s="401"/>
      <c r="Z51" s="401"/>
      <c r="AA51" s="401"/>
    </row>
    <row r="52">
      <c r="A52" s="397">
        <v>2022.0</v>
      </c>
      <c r="B52" s="397" t="s">
        <v>1407</v>
      </c>
      <c r="C52" s="397" t="s">
        <v>1372</v>
      </c>
      <c r="D52" s="397" t="s">
        <v>1410</v>
      </c>
      <c r="E52" s="399">
        <v>1.088718E7</v>
      </c>
      <c r="F52" s="398">
        <v>3045000.0</v>
      </c>
      <c r="G52" s="398">
        <v>7842180.0</v>
      </c>
      <c r="H52" s="400">
        <v>0.7203132491609398</v>
      </c>
      <c r="I52" s="398">
        <v>3045000.0</v>
      </c>
      <c r="J52" s="401"/>
      <c r="K52" s="401"/>
      <c r="L52" s="401"/>
      <c r="M52" s="401"/>
      <c r="N52" s="401"/>
      <c r="O52" s="401"/>
      <c r="P52" s="401"/>
      <c r="Q52" s="401"/>
      <c r="R52" s="401"/>
      <c r="S52" s="401"/>
      <c r="T52" s="401"/>
      <c r="U52" s="401"/>
      <c r="V52" s="401"/>
      <c r="W52" s="401"/>
      <c r="X52" s="401"/>
      <c r="Y52" s="401"/>
      <c r="Z52" s="401"/>
      <c r="AA52" s="401"/>
    </row>
    <row r="53">
      <c r="A53" s="397">
        <v>2022.0</v>
      </c>
      <c r="B53" s="397" t="s">
        <v>1401</v>
      </c>
      <c r="C53" s="397" t="s">
        <v>1377</v>
      </c>
      <c r="D53" s="397" t="s">
        <v>1377</v>
      </c>
      <c r="E53" s="398">
        <v>914363.0</v>
      </c>
      <c r="F53" s="399">
        <v>86394.0</v>
      </c>
      <c r="G53" s="399">
        <v>827969.0</v>
      </c>
      <c r="H53" s="400">
        <v>0.9055145494732398</v>
      </c>
      <c r="I53" s="401"/>
      <c r="J53" s="401"/>
      <c r="K53" s="401"/>
      <c r="L53" s="401"/>
      <c r="M53" s="401"/>
      <c r="N53" s="401"/>
      <c r="O53" s="401"/>
      <c r="P53" s="401"/>
      <c r="Q53" s="401"/>
      <c r="R53" s="401"/>
      <c r="S53" s="401"/>
      <c r="T53" s="401"/>
      <c r="U53" s="401"/>
      <c r="V53" s="401"/>
      <c r="W53" s="401"/>
      <c r="X53" s="401"/>
      <c r="Y53" s="401"/>
      <c r="Z53" s="401"/>
      <c r="AA53" s="401"/>
    </row>
    <row r="54">
      <c r="A54" s="397">
        <v>2022.0</v>
      </c>
      <c r="B54" s="397" t="s">
        <v>77</v>
      </c>
      <c r="C54" s="397" t="s">
        <v>1372</v>
      </c>
      <c r="D54" s="397" t="s">
        <v>1372</v>
      </c>
      <c r="E54" s="398">
        <v>2.7208357E7</v>
      </c>
      <c r="F54" s="399">
        <v>1479278.0</v>
      </c>
      <c r="G54" s="399">
        <v>2.5729079E7</v>
      </c>
      <c r="H54" s="400">
        <v>0.9456314837386175</v>
      </c>
      <c r="I54" s="401"/>
      <c r="J54" s="401"/>
      <c r="K54" s="401"/>
      <c r="L54" s="401"/>
      <c r="M54" s="401"/>
      <c r="N54" s="401"/>
      <c r="O54" s="401"/>
      <c r="P54" s="401"/>
      <c r="Q54" s="401"/>
      <c r="R54" s="401"/>
      <c r="S54" s="401"/>
      <c r="T54" s="401"/>
      <c r="U54" s="401"/>
      <c r="V54" s="401"/>
      <c r="W54" s="401"/>
      <c r="X54" s="401"/>
      <c r="Y54" s="401"/>
      <c r="Z54" s="401"/>
      <c r="AA54" s="401"/>
    </row>
    <row r="55">
      <c r="A55" s="397">
        <v>2022.0</v>
      </c>
      <c r="B55" s="397" t="s">
        <v>76</v>
      </c>
      <c r="C55" s="397" t="s">
        <v>1376</v>
      </c>
      <c r="D55" s="397" t="s">
        <v>1376</v>
      </c>
      <c r="E55" s="398">
        <v>625000.0</v>
      </c>
      <c r="F55" s="399">
        <v>0.0</v>
      </c>
      <c r="G55" s="399">
        <v>625000.0</v>
      </c>
      <c r="H55" s="400">
        <v>1.0</v>
      </c>
      <c r="I55" s="401"/>
      <c r="J55" s="401"/>
      <c r="K55" s="401"/>
      <c r="L55" s="401"/>
      <c r="M55" s="401"/>
      <c r="N55" s="401"/>
      <c r="O55" s="401"/>
      <c r="P55" s="401"/>
      <c r="Q55" s="401"/>
      <c r="R55" s="401"/>
      <c r="S55" s="401"/>
      <c r="T55" s="401"/>
      <c r="U55" s="401"/>
      <c r="V55" s="401"/>
      <c r="W55" s="401"/>
      <c r="X55" s="401"/>
      <c r="Y55" s="401"/>
      <c r="Z55" s="401"/>
      <c r="AA55" s="401"/>
    </row>
    <row r="56">
      <c r="A56" s="397">
        <v>2022.0</v>
      </c>
      <c r="B56" s="397" t="s">
        <v>614</v>
      </c>
      <c r="C56" s="397" t="s">
        <v>1376</v>
      </c>
      <c r="D56" s="397" t="s">
        <v>1399</v>
      </c>
      <c r="E56" s="398">
        <v>3500892.0</v>
      </c>
      <c r="F56" s="399">
        <v>2500892.0</v>
      </c>
      <c r="G56" s="398">
        <v>1000000.0</v>
      </c>
      <c r="H56" s="400">
        <v>0.28564148794078764</v>
      </c>
      <c r="I56" s="398">
        <v>2500000.0</v>
      </c>
      <c r="J56" s="401"/>
      <c r="K56" s="401"/>
      <c r="L56" s="401"/>
      <c r="M56" s="401"/>
      <c r="N56" s="401"/>
      <c r="O56" s="401"/>
      <c r="P56" s="401"/>
      <c r="Q56" s="401"/>
      <c r="R56" s="401"/>
      <c r="S56" s="401"/>
      <c r="T56" s="401"/>
      <c r="U56" s="401"/>
      <c r="V56" s="401"/>
      <c r="W56" s="401"/>
      <c r="X56" s="401"/>
      <c r="Y56" s="401"/>
      <c r="Z56" s="401"/>
      <c r="AA56" s="401"/>
    </row>
    <row r="57">
      <c r="A57" s="397">
        <v>2022.0</v>
      </c>
      <c r="B57" s="397" t="s">
        <v>1403</v>
      </c>
      <c r="C57" s="397" t="s">
        <v>1379</v>
      </c>
      <c r="D57" s="397" t="s">
        <v>1404</v>
      </c>
      <c r="E57" s="398">
        <v>7.7236561E7</v>
      </c>
      <c r="F57" s="399">
        <v>6.0317231E7</v>
      </c>
      <c r="G57" s="398">
        <v>1.691933E7</v>
      </c>
      <c r="H57" s="400">
        <v>0.21905856217497824</v>
      </c>
      <c r="I57" s="401"/>
      <c r="J57" s="401"/>
      <c r="K57" s="401"/>
      <c r="L57" s="401"/>
      <c r="M57" s="401"/>
      <c r="N57" s="401"/>
      <c r="O57" s="401"/>
      <c r="P57" s="401"/>
      <c r="Q57" s="401"/>
      <c r="R57" s="401"/>
      <c r="S57" s="401"/>
      <c r="T57" s="401"/>
      <c r="U57" s="401"/>
      <c r="V57" s="401"/>
      <c r="W57" s="401"/>
      <c r="X57" s="401"/>
      <c r="Y57" s="401"/>
      <c r="Z57" s="401"/>
      <c r="AA57" s="401"/>
    </row>
    <row r="58">
      <c r="A58" s="397">
        <v>2022.0</v>
      </c>
      <c r="B58" s="397" t="s">
        <v>336</v>
      </c>
      <c r="C58" s="397" t="s">
        <v>1378</v>
      </c>
      <c r="D58" s="397" t="s">
        <v>1419</v>
      </c>
      <c r="E58" s="398">
        <v>257000.0</v>
      </c>
      <c r="F58" s="399">
        <v>0.0</v>
      </c>
      <c r="G58" s="399">
        <v>257000.0</v>
      </c>
      <c r="H58" s="400">
        <v>1.0</v>
      </c>
      <c r="I58" s="401"/>
      <c r="J58" s="401"/>
      <c r="K58" s="401"/>
      <c r="L58" s="401"/>
      <c r="M58" s="401"/>
      <c r="N58" s="401"/>
      <c r="O58" s="401"/>
      <c r="P58" s="401"/>
      <c r="Q58" s="401"/>
      <c r="R58" s="401"/>
      <c r="S58" s="401"/>
      <c r="T58" s="401"/>
      <c r="U58" s="401"/>
      <c r="V58" s="401"/>
      <c r="W58" s="401"/>
      <c r="X58" s="401"/>
      <c r="Y58" s="401"/>
      <c r="Z58" s="401"/>
      <c r="AA58" s="401"/>
    </row>
    <row r="59">
      <c r="A59" s="397">
        <v>2022.0</v>
      </c>
      <c r="B59" s="397" t="s">
        <v>75</v>
      </c>
      <c r="C59" s="397" t="s">
        <v>1372</v>
      </c>
      <c r="D59" s="397" t="s">
        <v>1372</v>
      </c>
      <c r="E59" s="398">
        <v>4032697.0</v>
      </c>
      <c r="F59" s="399">
        <v>4846779.0</v>
      </c>
      <c r="G59" s="399">
        <v>-814082.0</v>
      </c>
      <c r="H59" s="400">
        <v>-0.2018703611999612</v>
      </c>
      <c r="I59" s="401"/>
      <c r="J59" s="401"/>
      <c r="K59" s="401"/>
      <c r="L59" s="401"/>
      <c r="M59" s="401"/>
      <c r="N59" s="401"/>
      <c r="O59" s="401"/>
      <c r="P59" s="401"/>
      <c r="Q59" s="401"/>
      <c r="R59" s="401"/>
      <c r="S59" s="401"/>
      <c r="T59" s="401"/>
      <c r="U59" s="401"/>
      <c r="V59" s="401"/>
      <c r="W59" s="401"/>
      <c r="X59" s="401"/>
      <c r="Y59" s="401"/>
      <c r="Z59" s="401"/>
      <c r="AA59" s="401"/>
    </row>
    <row r="60">
      <c r="A60" s="397">
        <v>2022.0</v>
      </c>
      <c r="B60" s="397" t="s">
        <v>74</v>
      </c>
      <c r="C60" s="397" t="s">
        <v>1372</v>
      </c>
      <c r="D60" s="397" t="s">
        <v>1372</v>
      </c>
      <c r="E60" s="398">
        <v>2.2280216E7</v>
      </c>
      <c r="F60" s="399">
        <v>1170362.0</v>
      </c>
      <c r="G60" s="399">
        <v>2.1109854E7</v>
      </c>
      <c r="H60" s="400">
        <v>0.9474707965129243</v>
      </c>
      <c r="I60" s="401"/>
      <c r="J60" s="401"/>
      <c r="K60" s="401"/>
      <c r="L60" s="401"/>
      <c r="M60" s="401"/>
      <c r="N60" s="401"/>
      <c r="O60" s="401"/>
      <c r="P60" s="401"/>
      <c r="Q60" s="401"/>
      <c r="R60" s="401"/>
      <c r="S60" s="401"/>
      <c r="T60" s="401"/>
      <c r="U60" s="401"/>
      <c r="V60" s="401"/>
      <c r="W60" s="401"/>
      <c r="X60" s="401"/>
      <c r="Y60" s="401"/>
      <c r="Z60" s="401"/>
      <c r="AA60" s="401"/>
    </row>
    <row r="61">
      <c r="A61" s="397">
        <v>2022.0</v>
      </c>
      <c r="B61" s="397" t="s">
        <v>75</v>
      </c>
      <c r="C61" s="397" t="s">
        <v>1376</v>
      </c>
      <c r="D61" s="397" t="s">
        <v>1376</v>
      </c>
      <c r="E61" s="398">
        <v>2559439.0</v>
      </c>
      <c r="F61" s="399">
        <v>59439.0</v>
      </c>
      <c r="G61" s="399">
        <v>2500000.0</v>
      </c>
      <c r="H61" s="400">
        <v>0.9767765514239644</v>
      </c>
      <c r="I61" s="401"/>
      <c r="J61" s="401"/>
      <c r="K61" s="401"/>
      <c r="L61" s="401"/>
      <c r="M61" s="401"/>
      <c r="N61" s="401"/>
      <c r="O61" s="401"/>
      <c r="P61" s="401"/>
      <c r="Q61" s="401"/>
      <c r="R61" s="401"/>
      <c r="S61" s="401"/>
      <c r="T61" s="401"/>
      <c r="U61" s="401"/>
      <c r="V61" s="401"/>
      <c r="W61" s="401"/>
      <c r="X61" s="401"/>
      <c r="Y61" s="401"/>
      <c r="Z61" s="401"/>
      <c r="AA61" s="401"/>
    </row>
    <row r="62">
      <c r="A62" s="397">
        <v>2022.0</v>
      </c>
      <c r="B62" s="397" t="s">
        <v>75</v>
      </c>
      <c r="C62" s="397" t="s">
        <v>1378</v>
      </c>
      <c r="D62" s="397" t="s">
        <v>1413</v>
      </c>
      <c r="E62" s="398">
        <v>1871015.0</v>
      </c>
      <c r="F62" s="399">
        <v>1871015.0</v>
      </c>
      <c r="G62" s="399">
        <v>0.0</v>
      </c>
      <c r="H62" s="400">
        <v>0.0</v>
      </c>
      <c r="I62" s="397"/>
      <c r="J62" s="401"/>
      <c r="K62" s="401"/>
      <c r="L62" s="401"/>
      <c r="M62" s="401"/>
      <c r="N62" s="401"/>
      <c r="O62" s="401"/>
      <c r="P62" s="401"/>
      <c r="Q62" s="401"/>
      <c r="R62" s="401"/>
      <c r="S62" s="401"/>
      <c r="T62" s="401"/>
      <c r="U62" s="401"/>
      <c r="V62" s="401"/>
      <c r="W62" s="401"/>
      <c r="X62" s="401"/>
      <c r="Y62" s="401"/>
      <c r="Z62" s="401"/>
      <c r="AA62" s="401"/>
    </row>
    <row r="63">
      <c r="A63" s="397">
        <v>2022.0</v>
      </c>
      <c r="B63" s="397" t="s">
        <v>75</v>
      </c>
      <c r="C63" s="397" t="s">
        <v>1375</v>
      </c>
      <c r="D63" s="397" t="s">
        <v>1420</v>
      </c>
      <c r="E63" s="398">
        <v>1256283.0</v>
      </c>
      <c r="F63" s="399">
        <v>636283.0</v>
      </c>
      <c r="G63" s="399">
        <v>620000.0</v>
      </c>
      <c r="H63" s="400">
        <v>0.49351937421743347</v>
      </c>
      <c r="I63" s="398">
        <v>620000.0</v>
      </c>
      <c r="J63" s="401"/>
      <c r="K63" s="401"/>
      <c r="L63" s="401"/>
      <c r="M63" s="401"/>
      <c r="N63" s="401"/>
      <c r="O63" s="401"/>
      <c r="P63" s="401"/>
      <c r="Q63" s="401"/>
      <c r="R63" s="401"/>
      <c r="S63" s="401"/>
      <c r="T63" s="401"/>
      <c r="U63" s="401"/>
      <c r="V63" s="401"/>
      <c r="W63" s="401"/>
      <c r="X63" s="401"/>
      <c r="Y63" s="401"/>
      <c r="Z63" s="401"/>
      <c r="AA63" s="401"/>
    </row>
    <row r="64">
      <c r="A64" s="397">
        <v>2022.0</v>
      </c>
      <c r="B64" s="397" t="s">
        <v>75</v>
      </c>
      <c r="C64" s="397" t="s">
        <v>1375</v>
      </c>
      <c r="D64" s="397" t="s">
        <v>1375</v>
      </c>
      <c r="E64" s="398">
        <v>421408.0</v>
      </c>
      <c r="F64" s="399">
        <v>421408.0</v>
      </c>
      <c r="G64" s="399">
        <v>0.0</v>
      </c>
      <c r="H64" s="400">
        <v>0.0</v>
      </c>
      <c r="I64" s="401"/>
      <c r="J64" s="401"/>
      <c r="K64" s="401"/>
      <c r="L64" s="401"/>
      <c r="M64" s="401"/>
      <c r="N64" s="401"/>
      <c r="O64" s="401"/>
      <c r="P64" s="401"/>
      <c r="Q64" s="401"/>
      <c r="R64" s="401"/>
      <c r="S64" s="401"/>
      <c r="T64" s="401"/>
      <c r="U64" s="401"/>
      <c r="V64" s="401"/>
      <c r="W64" s="401"/>
      <c r="X64" s="401"/>
      <c r="Y64" s="401"/>
      <c r="Z64" s="401"/>
      <c r="AA64" s="401"/>
    </row>
    <row r="65">
      <c r="A65" s="397">
        <v>2022.0</v>
      </c>
      <c r="B65" s="397" t="s">
        <v>527</v>
      </c>
      <c r="C65" s="397" t="s">
        <v>1376</v>
      </c>
      <c r="D65" s="397" t="s">
        <v>1422</v>
      </c>
      <c r="E65" s="398">
        <v>756492.0</v>
      </c>
      <c r="F65" s="399">
        <v>0.0</v>
      </c>
      <c r="G65" s="399">
        <v>756492.0</v>
      </c>
      <c r="H65" s="400">
        <v>1.0</v>
      </c>
      <c r="I65" s="397"/>
      <c r="J65" s="401"/>
      <c r="K65" s="401"/>
      <c r="L65" s="401"/>
      <c r="M65" s="401"/>
      <c r="N65" s="401"/>
      <c r="O65" s="401"/>
      <c r="P65" s="401"/>
      <c r="Q65" s="401"/>
      <c r="R65" s="401"/>
      <c r="S65" s="401"/>
      <c r="T65" s="401"/>
      <c r="U65" s="401"/>
      <c r="V65" s="401"/>
      <c r="W65" s="401"/>
      <c r="X65" s="401"/>
      <c r="Y65" s="401"/>
      <c r="Z65" s="401"/>
      <c r="AA65" s="401"/>
    </row>
    <row r="66">
      <c r="A66" s="397">
        <v>2022.0</v>
      </c>
      <c r="B66" s="397" t="s">
        <v>661</v>
      </c>
      <c r="C66" s="397" t="s">
        <v>1378</v>
      </c>
      <c r="D66" s="397" t="s">
        <v>1419</v>
      </c>
      <c r="E66" s="398">
        <v>250001.0</v>
      </c>
      <c r="F66" s="399">
        <v>250001.0</v>
      </c>
      <c r="G66" s="399">
        <v>0.0</v>
      </c>
      <c r="H66" s="400">
        <v>0.0</v>
      </c>
      <c r="I66" s="401"/>
      <c r="J66" s="401"/>
      <c r="K66" s="401"/>
      <c r="L66" s="401"/>
      <c r="M66" s="401"/>
      <c r="N66" s="401"/>
      <c r="O66" s="401"/>
      <c r="P66" s="401"/>
      <c r="Q66" s="401"/>
      <c r="R66" s="401"/>
      <c r="S66" s="401"/>
      <c r="T66" s="401"/>
      <c r="U66" s="401"/>
      <c r="V66" s="401"/>
      <c r="W66" s="401"/>
      <c r="X66" s="401"/>
      <c r="Y66" s="401"/>
      <c r="Z66" s="401"/>
      <c r="AA66" s="401"/>
    </row>
    <row r="67">
      <c r="A67" s="397">
        <v>2022.0</v>
      </c>
      <c r="B67" s="397" t="s">
        <v>1006</v>
      </c>
      <c r="C67" s="397" t="s">
        <v>1376</v>
      </c>
      <c r="D67" s="397" t="s">
        <v>1408</v>
      </c>
      <c r="E67" s="398">
        <v>5550563.0</v>
      </c>
      <c r="F67" s="399">
        <v>541656.0</v>
      </c>
      <c r="G67" s="399">
        <v>5008907.0</v>
      </c>
      <c r="H67" s="400">
        <v>0.90241422356615</v>
      </c>
      <c r="I67" s="398">
        <v>111938.0</v>
      </c>
      <c r="J67" s="401"/>
      <c r="K67" s="401"/>
      <c r="L67" s="401"/>
      <c r="M67" s="401"/>
      <c r="N67" s="401"/>
      <c r="O67" s="401"/>
      <c r="P67" s="401"/>
      <c r="Q67" s="401"/>
      <c r="R67" s="401"/>
      <c r="S67" s="401"/>
      <c r="T67" s="401"/>
      <c r="U67" s="401"/>
      <c r="V67" s="401"/>
      <c r="W67" s="401"/>
      <c r="X67" s="401"/>
      <c r="Y67" s="401"/>
      <c r="Z67" s="401"/>
      <c r="AA67" s="401"/>
    </row>
    <row r="68">
      <c r="A68" s="397">
        <v>2022.0</v>
      </c>
      <c r="B68" s="397" t="s">
        <v>556</v>
      </c>
      <c r="C68" s="397" t="s">
        <v>1376</v>
      </c>
      <c r="D68" s="397" t="s">
        <v>1417</v>
      </c>
      <c r="E68" s="398">
        <v>2502812.0</v>
      </c>
      <c r="F68" s="399">
        <v>252812.0</v>
      </c>
      <c r="G68" s="399">
        <v>2250000.0</v>
      </c>
      <c r="H68" s="400">
        <v>0.898988817378213</v>
      </c>
      <c r="I68" s="401"/>
      <c r="J68" s="401"/>
      <c r="K68" s="401"/>
      <c r="L68" s="401"/>
      <c r="M68" s="401"/>
      <c r="N68" s="401"/>
      <c r="O68" s="401"/>
      <c r="P68" s="401"/>
      <c r="Q68" s="401"/>
      <c r="R68" s="401"/>
      <c r="S68" s="401"/>
      <c r="T68" s="401"/>
      <c r="U68" s="401"/>
      <c r="V68" s="401"/>
      <c r="W68" s="401"/>
      <c r="X68" s="401"/>
      <c r="Y68" s="401"/>
      <c r="Z68" s="401"/>
      <c r="AA68" s="401"/>
    </row>
    <row r="69">
      <c r="A69" s="397">
        <v>2022.0</v>
      </c>
      <c r="B69" s="397" t="s">
        <v>74</v>
      </c>
      <c r="C69" s="397" t="s">
        <v>1378</v>
      </c>
      <c r="D69" s="397" t="s">
        <v>1424</v>
      </c>
      <c r="E69" s="398">
        <v>464671.0</v>
      </c>
      <c r="F69" s="399">
        <v>464671.0</v>
      </c>
      <c r="G69" s="399">
        <v>0.0</v>
      </c>
      <c r="H69" s="400">
        <v>0.0</v>
      </c>
      <c r="I69" s="401"/>
      <c r="J69" s="401"/>
      <c r="K69" s="401"/>
      <c r="L69" s="401"/>
      <c r="M69" s="401"/>
      <c r="N69" s="401"/>
      <c r="O69" s="401"/>
      <c r="P69" s="401"/>
      <c r="Q69" s="401"/>
      <c r="R69" s="401"/>
      <c r="S69" s="401"/>
      <c r="T69" s="401"/>
      <c r="U69" s="401"/>
      <c r="V69" s="401"/>
      <c r="W69" s="401"/>
      <c r="X69" s="401"/>
      <c r="Y69" s="401"/>
      <c r="Z69" s="401"/>
      <c r="AA69" s="401"/>
    </row>
    <row r="70">
      <c r="A70" s="397">
        <v>2022.0</v>
      </c>
      <c r="B70" s="397" t="s">
        <v>74</v>
      </c>
      <c r="C70" s="397" t="s">
        <v>1378</v>
      </c>
      <c r="D70" s="397" t="s">
        <v>1411</v>
      </c>
      <c r="E70" s="398">
        <v>279636.0</v>
      </c>
      <c r="F70" s="399">
        <v>279636.0</v>
      </c>
      <c r="G70" s="399">
        <v>0.0</v>
      </c>
      <c r="H70" s="400">
        <v>0.0</v>
      </c>
      <c r="I70" s="401"/>
      <c r="J70" s="401"/>
      <c r="K70" s="401"/>
      <c r="L70" s="401"/>
      <c r="M70" s="401"/>
      <c r="N70" s="401"/>
      <c r="O70" s="401"/>
      <c r="P70" s="401"/>
      <c r="Q70" s="401"/>
      <c r="R70" s="401"/>
      <c r="S70" s="401"/>
      <c r="T70" s="401"/>
      <c r="U70" s="401"/>
      <c r="V70" s="401"/>
      <c r="W70" s="401"/>
      <c r="X70" s="401"/>
      <c r="Y70" s="401"/>
      <c r="Z70" s="401"/>
      <c r="AA70" s="401"/>
    </row>
    <row r="71">
      <c r="A71" s="397">
        <v>2022.0</v>
      </c>
      <c r="B71" s="397" t="s">
        <v>76</v>
      </c>
      <c r="C71" s="397" t="s">
        <v>1375</v>
      </c>
      <c r="D71" s="397" t="s">
        <v>1406</v>
      </c>
      <c r="E71" s="398">
        <v>868450.0</v>
      </c>
      <c r="F71" s="399">
        <v>504904.0</v>
      </c>
      <c r="G71" s="398">
        <v>363546.0</v>
      </c>
      <c r="H71" s="400">
        <v>0.4186147734469457</v>
      </c>
      <c r="I71" s="397"/>
      <c r="J71" s="401"/>
      <c r="K71" s="401"/>
      <c r="L71" s="401"/>
      <c r="M71" s="401"/>
      <c r="N71" s="401"/>
      <c r="O71" s="401"/>
      <c r="P71" s="401"/>
      <c r="Q71" s="401"/>
      <c r="R71" s="401"/>
      <c r="S71" s="401"/>
      <c r="T71" s="401"/>
      <c r="U71" s="401"/>
      <c r="V71" s="401"/>
      <c r="W71" s="401"/>
      <c r="X71" s="401"/>
      <c r="Y71" s="401"/>
      <c r="Z71" s="401"/>
      <c r="AA71" s="401"/>
    </row>
    <row r="72">
      <c r="A72" s="397">
        <v>2022.0</v>
      </c>
      <c r="B72" s="397" t="s">
        <v>74</v>
      </c>
      <c r="C72" s="397" t="s">
        <v>1375</v>
      </c>
      <c r="D72" s="397" t="s">
        <v>1375</v>
      </c>
      <c r="E72" s="398">
        <v>-1205581.0</v>
      </c>
      <c r="F72" s="399">
        <v>1562768.0</v>
      </c>
      <c r="G72" s="399">
        <v>-2768349.0</v>
      </c>
      <c r="H72" s="400">
        <v>2.296277894226933</v>
      </c>
      <c r="I72" s="401"/>
      <c r="J72" s="401"/>
      <c r="K72" s="401"/>
      <c r="L72" s="401"/>
      <c r="M72" s="401"/>
      <c r="N72" s="401"/>
      <c r="O72" s="401"/>
      <c r="P72" s="401"/>
      <c r="Q72" s="401"/>
      <c r="R72" s="401"/>
      <c r="S72" s="401"/>
      <c r="T72" s="401"/>
      <c r="U72" s="401"/>
      <c r="V72" s="401"/>
      <c r="W72" s="401"/>
      <c r="X72" s="401"/>
      <c r="Y72" s="401"/>
      <c r="Z72" s="401"/>
      <c r="AA72" s="401"/>
    </row>
    <row r="73">
      <c r="A73" s="397">
        <v>2022.0</v>
      </c>
      <c r="B73" s="397" t="s">
        <v>1400</v>
      </c>
      <c r="C73" s="397" t="s">
        <v>1402</v>
      </c>
      <c r="D73" s="397" t="s">
        <v>1402</v>
      </c>
      <c r="E73" s="398">
        <v>643059.0</v>
      </c>
      <c r="F73" s="398">
        <v>643059.0</v>
      </c>
      <c r="G73" s="399">
        <v>0.0</v>
      </c>
      <c r="H73" s="400">
        <v>0.0</v>
      </c>
      <c r="I73" s="401"/>
      <c r="J73" s="401"/>
      <c r="K73" s="401"/>
      <c r="L73" s="401"/>
      <c r="M73" s="401"/>
      <c r="N73" s="401"/>
      <c r="O73" s="401"/>
      <c r="P73" s="401"/>
      <c r="Q73" s="401"/>
      <c r="R73" s="401"/>
      <c r="S73" s="401"/>
      <c r="T73" s="401"/>
      <c r="U73" s="401"/>
      <c r="V73" s="401"/>
      <c r="W73" s="401"/>
      <c r="X73" s="401"/>
      <c r="Y73" s="401"/>
      <c r="Z73" s="401"/>
      <c r="AA73" s="401"/>
    </row>
    <row r="74">
      <c r="A74" s="397">
        <v>2022.0</v>
      </c>
      <c r="B74" s="397" t="s">
        <v>681</v>
      </c>
      <c r="C74" s="397" t="s">
        <v>1378</v>
      </c>
      <c r="D74" s="397" t="s">
        <v>1415</v>
      </c>
      <c r="E74" s="398">
        <v>7272340.0</v>
      </c>
      <c r="F74" s="399">
        <v>2407022.0</v>
      </c>
      <c r="G74" s="399">
        <v>4865318.0</v>
      </c>
      <c r="H74" s="400">
        <v>0.6690168501472703</v>
      </c>
      <c r="I74" s="398">
        <v>2000000.0</v>
      </c>
      <c r="J74" s="401"/>
      <c r="K74" s="401"/>
      <c r="L74" s="401"/>
      <c r="M74" s="401"/>
      <c r="N74" s="401"/>
      <c r="O74" s="401"/>
      <c r="P74" s="401"/>
      <c r="Q74" s="401"/>
      <c r="R74" s="401"/>
      <c r="S74" s="401"/>
      <c r="T74" s="401"/>
      <c r="U74" s="401"/>
      <c r="V74" s="401"/>
      <c r="W74" s="401"/>
      <c r="X74" s="401"/>
      <c r="Y74" s="401"/>
      <c r="Z74" s="401"/>
      <c r="AA74" s="401"/>
    </row>
    <row r="75">
      <c r="A75" s="397">
        <v>2022.0</v>
      </c>
      <c r="B75" s="397" t="s">
        <v>78</v>
      </c>
      <c r="C75" s="397" t="s">
        <v>1372</v>
      </c>
      <c r="D75" s="397" t="s">
        <v>1421</v>
      </c>
      <c r="E75" s="398">
        <v>473695.0</v>
      </c>
      <c r="F75" s="399">
        <v>344671.0</v>
      </c>
      <c r="G75" s="399">
        <v>129024.0</v>
      </c>
      <c r="H75" s="400">
        <v>0.27237779583909477</v>
      </c>
      <c r="I75" s="401"/>
      <c r="J75" s="401"/>
      <c r="K75" s="401"/>
      <c r="L75" s="401"/>
      <c r="M75" s="401"/>
      <c r="N75" s="401"/>
      <c r="O75" s="401"/>
      <c r="P75" s="401"/>
      <c r="Q75" s="401"/>
      <c r="R75" s="401"/>
      <c r="S75" s="401"/>
      <c r="T75" s="401"/>
      <c r="U75" s="401"/>
      <c r="V75" s="401"/>
      <c r="W75" s="401"/>
      <c r="X75" s="401"/>
      <c r="Y75" s="401"/>
      <c r="Z75" s="401"/>
      <c r="AA75" s="401"/>
    </row>
    <row r="76">
      <c r="A76" s="397">
        <v>2022.0</v>
      </c>
      <c r="B76" s="397" t="s">
        <v>78</v>
      </c>
      <c r="C76" s="397" t="s">
        <v>1372</v>
      </c>
      <c r="D76" s="397" t="s">
        <v>1414</v>
      </c>
      <c r="E76" s="398">
        <v>7936920.0</v>
      </c>
      <c r="F76" s="399">
        <v>0.0</v>
      </c>
      <c r="G76" s="399">
        <v>7936920.0</v>
      </c>
      <c r="H76" s="400">
        <v>1.0</v>
      </c>
      <c r="I76" s="401"/>
      <c r="J76" s="401"/>
      <c r="K76" s="401"/>
      <c r="L76" s="401"/>
      <c r="M76" s="401"/>
      <c r="N76" s="401"/>
      <c r="O76" s="401"/>
      <c r="P76" s="401"/>
      <c r="Q76" s="401"/>
      <c r="R76" s="401"/>
      <c r="S76" s="401"/>
      <c r="T76" s="401"/>
      <c r="U76" s="401"/>
      <c r="V76" s="401"/>
      <c r="W76" s="401"/>
      <c r="X76" s="401"/>
      <c r="Y76" s="401"/>
      <c r="Z76" s="401"/>
      <c r="AA76" s="401"/>
    </row>
    <row r="77">
      <c r="A77" s="397">
        <v>2022.0</v>
      </c>
      <c r="B77" s="397" t="s">
        <v>585</v>
      </c>
      <c r="C77" s="397" t="s">
        <v>1376</v>
      </c>
      <c r="D77" s="397" t="s">
        <v>1422</v>
      </c>
      <c r="E77" s="398">
        <v>646145.0</v>
      </c>
      <c r="F77" s="398">
        <v>0.0</v>
      </c>
      <c r="G77" s="398">
        <v>646145.0</v>
      </c>
      <c r="H77" s="400">
        <v>1.0</v>
      </c>
      <c r="I77" s="401"/>
      <c r="J77" s="401"/>
      <c r="K77" s="401"/>
      <c r="L77" s="401"/>
      <c r="M77" s="401"/>
      <c r="N77" s="401"/>
      <c r="O77" s="401"/>
      <c r="P77" s="401"/>
      <c r="Q77" s="401"/>
      <c r="R77" s="401"/>
      <c r="S77" s="401"/>
      <c r="T77" s="401"/>
      <c r="U77" s="401"/>
      <c r="V77" s="401"/>
      <c r="W77" s="401"/>
      <c r="X77" s="401"/>
      <c r="Y77" s="401"/>
      <c r="Z77" s="401"/>
      <c r="AA77" s="401"/>
    </row>
    <row r="78">
      <c r="A78" s="397">
        <v>2021.0</v>
      </c>
      <c r="B78" s="397" t="s">
        <v>681</v>
      </c>
      <c r="C78" s="397" t="s">
        <v>1378</v>
      </c>
      <c r="D78" s="397" t="s">
        <v>1415</v>
      </c>
      <c r="E78" s="398">
        <v>5652006.0</v>
      </c>
      <c r="F78" s="399">
        <v>4500000.0</v>
      </c>
      <c r="G78" s="399">
        <v>1152006.0</v>
      </c>
      <c r="H78" s="400">
        <v>0.20382250124999868</v>
      </c>
      <c r="I78" s="398">
        <v>3000000.0</v>
      </c>
      <c r="J78" s="401"/>
      <c r="K78" s="401"/>
      <c r="L78" s="401"/>
      <c r="M78" s="401"/>
      <c r="N78" s="401"/>
      <c r="O78" s="401"/>
      <c r="P78" s="401"/>
      <c r="Q78" s="401"/>
      <c r="R78" s="401"/>
      <c r="S78" s="401"/>
      <c r="T78" s="401"/>
      <c r="U78" s="401"/>
      <c r="V78" s="401"/>
      <c r="W78" s="401"/>
      <c r="X78" s="401"/>
      <c r="Y78" s="401"/>
      <c r="Z78" s="401"/>
      <c r="AA78" s="401"/>
    </row>
    <row r="79">
      <c r="A79" s="397">
        <v>2021.0</v>
      </c>
      <c r="B79" s="397" t="s">
        <v>1400</v>
      </c>
      <c r="C79" s="397" t="s">
        <v>1376</v>
      </c>
      <c r="D79" s="397" t="s">
        <v>1376</v>
      </c>
      <c r="E79" s="398">
        <v>5001992.0</v>
      </c>
      <c r="F79" s="399">
        <v>1992.0</v>
      </c>
      <c r="G79" s="399">
        <v>5000000.0</v>
      </c>
      <c r="H79" s="400">
        <v>0.9996017586593501</v>
      </c>
      <c r="I79" s="401"/>
      <c r="J79" s="401"/>
      <c r="K79" s="401"/>
      <c r="L79" s="401"/>
      <c r="M79" s="401"/>
      <c r="N79" s="401"/>
      <c r="O79" s="401"/>
      <c r="P79" s="401"/>
      <c r="Q79" s="401"/>
      <c r="R79" s="401"/>
      <c r="S79" s="401"/>
      <c r="T79" s="401"/>
      <c r="U79" s="401"/>
      <c r="V79" s="401"/>
      <c r="W79" s="401"/>
      <c r="X79" s="401"/>
      <c r="Y79" s="401"/>
      <c r="Z79" s="401"/>
      <c r="AA79" s="401"/>
    </row>
    <row r="80">
      <c r="A80" s="397">
        <v>2021.0</v>
      </c>
      <c r="B80" s="397" t="s">
        <v>77</v>
      </c>
      <c r="C80" s="397" t="s">
        <v>1372</v>
      </c>
      <c r="D80" s="397" t="s">
        <v>1372</v>
      </c>
      <c r="E80" s="398">
        <v>1.8754734E7</v>
      </c>
      <c r="F80" s="399">
        <v>2154734.0</v>
      </c>
      <c r="G80" s="399">
        <v>1.66E7</v>
      </c>
      <c r="H80" s="400">
        <v>0.8851098607956797</v>
      </c>
      <c r="I80" s="398">
        <v>707272.0</v>
      </c>
      <c r="J80" s="401"/>
      <c r="K80" s="401"/>
      <c r="L80" s="401"/>
      <c r="M80" s="401"/>
      <c r="N80" s="401"/>
      <c r="O80" s="401"/>
      <c r="P80" s="401"/>
      <c r="Q80" s="401"/>
      <c r="R80" s="401"/>
      <c r="S80" s="401"/>
      <c r="T80" s="401"/>
      <c r="U80" s="401"/>
      <c r="V80" s="401"/>
      <c r="W80" s="401"/>
      <c r="X80" s="401"/>
      <c r="Y80" s="401"/>
      <c r="Z80" s="401"/>
      <c r="AA80" s="401"/>
    </row>
    <row r="81">
      <c r="A81" s="397">
        <v>2021.0</v>
      </c>
      <c r="B81" s="397" t="s">
        <v>77</v>
      </c>
      <c r="C81" s="397" t="s">
        <v>1376</v>
      </c>
      <c r="D81" s="397" t="s">
        <v>1422</v>
      </c>
      <c r="E81" s="398">
        <v>8806347.0</v>
      </c>
      <c r="F81" s="399">
        <v>3156347.0</v>
      </c>
      <c r="G81" s="399">
        <v>5650000.0</v>
      </c>
      <c r="H81" s="400">
        <v>0.6415827130136934</v>
      </c>
      <c r="I81" s="401"/>
      <c r="J81" s="401"/>
      <c r="K81" s="401"/>
      <c r="L81" s="401"/>
      <c r="M81" s="401"/>
      <c r="N81" s="401"/>
      <c r="O81" s="401"/>
      <c r="P81" s="401"/>
      <c r="Q81" s="401"/>
      <c r="R81" s="401"/>
      <c r="S81" s="401"/>
      <c r="T81" s="401"/>
      <c r="U81" s="401"/>
      <c r="V81" s="401"/>
      <c r="W81" s="401"/>
      <c r="X81" s="401"/>
      <c r="Y81" s="401"/>
      <c r="Z81" s="401"/>
      <c r="AA81" s="401"/>
    </row>
    <row r="82">
      <c r="A82" s="397">
        <v>2021.0</v>
      </c>
      <c r="B82" s="397" t="s">
        <v>74</v>
      </c>
      <c r="C82" s="397" t="s">
        <v>1372</v>
      </c>
      <c r="D82" s="397" t="s">
        <v>1372</v>
      </c>
      <c r="E82" s="398">
        <v>1.5249775E7</v>
      </c>
      <c r="F82" s="399">
        <v>249775.0</v>
      </c>
      <c r="G82" s="399">
        <v>1.5E7</v>
      </c>
      <c r="H82" s="400">
        <v>0.9836210698190629</v>
      </c>
      <c r="I82" s="401"/>
      <c r="J82" s="401"/>
      <c r="K82" s="401"/>
      <c r="L82" s="401"/>
      <c r="M82" s="401"/>
      <c r="N82" s="401"/>
      <c r="O82" s="401"/>
      <c r="P82" s="401"/>
      <c r="Q82" s="401"/>
      <c r="R82" s="401"/>
      <c r="S82" s="401"/>
      <c r="T82" s="401"/>
      <c r="U82" s="401"/>
      <c r="V82" s="401"/>
      <c r="W82" s="401"/>
      <c r="X82" s="401"/>
      <c r="Y82" s="401"/>
      <c r="Z82" s="401"/>
      <c r="AA82" s="401"/>
    </row>
    <row r="83">
      <c r="A83" s="397">
        <v>2021.0</v>
      </c>
      <c r="B83" s="403" t="s">
        <v>75</v>
      </c>
      <c r="C83" s="397" t="s">
        <v>1372</v>
      </c>
      <c r="D83" s="403" t="s">
        <v>1372</v>
      </c>
      <c r="E83" s="399">
        <v>1.7931015E7</v>
      </c>
      <c r="F83" s="399">
        <v>3431015.0</v>
      </c>
      <c r="G83" s="399">
        <v>1.45E7</v>
      </c>
      <c r="H83" s="400">
        <v>0.8086547247883067</v>
      </c>
      <c r="I83" s="401"/>
      <c r="J83" s="401"/>
      <c r="K83" s="401"/>
      <c r="L83" s="401"/>
      <c r="M83" s="401"/>
      <c r="N83" s="401"/>
      <c r="O83" s="401"/>
      <c r="P83" s="401"/>
      <c r="Q83" s="401"/>
      <c r="R83" s="401"/>
      <c r="S83" s="401"/>
      <c r="T83" s="401"/>
      <c r="U83" s="401"/>
      <c r="V83" s="401"/>
      <c r="W83" s="401"/>
      <c r="X83" s="401"/>
      <c r="Y83" s="401"/>
      <c r="Z83" s="401"/>
      <c r="AA83" s="401"/>
    </row>
    <row r="84">
      <c r="A84" s="397">
        <v>2021.0</v>
      </c>
      <c r="B84" s="397" t="s">
        <v>75</v>
      </c>
      <c r="C84" s="397" t="s">
        <v>1376</v>
      </c>
      <c r="D84" s="397" t="s">
        <v>1422</v>
      </c>
      <c r="E84" s="399">
        <v>2232046.0</v>
      </c>
      <c r="F84" s="399">
        <v>1032046.0</v>
      </c>
      <c r="G84" s="399">
        <v>1200000.0</v>
      </c>
      <c r="H84" s="400">
        <v>0.5376233285514725</v>
      </c>
      <c r="I84" s="401"/>
      <c r="J84" s="401"/>
      <c r="K84" s="401"/>
      <c r="L84" s="401"/>
      <c r="M84" s="401"/>
      <c r="N84" s="401"/>
      <c r="O84" s="401"/>
      <c r="P84" s="401"/>
      <c r="Q84" s="401"/>
      <c r="R84" s="401"/>
      <c r="S84" s="401"/>
      <c r="T84" s="401"/>
      <c r="U84" s="401"/>
      <c r="V84" s="401"/>
      <c r="W84" s="401"/>
      <c r="X84" s="401"/>
      <c r="Y84" s="401"/>
      <c r="Z84" s="401"/>
      <c r="AA84" s="401"/>
    </row>
    <row r="85">
      <c r="A85" s="397">
        <v>2021.0</v>
      </c>
      <c r="B85" s="397" t="s">
        <v>78</v>
      </c>
      <c r="C85" s="397" t="s">
        <v>1372</v>
      </c>
      <c r="D85" s="397" t="s">
        <v>1421</v>
      </c>
      <c r="E85" s="398">
        <v>2152899.0</v>
      </c>
      <c r="F85" s="399">
        <v>514149.0</v>
      </c>
      <c r="G85" s="399">
        <v>1638750.0</v>
      </c>
      <c r="H85" s="400">
        <v>0.7611829444855518</v>
      </c>
      <c r="I85" s="401"/>
      <c r="J85" s="401"/>
      <c r="K85" s="401"/>
      <c r="L85" s="401"/>
      <c r="M85" s="401"/>
      <c r="N85" s="401"/>
      <c r="O85" s="401"/>
      <c r="P85" s="401"/>
      <c r="Q85" s="401"/>
      <c r="R85" s="401"/>
      <c r="S85" s="401"/>
      <c r="T85" s="401"/>
      <c r="U85" s="401"/>
      <c r="V85" s="401"/>
      <c r="W85" s="401"/>
      <c r="X85" s="401"/>
      <c r="Y85" s="401"/>
      <c r="Z85" s="401"/>
      <c r="AA85" s="401"/>
    </row>
    <row r="86">
      <c r="A86" s="397">
        <v>2021.0</v>
      </c>
      <c r="B86" s="397" t="s">
        <v>75</v>
      </c>
      <c r="C86" s="397" t="s">
        <v>1372</v>
      </c>
      <c r="D86" s="397" t="s">
        <v>1414</v>
      </c>
      <c r="E86" s="398">
        <v>5076767.0</v>
      </c>
      <c r="F86" s="399">
        <v>476767.0</v>
      </c>
      <c r="G86" s="399">
        <v>4600000.0</v>
      </c>
      <c r="H86" s="400">
        <v>0.9060884614164881</v>
      </c>
      <c r="I86" s="401"/>
      <c r="J86" s="401"/>
      <c r="K86" s="401"/>
      <c r="L86" s="401"/>
      <c r="M86" s="401"/>
      <c r="N86" s="401"/>
      <c r="O86" s="401"/>
      <c r="P86" s="401"/>
      <c r="Q86" s="401"/>
      <c r="R86" s="401"/>
      <c r="S86" s="401"/>
      <c r="T86" s="401"/>
      <c r="U86" s="401"/>
      <c r="V86" s="401"/>
      <c r="W86" s="401"/>
      <c r="X86" s="401"/>
      <c r="Y86" s="401"/>
      <c r="Z86" s="401"/>
      <c r="AA86" s="401"/>
    </row>
    <row r="87">
      <c r="A87" s="397">
        <v>2021.0</v>
      </c>
      <c r="B87" s="397" t="s">
        <v>1407</v>
      </c>
      <c r="C87" s="397" t="s">
        <v>1376</v>
      </c>
      <c r="D87" s="397" t="s">
        <v>1422</v>
      </c>
      <c r="E87" s="398">
        <v>2811845.0</v>
      </c>
      <c r="F87" s="399">
        <v>1711845.0</v>
      </c>
      <c r="G87" s="399">
        <v>1100000.0</v>
      </c>
      <c r="H87" s="400">
        <v>0.39120221776093633</v>
      </c>
      <c r="I87" s="398">
        <v>8445000.0</v>
      </c>
      <c r="J87" s="401"/>
      <c r="K87" s="401"/>
      <c r="L87" s="401"/>
      <c r="M87" s="401"/>
      <c r="N87" s="401"/>
      <c r="O87" s="401"/>
      <c r="P87" s="401"/>
      <c r="Q87" s="401"/>
      <c r="R87" s="401"/>
      <c r="S87" s="401"/>
      <c r="T87" s="401"/>
      <c r="U87" s="401"/>
      <c r="V87" s="401"/>
      <c r="W87" s="401"/>
      <c r="X87" s="401"/>
      <c r="Y87" s="401"/>
      <c r="Z87" s="401"/>
      <c r="AA87" s="401"/>
    </row>
    <row r="88">
      <c r="A88" s="397">
        <v>2021.0</v>
      </c>
      <c r="B88" s="403" t="s">
        <v>1407</v>
      </c>
      <c r="C88" s="397" t="s">
        <v>1372</v>
      </c>
      <c r="D88" s="397" t="s">
        <v>1423</v>
      </c>
      <c r="E88" s="399">
        <v>1755955.0</v>
      </c>
      <c r="F88" s="399">
        <v>1955.0</v>
      </c>
      <c r="G88" s="399">
        <v>1754000.0</v>
      </c>
      <c r="H88" s="400">
        <v>0.9988866457283928</v>
      </c>
      <c r="I88" s="403"/>
      <c r="J88" s="401"/>
      <c r="K88" s="401"/>
      <c r="L88" s="401"/>
      <c r="M88" s="401"/>
      <c r="N88" s="401"/>
      <c r="O88" s="401"/>
      <c r="P88" s="401"/>
      <c r="Q88" s="401"/>
      <c r="R88" s="401"/>
      <c r="S88" s="401"/>
      <c r="T88" s="401"/>
      <c r="U88" s="401"/>
      <c r="V88" s="401"/>
      <c r="W88" s="401"/>
      <c r="X88" s="401"/>
      <c r="Y88" s="401"/>
      <c r="Z88" s="401"/>
      <c r="AA88" s="401"/>
    </row>
    <row r="89">
      <c r="A89" s="397">
        <v>2021.0</v>
      </c>
      <c r="B89" s="397" t="s">
        <v>75</v>
      </c>
      <c r="C89" s="397" t="s">
        <v>1378</v>
      </c>
      <c r="D89" s="397" t="s">
        <v>1413</v>
      </c>
      <c r="E89" s="398">
        <v>3751094.0</v>
      </c>
      <c r="F89" s="399">
        <v>451094.0</v>
      </c>
      <c r="G89" s="399">
        <v>3300000.0</v>
      </c>
      <c r="H89" s="400">
        <v>0.8797433495401609</v>
      </c>
      <c r="I89" s="398">
        <v>2961000.0</v>
      </c>
      <c r="J89" s="401"/>
      <c r="K89" s="401"/>
      <c r="L89" s="401"/>
      <c r="M89" s="401"/>
      <c r="N89" s="401"/>
      <c r="O89" s="401"/>
      <c r="P89" s="401"/>
      <c r="Q89" s="401"/>
      <c r="R89" s="401"/>
      <c r="S89" s="401"/>
      <c r="T89" s="401"/>
      <c r="U89" s="401"/>
      <c r="V89" s="401"/>
      <c r="W89" s="401"/>
      <c r="X89" s="401"/>
      <c r="Y89" s="401"/>
      <c r="Z89" s="401"/>
      <c r="AA89" s="401"/>
    </row>
    <row r="90">
      <c r="A90" s="397">
        <v>2021.0</v>
      </c>
      <c r="B90" s="403" t="s">
        <v>527</v>
      </c>
      <c r="C90" s="397" t="s">
        <v>1372</v>
      </c>
      <c r="D90" s="403" t="s">
        <v>1372</v>
      </c>
      <c r="E90" s="399">
        <v>1.5935106E7</v>
      </c>
      <c r="F90" s="398">
        <v>2236106.0</v>
      </c>
      <c r="G90" s="399">
        <v>1.3699E7</v>
      </c>
      <c r="H90" s="400">
        <v>0.8596742312225598</v>
      </c>
      <c r="I90" s="401"/>
      <c r="J90" s="401"/>
      <c r="K90" s="401"/>
      <c r="L90" s="401"/>
      <c r="M90" s="401"/>
      <c r="N90" s="401"/>
      <c r="O90" s="401"/>
      <c r="P90" s="401"/>
      <c r="Q90" s="401"/>
      <c r="R90" s="401"/>
      <c r="S90" s="401"/>
      <c r="T90" s="401"/>
      <c r="U90" s="401"/>
      <c r="V90" s="401"/>
      <c r="W90" s="401"/>
      <c r="X90" s="401"/>
      <c r="Y90" s="401"/>
      <c r="Z90" s="401"/>
      <c r="AA90" s="401"/>
    </row>
    <row r="91">
      <c r="A91" s="397">
        <v>2021.0</v>
      </c>
      <c r="B91" s="397" t="s">
        <v>75</v>
      </c>
      <c r="C91" s="397" t="s">
        <v>1375</v>
      </c>
      <c r="D91" s="397" t="s">
        <v>1375</v>
      </c>
      <c r="E91" s="398">
        <v>1.0003258E7</v>
      </c>
      <c r="F91" s="399">
        <v>1.0003258E7</v>
      </c>
      <c r="G91" s="399">
        <v>0.0</v>
      </c>
      <c r="H91" s="400">
        <v>0.0</v>
      </c>
      <c r="I91" s="401"/>
      <c r="J91" s="401"/>
      <c r="K91" s="401"/>
      <c r="L91" s="401"/>
      <c r="M91" s="401"/>
      <c r="N91" s="401"/>
      <c r="O91" s="401"/>
      <c r="P91" s="401"/>
      <c r="Q91" s="401"/>
      <c r="R91" s="401"/>
      <c r="S91" s="401"/>
      <c r="T91" s="401"/>
      <c r="U91" s="401"/>
      <c r="V91" s="401"/>
      <c r="W91" s="401"/>
      <c r="X91" s="401"/>
      <c r="Y91" s="401"/>
      <c r="Z91" s="401"/>
      <c r="AA91" s="401"/>
    </row>
    <row r="92">
      <c r="A92" s="397">
        <v>2021.0</v>
      </c>
      <c r="B92" s="397" t="s">
        <v>527</v>
      </c>
      <c r="C92" s="397" t="s">
        <v>1375</v>
      </c>
      <c r="D92" s="397" t="s">
        <v>1375</v>
      </c>
      <c r="E92" s="398">
        <v>1.2191438E7</v>
      </c>
      <c r="F92" s="399">
        <v>1.2191438E7</v>
      </c>
      <c r="G92" s="399">
        <v>0.0</v>
      </c>
      <c r="H92" s="400">
        <v>0.0</v>
      </c>
      <c r="I92" s="401"/>
      <c r="J92" s="401"/>
      <c r="K92" s="401"/>
      <c r="L92" s="401"/>
      <c r="M92" s="401"/>
      <c r="N92" s="401"/>
      <c r="O92" s="401"/>
      <c r="P92" s="401"/>
      <c r="Q92" s="401"/>
      <c r="R92" s="401"/>
      <c r="S92" s="401"/>
      <c r="T92" s="401"/>
      <c r="U92" s="401"/>
      <c r="V92" s="401"/>
      <c r="W92" s="401"/>
      <c r="X92" s="401"/>
      <c r="Y92" s="401"/>
      <c r="Z92" s="401"/>
      <c r="AA92" s="401"/>
    </row>
    <row r="93">
      <c r="A93" s="397">
        <v>2021.0</v>
      </c>
      <c r="B93" s="397" t="s">
        <v>74</v>
      </c>
      <c r="C93" s="397" t="s">
        <v>1378</v>
      </c>
      <c r="D93" s="397" t="s">
        <v>1411</v>
      </c>
      <c r="E93" s="398">
        <v>987518.0</v>
      </c>
      <c r="F93" s="399">
        <v>987518.0</v>
      </c>
      <c r="G93" s="399">
        <v>0.0</v>
      </c>
      <c r="H93" s="400">
        <v>0.0</v>
      </c>
      <c r="I93" s="398">
        <v>150173.0</v>
      </c>
      <c r="J93" s="401"/>
      <c r="K93" s="401"/>
      <c r="L93" s="401"/>
      <c r="M93" s="401"/>
      <c r="N93" s="401"/>
      <c r="O93" s="401"/>
      <c r="P93" s="401"/>
      <c r="Q93" s="401"/>
      <c r="R93" s="401"/>
      <c r="S93" s="401"/>
      <c r="T93" s="401"/>
      <c r="U93" s="401"/>
      <c r="V93" s="401"/>
      <c r="W93" s="401"/>
      <c r="X93" s="401"/>
      <c r="Y93" s="401"/>
      <c r="Z93" s="401"/>
      <c r="AA93" s="401"/>
    </row>
    <row r="94">
      <c r="A94" s="397">
        <v>2021.0</v>
      </c>
      <c r="B94" s="397" t="s">
        <v>1403</v>
      </c>
      <c r="C94" s="397" t="s">
        <v>1379</v>
      </c>
      <c r="D94" s="397" t="s">
        <v>1404</v>
      </c>
      <c r="E94" s="398">
        <v>1.0886277E7</v>
      </c>
      <c r="F94" s="399">
        <v>1.0886277E7</v>
      </c>
      <c r="G94" s="398">
        <v>0.0</v>
      </c>
      <c r="H94" s="400">
        <v>0.0</v>
      </c>
      <c r="I94" s="401"/>
      <c r="J94" s="401"/>
      <c r="K94" s="401"/>
      <c r="L94" s="401"/>
      <c r="M94" s="401"/>
      <c r="N94" s="401"/>
      <c r="O94" s="401"/>
      <c r="P94" s="401"/>
      <c r="Q94" s="401"/>
      <c r="R94" s="401"/>
      <c r="S94" s="401"/>
      <c r="T94" s="401"/>
      <c r="U94" s="401"/>
      <c r="V94" s="401"/>
      <c r="W94" s="401"/>
      <c r="X94" s="401"/>
      <c r="Y94" s="401"/>
      <c r="Z94" s="401"/>
      <c r="AA94" s="401"/>
    </row>
    <row r="95">
      <c r="A95" s="397">
        <v>2021.0</v>
      </c>
      <c r="B95" s="397" t="s">
        <v>76</v>
      </c>
      <c r="C95" s="397" t="s">
        <v>1375</v>
      </c>
      <c r="D95" s="397" t="s">
        <v>1406</v>
      </c>
      <c r="E95" s="398">
        <v>3055224.0</v>
      </c>
      <c r="F95" s="399">
        <v>26412.0</v>
      </c>
      <c r="G95" s="398">
        <v>3028812.0</v>
      </c>
      <c r="H95" s="400">
        <v>0.991355134680796</v>
      </c>
      <c r="I95" s="398">
        <v>5000000.0</v>
      </c>
      <c r="J95" s="401"/>
      <c r="K95" s="401"/>
      <c r="L95" s="401"/>
      <c r="M95" s="401"/>
      <c r="N95" s="401"/>
      <c r="O95" s="401"/>
      <c r="P95" s="401"/>
      <c r="Q95" s="401"/>
      <c r="R95" s="401"/>
      <c r="S95" s="401"/>
      <c r="T95" s="401"/>
      <c r="U95" s="401"/>
      <c r="V95" s="401"/>
      <c r="W95" s="401"/>
      <c r="X95" s="401"/>
      <c r="Y95" s="401"/>
      <c r="Z95" s="401"/>
      <c r="AA95" s="401"/>
    </row>
    <row r="96">
      <c r="A96" s="397">
        <v>2021.0</v>
      </c>
      <c r="B96" s="397" t="s">
        <v>74</v>
      </c>
      <c r="C96" s="397" t="s">
        <v>1375</v>
      </c>
      <c r="D96" s="397" t="s">
        <v>1375</v>
      </c>
      <c r="E96" s="398">
        <v>4421869.0</v>
      </c>
      <c r="F96" s="399">
        <v>2194750.0</v>
      </c>
      <c r="G96" s="399">
        <v>2227119.0</v>
      </c>
      <c r="H96" s="400">
        <v>0.5036601039062893</v>
      </c>
      <c r="I96" s="401"/>
      <c r="J96" s="401"/>
      <c r="K96" s="401"/>
      <c r="L96" s="401"/>
      <c r="M96" s="401"/>
      <c r="N96" s="401"/>
      <c r="O96" s="401"/>
      <c r="P96" s="401"/>
      <c r="Q96" s="401"/>
      <c r="R96" s="401"/>
      <c r="S96" s="401"/>
      <c r="T96" s="401"/>
      <c r="U96" s="401"/>
      <c r="V96" s="401"/>
      <c r="W96" s="401"/>
      <c r="X96" s="401"/>
      <c r="Y96" s="401"/>
      <c r="Z96" s="401"/>
      <c r="AA96" s="401"/>
    </row>
    <row r="97">
      <c r="A97" s="397">
        <v>2021.0</v>
      </c>
      <c r="B97" s="397" t="s">
        <v>527</v>
      </c>
      <c r="C97" s="397" t="s">
        <v>1378</v>
      </c>
      <c r="D97" s="397" t="s">
        <v>1412</v>
      </c>
      <c r="E97" s="398">
        <v>2273629.0</v>
      </c>
      <c r="F97" s="398">
        <v>2273629.0</v>
      </c>
      <c r="G97" s="398">
        <v>0.0</v>
      </c>
      <c r="H97" s="400">
        <v>0.0</v>
      </c>
      <c r="I97" s="397"/>
      <c r="J97" s="401"/>
      <c r="K97" s="401"/>
      <c r="L97" s="401"/>
      <c r="M97" s="401"/>
      <c r="N97" s="401"/>
      <c r="O97" s="401"/>
      <c r="P97" s="401"/>
      <c r="Q97" s="401"/>
      <c r="R97" s="401"/>
      <c r="S97" s="401"/>
      <c r="T97" s="401"/>
      <c r="U97" s="401"/>
      <c r="V97" s="401"/>
      <c r="W97" s="401"/>
      <c r="X97" s="401"/>
      <c r="Y97" s="401"/>
      <c r="Z97" s="401"/>
      <c r="AA97" s="401"/>
    </row>
    <row r="98">
      <c r="A98" s="397">
        <v>2021.0</v>
      </c>
      <c r="B98" s="397" t="s">
        <v>527</v>
      </c>
      <c r="C98" s="397" t="s">
        <v>1376</v>
      </c>
      <c r="D98" s="397" t="s">
        <v>1422</v>
      </c>
      <c r="E98" s="398">
        <v>1.0850495E7</v>
      </c>
      <c r="F98" s="399">
        <v>1.0439059E7</v>
      </c>
      <c r="G98" s="399">
        <v>411436.0</v>
      </c>
      <c r="H98" s="400">
        <v>0.037918638734914856</v>
      </c>
      <c r="I98" s="401"/>
      <c r="J98" s="401"/>
      <c r="K98" s="401"/>
      <c r="L98" s="401"/>
      <c r="M98" s="401"/>
      <c r="N98" s="401"/>
      <c r="O98" s="401"/>
      <c r="P98" s="401"/>
      <c r="Q98" s="401"/>
      <c r="R98" s="401"/>
      <c r="S98" s="401"/>
      <c r="T98" s="401"/>
      <c r="U98" s="401"/>
      <c r="V98" s="401"/>
      <c r="W98" s="401"/>
      <c r="X98" s="401"/>
      <c r="Y98" s="401"/>
      <c r="Z98" s="401"/>
      <c r="AA98" s="401"/>
    </row>
    <row r="99">
      <c r="A99" s="397">
        <v>2021.0</v>
      </c>
      <c r="B99" s="397" t="s">
        <v>78</v>
      </c>
      <c r="C99" s="397" t="s">
        <v>1372</v>
      </c>
      <c r="D99" s="397" t="s">
        <v>1372</v>
      </c>
      <c r="E99" s="398">
        <v>5013318.0</v>
      </c>
      <c r="F99" s="399">
        <v>13318.0</v>
      </c>
      <c r="G99" s="399">
        <v>5000000.0</v>
      </c>
      <c r="H99" s="400">
        <v>0.997343475917546</v>
      </c>
      <c r="I99" s="397"/>
      <c r="J99" s="401"/>
      <c r="K99" s="401"/>
      <c r="L99" s="401"/>
      <c r="M99" s="401"/>
      <c r="N99" s="401"/>
      <c r="O99" s="401"/>
      <c r="P99" s="401"/>
      <c r="Q99" s="401"/>
      <c r="R99" s="401"/>
      <c r="S99" s="401"/>
      <c r="T99" s="401"/>
      <c r="U99" s="401"/>
      <c r="V99" s="401"/>
      <c r="W99" s="401"/>
      <c r="X99" s="401"/>
      <c r="Y99" s="401"/>
      <c r="Z99" s="401"/>
      <c r="AA99" s="401"/>
    </row>
    <row r="100">
      <c r="A100" s="397">
        <v>2021.0</v>
      </c>
      <c r="B100" s="397" t="s">
        <v>78</v>
      </c>
      <c r="C100" s="397" t="s">
        <v>1376</v>
      </c>
      <c r="D100" s="397" t="s">
        <v>1422</v>
      </c>
      <c r="E100" s="398">
        <v>5357950.0</v>
      </c>
      <c r="F100" s="399">
        <v>582078.0</v>
      </c>
      <c r="G100" s="399">
        <v>4775872.0</v>
      </c>
      <c r="H100" s="400">
        <v>0.891361808154238</v>
      </c>
      <c r="I100" s="397"/>
      <c r="J100" s="401"/>
      <c r="K100" s="401"/>
      <c r="L100" s="401"/>
      <c r="M100" s="401"/>
      <c r="N100" s="401"/>
      <c r="O100" s="401"/>
      <c r="P100" s="401"/>
      <c r="Q100" s="401"/>
      <c r="R100" s="401"/>
      <c r="S100" s="401"/>
      <c r="T100" s="401"/>
      <c r="U100" s="401"/>
      <c r="V100" s="401"/>
      <c r="W100" s="401"/>
      <c r="X100" s="401"/>
      <c r="Y100" s="401"/>
      <c r="Z100" s="401"/>
      <c r="AA100" s="401"/>
    </row>
    <row r="101">
      <c r="A101" s="397">
        <v>2021.0</v>
      </c>
      <c r="B101" s="397" t="s">
        <v>1400</v>
      </c>
      <c r="C101" s="397" t="s">
        <v>1402</v>
      </c>
      <c r="D101" s="397" t="s">
        <v>1402</v>
      </c>
      <c r="E101" s="398">
        <v>742448.0</v>
      </c>
      <c r="F101" s="398">
        <v>742448.0</v>
      </c>
      <c r="G101" s="399">
        <v>0.0</v>
      </c>
      <c r="H101" s="400">
        <v>0.0</v>
      </c>
      <c r="I101" s="401"/>
      <c r="J101" s="401"/>
      <c r="K101" s="401"/>
      <c r="L101" s="401"/>
      <c r="M101" s="401"/>
      <c r="N101" s="401"/>
      <c r="O101" s="401"/>
      <c r="P101" s="401"/>
      <c r="Q101" s="401"/>
      <c r="R101" s="401"/>
      <c r="S101" s="401"/>
      <c r="T101" s="401"/>
      <c r="U101" s="401"/>
      <c r="V101" s="401"/>
      <c r="W101" s="401"/>
      <c r="X101" s="401"/>
      <c r="Y101" s="401"/>
      <c r="Z101" s="401"/>
      <c r="AA101" s="401"/>
    </row>
    <row r="102">
      <c r="A102" s="397">
        <v>2021.0</v>
      </c>
      <c r="B102" s="397" t="s">
        <v>1401</v>
      </c>
      <c r="C102" s="397" t="s">
        <v>1377</v>
      </c>
      <c r="D102" s="397" t="s">
        <v>1377</v>
      </c>
      <c r="E102" s="398">
        <v>1.1425226E7</v>
      </c>
      <c r="F102" s="399">
        <v>21891.0</v>
      </c>
      <c r="G102" s="399">
        <v>1.1403335E7</v>
      </c>
      <c r="H102" s="400">
        <v>0.9980839766320596</v>
      </c>
      <c r="I102" s="401"/>
      <c r="J102" s="401"/>
      <c r="K102" s="401"/>
      <c r="L102" s="401"/>
      <c r="M102" s="401"/>
      <c r="N102" s="401"/>
      <c r="O102" s="401"/>
      <c r="P102" s="401"/>
      <c r="Q102" s="401"/>
      <c r="R102" s="401"/>
      <c r="S102" s="401"/>
      <c r="T102" s="401"/>
      <c r="U102" s="401"/>
      <c r="V102" s="401"/>
      <c r="W102" s="401"/>
      <c r="X102" s="401"/>
      <c r="Y102" s="401"/>
      <c r="Z102" s="401"/>
      <c r="AA102" s="401"/>
    </row>
    <row r="103">
      <c r="A103" s="397">
        <v>2021.0</v>
      </c>
      <c r="B103" s="397" t="s">
        <v>74</v>
      </c>
      <c r="C103" s="397" t="s">
        <v>1376</v>
      </c>
      <c r="D103" s="397" t="s">
        <v>1422</v>
      </c>
      <c r="E103" s="398">
        <v>6800874.0</v>
      </c>
      <c r="F103" s="399">
        <v>2201701.0</v>
      </c>
      <c r="G103" s="399">
        <v>4599173.0</v>
      </c>
      <c r="H103" s="400">
        <v>0.6762620510246183</v>
      </c>
      <c r="I103" s="401"/>
      <c r="J103" s="401"/>
      <c r="K103" s="401"/>
      <c r="L103" s="401"/>
      <c r="M103" s="401"/>
      <c r="N103" s="401"/>
      <c r="O103" s="401"/>
      <c r="P103" s="401"/>
      <c r="Q103" s="401"/>
      <c r="R103" s="401"/>
      <c r="S103" s="401"/>
      <c r="T103" s="401"/>
      <c r="U103" s="401"/>
      <c r="V103" s="401"/>
      <c r="W103" s="401"/>
      <c r="X103" s="401"/>
      <c r="Y103" s="401"/>
      <c r="Z103" s="401"/>
      <c r="AA103" s="401"/>
    </row>
    <row r="104">
      <c r="A104" s="397">
        <v>2021.0</v>
      </c>
      <c r="B104" s="397" t="s">
        <v>585</v>
      </c>
      <c r="C104" s="397" t="s">
        <v>1376</v>
      </c>
      <c r="D104" s="397" t="s">
        <v>1422</v>
      </c>
      <c r="E104" s="398">
        <v>2234086.0</v>
      </c>
      <c r="F104" s="398">
        <v>0.0</v>
      </c>
      <c r="G104" s="398">
        <v>2234086.0</v>
      </c>
      <c r="H104" s="400">
        <v>1.0</v>
      </c>
      <c r="I104" s="401"/>
      <c r="J104" s="401"/>
      <c r="K104" s="401"/>
      <c r="L104" s="401"/>
      <c r="M104" s="401"/>
      <c r="N104" s="401"/>
      <c r="O104" s="401"/>
      <c r="P104" s="401"/>
      <c r="Q104" s="401"/>
      <c r="R104" s="401"/>
      <c r="S104" s="401"/>
      <c r="T104" s="401"/>
      <c r="U104" s="401"/>
      <c r="V104" s="401"/>
      <c r="W104" s="401"/>
      <c r="X104" s="401"/>
      <c r="Y104" s="401"/>
      <c r="Z104" s="401"/>
      <c r="AA104" s="401"/>
    </row>
    <row r="105">
      <c r="A105" s="397">
        <v>2020.0</v>
      </c>
      <c r="B105" s="397" t="s">
        <v>1401</v>
      </c>
      <c r="C105" s="397" t="s">
        <v>1377</v>
      </c>
      <c r="D105" s="397" t="s">
        <v>1377</v>
      </c>
      <c r="E105" s="398">
        <v>2825158.0</v>
      </c>
      <c r="F105" s="399">
        <v>0.0</v>
      </c>
      <c r="G105" s="398">
        <v>2825158.0</v>
      </c>
      <c r="H105" s="400">
        <v>1.0</v>
      </c>
      <c r="I105" s="401"/>
      <c r="J105" s="401"/>
      <c r="K105" s="401"/>
      <c r="L105" s="401"/>
      <c r="M105" s="401"/>
      <c r="N105" s="401"/>
      <c r="O105" s="401"/>
      <c r="P105" s="401"/>
      <c r="Q105" s="401"/>
      <c r="R105" s="401"/>
      <c r="S105" s="401"/>
      <c r="T105" s="401"/>
      <c r="U105" s="401"/>
      <c r="V105" s="401"/>
      <c r="W105" s="401"/>
      <c r="X105" s="401"/>
      <c r="Y105" s="401"/>
      <c r="Z105" s="401"/>
      <c r="AA105" s="401"/>
    </row>
    <row r="106">
      <c r="A106" s="397">
        <v>2020.0</v>
      </c>
      <c r="B106" s="397" t="s">
        <v>681</v>
      </c>
      <c r="C106" s="397" t="s">
        <v>1378</v>
      </c>
      <c r="D106" s="397" t="s">
        <v>1415</v>
      </c>
      <c r="E106" s="398">
        <v>3111231.0</v>
      </c>
      <c r="F106" s="398">
        <v>3000000.0</v>
      </c>
      <c r="G106" s="399">
        <v>111231.0</v>
      </c>
      <c r="H106" s="400">
        <v>0.03575144372115089</v>
      </c>
      <c r="I106" s="397"/>
      <c r="J106" s="401"/>
      <c r="K106" s="401"/>
      <c r="L106" s="401"/>
      <c r="M106" s="401"/>
      <c r="N106" s="401"/>
      <c r="O106" s="401"/>
      <c r="P106" s="401"/>
      <c r="Q106" s="401"/>
      <c r="R106" s="401"/>
      <c r="S106" s="401"/>
      <c r="T106" s="401"/>
      <c r="U106" s="401"/>
      <c r="V106" s="401"/>
      <c r="W106" s="401"/>
      <c r="X106" s="401"/>
      <c r="Y106" s="401"/>
      <c r="Z106" s="401"/>
      <c r="AA106" s="401"/>
    </row>
    <row r="107">
      <c r="A107" s="397">
        <v>2020.0</v>
      </c>
      <c r="B107" s="397" t="s">
        <v>78</v>
      </c>
      <c r="C107" s="397" t="s">
        <v>1372</v>
      </c>
      <c r="D107" s="397" t="s">
        <v>1421</v>
      </c>
      <c r="E107" s="398">
        <v>1990228.0</v>
      </c>
      <c r="F107" s="399">
        <v>1510278.0</v>
      </c>
      <c r="G107" s="399">
        <v>479950.0</v>
      </c>
      <c r="H107" s="400">
        <v>0.24115327490116711</v>
      </c>
      <c r="I107" s="401"/>
      <c r="J107" s="401"/>
      <c r="K107" s="401"/>
      <c r="L107" s="401"/>
      <c r="M107" s="401"/>
      <c r="N107" s="401"/>
      <c r="O107" s="401"/>
      <c r="P107" s="401"/>
      <c r="Q107" s="401"/>
      <c r="R107" s="401"/>
      <c r="S107" s="401"/>
      <c r="T107" s="401"/>
      <c r="U107" s="401"/>
      <c r="V107" s="401"/>
      <c r="W107" s="401"/>
      <c r="X107" s="401"/>
      <c r="Y107" s="401"/>
      <c r="Z107" s="401"/>
      <c r="AA107" s="401"/>
    </row>
    <row r="108">
      <c r="A108" s="397">
        <v>2020.0</v>
      </c>
      <c r="B108" s="397" t="s">
        <v>78</v>
      </c>
      <c r="C108" s="397" t="s">
        <v>1378</v>
      </c>
      <c r="D108" s="397" t="s">
        <v>1425</v>
      </c>
      <c r="E108" s="398">
        <v>130639.0</v>
      </c>
      <c r="F108" s="399">
        <v>130639.0</v>
      </c>
      <c r="G108" s="398">
        <v>0.0</v>
      </c>
      <c r="H108" s="400">
        <v>0.0</v>
      </c>
      <c r="I108" s="397"/>
      <c r="J108" s="401"/>
      <c r="K108" s="401"/>
      <c r="L108" s="401"/>
      <c r="M108" s="401"/>
      <c r="N108" s="401"/>
      <c r="O108" s="401"/>
      <c r="P108" s="401"/>
      <c r="Q108" s="401"/>
      <c r="R108" s="401"/>
      <c r="S108" s="401"/>
      <c r="T108" s="401"/>
      <c r="U108" s="401"/>
      <c r="V108" s="401"/>
      <c r="W108" s="401"/>
      <c r="X108" s="401"/>
      <c r="Y108" s="401"/>
      <c r="Z108" s="401"/>
      <c r="AA108" s="401"/>
    </row>
    <row r="109">
      <c r="A109" s="397">
        <v>2020.0</v>
      </c>
      <c r="B109" s="397" t="s">
        <v>78</v>
      </c>
      <c r="C109" s="397" t="s">
        <v>1372</v>
      </c>
      <c r="D109" s="397" t="s">
        <v>1372</v>
      </c>
      <c r="E109" s="398">
        <v>2475315.0</v>
      </c>
      <c r="F109" s="399">
        <v>132104.0</v>
      </c>
      <c r="G109" s="399">
        <v>2343211.0</v>
      </c>
      <c r="H109" s="400">
        <v>0.9466314388269775</v>
      </c>
      <c r="I109" s="397"/>
      <c r="J109" s="401"/>
      <c r="K109" s="401"/>
      <c r="L109" s="401"/>
      <c r="M109" s="401"/>
      <c r="N109" s="401"/>
      <c r="O109" s="401"/>
      <c r="P109" s="401"/>
      <c r="Q109" s="401"/>
      <c r="R109" s="401"/>
      <c r="S109" s="401"/>
      <c r="T109" s="401"/>
      <c r="U109" s="401"/>
      <c r="V109" s="401"/>
      <c r="W109" s="401"/>
      <c r="X109" s="401"/>
      <c r="Y109" s="401"/>
      <c r="Z109" s="401"/>
      <c r="AA109" s="401"/>
    </row>
    <row r="110">
      <c r="A110" s="397">
        <v>2020.0</v>
      </c>
      <c r="B110" s="397" t="s">
        <v>78</v>
      </c>
      <c r="C110" s="397" t="s">
        <v>1376</v>
      </c>
      <c r="D110" s="397" t="s">
        <v>1422</v>
      </c>
      <c r="E110" s="398">
        <v>5357950.0</v>
      </c>
      <c r="F110" s="399">
        <v>582078.0</v>
      </c>
      <c r="G110" s="399">
        <v>4775872.0</v>
      </c>
      <c r="H110" s="400">
        <v>0.891361808154238</v>
      </c>
      <c r="I110" s="398">
        <v>632057.0</v>
      </c>
      <c r="J110" s="401"/>
      <c r="K110" s="401"/>
      <c r="L110" s="401"/>
      <c r="M110" s="401"/>
      <c r="N110" s="401"/>
      <c r="O110" s="401"/>
      <c r="P110" s="401"/>
      <c r="Q110" s="401"/>
      <c r="R110" s="401"/>
      <c r="S110" s="401"/>
      <c r="T110" s="401"/>
      <c r="U110" s="401"/>
      <c r="V110" s="401"/>
      <c r="W110" s="401"/>
      <c r="X110" s="401"/>
      <c r="Y110" s="401"/>
      <c r="Z110" s="401"/>
      <c r="AA110" s="401"/>
    </row>
    <row r="111">
      <c r="A111" s="397">
        <v>2020.0</v>
      </c>
      <c r="B111" s="397" t="s">
        <v>77</v>
      </c>
      <c r="C111" s="397" t="s">
        <v>1372</v>
      </c>
      <c r="D111" s="397" t="s">
        <v>1372</v>
      </c>
      <c r="E111" s="398">
        <v>4935583.0</v>
      </c>
      <c r="F111" s="399">
        <v>245374.0</v>
      </c>
      <c r="G111" s="399">
        <v>4690209.0</v>
      </c>
      <c r="H111" s="400">
        <v>0.9502846978766237</v>
      </c>
      <c r="I111" s="401"/>
      <c r="J111" s="401"/>
      <c r="K111" s="401"/>
      <c r="L111" s="401"/>
      <c r="M111" s="401"/>
      <c r="N111" s="401"/>
      <c r="O111" s="401"/>
      <c r="P111" s="401"/>
      <c r="Q111" s="401"/>
      <c r="R111" s="401"/>
      <c r="S111" s="401"/>
      <c r="T111" s="401"/>
      <c r="U111" s="401"/>
      <c r="V111" s="401"/>
      <c r="W111" s="401"/>
      <c r="X111" s="401"/>
      <c r="Y111" s="401"/>
      <c r="Z111" s="401"/>
      <c r="AA111" s="401"/>
    </row>
    <row r="112">
      <c r="A112" s="397">
        <v>2020.0</v>
      </c>
      <c r="B112" s="397" t="s">
        <v>77</v>
      </c>
      <c r="C112" s="397" t="s">
        <v>1376</v>
      </c>
      <c r="D112" s="397" t="s">
        <v>1422</v>
      </c>
      <c r="E112" s="398">
        <v>7832531.0</v>
      </c>
      <c r="F112" s="399">
        <v>6757654.0</v>
      </c>
      <c r="G112" s="399">
        <v>1074877.0</v>
      </c>
      <c r="H112" s="400">
        <v>0.13723239652674213</v>
      </c>
      <c r="I112" s="398">
        <v>1080450.0</v>
      </c>
      <c r="J112" s="401"/>
      <c r="K112" s="401"/>
      <c r="L112" s="401"/>
      <c r="M112" s="401"/>
      <c r="N112" s="401"/>
      <c r="O112" s="401"/>
      <c r="P112" s="401"/>
      <c r="Q112" s="401"/>
      <c r="R112" s="401"/>
      <c r="S112" s="401"/>
      <c r="T112" s="401"/>
      <c r="U112" s="401"/>
      <c r="V112" s="401"/>
      <c r="W112" s="401"/>
      <c r="X112" s="401"/>
      <c r="Y112" s="401"/>
      <c r="Z112" s="401"/>
      <c r="AA112" s="401"/>
    </row>
    <row r="113">
      <c r="A113" s="397">
        <v>2020.0</v>
      </c>
      <c r="B113" s="397" t="s">
        <v>1407</v>
      </c>
      <c r="C113" s="397" t="s">
        <v>1376</v>
      </c>
      <c r="D113" s="397" t="s">
        <v>1422</v>
      </c>
      <c r="E113" s="398">
        <v>1779312.0</v>
      </c>
      <c r="F113" s="399">
        <v>779528.0</v>
      </c>
      <c r="G113" s="399">
        <v>999784.0</v>
      </c>
      <c r="H113" s="400">
        <v>0.561893585835424</v>
      </c>
      <c r="I113" s="397"/>
      <c r="J113" s="401"/>
      <c r="K113" s="401"/>
      <c r="L113" s="401"/>
      <c r="M113" s="401"/>
      <c r="N113" s="401"/>
      <c r="O113" s="401"/>
      <c r="P113" s="401"/>
      <c r="Q113" s="401"/>
      <c r="R113" s="401"/>
      <c r="S113" s="401"/>
      <c r="T113" s="401"/>
      <c r="U113" s="401"/>
      <c r="V113" s="401"/>
      <c r="W113" s="401"/>
      <c r="X113" s="401"/>
      <c r="Y113" s="401"/>
      <c r="Z113" s="401"/>
      <c r="AA113" s="401"/>
    </row>
    <row r="114">
      <c r="A114" s="397">
        <v>2020.0</v>
      </c>
      <c r="B114" s="403" t="s">
        <v>1407</v>
      </c>
      <c r="C114" s="397" t="s">
        <v>1372</v>
      </c>
      <c r="D114" s="397" t="s">
        <v>1423</v>
      </c>
      <c r="E114" s="399">
        <v>435185.0</v>
      </c>
      <c r="F114" s="399">
        <v>160025.0</v>
      </c>
      <c r="G114" s="399">
        <v>275160.0</v>
      </c>
      <c r="H114" s="400">
        <v>0.6322828222480095</v>
      </c>
      <c r="I114" s="403"/>
      <c r="J114" s="401"/>
      <c r="K114" s="401"/>
      <c r="L114" s="401"/>
      <c r="M114" s="401"/>
      <c r="N114" s="401"/>
      <c r="O114" s="401"/>
      <c r="P114" s="401"/>
      <c r="Q114" s="401"/>
      <c r="R114" s="401"/>
      <c r="S114" s="401"/>
      <c r="T114" s="401"/>
      <c r="U114" s="401"/>
      <c r="V114" s="401"/>
      <c r="W114" s="401"/>
      <c r="X114" s="401"/>
      <c r="Y114" s="401"/>
      <c r="Z114" s="401"/>
      <c r="AA114" s="401"/>
    </row>
    <row r="115">
      <c r="A115" s="397">
        <v>2020.0</v>
      </c>
      <c r="B115" s="403" t="s">
        <v>75</v>
      </c>
      <c r="C115" s="397" t="s">
        <v>1372</v>
      </c>
      <c r="D115" s="403" t="s">
        <v>1372</v>
      </c>
      <c r="E115" s="399">
        <v>7457197.0</v>
      </c>
      <c r="F115" s="399">
        <v>390808.0</v>
      </c>
      <c r="G115" s="399">
        <v>7066389.0</v>
      </c>
      <c r="H115" s="400">
        <v>0.9475931774365086</v>
      </c>
      <c r="I115" s="401"/>
      <c r="J115" s="401"/>
      <c r="K115" s="401"/>
      <c r="L115" s="401"/>
      <c r="M115" s="401"/>
      <c r="N115" s="401"/>
      <c r="O115" s="401"/>
      <c r="P115" s="401"/>
      <c r="Q115" s="401"/>
      <c r="R115" s="401"/>
      <c r="S115" s="401"/>
      <c r="T115" s="401"/>
      <c r="U115" s="401"/>
      <c r="V115" s="401"/>
      <c r="W115" s="401"/>
      <c r="X115" s="401"/>
      <c r="Y115" s="401"/>
      <c r="Z115" s="401"/>
      <c r="AA115" s="401"/>
    </row>
    <row r="116">
      <c r="A116" s="397">
        <v>2020.0</v>
      </c>
      <c r="B116" s="397" t="s">
        <v>75</v>
      </c>
      <c r="C116" s="397" t="s">
        <v>1376</v>
      </c>
      <c r="D116" s="397" t="s">
        <v>1422</v>
      </c>
      <c r="E116" s="399">
        <v>4608817.0</v>
      </c>
      <c r="F116" s="399">
        <v>1609519.0</v>
      </c>
      <c r="G116" s="399">
        <v>2999298.0</v>
      </c>
      <c r="H116" s="400">
        <v>0.650773940471058</v>
      </c>
      <c r="I116" s="398">
        <v>495000.0</v>
      </c>
      <c r="J116" s="401"/>
      <c r="K116" s="401"/>
      <c r="L116" s="401"/>
      <c r="M116" s="401"/>
      <c r="N116" s="401"/>
      <c r="O116" s="401"/>
      <c r="P116" s="401"/>
      <c r="Q116" s="401"/>
      <c r="R116" s="401"/>
      <c r="S116" s="401"/>
      <c r="T116" s="401"/>
      <c r="U116" s="401"/>
      <c r="V116" s="401"/>
      <c r="W116" s="401"/>
      <c r="X116" s="401"/>
      <c r="Y116" s="401"/>
      <c r="Z116" s="401"/>
      <c r="AA116" s="401"/>
    </row>
    <row r="117">
      <c r="A117" s="397">
        <v>2020.0</v>
      </c>
      <c r="B117" s="397" t="s">
        <v>1403</v>
      </c>
      <c r="C117" s="397" t="s">
        <v>1379</v>
      </c>
      <c r="D117" s="397" t="s">
        <v>1426</v>
      </c>
      <c r="E117" s="398">
        <v>1.93312351E8</v>
      </c>
      <c r="F117" s="399">
        <v>1.92980599E8</v>
      </c>
      <c r="G117" s="398">
        <v>331752.0</v>
      </c>
      <c r="H117" s="400">
        <v>0.001716144872709142</v>
      </c>
      <c r="I117" s="401"/>
      <c r="J117" s="401"/>
      <c r="K117" s="401"/>
      <c r="L117" s="401"/>
      <c r="M117" s="401"/>
      <c r="N117" s="401"/>
      <c r="O117" s="401"/>
      <c r="P117" s="401"/>
      <c r="Q117" s="401"/>
      <c r="R117" s="401"/>
      <c r="S117" s="401"/>
      <c r="T117" s="401"/>
      <c r="U117" s="401"/>
      <c r="V117" s="401"/>
      <c r="W117" s="401"/>
      <c r="X117" s="401"/>
      <c r="Y117" s="401"/>
      <c r="Z117" s="401"/>
      <c r="AA117" s="401"/>
    </row>
    <row r="118">
      <c r="A118" s="397">
        <v>2020.0</v>
      </c>
      <c r="B118" s="397" t="s">
        <v>1403</v>
      </c>
      <c r="C118" s="397" t="s">
        <v>1379</v>
      </c>
      <c r="D118" s="397" t="s">
        <v>1404</v>
      </c>
      <c r="E118" s="398">
        <v>521612.0</v>
      </c>
      <c r="F118" s="399">
        <v>521389.0</v>
      </c>
      <c r="G118" s="398">
        <v>223.0</v>
      </c>
      <c r="H118" s="400">
        <v>4.275208392444959E-4</v>
      </c>
      <c r="I118" s="401"/>
      <c r="J118" s="401"/>
      <c r="K118" s="401"/>
      <c r="L118" s="401"/>
      <c r="M118" s="401"/>
      <c r="N118" s="401"/>
      <c r="O118" s="401"/>
      <c r="P118" s="401"/>
      <c r="Q118" s="401"/>
      <c r="R118" s="401"/>
      <c r="S118" s="401"/>
      <c r="T118" s="401"/>
      <c r="U118" s="401"/>
      <c r="V118" s="401"/>
      <c r="W118" s="401"/>
      <c r="X118" s="401"/>
      <c r="Y118" s="401"/>
      <c r="Z118" s="401"/>
      <c r="AA118" s="401"/>
    </row>
    <row r="119">
      <c r="A119" s="397">
        <v>2020.0</v>
      </c>
      <c r="B119" s="403" t="s">
        <v>527</v>
      </c>
      <c r="C119" s="397" t="s">
        <v>1372</v>
      </c>
      <c r="D119" s="403" t="s">
        <v>1372</v>
      </c>
      <c r="E119" s="399">
        <v>3304448.0</v>
      </c>
      <c r="F119" s="398">
        <v>1509374.0</v>
      </c>
      <c r="G119" s="399">
        <v>1795074.0</v>
      </c>
      <c r="H119" s="400">
        <v>0.5432296105128602</v>
      </c>
      <c r="I119" s="401"/>
      <c r="J119" s="401"/>
      <c r="K119" s="401"/>
      <c r="L119" s="401"/>
      <c r="M119" s="401"/>
      <c r="N119" s="401"/>
      <c r="O119" s="401"/>
      <c r="P119" s="401"/>
      <c r="Q119" s="401"/>
      <c r="R119" s="401"/>
      <c r="S119" s="401"/>
      <c r="T119" s="401"/>
      <c r="U119" s="401"/>
      <c r="V119" s="401"/>
      <c r="W119" s="401"/>
      <c r="X119" s="401"/>
      <c r="Y119" s="401"/>
      <c r="Z119" s="401"/>
      <c r="AA119" s="401"/>
    </row>
    <row r="120">
      <c r="A120" s="397">
        <v>2020.0</v>
      </c>
      <c r="B120" s="397" t="s">
        <v>527</v>
      </c>
      <c r="C120" s="397" t="s">
        <v>1376</v>
      </c>
      <c r="D120" s="397" t="s">
        <v>1422</v>
      </c>
      <c r="E120" s="398">
        <v>4012600.0</v>
      </c>
      <c r="F120" s="399">
        <v>0.0</v>
      </c>
      <c r="G120" s="399">
        <v>4012600.0</v>
      </c>
      <c r="H120" s="400">
        <v>1.0</v>
      </c>
      <c r="I120" s="398">
        <v>1.7821196E7</v>
      </c>
      <c r="J120" s="401"/>
      <c r="K120" s="401"/>
      <c r="L120" s="401"/>
      <c r="M120" s="401"/>
      <c r="N120" s="401"/>
      <c r="O120" s="401"/>
      <c r="P120" s="401"/>
      <c r="Q120" s="401"/>
      <c r="R120" s="401"/>
      <c r="S120" s="401"/>
      <c r="T120" s="401"/>
      <c r="U120" s="401"/>
      <c r="V120" s="401"/>
      <c r="W120" s="401"/>
      <c r="X120" s="401"/>
      <c r="Y120" s="401"/>
      <c r="Z120" s="401"/>
      <c r="AA120" s="401"/>
    </row>
    <row r="121">
      <c r="A121" s="397">
        <v>2020.0</v>
      </c>
      <c r="B121" s="397" t="s">
        <v>74</v>
      </c>
      <c r="C121" s="397" t="s">
        <v>1376</v>
      </c>
      <c r="D121" s="397" t="s">
        <v>1422</v>
      </c>
      <c r="E121" s="398">
        <v>2.4851031E7</v>
      </c>
      <c r="F121" s="399">
        <v>2.4851031E7</v>
      </c>
      <c r="G121" s="398">
        <v>0.0</v>
      </c>
      <c r="H121" s="400">
        <v>0.0</v>
      </c>
      <c r="I121" s="398">
        <v>1.743885E7</v>
      </c>
      <c r="J121" s="401"/>
      <c r="K121" s="401"/>
      <c r="L121" s="401"/>
      <c r="M121" s="401"/>
      <c r="N121" s="401"/>
      <c r="O121" s="401"/>
      <c r="P121" s="401"/>
      <c r="Q121" s="401"/>
      <c r="R121" s="401"/>
      <c r="S121" s="401"/>
      <c r="T121" s="401"/>
      <c r="U121" s="401"/>
      <c r="V121" s="401"/>
      <c r="W121" s="401"/>
      <c r="X121" s="401"/>
      <c r="Y121" s="401"/>
      <c r="Z121" s="401"/>
      <c r="AA121" s="401"/>
    </row>
    <row r="122">
      <c r="A122" s="397">
        <v>2020.0</v>
      </c>
      <c r="B122" s="397" t="s">
        <v>74</v>
      </c>
      <c r="C122" s="397" t="s">
        <v>1372</v>
      </c>
      <c r="D122" s="397" t="s">
        <v>1427</v>
      </c>
      <c r="E122" s="398">
        <v>54528.0</v>
      </c>
      <c r="F122" s="399">
        <v>49028.0</v>
      </c>
      <c r="G122" s="398">
        <v>5500.0</v>
      </c>
      <c r="H122" s="400">
        <v>0.1008656103286385</v>
      </c>
      <c r="I122" s="401"/>
      <c r="J122" s="401"/>
      <c r="K122" s="401"/>
      <c r="L122" s="401"/>
      <c r="M122" s="401"/>
      <c r="N122" s="401"/>
      <c r="O122" s="401"/>
      <c r="P122" s="401"/>
      <c r="Q122" s="401"/>
      <c r="R122" s="401"/>
      <c r="S122" s="401"/>
      <c r="T122" s="401"/>
      <c r="U122" s="401"/>
      <c r="V122" s="401"/>
      <c r="W122" s="401"/>
      <c r="X122" s="401"/>
      <c r="Y122" s="401"/>
      <c r="Z122" s="401"/>
      <c r="AA122" s="401"/>
    </row>
    <row r="123">
      <c r="A123" s="397">
        <v>2020.0</v>
      </c>
      <c r="B123" s="397" t="s">
        <v>74</v>
      </c>
      <c r="C123" s="397" t="s">
        <v>1372</v>
      </c>
      <c r="D123" s="397" t="s">
        <v>1428</v>
      </c>
      <c r="E123" s="399">
        <v>1052766.0</v>
      </c>
      <c r="F123" s="399">
        <v>1052766.0</v>
      </c>
      <c r="G123" s="399">
        <v>0.0</v>
      </c>
      <c r="H123" s="400">
        <v>0.0</v>
      </c>
      <c r="I123" s="398">
        <v>50000.0</v>
      </c>
      <c r="J123" s="401"/>
      <c r="K123" s="401"/>
      <c r="L123" s="401"/>
      <c r="M123" s="401"/>
      <c r="N123" s="401"/>
      <c r="O123" s="401"/>
      <c r="P123" s="401"/>
      <c r="Q123" s="401"/>
      <c r="R123" s="401"/>
      <c r="S123" s="401"/>
      <c r="T123" s="401"/>
      <c r="U123" s="401"/>
      <c r="V123" s="401"/>
      <c r="W123" s="401"/>
      <c r="X123" s="401"/>
      <c r="Y123" s="401"/>
      <c r="Z123" s="401"/>
      <c r="AA123" s="401"/>
    </row>
    <row r="124">
      <c r="A124" s="397">
        <v>2020.0</v>
      </c>
      <c r="B124" s="397" t="s">
        <v>74</v>
      </c>
      <c r="C124" s="397" t="s">
        <v>1372</v>
      </c>
      <c r="D124" s="397" t="s">
        <v>1372</v>
      </c>
      <c r="E124" s="399">
        <v>7117764.0</v>
      </c>
      <c r="F124" s="399">
        <v>1146961.0</v>
      </c>
      <c r="G124" s="399">
        <v>5970803.0</v>
      </c>
      <c r="H124" s="400">
        <v>0.8388593665089205</v>
      </c>
      <c r="I124" s="401"/>
      <c r="J124" s="401"/>
      <c r="K124" s="401"/>
      <c r="L124" s="401"/>
      <c r="M124" s="401"/>
      <c r="N124" s="401"/>
      <c r="O124" s="401"/>
      <c r="P124" s="401"/>
      <c r="Q124" s="401"/>
      <c r="R124" s="401"/>
      <c r="S124" s="401"/>
      <c r="T124" s="401"/>
      <c r="U124" s="401"/>
      <c r="V124" s="401"/>
      <c r="W124" s="401"/>
      <c r="X124" s="401"/>
      <c r="Y124" s="401"/>
      <c r="Z124" s="401"/>
      <c r="AA124" s="401"/>
    </row>
    <row r="125">
      <c r="A125" s="397">
        <v>2020.0</v>
      </c>
      <c r="B125" s="397" t="s">
        <v>74</v>
      </c>
      <c r="C125" s="397" t="s">
        <v>1375</v>
      </c>
      <c r="D125" s="397" t="s">
        <v>1375</v>
      </c>
      <c r="E125" s="399">
        <v>1485345.0</v>
      </c>
      <c r="F125" s="399">
        <v>1330818.0</v>
      </c>
      <c r="G125" s="399">
        <v>154527.0</v>
      </c>
      <c r="H125" s="400">
        <v>0.10403441624673056</v>
      </c>
      <c r="I125" s="401"/>
      <c r="J125" s="401"/>
      <c r="K125" s="401"/>
      <c r="L125" s="401"/>
      <c r="M125" s="401"/>
      <c r="N125" s="401"/>
      <c r="O125" s="401"/>
      <c r="P125" s="401"/>
      <c r="Q125" s="401"/>
      <c r="R125" s="401"/>
      <c r="S125" s="401"/>
      <c r="T125" s="401"/>
      <c r="U125" s="401"/>
      <c r="V125" s="401"/>
      <c r="W125" s="401"/>
      <c r="X125" s="401"/>
      <c r="Y125" s="401"/>
      <c r="Z125" s="401"/>
      <c r="AA125" s="401"/>
    </row>
    <row r="126">
      <c r="A126" s="397">
        <v>2020.0</v>
      </c>
      <c r="B126" s="397" t="s">
        <v>585</v>
      </c>
      <c r="C126" s="397" t="s">
        <v>1376</v>
      </c>
      <c r="D126" s="397" t="s">
        <v>1422</v>
      </c>
      <c r="E126" s="398">
        <v>8447009.0</v>
      </c>
      <c r="F126" s="399">
        <v>8447009.0</v>
      </c>
      <c r="G126" s="398">
        <v>0.0</v>
      </c>
      <c r="H126" s="400">
        <v>0.0</v>
      </c>
      <c r="I126" s="398">
        <v>3930000.0</v>
      </c>
      <c r="J126" s="401"/>
      <c r="K126" s="401"/>
      <c r="L126" s="401"/>
      <c r="M126" s="401"/>
      <c r="N126" s="401"/>
      <c r="O126" s="401"/>
      <c r="P126" s="401"/>
      <c r="Q126" s="401"/>
      <c r="R126" s="401"/>
      <c r="S126" s="401"/>
      <c r="T126" s="401"/>
      <c r="U126" s="401"/>
      <c r="V126" s="401"/>
      <c r="W126" s="401"/>
      <c r="X126" s="401"/>
      <c r="Y126" s="401"/>
      <c r="Z126" s="401"/>
      <c r="AA126" s="401"/>
    </row>
    <row r="127">
      <c r="A127" s="397">
        <v>2019.0</v>
      </c>
      <c r="B127" s="397" t="s">
        <v>681</v>
      </c>
      <c r="C127" s="397" t="s">
        <v>1372</v>
      </c>
      <c r="D127" s="397" t="s">
        <v>1415</v>
      </c>
      <c r="E127" s="398">
        <v>47530.0</v>
      </c>
      <c r="F127" s="399"/>
      <c r="G127" s="399">
        <v>47530.0</v>
      </c>
      <c r="H127" s="400">
        <v>1.0</v>
      </c>
      <c r="I127" s="399">
        <v>3350000.0</v>
      </c>
      <c r="J127" s="401"/>
      <c r="K127" s="401"/>
      <c r="L127" s="401"/>
      <c r="M127" s="401"/>
      <c r="N127" s="401"/>
      <c r="O127" s="401"/>
      <c r="P127" s="401"/>
      <c r="Q127" s="401"/>
      <c r="R127" s="401"/>
      <c r="S127" s="401"/>
      <c r="T127" s="401"/>
      <c r="U127" s="401"/>
      <c r="V127" s="401"/>
      <c r="W127" s="401"/>
      <c r="X127" s="401"/>
      <c r="Y127" s="401"/>
      <c r="Z127" s="401"/>
      <c r="AA127" s="401"/>
    </row>
    <row r="128">
      <c r="A128" s="397">
        <v>2019.0</v>
      </c>
      <c r="B128" s="397" t="s">
        <v>78</v>
      </c>
      <c r="C128" s="397" t="s">
        <v>1372</v>
      </c>
      <c r="D128" s="397" t="s">
        <v>1421</v>
      </c>
      <c r="E128" s="398">
        <v>1.6596731E7</v>
      </c>
      <c r="F128" s="399">
        <v>1.6591819E7</v>
      </c>
      <c r="G128" s="399">
        <v>4912.0</v>
      </c>
      <c r="H128" s="400">
        <v>2.9596189755681405E-4</v>
      </c>
      <c r="I128" s="401"/>
      <c r="J128" s="401"/>
      <c r="K128" s="401"/>
      <c r="L128" s="401"/>
      <c r="M128" s="401"/>
      <c r="N128" s="401"/>
      <c r="O128" s="401"/>
      <c r="P128" s="401"/>
      <c r="Q128" s="401"/>
      <c r="R128" s="401"/>
      <c r="S128" s="401"/>
      <c r="T128" s="401"/>
      <c r="U128" s="401"/>
      <c r="V128" s="401"/>
      <c r="W128" s="401"/>
      <c r="X128" s="401"/>
      <c r="Y128" s="401"/>
      <c r="Z128" s="401"/>
      <c r="AA128" s="401"/>
    </row>
    <row r="129">
      <c r="A129" s="397">
        <v>2019.0</v>
      </c>
      <c r="B129" s="397" t="s">
        <v>78</v>
      </c>
      <c r="C129" s="397" t="s">
        <v>1372</v>
      </c>
      <c r="D129" s="397" t="s">
        <v>1372</v>
      </c>
      <c r="E129" s="398">
        <v>8389534.0</v>
      </c>
      <c r="F129" s="399">
        <v>1183127.0</v>
      </c>
      <c r="G129" s="399">
        <v>7206407.0</v>
      </c>
      <c r="H129" s="400">
        <v>0.8589758382289171</v>
      </c>
      <c r="I129" s="397"/>
      <c r="J129" s="401"/>
      <c r="K129" s="401"/>
      <c r="L129" s="401"/>
      <c r="M129" s="401"/>
      <c r="N129" s="401"/>
      <c r="O129" s="401"/>
      <c r="P129" s="401"/>
      <c r="Q129" s="401"/>
      <c r="R129" s="401"/>
      <c r="S129" s="401"/>
      <c r="T129" s="401"/>
      <c r="U129" s="401"/>
      <c r="V129" s="401"/>
      <c r="W129" s="401"/>
      <c r="X129" s="401"/>
      <c r="Y129" s="401"/>
      <c r="Z129" s="401"/>
      <c r="AA129" s="401"/>
    </row>
    <row r="130">
      <c r="A130" s="397">
        <v>2019.0</v>
      </c>
      <c r="B130" s="397" t="s">
        <v>78</v>
      </c>
      <c r="C130" s="397" t="s">
        <v>1378</v>
      </c>
      <c r="D130" s="397" t="s">
        <v>1425</v>
      </c>
      <c r="E130" s="398">
        <v>130004.0</v>
      </c>
      <c r="F130" s="399">
        <v>130004.0</v>
      </c>
      <c r="G130" s="398">
        <v>0.0</v>
      </c>
      <c r="H130" s="400">
        <v>0.0</v>
      </c>
      <c r="I130" s="397"/>
      <c r="J130" s="401"/>
      <c r="K130" s="401"/>
      <c r="L130" s="401"/>
      <c r="M130" s="401"/>
      <c r="N130" s="401"/>
      <c r="O130" s="401"/>
      <c r="P130" s="401"/>
      <c r="Q130" s="401"/>
      <c r="R130" s="401"/>
      <c r="S130" s="401"/>
      <c r="T130" s="401"/>
      <c r="U130" s="401"/>
      <c r="V130" s="401"/>
      <c r="W130" s="401"/>
      <c r="X130" s="401"/>
      <c r="Y130" s="401"/>
      <c r="Z130" s="401"/>
      <c r="AA130" s="401"/>
    </row>
    <row r="131">
      <c r="A131" s="397">
        <v>2019.0</v>
      </c>
      <c r="B131" s="397" t="s">
        <v>1401</v>
      </c>
      <c r="C131" s="397" t="s">
        <v>1377</v>
      </c>
      <c r="D131" s="397" t="s">
        <v>1377</v>
      </c>
      <c r="E131" s="398">
        <v>6590822.0</v>
      </c>
      <c r="F131" s="399">
        <v>90633.0</v>
      </c>
      <c r="G131" s="399">
        <v>6500189.0</v>
      </c>
      <c r="H131" s="400">
        <v>0.9862486044988015</v>
      </c>
      <c r="I131" s="401"/>
      <c r="J131" s="401"/>
      <c r="K131" s="401"/>
      <c r="L131" s="401"/>
      <c r="M131" s="401"/>
      <c r="N131" s="401"/>
      <c r="O131" s="401"/>
      <c r="P131" s="401"/>
      <c r="Q131" s="401"/>
      <c r="R131" s="401"/>
      <c r="S131" s="401"/>
      <c r="T131" s="401"/>
      <c r="U131" s="401"/>
      <c r="V131" s="401"/>
      <c r="W131" s="401"/>
      <c r="X131" s="401"/>
      <c r="Y131" s="401"/>
      <c r="Z131" s="401"/>
      <c r="AA131" s="401"/>
    </row>
    <row r="132">
      <c r="A132" s="397">
        <v>2019.0</v>
      </c>
      <c r="B132" s="397" t="s">
        <v>77</v>
      </c>
      <c r="C132" s="397" t="s">
        <v>1372</v>
      </c>
      <c r="D132" s="397" t="s">
        <v>1372</v>
      </c>
      <c r="E132" s="398">
        <v>6993833.0</v>
      </c>
      <c r="F132" s="399">
        <v>156338.0</v>
      </c>
      <c r="G132" s="399">
        <v>6837495.0</v>
      </c>
      <c r="H132" s="400">
        <v>0.9776463063959349</v>
      </c>
      <c r="I132" s="401"/>
      <c r="J132" s="401"/>
      <c r="K132" s="401"/>
      <c r="L132" s="401"/>
      <c r="M132" s="401"/>
      <c r="N132" s="401"/>
      <c r="O132" s="401"/>
      <c r="P132" s="401"/>
      <c r="Q132" s="401"/>
      <c r="R132" s="401"/>
      <c r="S132" s="401"/>
      <c r="T132" s="401"/>
      <c r="U132" s="401"/>
      <c r="V132" s="401"/>
      <c r="W132" s="401"/>
      <c r="X132" s="401"/>
      <c r="Y132" s="401"/>
      <c r="Z132" s="401"/>
      <c r="AA132" s="401"/>
    </row>
    <row r="133">
      <c r="A133" s="397">
        <v>2019.0</v>
      </c>
      <c r="B133" s="397" t="s">
        <v>77</v>
      </c>
      <c r="C133" s="397" t="s">
        <v>1372</v>
      </c>
      <c r="D133" s="397" t="s">
        <v>1421</v>
      </c>
      <c r="E133" s="398">
        <v>1161986.0</v>
      </c>
      <c r="F133" s="399">
        <v>1159777.0</v>
      </c>
      <c r="G133" s="399">
        <v>2209.0</v>
      </c>
      <c r="H133" s="400">
        <v>0.0019010556065219375</v>
      </c>
      <c r="I133" s="401"/>
      <c r="J133" s="401"/>
      <c r="K133" s="401"/>
      <c r="L133" s="401"/>
      <c r="M133" s="401"/>
      <c r="N133" s="401"/>
      <c r="O133" s="401"/>
      <c r="P133" s="401"/>
      <c r="Q133" s="401"/>
      <c r="R133" s="401"/>
      <c r="S133" s="401"/>
      <c r="T133" s="401"/>
      <c r="U133" s="401"/>
      <c r="V133" s="401"/>
      <c r="W133" s="401"/>
      <c r="X133" s="401"/>
      <c r="Y133" s="401"/>
      <c r="Z133" s="401"/>
      <c r="AA133" s="401"/>
    </row>
    <row r="134">
      <c r="A134" s="397">
        <v>2019.0</v>
      </c>
      <c r="B134" s="403" t="s">
        <v>1407</v>
      </c>
      <c r="C134" s="397" t="s">
        <v>1372</v>
      </c>
      <c r="D134" s="397" t="s">
        <v>1423</v>
      </c>
      <c r="E134" s="399">
        <v>254974.0</v>
      </c>
      <c r="F134" s="399">
        <v>5329.0</v>
      </c>
      <c r="G134" s="399">
        <v>249645.0</v>
      </c>
      <c r="H134" s="400">
        <v>0.9790998297865665</v>
      </c>
      <c r="I134" s="403"/>
      <c r="J134" s="401"/>
      <c r="K134" s="401"/>
      <c r="L134" s="401"/>
      <c r="M134" s="401"/>
      <c r="N134" s="401"/>
      <c r="O134" s="401"/>
      <c r="P134" s="401"/>
      <c r="Q134" s="401"/>
      <c r="R134" s="401"/>
      <c r="S134" s="401"/>
      <c r="T134" s="401"/>
      <c r="U134" s="401"/>
      <c r="V134" s="401"/>
      <c r="W134" s="401"/>
      <c r="X134" s="401"/>
      <c r="Y134" s="401"/>
      <c r="Z134" s="401"/>
      <c r="AA134" s="401"/>
    </row>
    <row r="135">
      <c r="A135" s="397">
        <v>2019.0</v>
      </c>
      <c r="B135" s="397" t="s">
        <v>1403</v>
      </c>
      <c r="C135" s="397" t="s">
        <v>1379</v>
      </c>
      <c r="D135" s="397" t="s">
        <v>1404</v>
      </c>
      <c r="E135" s="398">
        <v>994314.0</v>
      </c>
      <c r="F135" s="399">
        <v>986707.0</v>
      </c>
      <c r="G135" s="398">
        <v>7607.0</v>
      </c>
      <c r="H135" s="400">
        <v>0.007650500747248857</v>
      </c>
      <c r="I135" s="401"/>
      <c r="J135" s="401"/>
      <c r="K135" s="401"/>
      <c r="L135" s="401"/>
      <c r="M135" s="401"/>
      <c r="N135" s="401"/>
      <c r="O135" s="401"/>
      <c r="P135" s="401"/>
      <c r="Q135" s="401"/>
      <c r="R135" s="401"/>
      <c r="S135" s="401"/>
      <c r="T135" s="401"/>
      <c r="U135" s="401"/>
      <c r="V135" s="401"/>
      <c r="W135" s="401"/>
      <c r="X135" s="401"/>
      <c r="Y135" s="401"/>
      <c r="Z135" s="401"/>
      <c r="AA135" s="401"/>
    </row>
    <row r="136">
      <c r="A136" s="397">
        <v>2019.0</v>
      </c>
      <c r="B136" s="403" t="s">
        <v>75</v>
      </c>
      <c r="C136" s="397" t="s">
        <v>1372</v>
      </c>
      <c r="D136" s="403" t="s">
        <v>1372</v>
      </c>
      <c r="E136" s="399">
        <v>334465.0</v>
      </c>
      <c r="F136" s="399">
        <v>84465.0</v>
      </c>
      <c r="G136" s="399">
        <v>250000.0</v>
      </c>
      <c r="H136" s="400">
        <v>0.7474623652699086</v>
      </c>
      <c r="I136" s="401"/>
      <c r="J136" s="401"/>
      <c r="K136" s="401"/>
      <c r="L136" s="401"/>
      <c r="M136" s="401"/>
      <c r="N136" s="401"/>
      <c r="O136" s="401"/>
      <c r="P136" s="401"/>
      <c r="Q136" s="401"/>
      <c r="R136" s="401"/>
      <c r="S136" s="401"/>
      <c r="T136" s="401"/>
      <c r="U136" s="401"/>
      <c r="V136" s="401"/>
      <c r="W136" s="401"/>
      <c r="X136" s="401"/>
      <c r="Y136" s="401"/>
      <c r="Z136" s="401"/>
      <c r="AA136" s="401"/>
    </row>
    <row r="137">
      <c r="A137" s="397">
        <v>2019.0</v>
      </c>
      <c r="B137" s="403" t="s">
        <v>527</v>
      </c>
      <c r="C137" s="397" t="s">
        <v>1372</v>
      </c>
      <c r="D137" s="403" t="s">
        <v>1372</v>
      </c>
      <c r="E137" s="399">
        <v>2027513.0</v>
      </c>
      <c r="F137" s="398">
        <v>1026414.0</v>
      </c>
      <c r="G137" s="399">
        <v>1001099.0</v>
      </c>
      <c r="H137" s="400">
        <v>0.4937571300405965</v>
      </c>
      <c r="I137" s="401"/>
      <c r="J137" s="401"/>
      <c r="K137" s="401"/>
      <c r="L137" s="401"/>
      <c r="M137" s="401"/>
      <c r="N137" s="401"/>
      <c r="O137" s="401"/>
      <c r="P137" s="401"/>
      <c r="Q137" s="401"/>
      <c r="R137" s="401"/>
      <c r="S137" s="401"/>
      <c r="T137" s="401"/>
      <c r="U137" s="401"/>
      <c r="V137" s="401"/>
      <c r="W137" s="401"/>
      <c r="X137" s="401"/>
      <c r="Y137" s="401"/>
      <c r="Z137" s="401"/>
      <c r="AA137" s="401"/>
    </row>
    <row r="138">
      <c r="A138" s="397">
        <v>2019.0</v>
      </c>
      <c r="B138" s="397" t="s">
        <v>74</v>
      </c>
      <c r="C138" s="397" t="s">
        <v>1372</v>
      </c>
      <c r="D138" s="397" t="s">
        <v>1427</v>
      </c>
      <c r="E138" s="398">
        <v>341413.0</v>
      </c>
      <c r="F138" s="399">
        <v>209663.0</v>
      </c>
      <c r="G138" s="398">
        <v>131750.0</v>
      </c>
      <c r="H138" s="400">
        <v>0.3858962605407527</v>
      </c>
      <c r="I138" s="401"/>
      <c r="J138" s="401"/>
      <c r="K138" s="401"/>
      <c r="L138" s="401"/>
      <c r="M138" s="401"/>
      <c r="N138" s="401"/>
      <c r="O138" s="401"/>
      <c r="P138" s="401"/>
      <c r="Q138" s="401"/>
      <c r="R138" s="401"/>
      <c r="S138" s="401"/>
      <c r="T138" s="401"/>
      <c r="U138" s="401"/>
      <c r="V138" s="401"/>
      <c r="W138" s="401"/>
      <c r="X138" s="401"/>
      <c r="Y138" s="401"/>
      <c r="Z138" s="401"/>
      <c r="AA138" s="401"/>
    </row>
    <row r="139">
      <c r="A139" s="397">
        <v>2019.0</v>
      </c>
      <c r="B139" s="397" t="s">
        <v>74</v>
      </c>
      <c r="C139" s="397" t="s">
        <v>1372</v>
      </c>
      <c r="D139" s="397" t="s">
        <v>1372</v>
      </c>
      <c r="E139" s="399">
        <v>1.0616772E7</v>
      </c>
      <c r="F139" s="399">
        <v>334007.0</v>
      </c>
      <c r="G139" s="399">
        <v>1.0282765E7</v>
      </c>
      <c r="H139" s="400">
        <v>0.9685396841902605</v>
      </c>
      <c r="I139" s="401"/>
      <c r="J139" s="401"/>
      <c r="K139" s="401"/>
      <c r="L139" s="401"/>
      <c r="M139" s="401"/>
      <c r="N139" s="401"/>
      <c r="O139" s="401"/>
      <c r="P139" s="401"/>
      <c r="Q139" s="401"/>
      <c r="R139" s="401"/>
      <c r="S139" s="401"/>
      <c r="T139" s="401"/>
      <c r="U139" s="401"/>
      <c r="V139" s="401"/>
      <c r="W139" s="401"/>
      <c r="X139" s="401"/>
      <c r="Y139" s="401"/>
      <c r="Z139" s="401"/>
      <c r="AA139" s="401"/>
    </row>
    <row r="140">
      <c r="A140" s="397">
        <v>2019.0</v>
      </c>
      <c r="B140" s="397" t="s">
        <v>74</v>
      </c>
      <c r="C140" s="397" t="s">
        <v>1375</v>
      </c>
      <c r="D140" s="397" t="s">
        <v>1375</v>
      </c>
      <c r="E140" s="399">
        <v>1444529.0</v>
      </c>
      <c r="F140" s="399">
        <v>1161717.0</v>
      </c>
      <c r="G140" s="399">
        <v>282812.0</v>
      </c>
      <c r="H140" s="400">
        <v>0.19578146233132046</v>
      </c>
      <c r="I140" s="401"/>
      <c r="J140" s="401"/>
      <c r="K140" s="401"/>
      <c r="L140" s="401"/>
      <c r="M140" s="401"/>
      <c r="N140" s="401"/>
      <c r="O140" s="401"/>
      <c r="P140" s="401"/>
      <c r="Q140" s="401"/>
      <c r="R140" s="401"/>
      <c r="S140" s="401"/>
      <c r="T140" s="401"/>
      <c r="U140" s="401"/>
      <c r="V140" s="401"/>
      <c r="W140" s="401"/>
      <c r="X140" s="401"/>
      <c r="Y140" s="401"/>
      <c r="Z140" s="401"/>
      <c r="AA140" s="401"/>
    </row>
    <row r="141">
      <c r="A141" s="397">
        <v>2018.0</v>
      </c>
      <c r="B141" s="397" t="s">
        <v>78</v>
      </c>
      <c r="C141" s="397" t="s">
        <v>1372</v>
      </c>
      <c r="D141" s="397" t="s">
        <v>1372</v>
      </c>
      <c r="E141" s="398">
        <v>7217166.0</v>
      </c>
      <c r="F141" s="399">
        <v>4962.0</v>
      </c>
      <c r="G141" s="399">
        <v>7212204.0</v>
      </c>
      <c r="H141" s="400">
        <v>0.9993124725134492</v>
      </c>
      <c r="I141" s="397"/>
      <c r="J141" s="401"/>
      <c r="K141" s="401"/>
      <c r="L141" s="401"/>
      <c r="M141" s="401"/>
      <c r="N141" s="401"/>
      <c r="O141" s="401"/>
      <c r="P141" s="401"/>
      <c r="Q141" s="401"/>
      <c r="R141" s="401"/>
      <c r="S141" s="401"/>
      <c r="T141" s="401"/>
      <c r="U141" s="401"/>
      <c r="V141" s="401"/>
      <c r="W141" s="401"/>
      <c r="X141" s="401"/>
      <c r="Y141" s="401"/>
      <c r="Z141" s="401"/>
      <c r="AA141" s="401"/>
    </row>
    <row r="142">
      <c r="A142" s="397">
        <v>2018.0</v>
      </c>
      <c r="B142" s="397" t="s">
        <v>1401</v>
      </c>
      <c r="C142" s="397" t="s">
        <v>1377</v>
      </c>
      <c r="D142" s="397" t="s">
        <v>1377</v>
      </c>
      <c r="E142" s="398">
        <v>2533554.0</v>
      </c>
      <c r="F142" s="399">
        <v>-8163.0</v>
      </c>
      <c r="G142" s="399">
        <v>2541717.0</v>
      </c>
      <c r="H142" s="400">
        <v>1.003221956192763</v>
      </c>
      <c r="I142" s="401"/>
      <c r="J142" s="401"/>
      <c r="K142" s="401"/>
      <c r="L142" s="401"/>
      <c r="M142" s="401"/>
      <c r="N142" s="401"/>
      <c r="O142" s="401"/>
      <c r="P142" s="401"/>
      <c r="Q142" s="401"/>
      <c r="R142" s="401"/>
      <c r="S142" s="401"/>
      <c r="T142" s="401"/>
      <c r="U142" s="401"/>
      <c r="V142" s="401"/>
      <c r="W142" s="401"/>
      <c r="X142" s="401"/>
      <c r="Y142" s="401"/>
      <c r="Z142" s="401"/>
      <c r="AA142" s="401"/>
    </row>
    <row r="143">
      <c r="A143" s="397">
        <v>2018.0</v>
      </c>
      <c r="B143" s="397" t="s">
        <v>77</v>
      </c>
      <c r="C143" s="397" t="s">
        <v>1372</v>
      </c>
      <c r="D143" s="397" t="s">
        <v>1372</v>
      </c>
      <c r="E143" s="398">
        <v>9899712.0</v>
      </c>
      <c r="F143" s="399">
        <v>219540.0</v>
      </c>
      <c r="G143" s="399">
        <v>9680172.0</v>
      </c>
      <c r="H143" s="400">
        <v>0.9778235972925273</v>
      </c>
      <c r="I143" s="401"/>
      <c r="J143" s="401"/>
      <c r="K143" s="401"/>
      <c r="L143" s="401"/>
      <c r="M143" s="401"/>
      <c r="N143" s="401"/>
      <c r="O143" s="401"/>
      <c r="P143" s="401"/>
      <c r="Q143" s="401"/>
      <c r="R143" s="401"/>
      <c r="S143" s="401"/>
      <c r="T143" s="401"/>
      <c r="U143" s="401"/>
      <c r="V143" s="401"/>
      <c r="W143" s="401"/>
      <c r="X143" s="401"/>
      <c r="Y143" s="401"/>
      <c r="Z143" s="401"/>
      <c r="AA143" s="401"/>
    </row>
    <row r="144">
      <c r="A144" s="397">
        <v>2018.0</v>
      </c>
      <c r="B144" s="397" t="s">
        <v>77</v>
      </c>
      <c r="C144" s="397" t="s">
        <v>1372</v>
      </c>
      <c r="D144" s="397" t="s">
        <v>1421</v>
      </c>
      <c r="E144" s="398">
        <v>749965.0</v>
      </c>
      <c r="F144" s="399">
        <v>749965.0</v>
      </c>
      <c r="G144" s="399">
        <v>0.0</v>
      </c>
      <c r="H144" s="400">
        <v>0.0</v>
      </c>
      <c r="I144" s="401"/>
      <c r="J144" s="401"/>
      <c r="K144" s="401"/>
      <c r="L144" s="401"/>
      <c r="M144" s="401"/>
      <c r="N144" s="401"/>
      <c r="O144" s="401"/>
      <c r="P144" s="401"/>
      <c r="Q144" s="401"/>
      <c r="R144" s="401"/>
      <c r="S144" s="401"/>
      <c r="T144" s="401"/>
      <c r="U144" s="401"/>
      <c r="V144" s="401"/>
      <c r="W144" s="401"/>
      <c r="X144" s="401"/>
      <c r="Y144" s="401"/>
      <c r="Z144" s="401"/>
      <c r="AA144" s="401"/>
    </row>
    <row r="145">
      <c r="A145" s="397">
        <v>2018.0</v>
      </c>
      <c r="B145" s="403" t="s">
        <v>1407</v>
      </c>
      <c r="C145" s="397" t="s">
        <v>1372</v>
      </c>
      <c r="D145" s="397" t="s">
        <v>1423</v>
      </c>
      <c r="E145" s="399">
        <v>3500149.0</v>
      </c>
      <c r="F145" s="399">
        <v>3004075.0</v>
      </c>
      <c r="G145" s="399">
        <v>496074.0</v>
      </c>
      <c r="H145" s="400">
        <v>0.14172939494861506</v>
      </c>
      <c r="I145" s="398">
        <v>3000000.0</v>
      </c>
      <c r="J145" s="401"/>
      <c r="K145" s="401"/>
      <c r="L145" s="401"/>
      <c r="M145" s="401"/>
      <c r="N145" s="401"/>
      <c r="O145" s="401"/>
      <c r="P145" s="401"/>
      <c r="Q145" s="401"/>
      <c r="R145" s="401"/>
      <c r="S145" s="401"/>
      <c r="T145" s="401"/>
      <c r="U145" s="401"/>
      <c r="V145" s="401"/>
      <c r="W145" s="401"/>
      <c r="X145" s="401"/>
      <c r="Y145" s="401"/>
      <c r="Z145" s="401"/>
      <c r="AA145" s="401"/>
    </row>
    <row r="146">
      <c r="A146" s="397">
        <v>2018.0</v>
      </c>
      <c r="B146" s="397" t="s">
        <v>1403</v>
      </c>
      <c r="C146" s="397" t="s">
        <v>1379</v>
      </c>
      <c r="D146" s="397" t="s">
        <v>1404</v>
      </c>
      <c r="E146" s="398">
        <v>1211412.0</v>
      </c>
      <c r="F146" s="399">
        <v>1155786.0</v>
      </c>
      <c r="G146" s="398">
        <v>55626.0</v>
      </c>
      <c r="H146" s="400">
        <v>0.04591831680716387</v>
      </c>
      <c r="I146" s="401"/>
      <c r="J146" s="401"/>
      <c r="K146" s="401"/>
      <c r="L146" s="401"/>
      <c r="M146" s="401"/>
      <c r="N146" s="401"/>
      <c r="O146" s="401"/>
      <c r="P146" s="401"/>
      <c r="Q146" s="401"/>
      <c r="R146" s="401"/>
      <c r="S146" s="401"/>
      <c r="T146" s="401"/>
      <c r="U146" s="401"/>
      <c r="V146" s="401"/>
      <c r="W146" s="401"/>
      <c r="X146" s="401"/>
      <c r="Y146" s="401"/>
      <c r="Z146" s="401"/>
      <c r="AA146" s="401"/>
    </row>
    <row r="147">
      <c r="A147" s="397">
        <v>2018.0</v>
      </c>
      <c r="B147" s="403" t="s">
        <v>75</v>
      </c>
      <c r="C147" s="397" t="s">
        <v>1372</v>
      </c>
      <c r="D147" s="403" t="s">
        <v>1372</v>
      </c>
      <c r="E147" s="399">
        <v>4500037.0</v>
      </c>
      <c r="F147" s="399">
        <v>3750000.0</v>
      </c>
      <c r="G147" s="399">
        <v>750037.0</v>
      </c>
      <c r="H147" s="400">
        <v>0.16667351846218154</v>
      </c>
      <c r="I147" s="398">
        <v>3750000.0</v>
      </c>
      <c r="J147" s="401"/>
      <c r="K147" s="401"/>
      <c r="L147" s="401"/>
      <c r="M147" s="401"/>
      <c r="N147" s="401"/>
      <c r="O147" s="401"/>
      <c r="P147" s="401"/>
      <c r="Q147" s="401"/>
      <c r="R147" s="401"/>
      <c r="S147" s="401"/>
      <c r="T147" s="401"/>
      <c r="U147" s="401"/>
      <c r="V147" s="401"/>
      <c r="W147" s="401"/>
      <c r="X147" s="401"/>
      <c r="Y147" s="401"/>
      <c r="Z147" s="401"/>
      <c r="AA147" s="401"/>
    </row>
    <row r="148">
      <c r="A148" s="397">
        <v>2018.0</v>
      </c>
      <c r="B148" s="403" t="s">
        <v>527</v>
      </c>
      <c r="C148" s="397" t="s">
        <v>1372</v>
      </c>
      <c r="D148" s="403" t="s">
        <v>1372</v>
      </c>
      <c r="E148" s="399">
        <v>5354510.0</v>
      </c>
      <c r="F148" s="398">
        <v>1754510.0</v>
      </c>
      <c r="G148" s="399">
        <v>3600000.0</v>
      </c>
      <c r="H148" s="400">
        <v>0.672330427994345</v>
      </c>
      <c r="I148" s="398">
        <v>3600000.0</v>
      </c>
      <c r="J148" s="401"/>
      <c r="K148" s="401"/>
      <c r="L148" s="401"/>
      <c r="M148" s="401"/>
      <c r="N148" s="401"/>
      <c r="O148" s="401"/>
      <c r="P148" s="401"/>
      <c r="Q148" s="401"/>
      <c r="R148" s="401"/>
      <c r="S148" s="401"/>
      <c r="T148" s="401"/>
      <c r="U148" s="401"/>
      <c r="V148" s="401"/>
      <c r="W148" s="401"/>
      <c r="X148" s="401"/>
      <c r="Y148" s="401"/>
      <c r="Z148" s="401"/>
      <c r="AA148" s="401"/>
    </row>
    <row r="149">
      <c r="A149" s="397">
        <v>2018.0</v>
      </c>
      <c r="B149" s="397" t="s">
        <v>74</v>
      </c>
      <c r="C149" s="397" t="s">
        <v>1372</v>
      </c>
      <c r="D149" s="397" t="s">
        <v>1427</v>
      </c>
      <c r="E149" s="398">
        <v>1071163.0</v>
      </c>
      <c r="F149" s="399">
        <v>570135.0</v>
      </c>
      <c r="G149" s="398">
        <v>501028.0</v>
      </c>
      <c r="H149" s="400">
        <v>0.4677420710013322</v>
      </c>
      <c r="I149" s="401"/>
      <c r="J149" s="401"/>
      <c r="K149" s="401"/>
      <c r="L149" s="401"/>
      <c r="M149" s="401"/>
      <c r="N149" s="401"/>
      <c r="O149" s="401"/>
      <c r="P149" s="401"/>
      <c r="Q149" s="401"/>
      <c r="R149" s="401"/>
      <c r="S149" s="401"/>
      <c r="T149" s="401"/>
      <c r="U149" s="401"/>
      <c r="V149" s="401"/>
      <c r="W149" s="401"/>
      <c r="X149" s="401"/>
      <c r="Y149" s="401"/>
      <c r="Z149" s="401"/>
      <c r="AA149" s="401"/>
    </row>
    <row r="150">
      <c r="A150" s="397">
        <v>2018.0</v>
      </c>
      <c r="B150" s="397" t="s">
        <v>74</v>
      </c>
      <c r="C150" s="397" t="s">
        <v>1372</v>
      </c>
      <c r="D150" s="397" t="s">
        <v>1372</v>
      </c>
      <c r="E150" s="398">
        <v>1.5115072E7</v>
      </c>
      <c r="F150" s="399">
        <v>328626.0</v>
      </c>
      <c r="G150" s="398">
        <v>1.4786446E7</v>
      </c>
      <c r="H150" s="400">
        <v>0.9782583900361176</v>
      </c>
      <c r="I150" s="401"/>
      <c r="J150" s="401"/>
      <c r="K150" s="401"/>
      <c r="L150" s="401"/>
      <c r="M150" s="401"/>
      <c r="N150" s="401"/>
      <c r="O150" s="401"/>
      <c r="P150" s="401"/>
      <c r="Q150" s="401"/>
      <c r="R150" s="401"/>
      <c r="S150" s="401"/>
      <c r="T150" s="401"/>
      <c r="U150" s="401"/>
      <c r="V150" s="401"/>
      <c r="W150" s="401"/>
      <c r="X150" s="401"/>
      <c r="Y150" s="401"/>
      <c r="Z150" s="401"/>
      <c r="AA150" s="401"/>
    </row>
    <row r="151">
      <c r="A151" s="397">
        <v>2018.0</v>
      </c>
      <c r="B151" s="397" t="s">
        <v>74</v>
      </c>
      <c r="C151" s="397" t="s">
        <v>1375</v>
      </c>
      <c r="D151" s="397" t="s">
        <v>1375</v>
      </c>
      <c r="E151" s="399">
        <v>1985725.0</v>
      </c>
      <c r="F151" s="399">
        <v>1500465.0</v>
      </c>
      <c r="G151" s="399">
        <v>485260.0</v>
      </c>
      <c r="H151" s="400">
        <v>0.24437422100240466</v>
      </c>
      <c r="I151" s="401"/>
      <c r="J151" s="401"/>
      <c r="K151" s="401"/>
      <c r="L151" s="401"/>
      <c r="M151" s="401"/>
      <c r="N151" s="401"/>
      <c r="O151" s="401"/>
      <c r="P151" s="401"/>
      <c r="Q151" s="401"/>
      <c r="R151" s="401"/>
      <c r="S151" s="401"/>
      <c r="T151" s="401"/>
      <c r="U151" s="401"/>
      <c r="V151" s="401"/>
      <c r="W151" s="401"/>
      <c r="X151" s="401"/>
      <c r="Y151" s="401"/>
      <c r="Z151" s="401"/>
      <c r="AA151" s="401"/>
    </row>
    <row r="152">
      <c r="A152" s="401"/>
      <c r="B152" s="401"/>
      <c r="C152" s="401"/>
      <c r="D152" s="401"/>
      <c r="E152" s="398"/>
      <c r="F152" s="399"/>
      <c r="G152" s="399"/>
      <c r="H152" s="400"/>
      <c r="I152" s="401"/>
      <c r="J152" s="401"/>
      <c r="K152" s="401"/>
      <c r="L152" s="401"/>
      <c r="M152" s="401"/>
      <c r="N152" s="401"/>
      <c r="O152" s="401"/>
      <c r="P152" s="401"/>
      <c r="Q152" s="401"/>
      <c r="R152" s="401"/>
      <c r="S152" s="401"/>
      <c r="T152" s="401"/>
      <c r="U152" s="401"/>
      <c r="V152" s="401"/>
      <c r="W152" s="401"/>
      <c r="X152" s="401"/>
      <c r="Y152" s="401"/>
      <c r="Z152" s="401"/>
      <c r="AA152" s="401"/>
    </row>
    <row r="153">
      <c r="A153" s="401"/>
      <c r="B153" s="401"/>
      <c r="C153" s="401"/>
      <c r="D153" s="401"/>
      <c r="E153" s="398"/>
      <c r="F153" s="399"/>
      <c r="G153" s="399"/>
      <c r="H153" s="400"/>
      <c r="I153" s="401"/>
      <c r="J153" s="401"/>
      <c r="K153" s="401"/>
      <c r="L153" s="401"/>
      <c r="M153" s="401"/>
      <c r="N153" s="401"/>
      <c r="O153" s="401"/>
      <c r="P153" s="401"/>
      <c r="Q153" s="401"/>
      <c r="R153" s="401"/>
      <c r="S153" s="401"/>
      <c r="T153" s="401"/>
      <c r="U153" s="401"/>
      <c r="V153" s="401"/>
      <c r="W153" s="401"/>
      <c r="X153" s="401"/>
      <c r="Y153" s="401"/>
      <c r="Z153" s="401"/>
      <c r="AA153" s="401"/>
    </row>
    <row r="154">
      <c r="A154" s="401"/>
      <c r="B154" s="401"/>
      <c r="C154" s="401"/>
      <c r="D154" s="401"/>
      <c r="E154" s="398"/>
      <c r="F154" s="399"/>
      <c r="G154" s="399"/>
      <c r="H154" s="400"/>
      <c r="I154" s="401"/>
      <c r="J154" s="401"/>
      <c r="K154" s="401"/>
      <c r="L154" s="401"/>
      <c r="M154" s="401"/>
      <c r="N154" s="401"/>
      <c r="O154" s="401"/>
      <c r="P154" s="401"/>
      <c r="Q154" s="401"/>
      <c r="R154" s="401"/>
      <c r="S154" s="401"/>
      <c r="T154" s="401"/>
      <c r="U154" s="401"/>
      <c r="V154" s="401"/>
      <c r="W154" s="401"/>
      <c r="X154" s="401"/>
      <c r="Y154" s="401"/>
      <c r="Z154" s="401"/>
      <c r="AA154" s="401"/>
    </row>
    <row r="155">
      <c r="A155" s="401"/>
      <c r="B155" s="401"/>
      <c r="C155" s="401"/>
      <c r="D155" s="401"/>
      <c r="E155" s="398"/>
      <c r="F155" s="399"/>
      <c r="G155" s="399"/>
      <c r="H155" s="400"/>
      <c r="I155" s="401"/>
      <c r="J155" s="401"/>
      <c r="K155" s="401"/>
      <c r="L155" s="401"/>
      <c r="M155" s="401"/>
      <c r="N155" s="401"/>
      <c r="O155" s="401"/>
      <c r="P155" s="401"/>
      <c r="Q155" s="401"/>
      <c r="R155" s="401"/>
      <c r="S155" s="401"/>
      <c r="T155" s="401"/>
      <c r="U155" s="401"/>
      <c r="V155" s="401"/>
      <c r="W155" s="401"/>
      <c r="X155" s="401"/>
      <c r="Y155" s="401"/>
      <c r="Z155" s="401"/>
      <c r="AA155" s="401"/>
    </row>
    <row r="156">
      <c r="A156" s="401"/>
      <c r="B156" s="401"/>
      <c r="C156" s="401"/>
      <c r="D156" s="401"/>
      <c r="E156" s="398"/>
      <c r="F156" s="399"/>
      <c r="G156" s="399"/>
      <c r="H156" s="400"/>
      <c r="I156" s="401"/>
      <c r="J156" s="401"/>
      <c r="K156" s="401"/>
      <c r="L156" s="401"/>
      <c r="M156" s="401"/>
      <c r="N156" s="401"/>
      <c r="O156" s="401"/>
      <c r="P156" s="401"/>
      <c r="Q156" s="401"/>
      <c r="R156" s="401"/>
      <c r="S156" s="401"/>
      <c r="T156" s="401"/>
      <c r="U156" s="401"/>
      <c r="V156" s="401"/>
      <c r="W156" s="401"/>
      <c r="X156" s="401"/>
      <c r="Y156" s="401"/>
      <c r="Z156" s="401"/>
      <c r="AA156" s="401"/>
    </row>
    <row r="157">
      <c r="A157" s="401"/>
      <c r="B157" s="401"/>
      <c r="C157" s="401"/>
      <c r="D157" s="401"/>
      <c r="E157" s="398"/>
      <c r="F157" s="399"/>
      <c r="G157" s="399"/>
      <c r="H157" s="400"/>
      <c r="I157" s="401"/>
      <c r="J157" s="401"/>
      <c r="K157" s="401"/>
      <c r="L157" s="401"/>
      <c r="M157" s="401"/>
      <c r="N157" s="401"/>
      <c r="O157" s="401"/>
      <c r="P157" s="401"/>
      <c r="Q157" s="401"/>
      <c r="R157" s="401"/>
      <c r="S157" s="401"/>
      <c r="T157" s="401"/>
      <c r="U157" s="401"/>
      <c r="V157" s="401"/>
      <c r="W157" s="401"/>
      <c r="X157" s="401"/>
      <c r="Y157" s="401"/>
      <c r="Z157" s="401"/>
      <c r="AA157" s="401"/>
    </row>
    <row r="158">
      <c r="A158" s="401"/>
      <c r="B158" s="401"/>
      <c r="C158" s="401"/>
      <c r="D158" s="401"/>
      <c r="E158" s="398"/>
      <c r="F158" s="399"/>
      <c r="G158" s="399"/>
      <c r="H158" s="400"/>
      <c r="I158" s="401"/>
      <c r="J158" s="401"/>
      <c r="K158" s="401"/>
      <c r="L158" s="401"/>
      <c r="M158" s="401"/>
      <c r="N158" s="401"/>
      <c r="O158" s="401"/>
      <c r="P158" s="401"/>
      <c r="Q158" s="401"/>
      <c r="R158" s="401"/>
      <c r="S158" s="401"/>
      <c r="T158" s="401"/>
      <c r="U158" s="401"/>
      <c r="V158" s="401"/>
      <c r="W158" s="401"/>
      <c r="X158" s="401"/>
      <c r="Y158" s="401"/>
      <c r="Z158" s="401"/>
      <c r="AA158" s="401"/>
    </row>
    <row r="159">
      <c r="A159" s="401"/>
      <c r="B159" s="401"/>
      <c r="C159" s="401"/>
      <c r="D159" s="401"/>
      <c r="E159" s="398"/>
      <c r="F159" s="399"/>
      <c r="G159" s="399"/>
      <c r="H159" s="400"/>
      <c r="I159" s="401"/>
      <c r="J159" s="401"/>
      <c r="K159" s="401"/>
      <c r="L159" s="401"/>
      <c r="M159" s="401"/>
      <c r="N159" s="401"/>
      <c r="O159" s="401"/>
      <c r="P159" s="401"/>
      <c r="Q159" s="401"/>
      <c r="R159" s="401"/>
      <c r="S159" s="401"/>
      <c r="T159" s="401"/>
      <c r="U159" s="401"/>
      <c r="V159" s="401"/>
      <c r="W159" s="401"/>
      <c r="X159" s="401"/>
      <c r="Y159" s="401"/>
      <c r="Z159" s="401"/>
      <c r="AA159" s="401"/>
    </row>
    <row r="160">
      <c r="A160" s="401"/>
      <c r="B160" s="401"/>
      <c r="C160" s="401"/>
      <c r="D160" s="401"/>
      <c r="E160" s="398"/>
      <c r="F160" s="399"/>
      <c r="G160" s="399"/>
      <c r="H160" s="400"/>
      <c r="I160" s="401"/>
      <c r="J160" s="401"/>
      <c r="K160" s="401"/>
      <c r="L160" s="401"/>
      <c r="M160" s="401"/>
      <c r="N160" s="401"/>
      <c r="O160" s="401"/>
      <c r="P160" s="401"/>
      <c r="Q160" s="401"/>
      <c r="R160" s="401"/>
      <c r="S160" s="401"/>
      <c r="T160" s="401"/>
      <c r="U160" s="401"/>
      <c r="V160" s="401"/>
      <c r="W160" s="401"/>
      <c r="X160" s="401"/>
      <c r="Y160" s="401"/>
      <c r="Z160" s="401"/>
      <c r="AA160" s="401"/>
    </row>
    <row r="161">
      <c r="A161" s="401"/>
      <c r="B161" s="401"/>
      <c r="C161" s="401"/>
      <c r="D161" s="401"/>
      <c r="E161" s="398"/>
      <c r="F161" s="399"/>
      <c r="G161" s="399"/>
      <c r="H161" s="400"/>
      <c r="I161" s="401"/>
      <c r="J161" s="401"/>
      <c r="K161" s="401"/>
      <c r="L161" s="401"/>
      <c r="M161" s="401"/>
      <c r="N161" s="401"/>
      <c r="O161" s="401"/>
      <c r="P161" s="401"/>
      <c r="Q161" s="401"/>
      <c r="R161" s="401"/>
      <c r="S161" s="401"/>
      <c r="T161" s="401"/>
      <c r="U161" s="401"/>
      <c r="V161" s="401"/>
      <c r="W161" s="401"/>
      <c r="X161" s="401"/>
      <c r="Y161" s="401"/>
      <c r="Z161" s="401"/>
      <c r="AA161" s="401"/>
    </row>
    <row r="162">
      <c r="A162" s="401"/>
      <c r="B162" s="401"/>
      <c r="C162" s="401"/>
      <c r="D162" s="401"/>
      <c r="E162" s="398"/>
      <c r="F162" s="399"/>
      <c r="G162" s="399"/>
      <c r="H162" s="400"/>
      <c r="I162" s="401"/>
      <c r="J162" s="401"/>
      <c r="K162" s="401"/>
      <c r="L162" s="401"/>
      <c r="M162" s="401"/>
      <c r="N162" s="401"/>
      <c r="O162" s="401"/>
      <c r="P162" s="401"/>
      <c r="Q162" s="401"/>
      <c r="R162" s="401"/>
      <c r="S162" s="401"/>
      <c r="T162" s="401"/>
      <c r="U162" s="401"/>
      <c r="V162" s="401"/>
      <c r="W162" s="401"/>
      <c r="X162" s="401"/>
      <c r="Y162" s="401"/>
      <c r="Z162" s="401"/>
      <c r="AA162" s="401"/>
    </row>
    <row r="163">
      <c r="A163" s="401"/>
      <c r="B163" s="401"/>
      <c r="C163" s="401"/>
      <c r="D163" s="401"/>
      <c r="E163" s="398"/>
      <c r="F163" s="399"/>
      <c r="G163" s="399"/>
      <c r="H163" s="400"/>
      <c r="I163" s="401"/>
      <c r="J163" s="401"/>
      <c r="K163" s="401"/>
      <c r="L163" s="401"/>
      <c r="M163" s="401"/>
      <c r="N163" s="401"/>
      <c r="O163" s="401"/>
      <c r="P163" s="401"/>
      <c r="Q163" s="401"/>
      <c r="R163" s="401"/>
      <c r="S163" s="401"/>
      <c r="T163" s="401"/>
      <c r="U163" s="401"/>
      <c r="V163" s="401"/>
      <c r="W163" s="401"/>
      <c r="X163" s="401"/>
      <c r="Y163" s="401"/>
      <c r="Z163" s="401"/>
      <c r="AA163" s="401"/>
    </row>
    <row r="164">
      <c r="A164" s="401"/>
      <c r="B164" s="401"/>
      <c r="C164" s="401"/>
      <c r="D164" s="401"/>
      <c r="E164" s="398"/>
      <c r="F164" s="399"/>
      <c r="G164" s="399"/>
      <c r="H164" s="400"/>
      <c r="I164" s="401"/>
      <c r="J164" s="401"/>
      <c r="K164" s="401"/>
      <c r="L164" s="401"/>
      <c r="M164" s="401"/>
      <c r="N164" s="401"/>
      <c r="O164" s="401"/>
      <c r="P164" s="401"/>
      <c r="Q164" s="401"/>
      <c r="R164" s="401"/>
      <c r="S164" s="401"/>
      <c r="T164" s="401"/>
      <c r="U164" s="401"/>
      <c r="V164" s="401"/>
      <c r="W164" s="401"/>
      <c r="X164" s="401"/>
      <c r="Y164" s="401"/>
      <c r="Z164" s="401"/>
      <c r="AA164" s="401"/>
    </row>
    <row r="165">
      <c r="A165" s="401"/>
      <c r="B165" s="401"/>
      <c r="C165" s="401"/>
      <c r="D165" s="401"/>
      <c r="E165" s="398"/>
      <c r="F165" s="399"/>
      <c r="G165" s="399"/>
      <c r="H165" s="400"/>
      <c r="I165" s="401"/>
      <c r="J165" s="401"/>
      <c r="K165" s="401"/>
      <c r="L165" s="401"/>
      <c r="M165" s="401"/>
      <c r="N165" s="401"/>
      <c r="O165" s="401"/>
      <c r="P165" s="401"/>
      <c r="Q165" s="401"/>
      <c r="R165" s="401"/>
      <c r="S165" s="401"/>
      <c r="T165" s="401"/>
      <c r="U165" s="401"/>
      <c r="V165" s="401"/>
      <c r="W165" s="401"/>
      <c r="X165" s="401"/>
      <c r="Y165" s="401"/>
      <c r="Z165" s="401"/>
      <c r="AA165" s="401"/>
    </row>
    <row r="166">
      <c r="A166" s="401"/>
      <c r="B166" s="401"/>
      <c r="C166" s="401"/>
      <c r="D166" s="401"/>
      <c r="E166" s="398"/>
      <c r="F166" s="399"/>
      <c r="G166" s="399"/>
      <c r="H166" s="400"/>
      <c r="I166" s="401"/>
      <c r="J166" s="401"/>
      <c r="K166" s="401"/>
      <c r="L166" s="401"/>
      <c r="M166" s="401"/>
      <c r="N166" s="401"/>
      <c r="O166" s="401"/>
      <c r="P166" s="401"/>
      <c r="Q166" s="401"/>
      <c r="R166" s="401"/>
      <c r="S166" s="401"/>
      <c r="T166" s="401"/>
      <c r="U166" s="401"/>
      <c r="V166" s="401"/>
      <c r="W166" s="401"/>
      <c r="X166" s="401"/>
      <c r="Y166" s="401"/>
      <c r="Z166" s="401"/>
      <c r="AA166" s="401"/>
    </row>
    <row r="167">
      <c r="A167" s="401"/>
      <c r="B167" s="401"/>
      <c r="C167" s="401"/>
      <c r="D167" s="401"/>
      <c r="E167" s="398"/>
      <c r="F167" s="399"/>
      <c r="G167" s="399"/>
      <c r="H167" s="400"/>
      <c r="I167" s="401"/>
      <c r="J167" s="401"/>
      <c r="K167" s="401"/>
      <c r="L167" s="401"/>
      <c r="M167" s="401"/>
      <c r="N167" s="401"/>
      <c r="O167" s="401"/>
      <c r="P167" s="401"/>
      <c r="Q167" s="401"/>
      <c r="R167" s="401"/>
      <c r="S167" s="401"/>
      <c r="T167" s="401"/>
      <c r="U167" s="401"/>
      <c r="V167" s="401"/>
      <c r="W167" s="401"/>
      <c r="X167" s="401"/>
      <c r="Y167" s="401"/>
      <c r="Z167" s="401"/>
      <c r="AA167" s="401"/>
    </row>
    <row r="168">
      <c r="A168" s="401"/>
      <c r="B168" s="401"/>
      <c r="C168" s="401"/>
      <c r="D168" s="401"/>
      <c r="E168" s="398"/>
      <c r="F168" s="399"/>
      <c r="G168" s="399"/>
      <c r="H168" s="400"/>
      <c r="I168" s="401"/>
      <c r="J168" s="401"/>
      <c r="K168" s="401"/>
      <c r="L168" s="401"/>
      <c r="M168" s="401"/>
      <c r="N168" s="401"/>
      <c r="O168" s="401"/>
      <c r="P168" s="401"/>
      <c r="Q168" s="401"/>
      <c r="R168" s="401"/>
      <c r="S168" s="401"/>
      <c r="T168" s="401"/>
      <c r="U168" s="401"/>
      <c r="V168" s="401"/>
      <c r="W168" s="401"/>
      <c r="X168" s="401"/>
      <c r="Y168" s="401"/>
      <c r="Z168" s="401"/>
      <c r="AA168" s="401"/>
    </row>
    <row r="169">
      <c r="A169" s="401"/>
      <c r="B169" s="401"/>
      <c r="C169" s="401"/>
      <c r="D169" s="401"/>
      <c r="E169" s="398"/>
      <c r="F169" s="399"/>
      <c r="G169" s="399"/>
      <c r="H169" s="400"/>
      <c r="I169" s="401"/>
      <c r="J169" s="401"/>
      <c r="K169" s="401"/>
      <c r="L169" s="401"/>
      <c r="M169" s="401"/>
      <c r="N169" s="401"/>
      <c r="O169" s="401"/>
      <c r="P169" s="401"/>
      <c r="Q169" s="401"/>
      <c r="R169" s="401"/>
      <c r="S169" s="401"/>
      <c r="T169" s="401"/>
      <c r="U169" s="401"/>
      <c r="V169" s="401"/>
      <c r="W169" s="401"/>
      <c r="X169" s="401"/>
      <c r="Y169" s="401"/>
      <c r="Z169" s="401"/>
      <c r="AA169" s="401"/>
    </row>
    <row r="170">
      <c r="A170" s="401"/>
      <c r="B170" s="401"/>
      <c r="C170" s="401"/>
      <c r="D170" s="401"/>
      <c r="E170" s="398"/>
      <c r="F170" s="399"/>
      <c r="G170" s="399"/>
      <c r="H170" s="400"/>
      <c r="I170" s="401"/>
      <c r="J170" s="401"/>
      <c r="K170" s="401"/>
      <c r="L170" s="401"/>
      <c r="M170" s="401"/>
      <c r="N170" s="401"/>
      <c r="O170" s="401"/>
      <c r="P170" s="401"/>
      <c r="Q170" s="401"/>
      <c r="R170" s="401"/>
      <c r="S170" s="401"/>
      <c r="T170" s="401"/>
      <c r="U170" s="401"/>
      <c r="V170" s="401"/>
      <c r="W170" s="401"/>
      <c r="X170" s="401"/>
      <c r="Y170" s="401"/>
      <c r="Z170" s="401"/>
      <c r="AA170" s="401"/>
    </row>
    <row r="171">
      <c r="A171" s="401"/>
      <c r="B171" s="401"/>
      <c r="C171" s="401"/>
      <c r="D171" s="401"/>
      <c r="E171" s="398"/>
      <c r="F171" s="399"/>
      <c r="G171" s="399"/>
      <c r="H171" s="400"/>
      <c r="I171" s="401"/>
      <c r="J171" s="401"/>
      <c r="K171" s="401"/>
      <c r="L171" s="401"/>
      <c r="M171" s="401"/>
      <c r="N171" s="401"/>
      <c r="O171" s="401"/>
      <c r="P171" s="401"/>
      <c r="Q171" s="401"/>
      <c r="R171" s="401"/>
      <c r="S171" s="401"/>
      <c r="T171" s="401"/>
      <c r="U171" s="401"/>
      <c r="V171" s="401"/>
      <c r="W171" s="401"/>
      <c r="X171" s="401"/>
      <c r="Y171" s="401"/>
      <c r="Z171" s="401"/>
      <c r="AA171" s="401"/>
    </row>
    <row r="172">
      <c r="A172" s="401"/>
      <c r="B172" s="401"/>
      <c r="C172" s="401"/>
      <c r="D172" s="401"/>
      <c r="E172" s="399"/>
      <c r="F172" s="399"/>
      <c r="G172" s="399"/>
      <c r="H172" s="400"/>
      <c r="I172" s="401"/>
      <c r="J172" s="401"/>
      <c r="K172" s="401"/>
      <c r="L172" s="401"/>
      <c r="M172" s="401"/>
      <c r="N172" s="401"/>
      <c r="O172" s="401"/>
      <c r="P172" s="401"/>
      <c r="Q172" s="401"/>
      <c r="R172" s="401"/>
      <c r="S172" s="401"/>
      <c r="T172" s="401"/>
      <c r="U172" s="401"/>
      <c r="V172" s="401"/>
      <c r="W172" s="401"/>
      <c r="X172" s="401"/>
      <c r="Y172" s="401"/>
      <c r="Z172" s="401"/>
      <c r="AA172" s="401"/>
    </row>
    <row r="173">
      <c r="A173" s="401"/>
      <c r="B173" s="401"/>
      <c r="C173" s="401"/>
      <c r="D173" s="401"/>
      <c r="E173" s="399"/>
      <c r="F173" s="399"/>
      <c r="G173" s="399"/>
      <c r="H173" s="400"/>
      <c r="I173" s="401"/>
      <c r="J173" s="401"/>
      <c r="K173" s="401"/>
      <c r="L173" s="401"/>
      <c r="M173" s="401"/>
      <c r="N173" s="401"/>
      <c r="O173" s="401"/>
      <c r="P173" s="401"/>
      <c r="Q173" s="401"/>
      <c r="R173" s="401"/>
      <c r="S173" s="401"/>
      <c r="T173" s="401"/>
      <c r="U173" s="401"/>
      <c r="V173" s="401"/>
      <c r="W173" s="401"/>
      <c r="X173" s="401"/>
      <c r="Y173" s="401"/>
      <c r="Z173" s="401"/>
      <c r="AA173" s="401"/>
    </row>
    <row r="174">
      <c r="A174" s="401"/>
      <c r="B174" s="401"/>
      <c r="C174" s="401"/>
      <c r="D174" s="401"/>
      <c r="E174" s="399"/>
      <c r="F174" s="399"/>
      <c r="G174" s="399"/>
      <c r="H174" s="400"/>
      <c r="I174" s="401"/>
      <c r="J174" s="401"/>
      <c r="K174" s="401"/>
      <c r="L174" s="401"/>
      <c r="M174" s="401"/>
      <c r="N174" s="401"/>
      <c r="O174" s="401"/>
      <c r="P174" s="401"/>
      <c r="Q174" s="401"/>
      <c r="R174" s="401"/>
      <c r="S174" s="401"/>
      <c r="T174" s="401"/>
      <c r="U174" s="401"/>
      <c r="V174" s="401"/>
      <c r="W174" s="401"/>
      <c r="X174" s="401"/>
      <c r="Y174" s="401"/>
      <c r="Z174" s="401"/>
      <c r="AA174" s="401"/>
    </row>
    <row r="175">
      <c r="A175" s="401"/>
      <c r="B175" s="401"/>
      <c r="C175" s="401"/>
      <c r="D175" s="401"/>
      <c r="E175" s="399"/>
      <c r="F175" s="399"/>
      <c r="G175" s="399"/>
      <c r="H175" s="400"/>
      <c r="I175" s="401"/>
      <c r="J175" s="401"/>
      <c r="K175" s="401"/>
      <c r="L175" s="401"/>
      <c r="M175" s="401"/>
      <c r="N175" s="401"/>
      <c r="O175" s="401"/>
      <c r="P175" s="401"/>
      <c r="Q175" s="401"/>
      <c r="R175" s="401"/>
      <c r="S175" s="401"/>
      <c r="T175" s="401"/>
      <c r="U175" s="401"/>
      <c r="V175" s="401"/>
      <c r="W175" s="401"/>
      <c r="X175" s="401"/>
      <c r="Y175" s="401"/>
      <c r="Z175" s="401"/>
      <c r="AA175" s="401"/>
    </row>
    <row r="176">
      <c r="A176" s="401"/>
      <c r="B176" s="401"/>
      <c r="C176" s="401"/>
      <c r="D176" s="401"/>
      <c r="E176" s="399"/>
      <c r="F176" s="399"/>
      <c r="G176" s="399"/>
      <c r="H176" s="400"/>
      <c r="I176" s="401"/>
      <c r="J176" s="401"/>
      <c r="K176" s="401"/>
      <c r="L176" s="401"/>
      <c r="M176" s="401"/>
      <c r="N176" s="401"/>
      <c r="O176" s="401"/>
      <c r="P176" s="401"/>
      <c r="Q176" s="401"/>
      <c r="R176" s="401"/>
      <c r="S176" s="401"/>
      <c r="T176" s="401"/>
      <c r="U176" s="401"/>
      <c r="V176" s="401"/>
      <c r="W176" s="401"/>
      <c r="X176" s="401"/>
      <c r="Y176" s="401"/>
      <c r="Z176" s="401"/>
      <c r="AA176" s="401"/>
    </row>
    <row r="177">
      <c r="A177" s="401"/>
      <c r="B177" s="401"/>
      <c r="C177" s="401"/>
      <c r="D177" s="401"/>
      <c r="E177" s="399"/>
      <c r="F177" s="399"/>
      <c r="G177" s="399"/>
      <c r="H177" s="400"/>
      <c r="I177" s="401"/>
      <c r="J177" s="401"/>
      <c r="K177" s="401"/>
      <c r="L177" s="401"/>
      <c r="M177" s="401"/>
      <c r="N177" s="401"/>
      <c r="O177" s="401"/>
      <c r="P177" s="401"/>
      <c r="Q177" s="401"/>
      <c r="R177" s="401"/>
      <c r="S177" s="401"/>
      <c r="T177" s="401"/>
      <c r="U177" s="401"/>
      <c r="V177" s="401"/>
      <c r="W177" s="401"/>
      <c r="X177" s="401"/>
      <c r="Y177" s="401"/>
      <c r="Z177" s="401"/>
      <c r="AA177" s="401"/>
    </row>
    <row r="178">
      <c r="A178" s="401"/>
      <c r="B178" s="401"/>
      <c r="C178" s="401"/>
      <c r="D178" s="401"/>
      <c r="E178" s="399"/>
      <c r="F178" s="399"/>
      <c r="G178" s="399"/>
      <c r="H178" s="400"/>
      <c r="I178" s="401"/>
      <c r="J178" s="401"/>
      <c r="K178" s="401"/>
      <c r="L178" s="401"/>
      <c r="M178" s="401"/>
      <c r="N178" s="401"/>
      <c r="O178" s="401"/>
      <c r="P178" s="401"/>
      <c r="Q178" s="401"/>
      <c r="R178" s="401"/>
      <c r="S178" s="401"/>
      <c r="T178" s="401"/>
      <c r="U178" s="401"/>
      <c r="V178" s="401"/>
      <c r="W178" s="401"/>
      <c r="X178" s="401"/>
      <c r="Y178" s="401"/>
      <c r="Z178" s="401"/>
      <c r="AA178" s="401"/>
    </row>
    <row r="179">
      <c r="A179" s="401"/>
      <c r="B179" s="401"/>
      <c r="C179" s="401"/>
      <c r="D179" s="401"/>
      <c r="E179" s="399"/>
      <c r="F179" s="399"/>
      <c r="G179" s="399"/>
      <c r="H179" s="400"/>
      <c r="I179" s="401"/>
      <c r="J179" s="401"/>
      <c r="K179" s="401"/>
      <c r="L179" s="401"/>
      <c r="M179" s="401"/>
      <c r="N179" s="401"/>
      <c r="O179" s="401"/>
      <c r="P179" s="401"/>
      <c r="Q179" s="401"/>
      <c r="R179" s="401"/>
      <c r="S179" s="401"/>
      <c r="T179" s="401"/>
      <c r="U179" s="401"/>
      <c r="V179" s="401"/>
      <c r="W179" s="401"/>
      <c r="X179" s="401"/>
      <c r="Y179" s="401"/>
      <c r="Z179" s="401"/>
      <c r="AA179" s="401"/>
    </row>
    <row r="180">
      <c r="A180" s="401"/>
      <c r="B180" s="401"/>
      <c r="C180" s="401"/>
      <c r="D180" s="401"/>
      <c r="E180" s="399"/>
      <c r="F180" s="399"/>
      <c r="G180" s="399"/>
      <c r="H180" s="400"/>
      <c r="I180" s="401"/>
      <c r="J180" s="401"/>
      <c r="K180" s="401"/>
      <c r="L180" s="401"/>
      <c r="M180" s="401"/>
      <c r="N180" s="401"/>
      <c r="O180" s="401"/>
      <c r="P180" s="401"/>
      <c r="Q180" s="401"/>
      <c r="R180" s="401"/>
      <c r="S180" s="401"/>
      <c r="T180" s="401"/>
      <c r="U180" s="401"/>
      <c r="V180" s="401"/>
      <c r="W180" s="401"/>
      <c r="X180" s="401"/>
      <c r="Y180" s="401"/>
      <c r="Z180" s="401"/>
      <c r="AA180" s="401"/>
    </row>
    <row r="181">
      <c r="A181" s="401"/>
      <c r="B181" s="401"/>
      <c r="C181" s="401"/>
      <c r="D181" s="401"/>
      <c r="E181" s="399"/>
      <c r="F181" s="399"/>
      <c r="G181" s="399"/>
      <c r="H181" s="400"/>
      <c r="I181" s="401"/>
      <c r="J181" s="401"/>
      <c r="K181" s="401"/>
      <c r="L181" s="401"/>
      <c r="M181" s="401"/>
      <c r="N181" s="401"/>
      <c r="O181" s="401"/>
      <c r="P181" s="401"/>
      <c r="Q181" s="401"/>
      <c r="R181" s="401"/>
      <c r="S181" s="401"/>
      <c r="T181" s="401"/>
      <c r="U181" s="401"/>
      <c r="V181" s="401"/>
      <c r="W181" s="401"/>
      <c r="X181" s="401"/>
      <c r="Y181" s="401"/>
      <c r="Z181" s="401"/>
      <c r="AA181" s="401"/>
    </row>
    <row r="182">
      <c r="A182" s="401"/>
      <c r="B182" s="401"/>
      <c r="C182" s="401"/>
      <c r="D182" s="401"/>
      <c r="E182" s="399"/>
      <c r="F182" s="399"/>
      <c r="G182" s="399"/>
      <c r="H182" s="400"/>
      <c r="I182" s="401"/>
      <c r="J182" s="401"/>
      <c r="K182" s="401"/>
      <c r="L182" s="401"/>
      <c r="M182" s="401"/>
      <c r="N182" s="401"/>
      <c r="O182" s="401"/>
      <c r="P182" s="401"/>
      <c r="Q182" s="401"/>
      <c r="R182" s="401"/>
      <c r="S182" s="401"/>
      <c r="T182" s="401"/>
      <c r="U182" s="401"/>
      <c r="V182" s="401"/>
      <c r="W182" s="401"/>
      <c r="X182" s="401"/>
      <c r="Y182" s="401"/>
      <c r="Z182" s="401"/>
      <c r="AA182" s="401"/>
    </row>
    <row r="183">
      <c r="A183" s="401"/>
      <c r="B183" s="401"/>
      <c r="C183" s="401"/>
      <c r="D183" s="401"/>
      <c r="E183" s="399"/>
      <c r="F183" s="399"/>
      <c r="G183" s="399"/>
      <c r="H183" s="400"/>
      <c r="I183" s="401"/>
      <c r="J183" s="401"/>
      <c r="K183" s="401"/>
      <c r="L183" s="401"/>
      <c r="M183" s="401"/>
      <c r="N183" s="401"/>
      <c r="O183" s="401"/>
      <c r="P183" s="401"/>
      <c r="Q183" s="401"/>
      <c r="R183" s="401"/>
      <c r="S183" s="401"/>
      <c r="T183" s="401"/>
      <c r="U183" s="401"/>
      <c r="V183" s="401"/>
      <c r="W183" s="401"/>
      <c r="X183" s="401"/>
      <c r="Y183" s="401"/>
      <c r="Z183" s="401"/>
      <c r="AA183" s="401"/>
    </row>
    <row r="184">
      <c r="A184" s="401"/>
      <c r="B184" s="401"/>
      <c r="C184" s="401"/>
      <c r="D184" s="401"/>
      <c r="E184" s="399"/>
      <c r="F184" s="399"/>
      <c r="G184" s="399"/>
      <c r="H184" s="400"/>
      <c r="I184" s="401"/>
      <c r="J184" s="401"/>
      <c r="K184" s="401"/>
      <c r="L184" s="401"/>
      <c r="M184" s="401"/>
      <c r="N184" s="401"/>
      <c r="O184" s="401"/>
      <c r="P184" s="401"/>
      <c r="Q184" s="401"/>
      <c r="R184" s="401"/>
      <c r="S184" s="401"/>
      <c r="T184" s="401"/>
      <c r="U184" s="401"/>
      <c r="V184" s="401"/>
      <c r="W184" s="401"/>
      <c r="X184" s="401"/>
      <c r="Y184" s="401"/>
      <c r="Z184" s="401"/>
      <c r="AA184" s="401"/>
    </row>
    <row r="185">
      <c r="A185" s="401"/>
      <c r="B185" s="401"/>
      <c r="C185" s="401"/>
      <c r="D185" s="401"/>
      <c r="E185" s="399"/>
      <c r="F185" s="399"/>
      <c r="G185" s="399"/>
      <c r="H185" s="400"/>
      <c r="I185" s="401"/>
      <c r="J185" s="401"/>
      <c r="K185" s="401"/>
      <c r="L185" s="401"/>
      <c r="M185" s="401"/>
      <c r="N185" s="401"/>
      <c r="O185" s="401"/>
      <c r="P185" s="401"/>
      <c r="Q185" s="401"/>
      <c r="R185" s="401"/>
      <c r="S185" s="401"/>
      <c r="T185" s="401"/>
      <c r="U185" s="401"/>
      <c r="V185" s="401"/>
      <c r="W185" s="401"/>
      <c r="X185" s="401"/>
      <c r="Y185" s="401"/>
      <c r="Z185" s="401"/>
      <c r="AA185" s="401"/>
    </row>
    <row r="186">
      <c r="A186" s="401"/>
      <c r="B186" s="401"/>
      <c r="C186" s="401"/>
      <c r="D186" s="401"/>
      <c r="E186" s="399"/>
      <c r="F186" s="399"/>
      <c r="G186" s="399"/>
      <c r="H186" s="400"/>
      <c r="I186" s="401"/>
      <c r="J186" s="401"/>
      <c r="K186" s="401"/>
      <c r="L186" s="401"/>
      <c r="M186" s="401"/>
      <c r="N186" s="401"/>
      <c r="O186" s="401"/>
      <c r="P186" s="401"/>
      <c r="Q186" s="401"/>
      <c r="R186" s="401"/>
      <c r="S186" s="401"/>
      <c r="T186" s="401"/>
      <c r="U186" s="401"/>
      <c r="V186" s="401"/>
      <c r="W186" s="401"/>
      <c r="X186" s="401"/>
      <c r="Y186" s="401"/>
      <c r="Z186" s="401"/>
      <c r="AA186" s="401"/>
    </row>
    <row r="187">
      <c r="A187" s="401"/>
      <c r="B187" s="401"/>
      <c r="C187" s="401"/>
      <c r="D187" s="401"/>
      <c r="E187" s="399"/>
      <c r="F187" s="399"/>
      <c r="G187" s="399"/>
      <c r="H187" s="400"/>
      <c r="I187" s="401"/>
      <c r="J187" s="401"/>
      <c r="K187" s="401"/>
      <c r="L187" s="401"/>
      <c r="M187" s="401"/>
      <c r="N187" s="401"/>
      <c r="O187" s="401"/>
      <c r="P187" s="401"/>
      <c r="Q187" s="401"/>
      <c r="R187" s="401"/>
      <c r="S187" s="401"/>
      <c r="T187" s="401"/>
      <c r="U187" s="401"/>
      <c r="V187" s="401"/>
      <c r="W187" s="401"/>
      <c r="X187" s="401"/>
      <c r="Y187" s="401"/>
      <c r="Z187" s="401"/>
      <c r="AA187" s="401"/>
    </row>
    <row r="188">
      <c r="A188" s="401"/>
      <c r="B188" s="401"/>
      <c r="C188" s="401"/>
      <c r="D188" s="401"/>
      <c r="E188" s="399"/>
      <c r="F188" s="399"/>
      <c r="G188" s="399"/>
      <c r="H188" s="400"/>
      <c r="I188" s="401"/>
      <c r="J188" s="401"/>
      <c r="K188" s="401"/>
      <c r="L188" s="401"/>
      <c r="M188" s="401"/>
      <c r="N188" s="401"/>
      <c r="O188" s="401"/>
      <c r="P188" s="401"/>
      <c r="Q188" s="401"/>
      <c r="R188" s="401"/>
      <c r="S188" s="401"/>
      <c r="T188" s="401"/>
      <c r="U188" s="401"/>
      <c r="V188" s="401"/>
      <c r="W188" s="401"/>
      <c r="X188" s="401"/>
      <c r="Y188" s="401"/>
      <c r="Z188" s="401"/>
      <c r="AA188" s="401"/>
    </row>
    <row r="189">
      <c r="A189" s="401"/>
      <c r="B189" s="401"/>
      <c r="C189" s="401"/>
      <c r="D189" s="401"/>
      <c r="E189" s="399"/>
      <c r="F189" s="399"/>
      <c r="G189" s="399"/>
      <c r="H189" s="400"/>
      <c r="I189" s="401"/>
      <c r="J189" s="401"/>
      <c r="K189" s="401"/>
      <c r="L189" s="401"/>
      <c r="M189" s="401"/>
      <c r="N189" s="401"/>
      <c r="O189" s="401"/>
      <c r="P189" s="401"/>
      <c r="Q189" s="401"/>
      <c r="R189" s="401"/>
      <c r="S189" s="401"/>
      <c r="T189" s="401"/>
      <c r="U189" s="401"/>
      <c r="V189" s="401"/>
      <c r="W189" s="401"/>
      <c r="X189" s="401"/>
      <c r="Y189" s="401"/>
      <c r="Z189" s="401"/>
      <c r="AA189" s="401"/>
    </row>
    <row r="190">
      <c r="A190" s="401"/>
      <c r="B190" s="401"/>
      <c r="C190" s="401"/>
      <c r="D190" s="401"/>
      <c r="E190" s="399"/>
      <c r="F190" s="399"/>
      <c r="G190" s="399"/>
      <c r="H190" s="400"/>
      <c r="I190" s="401"/>
      <c r="J190" s="401"/>
      <c r="K190" s="401"/>
      <c r="L190" s="401"/>
      <c r="M190" s="401"/>
      <c r="N190" s="401"/>
      <c r="O190" s="401"/>
      <c r="P190" s="401"/>
      <c r="Q190" s="401"/>
      <c r="R190" s="401"/>
      <c r="S190" s="401"/>
      <c r="T190" s="401"/>
      <c r="U190" s="401"/>
      <c r="V190" s="401"/>
      <c r="W190" s="401"/>
      <c r="X190" s="401"/>
      <c r="Y190" s="401"/>
      <c r="Z190" s="401"/>
      <c r="AA190" s="401"/>
    </row>
    <row r="191">
      <c r="A191" s="401"/>
      <c r="B191" s="401"/>
      <c r="C191" s="401"/>
      <c r="D191" s="401"/>
      <c r="E191" s="399"/>
      <c r="F191" s="399"/>
      <c r="G191" s="399"/>
      <c r="H191" s="400"/>
      <c r="I191" s="401"/>
      <c r="J191" s="401"/>
      <c r="K191" s="401"/>
      <c r="L191" s="401"/>
      <c r="M191" s="401"/>
      <c r="N191" s="401"/>
      <c r="O191" s="401"/>
      <c r="P191" s="401"/>
      <c r="Q191" s="401"/>
      <c r="R191" s="401"/>
      <c r="S191" s="401"/>
      <c r="T191" s="401"/>
      <c r="U191" s="401"/>
      <c r="V191" s="401"/>
      <c r="W191" s="401"/>
      <c r="X191" s="401"/>
      <c r="Y191" s="401"/>
      <c r="Z191" s="401"/>
      <c r="AA191" s="401"/>
    </row>
    <row r="192">
      <c r="A192" s="401"/>
      <c r="B192" s="401"/>
      <c r="C192" s="401"/>
      <c r="D192" s="401"/>
      <c r="E192" s="399"/>
      <c r="F192" s="399"/>
      <c r="G192" s="399"/>
      <c r="H192" s="400"/>
      <c r="I192" s="401"/>
      <c r="J192" s="401"/>
      <c r="K192" s="401"/>
      <c r="L192" s="401"/>
      <c r="M192" s="401"/>
      <c r="N192" s="401"/>
      <c r="O192" s="401"/>
      <c r="P192" s="401"/>
      <c r="Q192" s="401"/>
      <c r="R192" s="401"/>
      <c r="S192" s="401"/>
      <c r="T192" s="401"/>
      <c r="U192" s="401"/>
      <c r="V192" s="401"/>
      <c r="W192" s="401"/>
      <c r="X192" s="401"/>
      <c r="Y192" s="401"/>
      <c r="Z192" s="401"/>
      <c r="AA192" s="401"/>
    </row>
    <row r="193">
      <c r="A193" s="401"/>
      <c r="B193" s="401"/>
      <c r="C193" s="401"/>
      <c r="D193" s="401"/>
      <c r="E193" s="399"/>
      <c r="F193" s="399"/>
      <c r="G193" s="399"/>
      <c r="H193" s="400"/>
      <c r="I193" s="401"/>
      <c r="J193" s="401"/>
      <c r="K193" s="401"/>
      <c r="L193" s="401"/>
      <c r="M193" s="401"/>
      <c r="N193" s="401"/>
      <c r="O193" s="401"/>
      <c r="P193" s="401"/>
      <c r="Q193" s="401"/>
      <c r="R193" s="401"/>
      <c r="S193" s="401"/>
      <c r="T193" s="401"/>
      <c r="U193" s="401"/>
      <c r="V193" s="401"/>
      <c r="W193" s="401"/>
      <c r="X193" s="401"/>
      <c r="Y193" s="401"/>
      <c r="Z193" s="401"/>
      <c r="AA193" s="401"/>
    </row>
    <row r="194">
      <c r="A194" s="401"/>
      <c r="B194" s="401"/>
      <c r="C194" s="401"/>
      <c r="D194" s="401"/>
      <c r="E194" s="399"/>
      <c r="F194" s="399"/>
      <c r="G194" s="399"/>
      <c r="H194" s="400"/>
      <c r="I194" s="401"/>
      <c r="J194" s="401"/>
      <c r="K194" s="401"/>
      <c r="L194" s="401"/>
      <c r="M194" s="401"/>
      <c r="N194" s="401"/>
      <c r="O194" s="401"/>
      <c r="P194" s="401"/>
      <c r="Q194" s="401"/>
      <c r="R194" s="401"/>
      <c r="S194" s="401"/>
      <c r="T194" s="401"/>
      <c r="U194" s="401"/>
      <c r="V194" s="401"/>
      <c r="W194" s="401"/>
      <c r="X194" s="401"/>
      <c r="Y194" s="401"/>
      <c r="Z194" s="401"/>
      <c r="AA194" s="401"/>
    </row>
    <row r="195">
      <c r="A195" s="401"/>
      <c r="B195" s="401"/>
      <c r="C195" s="401"/>
      <c r="D195" s="401"/>
      <c r="E195" s="399"/>
      <c r="F195" s="399"/>
      <c r="G195" s="399"/>
      <c r="H195" s="400"/>
      <c r="I195" s="401"/>
      <c r="J195" s="401"/>
      <c r="K195" s="401"/>
      <c r="L195" s="401"/>
      <c r="M195" s="401"/>
      <c r="N195" s="401"/>
      <c r="O195" s="401"/>
      <c r="P195" s="401"/>
      <c r="Q195" s="401"/>
      <c r="R195" s="401"/>
      <c r="S195" s="401"/>
      <c r="T195" s="401"/>
      <c r="U195" s="401"/>
      <c r="V195" s="401"/>
      <c r="W195" s="401"/>
      <c r="X195" s="401"/>
      <c r="Y195" s="401"/>
      <c r="Z195" s="401"/>
      <c r="AA195" s="401"/>
    </row>
    <row r="196">
      <c r="A196" s="401"/>
      <c r="B196" s="401"/>
      <c r="C196" s="401"/>
      <c r="D196" s="401"/>
      <c r="E196" s="401"/>
      <c r="F196" s="401"/>
      <c r="G196" s="401"/>
      <c r="H196" s="401"/>
      <c r="I196" s="401"/>
      <c r="J196" s="401"/>
      <c r="K196" s="401"/>
      <c r="L196" s="401"/>
      <c r="M196" s="401"/>
      <c r="N196" s="401"/>
      <c r="O196" s="401"/>
      <c r="P196" s="401"/>
      <c r="Q196" s="401"/>
      <c r="R196" s="401"/>
      <c r="S196" s="401"/>
      <c r="T196" s="401"/>
      <c r="U196" s="401"/>
      <c r="V196" s="401"/>
      <c r="W196" s="401"/>
      <c r="X196" s="401"/>
      <c r="Y196" s="401"/>
      <c r="Z196" s="401"/>
      <c r="AA196" s="401"/>
    </row>
    <row r="197">
      <c r="A197" s="401"/>
      <c r="B197" s="401"/>
      <c r="C197" s="401"/>
      <c r="D197" s="401"/>
      <c r="E197" s="401"/>
      <c r="F197" s="401"/>
      <c r="G197" s="401"/>
      <c r="H197" s="401"/>
      <c r="I197" s="401"/>
      <c r="J197" s="401"/>
      <c r="K197" s="401"/>
      <c r="L197" s="401"/>
      <c r="M197" s="401"/>
      <c r="N197" s="401"/>
      <c r="O197" s="401"/>
      <c r="P197" s="401"/>
      <c r="Q197" s="401"/>
      <c r="R197" s="401"/>
      <c r="S197" s="401"/>
      <c r="T197" s="401"/>
      <c r="U197" s="401"/>
      <c r="V197" s="401"/>
      <c r="W197" s="401"/>
      <c r="X197" s="401"/>
      <c r="Y197" s="401"/>
      <c r="Z197" s="401"/>
      <c r="AA197" s="401"/>
    </row>
    <row r="198">
      <c r="A198" s="401"/>
      <c r="B198" s="401"/>
      <c r="C198" s="401"/>
      <c r="D198" s="401"/>
      <c r="E198" s="401"/>
      <c r="F198" s="401"/>
      <c r="G198" s="401"/>
      <c r="H198" s="401"/>
      <c r="I198" s="401"/>
      <c r="J198" s="401"/>
      <c r="K198" s="401"/>
      <c r="L198" s="401"/>
      <c r="M198" s="401"/>
      <c r="N198" s="401"/>
      <c r="O198" s="401"/>
      <c r="P198" s="401"/>
      <c r="Q198" s="401"/>
      <c r="R198" s="401"/>
      <c r="S198" s="401"/>
      <c r="T198" s="401"/>
      <c r="U198" s="401"/>
      <c r="V198" s="401"/>
      <c r="W198" s="401"/>
      <c r="X198" s="401"/>
      <c r="Y198" s="401"/>
      <c r="Z198" s="401"/>
      <c r="AA198" s="401"/>
    </row>
    <row r="199">
      <c r="A199" s="401"/>
      <c r="B199" s="401"/>
      <c r="C199" s="401"/>
      <c r="D199" s="401"/>
      <c r="E199" s="401"/>
      <c r="F199" s="401"/>
      <c r="G199" s="401"/>
      <c r="H199" s="401"/>
      <c r="I199" s="401"/>
      <c r="J199" s="401"/>
      <c r="K199" s="401"/>
      <c r="L199" s="401"/>
      <c r="M199" s="401"/>
      <c r="N199" s="401"/>
      <c r="O199" s="401"/>
      <c r="P199" s="401"/>
      <c r="Q199" s="401"/>
      <c r="R199" s="401"/>
      <c r="S199" s="401"/>
      <c r="T199" s="401"/>
      <c r="U199" s="401"/>
      <c r="V199" s="401"/>
      <c r="W199" s="401"/>
      <c r="X199" s="401"/>
      <c r="Y199" s="401"/>
      <c r="Z199" s="401"/>
      <c r="AA199" s="401"/>
    </row>
    <row r="200">
      <c r="A200" s="401"/>
      <c r="B200" s="401"/>
      <c r="C200" s="401"/>
      <c r="D200" s="401"/>
      <c r="E200" s="401"/>
      <c r="F200" s="401"/>
      <c r="G200" s="401"/>
      <c r="H200" s="401"/>
      <c r="I200" s="401"/>
      <c r="J200" s="401"/>
      <c r="K200" s="401"/>
      <c r="L200" s="401"/>
      <c r="M200" s="401"/>
      <c r="N200" s="401"/>
      <c r="O200" s="401"/>
      <c r="P200" s="401"/>
      <c r="Q200" s="401"/>
      <c r="R200" s="401"/>
      <c r="S200" s="401"/>
      <c r="T200" s="401"/>
      <c r="U200" s="401"/>
      <c r="V200" s="401"/>
      <c r="W200" s="401"/>
      <c r="X200" s="401"/>
      <c r="Y200" s="401"/>
      <c r="Z200" s="401"/>
      <c r="AA200" s="401"/>
    </row>
    <row r="201">
      <c r="A201" s="401"/>
      <c r="B201" s="401"/>
      <c r="C201" s="401"/>
      <c r="D201" s="401"/>
      <c r="E201" s="401"/>
      <c r="F201" s="401"/>
      <c r="G201" s="401"/>
      <c r="H201" s="401"/>
      <c r="I201" s="401"/>
      <c r="J201" s="401"/>
      <c r="K201" s="401"/>
      <c r="L201" s="401"/>
      <c r="M201" s="401"/>
      <c r="N201" s="401"/>
      <c r="O201" s="401"/>
      <c r="P201" s="401"/>
      <c r="Q201" s="401"/>
      <c r="R201" s="401"/>
      <c r="S201" s="401"/>
      <c r="T201" s="401"/>
      <c r="U201" s="401"/>
      <c r="V201" s="401"/>
      <c r="W201" s="401"/>
      <c r="X201" s="401"/>
      <c r="Y201" s="401"/>
      <c r="Z201" s="401"/>
      <c r="AA201" s="401"/>
    </row>
    <row r="202">
      <c r="A202" s="401"/>
      <c r="B202" s="401"/>
      <c r="C202" s="401"/>
      <c r="D202" s="401"/>
      <c r="E202" s="401"/>
      <c r="F202" s="401"/>
      <c r="G202" s="401"/>
      <c r="H202" s="401"/>
      <c r="I202" s="401"/>
      <c r="J202" s="401"/>
      <c r="K202" s="401"/>
      <c r="L202" s="401"/>
      <c r="M202" s="401"/>
      <c r="N202" s="401"/>
      <c r="O202" s="401"/>
      <c r="P202" s="401"/>
      <c r="Q202" s="401"/>
      <c r="R202" s="401"/>
      <c r="S202" s="401"/>
      <c r="T202" s="401"/>
      <c r="U202" s="401"/>
      <c r="V202" s="401"/>
      <c r="W202" s="401"/>
      <c r="X202" s="401"/>
      <c r="Y202" s="401"/>
      <c r="Z202" s="401"/>
      <c r="AA202" s="401"/>
    </row>
    <row r="203">
      <c r="A203" s="401"/>
      <c r="B203" s="401"/>
      <c r="C203" s="401"/>
      <c r="D203" s="401"/>
      <c r="E203" s="399"/>
      <c r="F203" s="399"/>
      <c r="G203" s="399"/>
      <c r="H203" s="400"/>
      <c r="I203" s="401"/>
      <c r="J203" s="401"/>
      <c r="K203" s="401"/>
      <c r="L203" s="401"/>
      <c r="M203" s="401"/>
      <c r="N203" s="401"/>
      <c r="O203" s="401"/>
      <c r="P203" s="401"/>
      <c r="Q203" s="401"/>
      <c r="R203" s="401"/>
      <c r="S203" s="401"/>
      <c r="T203" s="401"/>
      <c r="U203" s="401"/>
      <c r="V203" s="401"/>
      <c r="W203" s="401"/>
      <c r="X203" s="401"/>
      <c r="Y203" s="401"/>
      <c r="Z203" s="401"/>
      <c r="AA203" s="401"/>
    </row>
    <row r="204">
      <c r="A204" s="401"/>
      <c r="B204" s="401"/>
      <c r="C204" s="401"/>
      <c r="D204" s="401"/>
      <c r="E204" s="399"/>
      <c r="F204" s="399"/>
      <c r="G204" s="399"/>
      <c r="H204" s="400"/>
      <c r="I204" s="401"/>
      <c r="J204" s="401"/>
      <c r="K204" s="401"/>
      <c r="L204" s="401"/>
      <c r="M204" s="401"/>
      <c r="N204" s="401"/>
      <c r="O204" s="401"/>
      <c r="P204" s="401"/>
      <c r="Q204" s="401"/>
      <c r="R204" s="401"/>
      <c r="S204" s="401"/>
      <c r="T204" s="401"/>
      <c r="U204" s="401"/>
      <c r="V204" s="401"/>
      <c r="W204" s="401"/>
      <c r="X204" s="401"/>
      <c r="Y204" s="401"/>
      <c r="Z204" s="401"/>
      <c r="AA204" s="401"/>
    </row>
    <row r="205">
      <c r="A205" s="401"/>
      <c r="B205" s="401"/>
      <c r="C205" s="401"/>
      <c r="D205" s="401"/>
      <c r="E205" s="399"/>
      <c r="F205" s="399"/>
      <c r="G205" s="399"/>
      <c r="H205" s="400"/>
      <c r="I205" s="401"/>
      <c r="J205" s="401"/>
      <c r="K205" s="401"/>
      <c r="L205" s="401"/>
      <c r="M205" s="401"/>
      <c r="N205" s="401"/>
      <c r="O205" s="401"/>
      <c r="P205" s="401"/>
      <c r="Q205" s="401"/>
      <c r="R205" s="401"/>
      <c r="S205" s="401"/>
      <c r="T205" s="401"/>
      <c r="U205" s="401"/>
      <c r="V205" s="401"/>
      <c r="W205" s="401"/>
      <c r="X205" s="401"/>
      <c r="Y205" s="401"/>
      <c r="Z205" s="401"/>
      <c r="AA205" s="401"/>
    </row>
    <row r="206">
      <c r="A206" s="401"/>
      <c r="B206" s="401"/>
      <c r="C206" s="401"/>
      <c r="D206" s="401"/>
      <c r="E206" s="399"/>
      <c r="F206" s="399"/>
      <c r="G206" s="399"/>
      <c r="H206" s="400"/>
      <c r="I206" s="401"/>
      <c r="J206" s="401"/>
      <c r="K206" s="401"/>
      <c r="L206" s="401"/>
      <c r="M206" s="401"/>
      <c r="N206" s="401"/>
      <c r="O206" s="401"/>
      <c r="P206" s="401"/>
      <c r="Q206" s="401"/>
      <c r="R206" s="401"/>
      <c r="S206" s="401"/>
      <c r="T206" s="401"/>
      <c r="U206" s="401"/>
      <c r="V206" s="401"/>
      <c r="W206" s="401"/>
      <c r="X206" s="401"/>
      <c r="Y206" s="401"/>
      <c r="Z206" s="401"/>
      <c r="AA206" s="401"/>
    </row>
    <row r="207">
      <c r="A207" s="401"/>
      <c r="B207" s="401"/>
      <c r="C207" s="401"/>
      <c r="D207" s="401"/>
      <c r="E207" s="399"/>
      <c r="F207" s="399"/>
      <c r="G207" s="399"/>
      <c r="H207" s="400"/>
      <c r="I207" s="401"/>
      <c r="J207" s="401"/>
      <c r="K207" s="401"/>
      <c r="L207" s="401"/>
      <c r="M207" s="401"/>
      <c r="N207" s="401"/>
      <c r="O207" s="401"/>
      <c r="P207" s="401"/>
      <c r="Q207" s="401"/>
      <c r="R207" s="401"/>
      <c r="S207" s="401"/>
      <c r="T207" s="401"/>
      <c r="U207" s="401"/>
      <c r="V207" s="401"/>
      <c r="W207" s="401"/>
      <c r="X207" s="401"/>
      <c r="Y207" s="401"/>
      <c r="Z207" s="401"/>
      <c r="AA207" s="401"/>
    </row>
    <row r="208">
      <c r="A208" s="401"/>
      <c r="B208" s="401"/>
      <c r="C208" s="401"/>
      <c r="D208" s="401"/>
      <c r="E208" s="399"/>
      <c r="F208" s="399"/>
      <c r="G208" s="399"/>
      <c r="H208" s="400"/>
      <c r="I208" s="401"/>
      <c r="J208" s="401"/>
      <c r="K208" s="401"/>
      <c r="L208" s="401"/>
      <c r="M208" s="401"/>
      <c r="N208" s="401"/>
      <c r="O208" s="401"/>
      <c r="P208" s="401"/>
      <c r="Q208" s="401"/>
      <c r="R208" s="401"/>
      <c r="S208" s="401"/>
      <c r="T208" s="401"/>
      <c r="U208" s="401"/>
      <c r="V208" s="401"/>
      <c r="W208" s="401"/>
      <c r="X208" s="401"/>
      <c r="Y208" s="401"/>
      <c r="Z208" s="401"/>
      <c r="AA208" s="401"/>
    </row>
    <row r="209">
      <c r="A209" s="401"/>
      <c r="B209" s="401"/>
      <c r="C209" s="401"/>
      <c r="D209" s="401"/>
      <c r="E209" s="399"/>
      <c r="F209" s="399"/>
      <c r="G209" s="399"/>
      <c r="H209" s="400"/>
      <c r="I209" s="401"/>
      <c r="J209" s="401"/>
      <c r="K209" s="401"/>
      <c r="L209" s="401"/>
      <c r="M209" s="401"/>
      <c r="N209" s="401"/>
      <c r="O209" s="401"/>
      <c r="P209" s="401"/>
      <c r="Q209" s="401"/>
      <c r="R209" s="401"/>
      <c r="S209" s="401"/>
      <c r="T209" s="401"/>
      <c r="U209" s="401"/>
      <c r="V209" s="401"/>
      <c r="W209" s="401"/>
      <c r="X209" s="401"/>
      <c r="Y209" s="401"/>
      <c r="Z209" s="401"/>
      <c r="AA209" s="401"/>
    </row>
    <row r="210">
      <c r="A210" s="401"/>
      <c r="B210" s="401"/>
      <c r="C210" s="401"/>
      <c r="D210" s="401"/>
      <c r="E210" s="399"/>
      <c r="F210" s="399"/>
      <c r="G210" s="399"/>
      <c r="H210" s="400"/>
      <c r="I210" s="401"/>
      <c r="J210" s="401"/>
      <c r="K210" s="401"/>
      <c r="L210" s="401"/>
      <c r="M210" s="401"/>
      <c r="N210" s="401"/>
      <c r="O210" s="401"/>
      <c r="P210" s="401"/>
      <c r="Q210" s="401"/>
      <c r="R210" s="401"/>
      <c r="S210" s="401"/>
      <c r="T210" s="401"/>
      <c r="U210" s="401"/>
      <c r="V210" s="401"/>
      <c r="W210" s="401"/>
      <c r="X210" s="401"/>
      <c r="Y210" s="401"/>
      <c r="Z210" s="401"/>
      <c r="AA210" s="401"/>
    </row>
    <row r="211">
      <c r="A211" s="401"/>
      <c r="B211" s="401"/>
      <c r="C211" s="401"/>
      <c r="D211" s="401"/>
      <c r="E211" s="399"/>
      <c r="F211" s="399"/>
      <c r="G211" s="399"/>
      <c r="H211" s="400"/>
      <c r="I211" s="401"/>
      <c r="J211" s="401"/>
      <c r="K211" s="401"/>
      <c r="L211" s="401"/>
      <c r="M211" s="401"/>
      <c r="N211" s="401"/>
      <c r="O211" s="401"/>
      <c r="P211" s="401"/>
      <c r="Q211" s="401"/>
      <c r="R211" s="401"/>
      <c r="S211" s="401"/>
      <c r="T211" s="401"/>
      <c r="U211" s="401"/>
      <c r="V211" s="401"/>
      <c r="W211" s="401"/>
      <c r="X211" s="401"/>
      <c r="Y211" s="401"/>
      <c r="Z211" s="401"/>
      <c r="AA211" s="401"/>
    </row>
    <row r="212">
      <c r="A212" s="401"/>
      <c r="B212" s="401"/>
      <c r="C212" s="401"/>
      <c r="D212" s="401"/>
      <c r="E212" s="399"/>
      <c r="F212" s="399"/>
      <c r="G212" s="399"/>
      <c r="H212" s="400"/>
      <c r="I212" s="401"/>
      <c r="J212" s="401"/>
      <c r="K212" s="401"/>
      <c r="L212" s="401"/>
      <c r="M212" s="401"/>
      <c r="N212" s="401"/>
      <c r="O212" s="401"/>
      <c r="P212" s="401"/>
      <c r="Q212" s="401"/>
      <c r="R212" s="401"/>
      <c r="S212" s="401"/>
      <c r="T212" s="401"/>
      <c r="U212" s="401"/>
      <c r="V212" s="401"/>
      <c r="W212" s="401"/>
      <c r="X212" s="401"/>
      <c r="Y212" s="401"/>
      <c r="Z212" s="401"/>
      <c r="AA212" s="401"/>
    </row>
    <row r="213">
      <c r="A213" s="401"/>
      <c r="B213" s="401"/>
      <c r="C213" s="401"/>
      <c r="D213" s="401"/>
      <c r="E213" s="399"/>
      <c r="F213" s="399"/>
      <c r="G213" s="399"/>
      <c r="H213" s="400"/>
      <c r="I213" s="401"/>
      <c r="J213" s="401"/>
      <c r="K213" s="401"/>
      <c r="L213" s="401"/>
      <c r="M213" s="401"/>
      <c r="N213" s="401"/>
      <c r="O213" s="401"/>
      <c r="P213" s="401"/>
      <c r="Q213" s="401"/>
      <c r="R213" s="401"/>
      <c r="S213" s="401"/>
      <c r="T213" s="401"/>
      <c r="U213" s="401"/>
      <c r="V213" s="401"/>
      <c r="W213" s="401"/>
      <c r="X213" s="401"/>
      <c r="Y213" s="401"/>
      <c r="Z213" s="401"/>
      <c r="AA213" s="401"/>
    </row>
    <row r="214">
      <c r="A214" s="401"/>
      <c r="B214" s="401"/>
      <c r="C214" s="401"/>
      <c r="D214" s="401"/>
      <c r="E214" s="399"/>
      <c r="F214" s="399"/>
      <c r="G214" s="399"/>
      <c r="H214" s="400"/>
      <c r="I214" s="401"/>
      <c r="J214" s="401"/>
      <c r="K214" s="401"/>
      <c r="L214" s="401"/>
      <c r="M214" s="401"/>
      <c r="N214" s="401"/>
      <c r="O214" s="401"/>
      <c r="P214" s="401"/>
      <c r="Q214" s="401"/>
      <c r="R214" s="401"/>
      <c r="S214" s="401"/>
      <c r="T214" s="401"/>
      <c r="U214" s="401"/>
      <c r="V214" s="401"/>
      <c r="W214" s="401"/>
      <c r="X214" s="401"/>
      <c r="Y214" s="401"/>
      <c r="Z214" s="401"/>
      <c r="AA214" s="401"/>
    </row>
    <row r="215">
      <c r="A215" s="401"/>
      <c r="B215" s="401"/>
      <c r="C215" s="401"/>
      <c r="D215" s="401"/>
      <c r="E215" s="399"/>
      <c r="F215" s="399"/>
      <c r="G215" s="399"/>
      <c r="H215" s="400"/>
      <c r="I215" s="401"/>
      <c r="J215" s="401"/>
      <c r="K215" s="401"/>
      <c r="L215" s="401"/>
      <c r="M215" s="401"/>
      <c r="N215" s="401"/>
      <c r="O215" s="401"/>
      <c r="P215" s="401"/>
      <c r="Q215" s="401"/>
      <c r="R215" s="401"/>
      <c r="S215" s="401"/>
      <c r="T215" s="401"/>
      <c r="U215" s="401"/>
      <c r="V215" s="401"/>
      <c r="W215" s="401"/>
      <c r="X215" s="401"/>
      <c r="Y215" s="401"/>
      <c r="Z215" s="401"/>
      <c r="AA215" s="401"/>
    </row>
    <row r="216">
      <c r="A216" s="401"/>
      <c r="B216" s="401"/>
      <c r="C216" s="401"/>
      <c r="D216" s="401"/>
      <c r="E216" s="399"/>
      <c r="F216" s="399"/>
      <c r="G216" s="399"/>
      <c r="H216" s="400"/>
      <c r="I216" s="401"/>
      <c r="J216" s="401"/>
      <c r="K216" s="401"/>
      <c r="L216" s="401"/>
      <c r="M216" s="401"/>
      <c r="N216" s="401"/>
      <c r="O216" s="401"/>
      <c r="P216" s="401"/>
      <c r="Q216" s="401"/>
      <c r="R216" s="401"/>
      <c r="S216" s="401"/>
      <c r="T216" s="401"/>
      <c r="U216" s="401"/>
      <c r="V216" s="401"/>
      <c r="W216" s="401"/>
      <c r="X216" s="401"/>
      <c r="Y216" s="401"/>
      <c r="Z216" s="401"/>
      <c r="AA216" s="401"/>
    </row>
    <row r="217">
      <c r="A217" s="401"/>
      <c r="B217" s="401"/>
      <c r="C217" s="401"/>
      <c r="D217" s="401"/>
      <c r="E217" s="399"/>
      <c r="F217" s="399"/>
      <c r="G217" s="399"/>
      <c r="H217" s="400"/>
      <c r="I217" s="401"/>
      <c r="J217" s="401"/>
      <c r="K217" s="401"/>
      <c r="L217" s="401"/>
      <c r="M217" s="401"/>
      <c r="N217" s="401"/>
      <c r="O217" s="401"/>
      <c r="P217" s="401"/>
      <c r="Q217" s="401"/>
      <c r="R217" s="401"/>
      <c r="S217" s="401"/>
      <c r="T217" s="401"/>
      <c r="U217" s="401"/>
      <c r="V217" s="401"/>
      <c r="W217" s="401"/>
      <c r="X217" s="401"/>
      <c r="Y217" s="401"/>
      <c r="Z217" s="401"/>
      <c r="AA217" s="401"/>
    </row>
    <row r="218">
      <c r="A218" s="401"/>
      <c r="B218" s="401"/>
      <c r="C218" s="401"/>
      <c r="D218" s="401"/>
      <c r="E218" s="399"/>
      <c r="F218" s="399"/>
      <c r="G218" s="399"/>
      <c r="H218" s="400"/>
      <c r="I218" s="401"/>
      <c r="J218" s="401"/>
      <c r="K218" s="401"/>
      <c r="L218" s="401"/>
      <c r="M218" s="401"/>
      <c r="N218" s="401"/>
      <c r="O218" s="401"/>
      <c r="P218" s="401"/>
      <c r="Q218" s="401"/>
      <c r="R218" s="401"/>
      <c r="S218" s="401"/>
      <c r="T218" s="401"/>
      <c r="U218" s="401"/>
      <c r="V218" s="401"/>
      <c r="W218" s="401"/>
      <c r="X218" s="401"/>
      <c r="Y218" s="401"/>
      <c r="Z218" s="401"/>
      <c r="AA218" s="401"/>
    </row>
    <row r="219">
      <c r="A219" s="401"/>
      <c r="B219" s="401"/>
      <c r="C219" s="401"/>
      <c r="D219" s="401"/>
      <c r="E219" s="399"/>
      <c r="F219" s="399"/>
      <c r="G219" s="399"/>
      <c r="H219" s="400"/>
      <c r="I219" s="401"/>
      <c r="J219" s="401"/>
      <c r="K219" s="401"/>
      <c r="L219" s="401"/>
      <c r="M219" s="401"/>
      <c r="N219" s="401"/>
      <c r="O219" s="401"/>
      <c r="P219" s="401"/>
      <c r="Q219" s="401"/>
      <c r="R219" s="401"/>
      <c r="S219" s="401"/>
      <c r="T219" s="401"/>
      <c r="U219" s="401"/>
      <c r="V219" s="401"/>
      <c r="W219" s="401"/>
      <c r="X219" s="401"/>
      <c r="Y219" s="401"/>
      <c r="Z219" s="401"/>
      <c r="AA219" s="401"/>
    </row>
    <row r="220">
      <c r="A220" s="401"/>
      <c r="B220" s="401"/>
      <c r="C220" s="401"/>
      <c r="D220" s="401"/>
      <c r="E220" s="399"/>
      <c r="F220" s="399"/>
      <c r="G220" s="399"/>
      <c r="H220" s="400"/>
      <c r="I220" s="401"/>
      <c r="J220" s="401"/>
      <c r="K220" s="401"/>
      <c r="L220" s="401"/>
      <c r="M220" s="401"/>
      <c r="N220" s="401"/>
      <c r="O220" s="401"/>
      <c r="P220" s="401"/>
      <c r="Q220" s="401"/>
      <c r="R220" s="401"/>
      <c r="S220" s="401"/>
      <c r="T220" s="401"/>
      <c r="U220" s="401"/>
      <c r="V220" s="401"/>
      <c r="W220" s="401"/>
      <c r="X220" s="401"/>
      <c r="Y220" s="401"/>
      <c r="Z220" s="401"/>
      <c r="AA220" s="401"/>
    </row>
    <row r="221">
      <c r="A221" s="401"/>
      <c r="B221" s="401"/>
      <c r="C221" s="401"/>
      <c r="D221" s="401"/>
      <c r="E221" s="399"/>
      <c r="F221" s="399"/>
      <c r="G221" s="399"/>
      <c r="H221" s="400"/>
      <c r="I221" s="401"/>
      <c r="J221" s="401"/>
      <c r="K221" s="401"/>
      <c r="L221" s="401"/>
      <c r="M221" s="401"/>
      <c r="N221" s="401"/>
      <c r="O221" s="401"/>
      <c r="P221" s="401"/>
      <c r="Q221" s="401"/>
      <c r="R221" s="401"/>
      <c r="S221" s="401"/>
      <c r="T221" s="401"/>
      <c r="U221" s="401"/>
      <c r="V221" s="401"/>
      <c r="W221" s="401"/>
      <c r="X221" s="401"/>
      <c r="Y221" s="401"/>
      <c r="Z221" s="401"/>
      <c r="AA221" s="401"/>
    </row>
    <row r="222">
      <c r="A222" s="401"/>
      <c r="B222" s="401"/>
      <c r="C222" s="401"/>
      <c r="D222" s="401"/>
      <c r="E222" s="399"/>
      <c r="F222" s="399"/>
      <c r="G222" s="399"/>
      <c r="H222" s="400"/>
      <c r="I222" s="401"/>
      <c r="J222" s="401"/>
      <c r="K222" s="401"/>
      <c r="L222" s="401"/>
      <c r="M222" s="401"/>
      <c r="N222" s="401"/>
      <c r="O222" s="401"/>
      <c r="P222" s="401"/>
      <c r="Q222" s="401"/>
      <c r="R222" s="401"/>
      <c r="S222" s="401"/>
      <c r="T222" s="401"/>
      <c r="U222" s="401"/>
      <c r="V222" s="401"/>
      <c r="W222" s="401"/>
      <c r="X222" s="401"/>
      <c r="Y222" s="401"/>
      <c r="Z222" s="401"/>
      <c r="AA222" s="401"/>
    </row>
    <row r="223">
      <c r="A223" s="401"/>
      <c r="B223" s="401"/>
      <c r="C223" s="401"/>
      <c r="D223" s="401"/>
      <c r="E223" s="399"/>
      <c r="F223" s="399"/>
      <c r="G223" s="399"/>
      <c r="H223" s="400"/>
      <c r="I223" s="401"/>
      <c r="J223" s="401"/>
      <c r="K223" s="401"/>
      <c r="L223" s="401"/>
      <c r="M223" s="401"/>
      <c r="N223" s="401"/>
      <c r="O223" s="401"/>
      <c r="P223" s="401"/>
      <c r="Q223" s="401"/>
      <c r="R223" s="401"/>
      <c r="S223" s="401"/>
      <c r="T223" s="401"/>
      <c r="U223" s="401"/>
      <c r="V223" s="401"/>
      <c r="W223" s="401"/>
      <c r="X223" s="401"/>
      <c r="Y223" s="401"/>
      <c r="Z223" s="401"/>
      <c r="AA223" s="401"/>
    </row>
    <row r="224">
      <c r="A224" s="401"/>
      <c r="B224" s="401"/>
      <c r="C224" s="401"/>
      <c r="D224" s="401"/>
      <c r="E224" s="399"/>
      <c r="F224" s="399"/>
      <c r="G224" s="399"/>
      <c r="H224" s="400"/>
      <c r="I224" s="401"/>
      <c r="J224" s="401"/>
      <c r="K224" s="401"/>
      <c r="L224" s="401"/>
      <c r="M224" s="401"/>
      <c r="N224" s="401"/>
      <c r="O224" s="401"/>
      <c r="P224" s="401"/>
      <c r="Q224" s="401"/>
      <c r="R224" s="401"/>
      <c r="S224" s="401"/>
      <c r="T224" s="401"/>
      <c r="U224" s="401"/>
      <c r="V224" s="401"/>
      <c r="W224" s="401"/>
      <c r="X224" s="401"/>
      <c r="Y224" s="401"/>
      <c r="Z224" s="401"/>
      <c r="AA224" s="401"/>
    </row>
    <row r="225">
      <c r="A225" s="401"/>
      <c r="B225" s="401"/>
      <c r="C225" s="401"/>
      <c r="D225" s="401"/>
      <c r="E225" s="399"/>
      <c r="F225" s="399"/>
      <c r="G225" s="399"/>
      <c r="H225" s="400"/>
      <c r="I225" s="401"/>
      <c r="J225" s="401"/>
      <c r="K225" s="401"/>
      <c r="L225" s="401"/>
      <c r="M225" s="401"/>
      <c r="N225" s="401"/>
      <c r="O225" s="401"/>
      <c r="P225" s="401"/>
      <c r="Q225" s="401"/>
      <c r="R225" s="401"/>
      <c r="S225" s="401"/>
      <c r="T225" s="401"/>
      <c r="U225" s="401"/>
      <c r="V225" s="401"/>
      <c r="W225" s="401"/>
      <c r="X225" s="401"/>
      <c r="Y225" s="401"/>
      <c r="Z225" s="401"/>
      <c r="AA225" s="401"/>
    </row>
    <row r="226">
      <c r="A226" s="401"/>
      <c r="B226" s="401"/>
      <c r="C226" s="401"/>
      <c r="D226" s="401"/>
      <c r="E226" s="399"/>
      <c r="F226" s="399"/>
      <c r="G226" s="399"/>
      <c r="H226" s="400"/>
      <c r="I226" s="401"/>
      <c r="J226" s="401"/>
      <c r="K226" s="401"/>
      <c r="L226" s="401"/>
      <c r="M226" s="401"/>
      <c r="N226" s="401"/>
      <c r="O226" s="401"/>
      <c r="P226" s="401"/>
      <c r="Q226" s="401"/>
      <c r="R226" s="401"/>
      <c r="S226" s="401"/>
      <c r="T226" s="401"/>
      <c r="U226" s="401"/>
      <c r="V226" s="401"/>
      <c r="W226" s="401"/>
      <c r="X226" s="401"/>
      <c r="Y226" s="401"/>
      <c r="Z226" s="401"/>
      <c r="AA226" s="401"/>
    </row>
    <row r="227">
      <c r="A227" s="401"/>
      <c r="B227" s="401"/>
      <c r="C227" s="401"/>
      <c r="D227" s="401"/>
      <c r="E227" s="399"/>
      <c r="F227" s="399"/>
      <c r="G227" s="399"/>
      <c r="H227" s="400"/>
      <c r="I227" s="401"/>
      <c r="J227" s="401"/>
      <c r="K227" s="401"/>
      <c r="L227" s="401"/>
      <c r="M227" s="401"/>
      <c r="N227" s="401"/>
      <c r="O227" s="401"/>
      <c r="P227" s="401"/>
      <c r="Q227" s="401"/>
      <c r="R227" s="401"/>
      <c r="S227" s="401"/>
      <c r="T227" s="401"/>
      <c r="U227" s="401"/>
      <c r="V227" s="401"/>
      <c r="W227" s="401"/>
      <c r="X227" s="401"/>
      <c r="Y227" s="401"/>
      <c r="Z227" s="401"/>
      <c r="AA227" s="401"/>
    </row>
    <row r="228">
      <c r="A228" s="401"/>
      <c r="B228" s="401"/>
      <c r="C228" s="401"/>
      <c r="D228" s="401"/>
      <c r="E228" s="399"/>
      <c r="F228" s="399"/>
      <c r="G228" s="399"/>
      <c r="H228" s="400"/>
      <c r="I228" s="401"/>
      <c r="J228" s="401"/>
      <c r="K228" s="401"/>
      <c r="L228" s="401"/>
      <c r="M228" s="401"/>
      <c r="N228" s="401"/>
      <c r="O228" s="401"/>
      <c r="P228" s="401"/>
      <c r="Q228" s="401"/>
      <c r="R228" s="401"/>
      <c r="S228" s="401"/>
      <c r="T228" s="401"/>
      <c r="U228" s="401"/>
      <c r="V228" s="401"/>
      <c r="W228" s="401"/>
      <c r="X228" s="401"/>
      <c r="Y228" s="401"/>
      <c r="Z228" s="401"/>
      <c r="AA228" s="401"/>
    </row>
    <row r="229">
      <c r="A229" s="401"/>
      <c r="B229" s="401"/>
      <c r="C229" s="401"/>
      <c r="D229" s="401"/>
      <c r="E229" s="399"/>
      <c r="F229" s="399"/>
      <c r="G229" s="399"/>
      <c r="H229" s="400"/>
      <c r="I229" s="401"/>
      <c r="J229" s="401"/>
      <c r="K229" s="401"/>
      <c r="L229" s="401"/>
      <c r="M229" s="401"/>
      <c r="N229" s="401"/>
      <c r="O229" s="401"/>
      <c r="P229" s="401"/>
      <c r="Q229" s="401"/>
      <c r="R229" s="401"/>
      <c r="S229" s="401"/>
      <c r="T229" s="401"/>
      <c r="U229" s="401"/>
      <c r="V229" s="401"/>
      <c r="W229" s="401"/>
      <c r="X229" s="401"/>
      <c r="Y229" s="401"/>
      <c r="Z229" s="401"/>
      <c r="AA229" s="401"/>
    </row>
    <row r="230">
      <c r="A230" s="401"/>
      <c r="B230" s="401"/>
      <c r="C230" s="401"/>
      <c r="D230" s="401"/>
      <c r="E230" s="399"/>
      <c r="F230" s="399"/>
      <c r="G230" s="399"/>
      <c r="H230" s="400"/>
      <c r="I230" s="401"/>
      <c r="J230" s="401"/>
      <c r="K230" s="401"/>
      <c r="L230" s="401"/>
      <c r="M230" s="401"/>
      <c r="N230" s="401"/>
      <c r="O230" s="401"/>
      <c r="P230" s="401"/>
      <c r="Q230" s="401"/>
      <c r="R230" s="401"/>
      <c r="S230" s="401"/>
      <c r="T230" s="401"/>
      <c r="U230" s="401"/>
      <c r="V230" s="401"/>
      <c r="W230" s="401"/>
      <c r="X230" s="401"/>
      <c r="Y230" s="401"/>
      <c r="Z230" s="401"/>
      <c r="AA230" s="401"/>
    </row>
    <row r="231">
      <c r="A231" s="401"/>
      <c r="B231" s="401"/>
      <c r="C231" s="401"/>
      <c r="D231" s="401"/>
      <c r="E231" s="399"/>
      <c r="F231" s="399"/>
      <c r="G231" s="399"/>
      <c r="H231" s="400"/>
      <c r="I231" s="401"/>
      <c r="J231" s="401"/>
      <c r="K231" s="401"/>
      <c r="L231" s="401"/>
      <c r="M231" s="401"/>
      <c r="N231" s="401"/>
      <c r="O231" s="401"/>
      <c r="P231" s="401"/>
      <c r="Q231" s="401"/>
      <c r="R231" s="401"/>
      <c r="S231" s="401"/>
      <c r="T231" s="401"/>
      <c r="U231" s="401"/>
      <c r="V231" s="401"/>
      <c r="W231" s="401"/>
      <c r="X231" s="401"/>
      <c r="Y231" s="401"/>
      <c r="Z231" s="401"/>
      <c r="AA231" s="401"/>
    </row>
    <row r="232">
      <c r="A232" s="401"/>
      <c r="B232" s="401"/>
      <c r="C232" s="401"/>
      <c r="D232" s="401"/>
      <c r="E232" s="399"/>
      <c r="F232" s="399"/>
      <c r="G232" s="399"/>
      <c r="H232" s="400"/>
      <c r="I232" s="401"/>
      <c r="J232" s="401"/>
      <c r="K232" s="401"/>
      <c r="L232" s="401"/>
      <c r="M232" s="401"/>
      <c r="N232" s="401"/>
      <c r="O232" s="401"/>
      <c r="P232" s="401"/>
      <c r="Q232" s="401"/>
      <c r="R232" s="401"/>
      <c r="S232" s="401"/>
      <c r="T232" s="401"/>
      <c r="U232" s="401"/>
      <c r="V232" s="401"/>
      <c r="W232" s="401"/>
      <c r="X232" s="401"/>
      <c r="Y232" s="401"/>
      <c r="Z232" s="401"/>
      <c r="AA232" s="401"/>
    </row>
    <row r="233">
      <c r="A233" s="401"/>
      <c r="B233" s="401"/>
      <c r="C233" s="401"/>
      <c r="D233" s="401"/>
      <c r="E233" s="399"/>
      <c r="F233" s="399"/>
      <c r="G233" s="399"/>
      <c r="H233" s="400"/>
      <c r="I233" s="401"/>
      <c r="J233" s="401"/>
      <c r="K233" s="401"/>
      <c r="L233" s="401"/>
      <c r="M233" s="401"/>
      <c r="N233" s="401"/>
      <c r="O233" s="401"/>
      <c r="P233" s="401"/>
      <c r="Q233" s="401"/>
      <c r="R233" s="401"/>
      <c r="S233" s="401"/>
      <c r="T233" s="401"/>
      <c r="U233" s="401"/>
      <c r="V233" s="401"/>
      <c r="W233" s="401"/>
      <c r="X233" s="401"/>
      <c r="Y233" s="401"/>
      <c r="Z233" s="401"/>
      <c r="AA233" s="401"/>
    </row>
    <row r="234">
      <c r="A234" s="401"/>
      <c r="B234" s="401"/>
      <c r="C234" s="401"/>
      <c r="D234" s="401"/>
      <c r="E234" s="399"/>
      <c r="F234" s="399"/>
      <c r="G234" s="399"/>
      <c r="H234" s="400"/>
      <c r="I234" s="401"/>
      <c r="J234" s="401"/>
      <c r="K234" s="401"/>
      <c r="L234" s="401"/>
      <c r="M234" s="401"/>
      <c r="N234" s="401"/>
      <c r="O234" s="401"/>
      <c r="P234" s="401"/>
      <c r="Q234" s="401"/>
      <c r="R234" s="401"/>
      <c r="S234" s="401"/>
      <c r="T234" s="401"/>
      <c r="U234" s="401"/>
      <c r="V234" s="401"/>
      <c r="W234" s="401"/>
      <c r="X234" s="401"/>
      <c r="Y234" s="401"/>
      <c r="Z234" s="401"/>
      <c r="AA234" s="401"/>
    </row>
    <row r="235">
      <c r="A235" s="401"/>
      <c r="B235" s="401"/>
      <c r="C235" s="401"/>
      <c r="D235" s="401"/>
      <c r="E235" s="399"/>
      <c r="F235" s="399"/>
      <c r="G235" s="399"/>
      <c r="H235" s="400"/>
      <c r="I235" s="401"/>
      <c r="J235" s="401"/>
      <c r="K235" s="401"/>
      <c r="L235" s="401"/>
      <c r="M235" s="401"/>
      <c r="N235" s="401"/>
      <c r="O235" s="401"/>
      <c r="P235" s="401"/>
      <c r="Q235" s="401"/>
      <c r="R235" s="401"/>
      <c r="S235" s="401"/>
      <c r="T235" s="401"/>
      <c r="U235" s="401"/>
      <c r="V235" s="401"/>
      <c r="W235" s="401"/>
      <c r="X235" s="401"/>
      <c r="Y235" s="401"/>
      <c r="Z235" s="401"/>
      <c r="AA235" s="401"/>
    </row>
    <row r="236">
      <c r="A236" s="401"/>
      <c r="B236" s="401"/>
      <c r="C236" s="401"/>
      <c r="D236" s="401"/>
      <c r="E236" s="399"/>
      <c r="F236" s="399"/>
      <c r="G236" s="399"/>
      <c r="H236" s="400"/>
      <c r="I236" s="401"/>
      <c r="J236" s="401"/>
      <c r="K236" s="401"/>
      <c r="L236" s="401"/>
      <c r="M236" s="401"/>
      <c r="N236" s="401"/>
      <c r="O236" s="401"/>
      <c r="P236" s="401"/>
      <c r="Q236" s="401"/>
      <c r="R236" s="401"/>
      <c r="S236" s="401"/>
      <c r="T236" s="401"/>
      <c r="U236" s="401"/>
      <c r="V236" s="401"/>
      <c r="W236" s="401"/>
      <c r="X236" s="401"/>
      <c r="Y236" s="401"/>
      <c r="Z236" s="401"/>
      <c r="AA236" s="401"/>
    </row>
    <row r="237">
      <c r="A237" s="401"/>
      <c r="B237" s="401"/>
      <c r="C237" s="401"/>
      <c r="D237" s="401"/>
      <c r="E237" s="399"/>
      <c r="F237" s="399"/>
      <c r="G237" s="399"/>
      <c r="H237" s="400"/>
      <c r="I237" s="401"/>
      <c r="J237" s="401"/>
      <c r="K237" s="401"/>
      <c r="L237" s="401"/>
      <c r="M237" s="401"/>
      <c r="N237" s="401"/>
      <c r="O237" s="401"/>
      <c r="P237" s="401"/>
      <c r="Q237" s="401"/>
      <c r="R237" s="401"/>
      <c r="S237" s="401"/>
      <c r="T237" s="401"/>
      <c r="U237" s="401"/>
      <c r="V237" s="401"/>
      <c r="W237" s="401"/>
      <c r="X237" s="401"/>
      <c r="Y237" s="401"/>
      <c r="Z237" s="401"/>
      <c r="AA237" s="401"/>
    </row>
    <row r="238">
      <c r="A238" s="401"/>
      <c r="B238" s="401"/>
      <c r="C238" s="401"/>
      <c r="D238" s="401"/>
      <c r="E238" s="399"/>
      <c r="F238" s="399"/>
      <c r="G238" s="399"/>
      <c r="H238" s="400"/>
      <c r="I238" s="401"/>
      <c r="J238" s="401"/>
      <c r="K238" s="401"/>
      <c r="L238" s="401"/>
      <c r="M238" s="401"/>
      <c r="N238" s="401"/>
      <c r="O238" s="401"/>
      <c r="P238" s="401"/>
      <c r="Q238" s="401"/>
      <c r="R238" s="401"/>
      <c r="S238" s="401"/>
      <c r="T238" s="401"/>
      <c r="U238" s="401"/>
      <c r="V238" s="401"/>
      <c r="W238" s="401"/>
      <c r="X238" s="401"/>
      <c r="Y238" s="401"/>
      <c r="Z238" s="401"/>
      <c r="AA238" s="401"/>
    </row>
    <row r="239">
      <c r="A239" s="401"/>
      <c r="B239" s="401"/>
      <c r="C239" s="401"/>
      <c r="D239" s="401"/>
      <c r="E239" s="399"/>
      <c r="F239" s="399"/>
      <c r="G239" s="399"/>
      <c r="H239" s="400"/>
      <c r="I239" s="401"/>
      <c r="J239" s="401"/>
      <c r="K239" s="401"/>
      <c r="L239" s="401"/>
      <c r="M239" s="401"/>
      <c r="N239" s="401"/>
      <c r="O239" s="401"/>
      <c r="P239" s="401"/>
      <c r="Q239" s="401"/>
      <c r="R239" s="401"/>
      <c r="S239" s="401"/>
      <c r="T239" s="401"/>
      <c r="U239" s="401"/>
      <c r="V239" s="401"/>
      <c r="W239" s="401"/>
      <c r="X239" s="401"/>
      <c r="Y239" s="401"/>
      <c r="Z239" s="401"/>
      <c r="AA239" s="401"/>
    </row>
    <row r="240">
      <c r="A240" s="401"/>
      <c r="B240" s="401"/>
      <c r="C240" s="401"/>
      <c r="D240" s="401"/>
      <c r="E240" s="399"/>
      <c r="F240" s="399"/>
      <c r="G240" s="399"/>
      <c r="H240" s="400"/>
      <c r="I240" s="401"/>
      <c r="J240" s="401"/>
      <c r="K240" s="401"/>
      <c r="L240" s="401"/>
      <c r="M240" s="401"/>
      <c r="N240" s="401"/>
      <c r="O240" s="401"/>
      <c r="P240" s="401"/>
      <c r="Q240" s="401"/>
      <c r="R240" s="401"/>
      <c r="S240" s="401"/>
      <c r="T240" s="401"/>
      <c r="U240" s="401"/>
      <c r="V240" s="401"/>
      <c r="W240" s="401"/>
      <c r="X240" s="401"/>
      <c r="Y240" s="401"/>
      <c r="Z240" s="401"/>
      <c r="AA240" s="401"/>
    </row>
    <row r="241">
      <c r="A241" s="401"/>
      <c r="B241" s="401"/>
      <c r="C241" s="401"/>
      <c r="D241" s="401"/>
      <c r="E241" s="399"/>
      <c r="F241" s="399"/>
      <c r="G241" s="399"/>
      <c r="H241" s="400"/>
      <c r="I241" s="401"/>
      <c r="J241" s="401"/>
      <c r="K241" s="401"/>
      <c r="L241" s="401"/>
      <c r="M241" s="401"/>
      <c r="N241" s="401"/>
      <c r="O241" s="401"/>
      <c r="P241" s="401"/>
      <c r="Q241" s="401"/>
      <c r="R241" s="401"/>
      <c r="S241" s="401"/>
      <c r="T241" s="401"/>
      <c r="U241" s="401"/>
      <c r="V241" s="401"/>
      <c r="W241" s="401"/>
      <c r="X241" s="401"/>
      <c r="Y241" s="401"/>
      <c r="Z241" s="401"/>
      <c r="AA241" s="401"/>
    </row>
    <row r="242">
      <c r="A242" s="401"/>
      <c r="B242" s="401"/>
      <c r="C242" s="401"/>
      <c r="D242" s="401"/>
      <c r="E242" s="399"/>
      <c r="F242" s="399"/>
      <c r="G242" s="399"/>
      <c r="H242" s="400"/>
      <c r="I242" s="401"/>
      <c r="J242" s="401"/>
      <c r="K242" s="401"/>
      <c r="L242" s="401"/>
      <c r="M242" s="401"/>
      <c r="N242" s="401"/>
      <c r="O242" s="401"/>
      <c r="P242" s="401"/>
      <c r="Q242" s="401"/>
      <c r="R242" s="401"/>
      <c r="S242" s="401"/>
      <c r="T242" s="401"/>
      <c r="U242" s="401"/>
      <c r="V242" s="401"/>
      <c r="W242" s="401"/>
      <c r="X242" s="401"/>
      <c r="Y242" s="401"/>
      <c r="Z242" s="401"/>
      <c r="AA242" s="401"/>
    </row>
    <row r="243">
      <c r="A243" s="401"/>
      <c r="B243" s="401"/>
      <c r="C243" s="401"/>
      <c r="D243" s="401"/>
      <c r="E243" s="399"/>
      <c r="F243" s="399"/>
      <c r="G243" s="399"/>
      <c r="H243" s="400"/>
      <c r="I243" s="401"/>
      <c r="J243" s="401"/>
      <c r="K243" s="401"/>
      <c r="L243" s="401"/>
      <c r="M243" s="401"/>
      <c r="N243" s="401"/>
      <c r="O243" s="401"/>
      <c r="P243" s="401"/>
      <c r="Q243" s="401"/>
      <c r="R243" s="401"/>
      <c r="S243" s="401"/>
      <c r="T243" s="401"/>
      <c r="U243" s="401"/>
      <c r="V243" s="401"/>
      <c r="W243" s="401"/>
      <c r="X243" s="401"/>
      <c r="Y243" s="401"/>
      <c r="Z243" s="401"/>
      <c r="AA243" s="401"/>
    </row>
    <row r="244">
      <c r="A244" s="401"/>
      <c r="B244" s="401"/>
      <c r="C244" s="401"/>
      <c r="D244" s="401"/>
      <c r="E244" s="399"/>
      <c r="F244" s="399"/>
      <c r="G244" s="399"/>
      <c r="H244" s="400"/>
      <c r="I244" s="401"/>
      <c r="J244" s="401"/>
      <c r="K244" s="401"/>
      <c r="L244" s="401"/>
      <c r="M244" s="401"/>
      <c r="N244" s="401"/>
      <c r="O244" s="401"/>
      <c r="P244" s="401"/>
      <c r="Q244" s="401"/>
      <c r="R244" s="401"/>
      <c r="S244" s="401"/>
      <c r="T244" s="401"/>
      <c r="U244" s="401"/>
      <c r="V244" s="401"/>
      <c r="W244" s="401"/>
      <c r="X244" s="401"/>
      <c r="Y244" s="401"/>
      <c r="Z244" s="401"/>
      <c r="AA244" s="401"/>
    </row>
    <row r="245">
      <c r="A245" s="401"/>
      <c r="B245" s="401"/>
      <c r="C245" s="401"/>
      <c r="D245" s="401"/>
      <c r="E245" s="399"/>
      <c r="F245" s="399"/>
      <c r="G245" s="399"/>
      <c r="H245" s="400"/>
      <c r="I245" s="401"/>
      <c r="J245" s="401"/>
      <c r="K245" s="401"/>
      <c r="L245" s="401"/>
      <c r="M245" s="401"/>
      <c r="N245" s="401"/>
      <c r="O245" s="401"/>
      <c r="P245" s="401"/>
      <c r="Q245" s="401"/>
      <c r="R245" s="401"/>
      <c r="S245" s="401"/>
      <c r="T245" s="401"/>
      <c r="U245" s="401"/>
      <c r="V245" s="401"/>
      <c r="W245" s="401"/>
      <c r="X245" s="401"/>
      <c r="Y245" s="401"/>
      <c r="Z245" s="401"/>
      <c r="AA245" s="401"/>
    </row>
    <row r="246">
      <c r="A246" s="401"/>
      <c r="B246" s="401"/>
      <c r="C246" s="401"/>
      <c r="D246" s="401"/>
      <c r="E246" s="399"/>
      <c r="F246" s="399"/>
      <c r="G246" s="399"/>
      <c r="H246" s="400"/>
      <c r="I246" s="401"/>
      <c r="J246" s="401"/>
      <c r="K246" s="401"/>
      <c r="L246" s="401"/>
      <c r="M246" s="401"/>
      <c r="N246" s="401"/>
      <c r="O246" s="401"/>
      <c r="P246" s="401"/>
      <c r="Q246" s="401"/>
      <c r="R246" s="401"/>
      <c r="S246" s="401"/>
      <c r="T246" s="401"/>
      <c r="U246" s="401"/>
      <c r="V246" s="401"/>
      <c r="W246" s="401"/>
      <c r="X246" s="401"/>
      <c r="Y246" s="401"/>
      <c r="Z246" s="401"/>
      <c r="AA246" s="401"/>
    </row>
    <row r="247">
      <c r="A247" s="401"/>
      <c r="B247" s="401"/>
      <c r="C247" s="401"/>
      <c r="D247" s="401"/>
      <c r="E247" s="399"/>
      <c r="F247" s="399"/>
      <c r="G247" s="399"/>
      <c r="H247" s="400"/>
      <c r="I247" s="401"/>
      <c r="J247" s="401"/>
      <c r="K247" s="401"/>
      <c r="L247" s="401"/>
      <c r="M247" s="401"/>
      <c r="N247" s="401"/>
      <c r="O247" s="401"/>
      <c r="P247" s="401"/>
      <c r="Q247" s="401"/>
      <c r="R247" s="401"/>
      <c r="S247" s="401"/>
      <c r="T247" s="401"/>
      <c r="U247" s="401"/>
      <c r="V247" s="401"/>
      <c r="W247" s="401"/>
      <c r="X247" s="401"/>
      <c r="Y247" s="401"/>
      <c r="Z247" s="401"/>
      <c r="AA247" s="401"/>
    </row>
    <row r="248">
      <c r="A248" s="401"/>
      <c r="B248" s="401"/>
      <c r="C248" s="401"/>
      <c r="D248" s="401"/>
      <c r="E248" s="399"/>
      <c r="F248" s="399"/>
      <c r="G248" s="399"/>
      <c r="H248" s="400"/>
      <c r="I248" s="401"/>
      <c r="J248" s="401"/>
      <c r="K248" s="401"/>
      <c r="L248" s="401"/>
      <c r="M248" s="401"/>
      <c r="N248" s="401"/>
      <c r="O248" s="401"/>
      <c r="P248" s="401"/>
      <c r="Q248" s="401"/>
      <c r="R248" s="401"/>
      <c r="S248" s="401"/>
      <c r="T248" s="401"/>
      <c r="U248" s="401"/>
      <c r="V248" s="401"/>
      <c r="W248" s="401"/>
      <c r="X248" s="401"/>
      <c r="Y248" s="401"/>
      <c r="Z248" s="401"/>
      <c r="AA248" s="401"/>
    </row>
    <row r="249">
      <c r="A249" s="401"/>
      <c r="B249" s="401"/>
      <c r="C249" s="401"/>
      <c r="D249" s="401"/>
      <c r="E249" s="399"/>
      <c r="F249" s="399"/>
      <c r="G249" s="399"/>
      <c r="H249" s="400"/>
      <c r="I249" s="401"/>
      <c r="J249" s="401"/>
      <c r="K249" s="401"/>
      <c r="L249" s="401"/>
      <c r="M249" s="401"/>
      <c r="N249" s="401"/>
      <c r="O249" s="401"/>
      <c r="P249" s="401"/>
      <c r="Q249" s="401"/>
      <c r="R249" s="401"/>
      <c r="S249" s="401"/>
      <c r="T249" s="401"/>
      <c r="U249" s="401"/>
      <c r="V249" s="401"/>
      <c r="W249" s="401"/>
      <c r="X249" s="401"/>
      <c r="Y249" s="401"/>
      <c r="Z249" s="401"/>
      <c r="AA249" s="401"/>
    </row>
    <row r="250">
      <c r="A250" s="401"/>
      <c r="B250" s="401"/>
      <c r="C250" s="401"/>
      <c r="D250" s="401"/>
      <c r="E250" s="399"/>
      <c r="F250" s="399"/>
      <c r="G250" s="399"/>
      <c r="H250" s="400"/>
      <c r="I250" s="401"/>
      <c r="J250" s="401"/>
      <c r="K250" s="401"/>
      <c r="L250" s="401"/>
      <c r="M250" s="401"/>
      <c r="N250" s="401"/>
      <c r="O250" s="401"/>
      <c r="P250" s="401"/>
      <c r="Q250" s="401"/>
      <c r="R250" s="401"/>
      <c r="S250" s="401"/>
      <c r="T250" s="401"/>
      <c r="U250" s="401"/>
      <c r="V250" s="401"/>
      <c r="W250" s="401"/>
      <c r="X250" s="401"/>
      <c r="Y250" s="401"/>
      <c r="Z250" s="401"/>
      <c r="AA250" s="401"/>
    </row>
    <row r="251">
      <c r="A251" s="401"/>
      <c r="B251" s="401"/>
      <c r="C251" s="401"/>
      <c r="D251" s="401"/>
      <c r="E251" s="399"/>
      <c r="F251" s="399"/>
      <c r="G251" s="399"/>
      <c r="H251" s="400"/>
      <c r="I251" s="401"/>
      <c r="J251" s="401"/>
      <c r="K251" s="401"/>
      <c r="L251" s="401"/>
      <c r="M251" s="401"/>
      <c r="N251" s="401"/>
      <c r="O251" s="401"/>
      <c r="P251" s="401"/>
      <c r="Q251" s="401"/>
      <c r="R251" s="401"/>
      <c r="S251" s="401"/>
      <c r="T251" s="401"/>
      <c r="U251" s="401"/>
      <c r="V251" s="401"/>
      <c r="W251" s="401"/>
      <c r="X251" s="401"/>
      <c r="Y251" s="401"/>
      <c r="Z251" s="401"/>
      <c r="AA251" s="401"/>
    </row>
    <row r="252">
      <c r="A252" s="401"/>
      <c r="B252" s="401"/>
      <c r="C252" s="401"/>
      <c r="D252" s="401"/>
      <c r="E252" s="399"/>
      <c r="F252" s="399"/>
      <c r="G252" s="399"/>
      <c r="H252" s="400"/>
      <c r="I252" s="401"/>
      <c r="J252" s="401"/>
      <c r="K252" s="401"/>
      <c r="L252" s="401"/>
      <c r="M252" s="401"/>
      <c r="N252" s="401"/>
      <c r="O252" s="401"/>
      <c r="P252" s="401"/>
      <c r="Q252" s="401"/>
      <c r="R252" s="401"/>
      <c r="S252" s="401"/>
      <c r="T252" s="401"/>
      <c r="U252" s="401"/>
      <c r="V252" s="401"/>
      <c r="W252" s="401"/>
      <c r="X252" s="401"/>
      <c r="Y252" s="401"/>
      <c r="Z252" s="401"/>
      <c r="AA252" s="401"/>
    </row>
    <row r="253">
      <c r="A253" s="401"/>
      <c r="B253" s="401"/>
      <c r="C253" s="401"/>
      <c r="D253" s="401"/>
      <c r="E253" s="399"/>
      <c r="F253" s="399"/>
      <c r="G253" s="399"/>
      <c r="H253" s="400"/>
      <c r="I253" s="401"/>
      <c r="J253" s="401"/>
      <c r="K253" s="401"/>
      <c r="L253" s="401"/>
      <c r="M253" s="401"/>
      <c r="N253" s="401"/>
      <c r="O253" s="401"/>
      <c r="P253" s="401"/>
      <c r="Q253" s="401"/>
      <c r="R253" s="401"/>
      <c r="S253" s="401"/>
      <c r="T253" s="401"/>
      <c r="U253" s="401"/>
      <c r="V253" s="401"/>
      <c r="W253" s="401"/>
      <c r="X253" s="401"/>
      <c r="Y253" s="401"/>
      <c r="Z253" s="401"/>
      <c r="AA253" s="401"/>
    </row>
    <row r="254">
      <c r="A254" s="401"/>
      <c r="B254" s="401"/>
      <c r="C254" s="401"/>
      <c r="D254" s="401"/>
      <c r="E254" s="399"/>
      <c r="F254" s="399"/>
      <c r="G254" s="399"/>
      <c r="H254" s="400"/>
      <c r="I254" s="401"/>
      <c r="J254" s="401"/>
      <c r="K254" s="401"/>
      <c r="L254" s="401"/>
      <c r="M254" s="401"/>
      <c r="N254" s="401"/>
      <c r="O254" s="401"/>
      <c r="P254" s="401"/>
      <c r="Q254" s="401"/>
      <c r="R254" s="401"/>
      <c r="S254" s="401"/>
      <c r="T254" s="401"/>
      <c r="U254" s="401"/>
      <c r="V254" s="401"/>
      <c r="W254" s="401"/>
      <c r="X254" s="401"/>
      <c r="Y254" s="401"/>
      <c r="Z254" s="401"/>
      <c r="AA254" s="401"/>
    </row>
    <row r="255">
      <c r="A255" s="401"/>
      <c r="B255" s="401"/>
      <c r="C255" s="401"/>
      <c r="D255" s="401"/>
      <c r="E255" s="399"/>
      <c r="F255" s="399"/>
      <c r="G255" s="399"/>
      <c r="H255" s="400"/>
      <c r="I255" s="401"/>
      <c r="J255" s="401"/>
      <c r="K255" s="401"/>
      <c r="L255" s="401"/>
      <c r="M255" s="401"/>
      <c r="N255" s="401"/>
      <c r="O255" s="401"/>
      <c r="P255" s="401"/>
      <c r="Q255" s="401"/>
      <c r="R255" s="401"/>
      <c r="S255" s="401"/>
      <c r="T255" s="401"/>
      <c r="U255" s="401"/>
      <c r="V255" s="401"/>
      <c r="W255" s="401"/>
      <c r="X255" s="401"/>
      <c r="Y255" s="401"/>
      <c r="Z255" s="401"/>
      <c r="AA255" s="401"/>
    </row>
    <row r="256">
      <c r="A256" s="401"/>
      <c r="B256" s="401"/>
      <c r="C256" s="401"/>
      <c r="D256" s="401"/>
      <c r="E256" s="399"/>
      <c r="F256" s="399"/>
      <c r="G256" s="399"/>
      <c r="H256" s="400"/>
      <c r="I256" s="401"/>
      <c r="J256" s="401"/>
      <c r="K256" s="401"/>
      <c r="L256" s="401"/>
      <c r="M256" s="401"/>
      <c r="N256" s="401"/>
      <c r="O256" s="401"/>
      <c r="P256" s="401"/>
      <c r="Q256" s="401"/>
      <c r="R256" s="401"/>
      <c r="S256" s="401"/>
      <c r="T256" s="401"/>
      <c r="U256" s="401"/>
      <c r="V256" s="401"/>
      <c r="W256" s="401"/>
      <c r="X256" s="401"/>
      <c r="Y256" s="401"/>
      <c r="Z256" s="401"/>
      <c r="AA256" s="401"/>
    </row>
    <row r="257">
      <c r="A257" s="401"/>
      <c r="B257" s="401"/>
      <c r="C257" s="401"/>
      <c r="D257" s="401"/>
      <c r="E257" s="399"/>
      <c r="F257" s="399"/>
      <c r="G257" s="399"/>
      <c r="H257" s="400"/>
      <c r="I257" s="401"/>
      <c r="J257" s="401"/>
      <c r="K257" s="401"/>
      <c r="L257" s="401"/>
      <c r="M257" s="401"/>
      <c r="N257" s="401"/>
      <c r="O257" s="401"/>
      <c r="P257" s="401"/>
      <c r="Q257" s="401"/>
      <c r="R257" s="401"/>
      <c r="S257" s="401"/>
      <c r="T257" s="401"/>
      <c r="U257" s="401"/>
      <c r="V257" s="401"/>
      <c r="W257" s="401"/>
      <c r="X257" s="401"/>
      <c r="Y257" s="401"/>
      <c r="Z257" s="401"/>
      <c r="AA257" s="401"/>
    </row>
    <row r="258">
      <c r="A258" s="401"/>
      <c r="B258" s="401"/>
      <c r="C258" s="401"/>
      <c r="D258" s="401"/>
      <c r="E258" s="399"/>
      <c r="F258" s="399"/>
      <c r="G258" s="399"/>
      <c r="H258" s="400"/>
      <c r="I258" s="401"/>
      <c r="J258" s="401"/>
      <c r="K258" s="401"/>
      <c r="L258" s="401"/>
      <c r="M258" s="401"/>
      <c r="N258" s="401"/>
      <c r="O258" s="401"/>
      <c r="P258" s="401"/>
      <c r="Q258" s="401"/>
      <c r="R258" s="401"/>
      <c r="S258" s="401"/>
      <c r="T258" s="401"/>
      <c r="U258" s="401"/>
      <c r="V258" s="401"/>
      <c r="W258" s="401"/>
      <c r="X258" s="401"/>
      <c r="Y258" s="401"/>
      <c r="Z258" s="401"/>
      <c r="AA258" s="401"/>
    </row>
    <row r="259">
      <c r="A259" s="401"/>
      <c r="B259" s="401"/>
      <c r="C259" s="401"/>
      <c r="D259" s="401"/>
      <c r="E259" s="399"/>
      <c r="F259" s="399"/>
      <c r="G259" s="399"/>
      <c r="H259" s="400"/>
      <c r="I259" s="401"/>
      <c r="J259" s="401"/>
      <c r="K259" s="401"/>
      <c r="L259" s="401"/>
      <c r="M259" s="401"/>
      <c r="N259" s="401"/>
      <c r="O259" s="401"/>
      <c r="P259" s="401"/>
      <c r="Q259" s="401"/>
      <c r="R259" s="401"/>
      <c r="S259" s="401"/>
      <c r="T259" s="401"/>
      <c r="U259" s="401"/>
      <c r="V259" s="401"/>
      <c r="W259" s="401"/>
      <c r="X259" s="401"/>
      <c r="Y259" s="401"/>
      <c r="Z259" s="401"/>
      <c r="AA259" s="401"/>
    </row>
    <row r="260">
      <c r="A260" s="401"/>
      <c r="B260" s="401"/>
      <c r="C260" s="401"/>
      <c r="D260" s="401"/>
      <c r="E260" s="399"/>
      <c r="F260" s="399"/>
      <c r="G260" s="399"/>
      <c r="H260" s="400"/>
      <c r="I260" s="401"/>
      <c r="J260" s="401"/>
      <c r="K260" s="401"/>
      <c r="L260" s="401"/>
      <c r="M260" s="401"/>
      <c r="N260" s="401"/>
      <c r="O260" s="401"/>
      <c r="P260" s="401"/>
      <c r="Q260" s="401"/>
      <c r="R260" s="401"/>
      <c r="S260" s="401"/>
      <c r="T260" s="401"/>
      <c r="U260" s="401"/>
      <c r="V260" s="401"/>
      <c r="W260" s="401"/>
      <c r="X260" s="401"/>
      <c r="Y260" s="401"/>
      <c r="Z260" s="401"/>
      <c r="AA260" s="401"/>
    </row>
    <row r="261">
      <c r="A261" s="401"/>
      <c r="B261" s="401"/>
      <c r="C261" s="401"/>
      <c r="D261" s="401"/>
      <c r="E261" s="399"/>
      <c r="F261" s="399"/>
      <c r="G261" s="399"/>
      <c r="H261" s="400"/>
      <c r="I261" s="401"/>
      <c r="J261" s="401"/>
      <c r="K261" s="401"/>
      <c r="L261" s="401"/>
      <c r="M261" s="401"/>
      <c r="N261" s="401"/>
      <c r="O261" s="401"/>
      <c r="P261" s="401"/>
      <c r="Q261" s="401"/>
      <c r="R261" s="401"/>
      <c r="S261" s="401"/>
      <c r="T261" s="401"/>
      <c r="U261" s="401"/>
      <c r="V261" s="401"/>
      <c r="W261" s="401"/>
      <c r="X261" s="401"/>
      <c r="Y261" s="401"/>
      <c r="Z261" s="401"/>
      <c r="AA261" s="401"/>
    </row>
    <row r="262">
      <c r="A262" s="401"/>
      <c r="B262" s="401"/>
      <c r="C262" s="401"/>
      <c r="D262" s="401"/>
      <c r="E262" s="399"/>
      <c r="F262" s="399"/>
      <c r="G262" s="399"/>
      <c r="H262" s="400"/>
      <c r="I262" s="401"/>
      <c r="J262" s="401"/>
      <c r="K262" s="401"/>
      <c r="L262" s="401"/>
      <c r="M262" s="401"/>
      <c r="N262" s="401"/>
      <c r="O262" s="401"/>
      <c r="P262" s="401"/>
      <c r="Q262" s="401"/>
      <c r="R262" s="401"/>
      <c r="S262" s="401"/>
      <c r="T262" s="401"/>
      <c r="U262" s="401"/>
      <c r="V262" s="401"/>
      <c r="W262" s="401"/>
      <c r="X262" s="401"/>
      <c r="Y262" s="401"/>
      <c r="Z262" s="401"/>
      <c r="AA262" s="401"/>
    </row>
    <row r="263">
      <c r="A263" s="401"/>
      <c r="B263" s="401"/>
      <c r="C263" s="401"/>
      <c r="D263" s="401"/>
      <c r="E263" s="399"/>
      <c r="F263" s="399"/>
      <c r="G263" s="399"/>
      <c r="H263" s="400"/>
      <c r="I263" s="401"/>
      <c r="J263" s="401"/>
      <c r="K263" s="401"/>
      <c r="L263" s="401"/>
      <c r="M263" s="401"/>
      <c r="N263" s="401"/>
      <c r="O263" s="401"/>
      <c r="P263" s="401"/>
      <c r="Q263" s="401"/>
      <c r="R263" s="401"/>
      <c r="S263" s="401"/>
      <c r="T263" s="401"/>
      <c r="U263" s="401"/>
      <c r="V263" s="401"/>
      <c r="W263" s="401"/>
      <c r="X263" s="401"/>
      <c r="Y263" s="401"/>
      <c r="Z263" s="401"/>
      <c r="AA263" s="401"/>
    </row>
    <row r="264">
      <c r="A264" s="401"/>
      <c r="B264" s="401"/>
      <c r="C264" s="401"/>
      <c r="D264" s="401"/>
      <c r="E264" s="399"/>
      <c r="F264" s="399"/>
      <c r="G264" s="399"/>
      <c r="H264" s="400"/>
      <c r="I264" s="401"/>
      <c r="J264" s="401"/>
      <c r="K264" s="401"/>
      <c r="L264" s="401"/>
      <c r="M264" s="401"/>
      <c r="N264" s="401"/>
      <c r="O264" s="401"/>
      <c r="P264" s="401"/>
      <c r="Q264" s="401"/>
      <c r="R264" s="401"/>
      <c r="S264" s="401"/>
      <c r="T264" s="401"/>
      <c r="U264" s="401"/>
      <c r="V264" s="401"/>
      <c r="W264" s="401"/>
      <c r="X264" s="401"/>
      <c r="Y264" s="401"/>
      <c r="Z264" s="401"/>
      <c r="AA264" s="401"/>
    </row>
    <row r="265">
      <c r="A265" s="401"/>
      <c r="B265" s="401"/>
      <c r="C265" s="401"/>
      <c r="D265" s="401"/>
      <c r="E265" s="399"/>
      <c r="F265" s="399"/>
      <c r="G265" s="399"/>
      <c r="H265" s="400"/>
      <c r="I265" s="401"/>
      <c r="J265" s="401"/>
      <c r="K265" s="401"/>
      <c r="L265" s="401"/>
      <c r="M265" s="401"/>
      <c r="N265" s="401"/>
      <c r="O265" s="401"/>
      <c r="P265" s="401"/>
      <c r="Q265" s="401"/>
      <c r="R265" s="401"/>
      <c r="S265" s="401"/>
      <c r="T265" s="401"/>
      <c r="U265" s="401"/>
      <c r="V265" s="401"/>
      <c r="W265" s="401"/>
      <c r="X265" s="401"/>
      <c r="Y265" s="401"/>
      <c r="Z265" s="401"/>
      <c r="AA265" s="401"/>
    </row>
    <row r="266">
      <c r="A266" s="401"/>
      <c r="B266" s="401"/>
      <c r="C266" s="401"/>
      <c r="D266" s="401"/>
      <c r="E266" s="399"/>
      <c r="F266" s="399"/>
      <c r="G266" s="399"/>
      <c r="H266" s="400"/>
      <c r="I266" s="401"/>
      <c r="J266" s="401"/>
      <c r="K266" s="401"/>
      <c r="L266" s="401"/>
      <c r="M266" s="401"/>
      <c r="N266" s="401"/>
      <c r="O266" s="401"/>
      <c r="P266" s="401"/>
      <c r="Q266" s="401"/>
      <c r="R266" s="401"/>
      <c r="S266" s="401"/>
      <c r="T266" s="401"/>
      <c r="U266" s="401"/>
      <c r="V266" s="401"/>
      <c r="W266" s="401"/>
      <c r="X266" s="401"/>
      <c r="Y266" s="401"/>
      <c r="Z266" s="401"/>
      <c r="AA266" s="401"/>
    </row>
    <row r="267">
      <c r="A267" s="401"/>
      <c r="B267" s="401"/>
      <c r="C267" s="401"/>
      <c r="D267" s="401"/>
      <c r="E267" s="399"/>
      <c r="F267" s="399"/>
      <c r="G267" s="399"/>
      <c r="H267" s="400"/>
      <c r="I267" s="401"/>
      <c r="J267" s="401"/>
      <c r="K267" s="401"/>
      <c r="L267" s="401"/>
      <c r="M267" s="401"/>
      <c r="N267" s="401"/>
      <c r="O267" s="401"/>
      <c r="P267" s="401"/>
      <c r="Q267" s="401"/>
      <c r="R267" s="401"/>
      <c r="S267" s="401"/>
      <c r="T267" s="401"/>
      <c r="U267" s="401"/>
      <c r="V267" s="401"/>
      <c r="W267" s="401"/>
      <c r="X267" s="401"/>
      <c r="Y267" s="401"/>
      <c r="Z267" s="401"/>
      <c r="AA267" s="401"/>
    </row>
    <row r="268">
      <c r="A268" s="401"/>
      <c r="B268" s="401"/>
      <c r="C268" s="401"/>
      <c r="D268" s="401"/>
      <c r="E268" s="399"/>
      <c r="F268" s="399"/>
      <c r="G268" s="399"/>
      <c r="H268" s="400"/>
      <c r="I268" s="401"/>
      <c r="J268" s="401"/>
      <c r="K268" s="401"/>
      <c r="L268" s="401"/>
      <c r="M268" s="401"/>
      <c r="N268" s="401"/>
      <c r="O268" s="401"/>
      <c r="P268" s="401"/>
      <c r="Q268" s="401"/>
      <c r="R268" s="401"/>
      <c r="S268" s="401"/>
      <c r="T268" s="401"/>
      <c r="U268" s="401"/>
      <c r="V268" s="401"/>
      <c r="W268" s="401"/>
      <c r="X268" s="401"/>
      <c r="Y268" s="401"/>
      <c r="Z268" s="401"/>
      <c r="AA268" s="401"/>
    </row>
    <row r="269">
      <c r="A269" s="401"/>
      <c r="B269" s="401"/>
      <c r="C269" s="401"/>
      <c r="D269" s="401"/>
      <c r="E269" s="399"/>
      <c r="F269" s="399"/>
      <c r="G269" s="399"/>
      <c r="H269" s="400"/>
      <c r="I269" s="401"/>
      <c r="J269" s="401"/>
      <c r="K269" s="401"/>
      <c r="L269" s="401"/>
      <c r="M269" s="401"/>
      <c r="N269" s="401"/>
      <c r="O269" s="401"/>
      <c r="P269" s="401"/>
      <c r="Q269" s="401"/>
      <c r="R269" s="401"/>
      <c r="S269" s="401"/>
      <c r="T269" s="401"/>
      <c r="U269" s="401"/>
      <c r="V269" s="401"/>
      <c r="W269" s="401"/>
      <c r="X269" s="401"/>
      <c r="Y269" s="401"/>
      <c r="Z269" s="401"/>
      <c r="AA269" s="401"/>
    </row>
    <row r="270">
      <c r="A270" s="401"/>
      <c r="B270" s="401"/>
      <c r="C270" s="401"/>
      <c r="D270" s="401"/>
      <c r="E270" s="399"/>
      <c r="F270" s="399"/>
      <c r="G270" s="399"/>
      <c r="H270" s="400"/>
      <c r="I270" s="401"/>
      <c r="J270" s="401"/>
      <c r="K270" s="401"/>
      <c r="L270" s="401"/>
      <c r="M270" s="401"/>
      <c r="N270" s="401"/>
      <c r="O270" s="401"/>
      <c r="P270" s="401"/>
      <c r="Q270" s="401"/>
      <c r="R270" s="401"/>
      <c r="S270" s="401"/>
      <c r="T270" s="401"/>
      <c r="U270" s="401"/>
      <c r="V270" s="401"/>
      <c r="W270" s="401"/>
      <c r="X270" s="401"/>
      <c r="Y270" s="401"/>
      <c r="Z270" s="401"/>
      <c r="AA270" s="401"/>
    </row>
    <row r="271">
      <c r="A271" s="401"/>
      <c r="B271" s="401"/>
      <c r="C271" s="401"/>
      <c r="D271" s="401"/>
      <c r="E271" s="399"/>
      <c r="F271" s="399"/>
      <c r="G271" s="399"/>
      <c r="H271" s="400"/>
      <c r="I271" s="401"/>
      <c r="J271" s="401"/>
      <c r="K271" s="401"/>
      <c r="L271" s="401"/>
      <c r="M271" s="401"/>
      <c r="N271" s="401"/>
      <c r="O271" s="401"/>
      <c r="P271" s="401"/>
      <c r="Q271" s="401"/>
      <c r="R271" s="401"/>
      <c r="S271" s="401"/>
      <c r="T271" s="401"/>
      <c r="U271" s="401"/>
      <c r="V271" s="401"/>
      <c r="W271" s="401"/>
      <c r="X271" s="401"/>
      <c r="Y271" s="401"/>
      <c r="Z271" s="401"/>
      <c r="AA271" s="401"/>
    </row>
    <row r="272">
      <c r="A272" s="401"/>
      <c r="B272" s="401"/>
      <c r="C272" s="401"/>
      <c r="D272" s="401"/>
      <c r="E272" s="399"/>
      <c r="F272" s="399"/>
      <c r="G272" s="399"/>
      <c r="H272" s="400"/>
      <c r="I272" s="401"/>
      <c r="J272" s="401"/>
      <c r="K272" s="401"/>
      <c r="L272" s="401"/>
      <c r="M272" s="401"/>
      <c r="N272" s="401"/>
      <c r="O272" s="401"/>
      <c r="P272" s="401"/>
      <c r="Q272" s="401"/>
      <c r="R272" s="401"/>
      <c r="S272" s="401"/>
      <c r="T272" s="401"/>
      <c r="U272" s="401"/>
      <c r="V272" s="401"/>
      <c r="W272" s="401"/>
      <c r="X272" s="401"/>
      <c r="Y272" s="401"/>
      <c r="Z272" s="401"/>
      <c r="AA272" s="401"/>
    </row>
    <row r="273">
      <c r="A273" s="401"/>
      <c r="B273" s="401"/>
      <c r="C273" s="401"/>
      <c r="D273" s="401"/>
      <c r="E273" s="399"/>
      <c r="F273" s="399"/>
      <c r="G273" s="399"/>
      <c r="H273" s="400"/>
      <c r="I273" s="401"/>
      <c r="J273" s="401"/>
      <c r="K273" s="401"/>
      <c r="L273" s="401"/>
      <c r="M273" s="401"/>
      <c r="N273" s="401"/>
      <c r="O273" s="401"/>
      <c r="P273" s="401"/>
      <c r="Q273" s="401"/>
      <c r="R273" s="401"/>
      <c r="S273" s="401"/>
      <c r="T273" s="401"/>
      <c r="U273" s="401"/>
      <c r="V273" s="401"/>
      <c r="W273" s="401"/>
      <c r="X273" s="401"/>
      <c r="Y273" s="401"/>
      <c r="Z273" s="401"/>
      <c r="AA273" s="401"/>
    </row>
    <row r="274">
      <c r="A274" s="401"/>
      <c r="B274" s="401"/>
      <c r="C274" s="401"/>
      <c r="D274" s="401"/>
      <c r="E274" s="399"/>
      <c r="F274" s="399"/>
      <c r="G274" s="399"/>
      <c r="H274" s="400"/>
      <c r="I274" s="401"/>
      <c r="J274" s="401"/>
      <c r="K274" s="401"/>
      <c r="L274" s="401"/>
      <c r="M274" s="401"/>
      <c r="N274" s="401"/>
      <c r="O274" s="401"/>
      <c r="P274" s="401"/>
      <c r="Q274" s="401"/>
      <c r="R274" s="401"/>
      <c r="S274" s="401"/>
      <c r="T274" s="401"/>
      <c r="U274" s="401"/>
      <c r="V274" s="401"/>
      <c r="W274" s="401"/>
      <c r="X274" s="401"/>
      <c r="Y274" s="401"/>
      <c r="Z274" s="401"/>
      <c r="AA274" s="401"/>
    </row>
    <row r="275">
      <c r="A275" s="401"/>
      <c r="B275" s="401"/>
      <c r="C275" s="401"/>
      <c r="D275" s="401"/>
      <c r="E275" s="399"/>
      <c r="F275" s="399"/>
      <c r="G275" s="399"/>
      <c r="H275" s="400"/>
      <c r="I275" s="401"/>
      <c r="J275" s="401"/>
      <c r="K275" s="401"/>
      <c r="L275" s="401"/>
      <c r="M275" s="401"/>
      <c r="N275" s="401"/>
      <c r="O275" s="401"/>
      <c r="P275" s="401"/>
      <c r="Q275" s="401"/>
      <c r="R275" s="401"/>
      <c r="S275" s="401"/>
      <c r="T275" s="401"/>
      <c r="U275" s="401"/>
      <c r="V275" s="401"/>
      <c r="W275" s="401"/>
      <c r="X275" s="401"/>
      <c r="Y275" s="401"/>
      <c r="Z275" s="401"/>
      <c r="AA275" s="401"/>
    </row>
    <row r="276">
      <c r="A276" s="401"/>
      <c r="B276" s="401"/>
      <c r="C276" s="401"/>
      <c r="D276" s="401"/>
      <c r="E276" s="399"/>
      <c r="F276" s="399"/>
      <c r="G276" s="399"/>
      <c r="H276" s="400"/>
      <c r="I276" s="401"/>
      <c r="J276" s="401"/>
      <c r="K276" s="401"/>
      <c r="L276" s="401"/>
      <c r="M276" s="401"/>
      <c r="N276" s="401"/>
      <c r="O276" s="401"/>
      <c r="P276" s="401"/>
      <c r="Q276" s="401"/>
      <c r="R276" s="401"/>
      <c r="S276" s="401"/>
      <c r="T276" s="401"/>
      <c r="U276" s="401"/>
      <c r="V276" s="401"/>
      <c r="W276" s="401"/>
      <c r="X276" s="401"/>
      <c r="Y276" s="401"/>
      <c r="Z276" s="401"/>
      <c r="AA276" s="401"/>
    </row>
    <row r="277">
      <c r="A277" s="401"/>
      <c r="B277" s="401"/>
      <c r="C277" s="401"/>
      <c r="D277" s="401"/>
      <c r="E277" s="399"/>
      <c r="F277" s="399"/>
      <c r="G277" s="399"/>
      <c r="H277" s="400"/>
      <c r="I277" s="401"/>
      <c r="J277" s="401"/>
      <c r="K277" s="401"/>
      <c r="L277" s="401"/>
      <c r="M277" s="401"/>
      <c r="N277" s="401"/>
      <c r="O277" s="401"/>
      <c r="P277" s="401"/>
      <c r="Q277" s="401"/>
      <c r="R277" s="401"/>
      <c r="S277" s="401"/>
      <c r="T277" s="401"/>
      <c r="U277" s="401"/>
      <c r="V277" s="401"/>
      <c r="W277" s="401"/>
      <c r="X277" s="401"/>
      <c r="Y277" s="401"/>
      <c r="Z277" s="401"/>
      <c r="AA277" s="401"/>
    </row>
    <row r="278">
      <c r="A278" s="401"/>
      <c r="B278" s="401"/>
      <c r="C278" s="401"/>
      <c r="D278" s="401"/>
      <c r="E278" s="399"/>
      <c r="F278" s="399"/>
      <c r="G278" s="399"/>
      <c r="H278" s="400"/>
      <c r="I278" s="401"/>
      <c r="J278" s="401"/>
      <c r="K278" s="401"/>
      <c r="L278" s="401"/>
      <c r="M278" s="401"/>
      <c r="N278" s="401"/>
      <c r="O278" s="401"/>
      <c r="P278" s="401"/>
      <c r="Q278" s="401"/>
      <c r="R278" s="401"/>
      <c r="S278" s="401"/>
      <c r="T278" s="401"/>
      <c r="U278" s="401"/>
      <c r="V278" s="401"/>
      <c r="W278" s="401"/>
      <c r="X278" s="401"/>
      <c r="Y278" s="401"/>
      <c r="Z278" s="401"/>
      <c r="AA278" s="401"/>
    </row>
    <row r="279">
      <c r="A279" s="401"/>
      <c r="B279" s="401"/>
      <c r="C279" s="401"/>
      <c r="D279" s="401"/>
      <c r="E279" s="399"/>
      <c r="F279" s="399"/>
      <c r="G279" s="399"/>
      <c r="H279" s="400"/>
      <c r="I279" s="401"/>
      <c r="J279" s="401"/>
      <c r="K279" s="401"/>
      <c r="L279" s="401"/>
      <c r="M279" s="401"/>
      <c r="N279" s="401"/>
      <c r="O279" s="401"/>
      <c r="P279" s="401"/>
      <c r="Q279" s="401"/>
      <c r="R279" s="401"/>
      <c r="S279" s="401"/>
      <c r="T279" s="401"/>
      <c r="U279" s="401"/>
      <c r="V279" s="401"/>
      <c r="W279" s="401"/>
      <c r="X279" s="401"/>
      <c r="Y279" s="401"/>
      <c r="Z279" s="401"/>
      <c r="AA279" s="401"/>
    </row>
    <row r="280">
      <c r="A280" s="401"/>
      <c r="B280" s="401"/>
      <c r="C280" s="401"/>
      <c r="D280" s="401"/>
      <c r="E280" s="399"/>
      <c r="F280" s="399"/>
      <c r="G280" s="399"/>
      <c r="H280" s="400"/>
      <c r="I280" s="401"/>
      <c r="J280" s="401"/>
      <c r="K280" s="401"/>
      <c r="L280" s="401"/>
      <c r="M280" s="401"/>
      <c r="N280" s="401"/>
      <c r="O280" s="401"/>
      <c r="P280" s="401"/>
      <c r="Q280" s="401"/>
      <c r="R280" s="401"/>
      <c r="S280" s="401"/>
      <c r="T280" s="401"/>
      <c r="U280" s="401"/>
      <c r="V280" s="401"/>
      <c r="W280" s="401"/>
      <c r="X280" s="401"/>
      <c r="Y280" s="401"/>
      <c r="Z280" s="401"/>
      <c r="AA280" s="401"/>
    </row>
    <row r="281">
      <c r="A281" s="401"/>
      <c r="B281" s="401"/>
      <c r="C281" s="401"/>
      <c r="D281" s="401"/>
      <c r="E281" s="399"/>
      <c r="F281" s="399"/>
      <c r="G281" s="399"/>
      <c r="H281" s="400"/>
      <c r="I281" s="401"/>
      <c r="J281" s="401"/>
      <c r="K281" s="401"/>
      <c r="L281" s="401"/>
      <c r="M281" s="401"/>
      <c r="N281" s="401"/>
      <c r="O281" s="401"/>
      <c r="P281" s="401"/>
      <c r="Q281" s="401"/>
      <c r="R281" s="401"/>
      <c r="S281" s="401"/>
      <c r="T281" s="401"/>
      <c r="U281" s="401"/>
      <c r="V281" s="401"/>
      <c r="W281" s="401"/>
      <c r="X281" s="401"/>
      <c r="Y281" s="401"/>
      <c r="Z281" s="401"/>
      <c r="AA281" s="401"/>
    </row>
    <row r="282">
      <c r="A282" s="401"/>
      <c r="B282" s="401"/>
      <c r="C282" s="401"/>
      <c r="D282" s="401"/>
      <c r="E282" s="399"/>
      <c r="F282" s="399"/>
      <c r="G282" s="399"/>
      <c r="H282" s="400"/>
      <c r="I282" s="401"/>
      <c r="J282" s="401"/>
      <c r="K282" s="401"/>
      <c r="L282" s="401"/>
      <c r="M282" s="401"/>
      <c r="N282" s="401"/>
      <c r="O282" s="401"/>
      <c r="P282" s="401"/>
      <c r="Q282" s="401"/>
      <c r="R282" s="401"/>
      <c r="S282" s="401"/>
      <c r="T282" s="401"/>
      <c r="U282" s="401"/>
      <c r="V282" s="401"/>
      <c r="W282" s="401"/>
      <c r="X282" s="401"/>
      <c r="Y282" s="401"/>
      <c r="Z282" s="401"/>
      <c r="AA282" s="401"/>
    </row>
    <row r="283">
      <c r="A283" s="401"/>
      <c r="B283" s="401"/>
      <c r="C283" s="401"/>
      <c r="D283" s="401"/>
      <c r="E283" s="399"/>
      <c r="F283" s="399"/>
      <c r="G283" s="399"/>
      <c r="H283" s="400"/>
      <c r="I283" s="401"/>
      <c r="J283" s="401"/>
      <c r="K283" s="401"/>
      <c r="L283" s="401"/>
      <c r="M283" s="401"/>
      <c r="N283" s="401"/>
      <c r="O283" s="401"/>
      <c r="P283" s="401"/>
      <c r="Q283" s="401"/>
      <c r="R283" s="401"/>
      <c r="S283" s="401"/>
      <c r="T283" s="401"/>
      <c r="U283" s="401"/>
      <c r="V283" s="401"/>
      <c r="W283" s="401"/>
      <c r="X283" s="401"/>
      <c r="Y283" s="401"/>
      <c r="Z283" s="401"/>
      <c r="AA283" s="401"/>
    </row>
    <row r="284">
      <c r="A284" s="401"/>
      <c r="B284" s="401"/>
      <c r="C284" s="401"/>
      <c r="D284" s="401"/>
      <c r="E284" s="399"/>
      <c r="F284" s="399"/>
      <c r="G284" s="399"/>
      <c r="H284" s="400"/>
      <c r="I284" s="401"/>
      <c r="J284" s="401"/>
      <c r="K284" s="401"/>
      <c r="L284" s="401"/>
      <c r="M284" s="401"/>
      <c r="N284" s="401"/>
      <c r="O284" s="401"/>
      <c r="P284" s="401"/>
      <c r="Q284" s="401"/>
      <c r="R284" s="401"/>
      <c r="S284" s="401"/>
      <c r="T284" s="401"/>
      <c r="U284" s="401"/>
      <c r="V284" s="401"/>
      <c r="W284" s="401"/>
      <c r="X284" s="401"/>
      <c r="Y284" s="401"/>
      <c r="Z284" s="401"/>
      <c r="AA284" s="401"/>
    </row>
    <row r="285">
      <c r="A285" s="401"/>
      <c r="B285" s="401"/>
      <c r="C285" s="401"/>
      <c r="D285" s="401"/>
      <c r="E285" s="399"/>
      <c r="F285" s="399"/>
      <c r="G285" s="399"/>
      <c r="H285" s="400"/>
      <c r="I285" s="401"/>
      <c r="J285" s="401"/>
      <c r="K285" s="401"/>
      <c r="L285" s="401"/>
      <c r="M285" s="401"/>
      <c r="N285" s="401"/>
      <c r="O285" s="401"/>
      <c r="P285" s="401"/>
      <c r="Q285" s="401"/>
      <c r="R285" s="401"/>
      <c r="S285" s="401"/>
      <c r="T285" s="401"/>
      <c r="U285" s="401"/>
      <c r="V285" s="401"/>
      <c r="W285" s="401"/>
      <c r="X285" s="401"/>
      <c r="Y285" s="401"/>
      <c r="Z285" s="401"/>
      <c r="AA285" s="401"/>
    </row>
    <row r="286">
      <c r="A286" s="401"/>
      <c r="B286" s="401"/>
      <c r="C286" s="401"/>
      <c r="D286" s="401"/>
      <c r="E286" s="399"/>
      <c r="F286" s="399"/>
      <c r="G286" s="399"/>
      <c r="H286" s="400"/>
      <c r="I286" s="401"/>
      <c r="J286" s="401"/>
      <c r="K286" s="401"/>
      <c r="L286" s="401"/>
      <c r="M286" s="401"/>
      <c r="N286" s="401"/>
      <c r="O286" s="401"/>
      <c r="P286" s="401"/>
      <c r="Q286" s="401"/>
      <c r="R286" s="401"/>
      <c r="S286" s="401"/>
      <c r="T286" s="401"/>
      <c r="U286" s="401"/>
      <c r="V286" s="401"/>
      <c r="W286" s="401"/>
      <c r="X286" s="401"/>
      <c r="Y286" s="401"/>
      <c r="Z286" s="401"/>
      <c r="AA286" s="401"/>
    </row>
    <row r="287">
      <c r="A287" s="401"/>
      <c r="B287" s="401"/>
      <c r="C287" s="401"/>
      <c r="D287" s="401"/>
      <c r="E287" s="399"/>
      <c r="F287" s="399"/>
      <c r="G287" s="399"/>
      <c r="H287" s="400"/>
      <c r="I287" s="401"/>
      <c r="J287" s="401"/>
      <c r="K287" s="401"/>
      <c r="L287" s="401"/>
      <c r="M287" s="401"/>
      <c r="N287" s="401"/>
      <c r="O287" s="401"/>
      <c r="P287" s="401"/>
      <c r="Q287" s="401"/>
      <c r="R287" s="401"/>
      <c r="S287" s="401"/>
      <c r="T287" s="401"/>
      <c r="U287" s="401"/>
      <c r="V287" s="401"/>
      <c r="W287" s="401"/>
      <c r="X287" s="401"/>
      <c r="Y287" s="401"/>
      <c r="Z287" s="401"/>
      <c r="AA287" s="401"/>
    </row>
    <row r="288">
      <c r="A288" s="401"/>
      <c r="B288" s="401"/>
      <c r="C288" s="401"/>
      <c r="D288" s="401"/>
      <c r="E288" s="399"/>
      <c r="F288" s="399"/>
      <c r="G288" s="399"/>
      <c r="H288" s="400"/>
      <c r="I288" s="401"/>
      <c r="J288" s="401"/>
      <c r="K288" s="401"/>
      <c r="L288" s="401"/>
      <c r="M288" s="401"/>
      <c r="N288" s="401"/>
      <c r="O288" s="401"/>
      <c r="P288" s="401"/>
      <c r="Q288" s="401"/>
      <c r="R288" s="401"/>
      <c r="S288" s="401"/>
      <c r="T288" s="401"/>
      <c r="U288" s="401"/>
      <c r="V288" s="401"/>
      <c r="W288" s="401"/>
      <c r="X288" s="401"/>
      <c r="Y288" s="401"/>
      <c r="Z288" s="401"/>
      <c r="AA288" s="401"/>
    </row>
    <row r="289">
      <c r="A289" s="401"/>
      <c r="B289" s="401"/>
      <c r="C289" s="401"/>
      <c r="D289" s="401"/>
      <c r="E289" s="399"/>
      <c r="F289" s="399"/>
      <c r="G289" s="399"/>
      <c r="H289" s="400"/>
      <c r="I289" s="401"/>
      <c r="J289" s="401"/>
      <c r="K289" s="401"/>
      <c r="L289" s="401"/>
      <c r="M289" s="401"/>
      <c r="N289" s="401"/>
      <c r="O289" s="401"/>
      <c r="P289" s="401"/>
      <c r="Q289" s="401"/>
      <c r="R289" s="401"/>
      <c r="S289" s="401"/>
      <c r="T289" s="401"/>
      <c r="U289" s="401"/>
      <c r="V289" s="401"/>
      <c r="W289" s="401"/>
      <c r="X289" s="401"/>
      <c r="Y289" s="401"/>
      <c r="Z289" s="401"/>
      <c r="AA289" s="401"/>
    </row>
    <row r="290">
      <c r="A290" s="401"/>
      <c r="B290" s="401"/>
      <c r="C290" s="401"/>
      <c r="D290" s="401"/>
      <c r="E290" s="399"/>
      <c r="F290" s="399"/>
      <c r="G290" s="399"/>
      <c r="H290" s="400"/>
      <c r="I290" s="401"/>
      <c r="J290" s="401"/>
      <c r="K290" s="401"/>
      <c r="L290" s="401"/>
      <c r="M290" s="401"/>
      <c r="N290" s="401"/>
      <c r="O290" s="401"/>
      <c r="P290" s="401"/>
      <c r="Q290" s="401"/>
      <c r="R290" s="401"/>
      <c r="S290" s="401"/>
      <c r="T290" s="401"/>
      <c r="U290" s="401"/>
      <c r="V290" s="401"/>
      <c r="W290" s="401"/>
      <c r="X290" s="401"/>
      <c r="Y290" s="401"/>
      <c r="Z290" s="401"/>
      <c r="AA290" s="401"/>
    </row>
    <row r="291">
      <c r="A291" s="401"/>
      <c r="B291" s="401"/>
      <c r="C291" s="401"/>
      <c r="D291" s="401"/>
      <c r="E291" s="399"/>
      <c r="F291" s="399"/>
      <c r="G291" s="399"/>
      <c r="H291" s="400"/>
      <c r="I291" s="401"/>
      <c r="J291" s="401"/>
      <c r="K291" s="401"/>
      <c r="L291" s="401"/>
      <c r="M291" s="401"/>
      <c r="N291" s="401"/>
      <c r="O291" s="401"/>
      <c r="P291" s="401"/>
      <c r="Q291" s="401"/>
      <c r="R291" s="401"/>
      <c r="S291" s="401"/>
      <c r="T291" s="401"/>
      <c r="U291" s="401"/>
      <c r="V291" s="401"/>
      <c r="W291" s="401"/>
      <c r="X291" s="401"/>
      <c r="Y291" s="401"/>
      <c r="Z291" s="401"/>
      <c r="AA291" s="401"/>
    </row>
    <row r="292">
      <c r="A292" s="401"/>
      <c r="B292" s="401"/>
      <c r="C292" s="401"/>
      <c r="D292" s="401"/>
      <c r="E292" s="399"/>
      <c r="F292" s="399"/>
      <c r="G292" s="399"/>
      <c r="H292" s="400"/>
      <c r="I292" s="401"/>
      <c r="J292" s="401"/>
      <c r="K292" s="401"/>
      <c r="L292" s="401"/>
      <c r="M292" s="401"/>
      <c r="N292" s="401"/>
      <c r="O292" s="401"/>
      <c r="P292" s="401"/>
      <c r="Q292" s="401"/>
      <c r="R292" s="401"/>
      <c r="S292" s="401"/>
      <c r="T292" s="401"/>
      <c r="U292" s="401"/>
      <c r="V292" s="401"/>
      <c r="W292" s="401"/>
      <c r="X292" s="401"/>
      <c r="Y292" s="401"/>
      <c r="Z292" s="401"/>
      <c r="AA292" s="401"/>
    </row>
    <row r="293">
      <c r="A293" s="401"/>
      <c r="B293" s="401"/>
      <c r="C293" s="401"/>
      <c r="D293" s="401"/>
      <c r="E293" s="399"/>
      <c r="F293" s="399"/>
      <c r="G293" s="399"/>
      <c r="H293" s="400"/>
      <c r="I293" s="401"/>
      <c r="J293" s="401"/>
      <c r="K293" s="401"/>
      <c r="L293" s="401"/>
      <c r="M293" s="401"/>
      <c r="N293" s="401"/>
      <c r="O293" s="401"/>
      <c r="P293" s="401"/>
      <c r="Q293" s="401"/>
      <c r="R293" s="401"/>
      <c r="S293" s="401"/>
      <c r="T293" s="401"/>
      <c r="U293" s="401"/>
      <c r="V293" s="401"/>
      <c r="W293" s="401"/>
      <c r="X293" s="401"/>
      <c r="Y293" s="401"/>
      <c r="Z293" s="401"/>
      <c r="AA293" s="401"/>
    </row>
    <row r="294">
      <c r="A294" s="401"/>
      <c r="B294" s="401"/>
      <c r="C294" s="401"/>
      <c r="D294" s="401"/>
      <c r="E294" s="399"/>
      <c r="F294" s="399"/>
      <c r="G294" s="399"/>
      <c r="H294" s="400"/>
      <c r="I294" s="401"/>
      <c r="J294" s="401"/>
      <c r="K294" s="401"/>
      <c r="L294" s="401"/>
      <c r="M294" s="401"/>
      <c r="N294" s="401"/>
      <c r="O294" s="401"/>
      <c r="P294" s="401"/>
      <c r="Q294" s="401"/>
      <c r="R294" s="401"/>
      <c r="S294" s="401"/>
      <c r="T294" s="401"/>
      <c r="U294" s="401"/>
      <c r="V294" s="401"/>
      <c r="W294" s="401"/>
      <c r="X294" s="401"/>
      <c r="Y294" s="401"/>
      <c r="Z294" s="401"/>
      <c r="AA294" s="401"/>
    </row>
    <row r="295">
      <c r="A295" s="401"/>
      <c r="B295" s="401"/>
      <c r="C295" s="401"/>
      <c r="D295" s="401"/>
      <c r="E295" s="399"/>
      <c r="F295" s="399"/>
      <c r="G295" s="399"/>
      <c r="H295" s="400"/>
      <c r="I295" s="401"/>
      <c r="J295" s="401"/>
      <c r="K295" s="401"/>
      <c r="L295" s="401"/>
      <c r="M295" s="401"/>
      <c r="N295" s="401"/>
      <c r="O295" s="401"/>
      <c r="P295" s="401"/>
      <c r="Q295" s="401"/>
      <c r="R295" s="401"/>
      <c r="S295" s="401"/>
      <c r="T295" s="401"/>
      <c r="U295" s="401"/>
      <c r="V295" s="401"/>
      <c r="W295" s="401"/>
      <c r="X295" s="401"/>
      <c r="Y295" s="401"/>
      <c r="Z295" s="401"/>
      <c r="AA295" s="401"/>
    </row>
    <row r="296">
      <c r="A296" s="401"/>
      <c r="B296" s="401"/>
      <c r="C296" s="401"/>
      <c r="D296" s="401"/>
      <c r="E296" s="399"/>
      <c r="F296" s="399"/>
      <c r="G296" s="399"/>
      <c r="H296" s="400"/>
      <c r="I296" s="401"/>
      <c r="J296" s="401"/>
      <c r="K296" s="401"/>
      <c r="L296" s="401"/>
      <c r="M296" s="401"/>
      <c r="N296" s="401"/>
      <c r="O296" s="401"/>
      <c r="P296" s="401"/>
      <c r="Q296" s="401"/>
      <c r="R296" s="401"/>
      <c r="S296" s="401"/>
      <c r="T296" s="401"/>
      <c r="U296" s="401"/>
      <c r="V296" s="401"/>
      <c r="W296" s="401"/>
      <c r="X296" s="401"/>
      <c r="Y296" s="401"/>
      <c r="Z296" s="401"/>
      <c r="AA296" s="401"/>
    </row>
    <row r="297">
      <c r="A297" s="401"/>
      <c r="B297" s="401"/>
      <c r="C297" s="401"/>
      <c r="D297" s="401"/>
      <c r="E297" s="399"/>
      <c r="F297" s="399"/>
      <c r="G297" s="399"/>
      <c r="H297" s="400"/>
      <c r="I297" s="401"/>
      <c r="J297" s="401"/>
      <c r="K297" s="401"/>
      <c r="L297" s="401"/>
      <c r="M297" s="401"/>
      <c r="N297" s="401"/>
      <c r="O297" s="401"/>
      <c r="P297" s="401"/>
      <c r="Q297" s="401"/>
      <c r="R297" s="401"/>
      <c r="S297" s="401"/>
      <c r="T297" s="401"/>
      <c r="U297" s="401"/>
      <c r="V297" s="401"/>
      <c r="W297" s="401"/>
      <c r="X297" s="401"/>
      <c r="Y297" s="401"/>
      <c r="Z297" s="401"/>
      <c r="AA297" s="401"/>
    </row>
    <row r="298">
      <c r="A298" s="401"/>
      <c r="B298" s="401"/>
      <c r="C298" s="401"/>
      <c r="D298" s="401"/>
      <c r="E298" s="399"/>
      <c r="F298" s="399"/>
      <c r="G298" s="399"/>
      <c r="H298" s="400"/>
      <c r="I298" s="401"/>
      <c r="J298" s="401"/>
      <c r="K298" s="401"/>
      <c r="L298" s="401"/>
      <c r="M298" s="401"/>
      <c r="N298" s="401"/>
      <c r="O298" s="401"/>
      <c r="P298" s="401"/>
      <c r="Q298" s="401"/>
      <c r="R298" s="401"/>
      <c r="S298" s="401"/>
      <c r="T298" s="401"/>
      <c r="U298" s="401"/>
      <c r="V298" s="401"/>
      <c r="W298" s="401"/>
      <c r="X298" s="401"/>
      <c r="Y298" s="401"/>
      <c r="Z298" s="401"/>
      <c r="AA298" s="401"/>
    </row>
    <row r="299">
      <c r="A299" s="401"/>
      <c r="B299" s="401"/>
      <c r="C299" s="401"/>
      <c r="D299" s="401"/>
      <c r="E299" s="399"/>
      <c r="F299" s="399"/>
      <c r="G299" s="399"/>
      <c r="H299" s="400"/>
      <c r="I299" s="401"/>
      <c r="J299" s="401"/>
      <c r="K299" s="401"/>
      <c r="L299" s="401"/>
      <c r="M299" s="401"/>
      <c r="N299" s="401"/>
      <c r="O299" s="401"/>
      <c r="P299" s="401"/>
      <c r="Q299" s="401"/>
      <c r="R299" s="401"/>
      <c r="S299" s="401"/>
      <c r="T299" s="401"/>
      <c r="U299" s="401"/>
      <c r="V299" s="401"/>
      <c r="W299" s="401"/>
      <c r="X299" s="401"/>
      <c r="Y299" s="401"/>
      <c r="Z299" s="401"/>
      <c r="AA299" s="401"/>
    </row>
    <row r="300">
      <c r="A300" s="401"/>
      <c r="B300" s="401"/>
      <c r="C300" s="401"/>
      <c r="D300" s="401"/>
      <c r="E300" s="399"/>
      <c r="F300" s="399"/>
      <c r="G300" s="399"/>
      <c r="H300" s="400"/>
      <c r="I300" s="401"/>
      <c r="J300" s="401"/>
      <c r="K300" s="401"/>
      <c r="L300" s="401"/>
      <c r="M300" s="401"/>
      <c r="N300" s="401"/>
      <c r="O300" s="401"/>
      <c r="P300" s="401"/>
      <c r="Q300" s="401"/>
      <c r="R300" s="401"/>
      <c r="S300" s="401"/>
      <c r="T300" s="401"/>
      <c r="U300" s="401"/>
      <c r="V300" s="401"/>
      <c r="W300" s="401"/>
      <c r="X300" s="401"/>
      <c r="Y300" s="401"/>
      <c r="Z300" s="401"/>
      <c r="AA300" s="401"/>
    </row>
    <row r="301">
      <c r="A301" s="401"/>
      <c r="B301" s="401"/>
      <c r="C301" s="401"/>
      <c r="D301" s="401"/>
      <c r="E301" s="399"/>
      <c r="F301" s="399"/>
      <c r="G301" s="399"/>
      <c r="H301" s="400"/>
      <c r="I301" s="401"/>
      <c r="J301" s="401"/>
      <c r="K301" s="401"/>
      <c r="L301" s="401"/>
      <c r="M301" s="401"/>
      <c r="N301" s="401"/>
      <c r="O301" s="401"/>
      <c r="P301" s="401"/>
      <c r="Q301" s="401"/>
      <c r="R301" s="401"/>
      <c r="S301" s="401"/>
      <c r="T301" s="401"/>
      <c r="U301" s="401"/>
      <c r="V301" s="401"/>
      <c r="W301" s="401"/>
      <c r="X301" s="401"/>
      <c r="Y301" s="401"/>
      <c r="Z301" s="401"/>
      <c r="AA301" s="401"/>
    </row>
    <row r="302">
      <c r="A302" s="401"/>
      <c r="B302" s="401"/>
      <c r="C302" s="401"/>
      <c r="D302" s="401"/>
      <c r="E302" s="399"/>
      <c r="F302" s="399"/>
      <c r="G302" s="399"/>
      <c r="H302" s="400"/>
      <c r="I302" s="401"/>
      <c r="J302" s="401"/>
      <c r="K302" s="401"/>
      <c r="L302" s="401"/>
      <c r="M302" s="401"/>
      <c r="N302" s="401"/>
      <c r="O302" s="401"/>
      <c r="P302" s="401"/>
      <c r="Q302" s="401"/>
      <c r="R302" s="401"/>
      <c r="S302" s="401"/>
      <c r="T302" s="401"/>
      <c r="U302" s="401"/>
      <c r="V302" s="401"/>
      <c r="W302" s="401"/>
      <c r="X302" s="401"/>
      <c r="Y302" s="401"/>
      <c r="Z302" s="401"/>
      <c r="AA302" s="401"/>
    </row>
    <row r="303">
      <c r="A303" s="401"/>
      <c r="B303" s="401"/>
      <c r="C303" s="401"/>
      <c r="D303" s="401"/>
      <c r="E303" s="399"/>
      <c r="F303" s="399"/>
      <c r="G303" s="399"/>
      <c r="H303" s="400"/>
      <c r="I303" s="401"/>
      <c r="J303" s="401"/>
      <c r="K303" s="401"/>
      <c r="L303" s="401"/>
      <c r="M303" s="401"/>
      <c r="N303" s="401"/>
      <c r="O303" s="401"/>
      <c r="P303" s="401"/>
      <c r="Q303" s="401"/>
      <c r="R303" s="401"/>
      <c r="S303" s="401"/>
      <c r="T303" s="401"/>
      <c r="U303" s="401"/>
      <c r="V303" s="401"/>
      <c r="W303" s="401"/>
      <c r="X303" s="401"/>
      <c r="Y303" s="401"/>
      <c r="Z303" s="401"/>
      <c r="AA303" s="401"/>
    </row>
    <row r="304">
      <c r="A304" s="401"/>
      <c r="B304" s="401"/>
      <c r="C304" s="401"/>
      <c r="D304" s="401"/>
      <c r="E304" s="399"/>
      <c r="F304" s="399"/>
      <c r="G304" s="399"/>
      <c r="H304" s="400"/>
      <c r="I304" s="401"/>
      <c r="J304" s="401"/>
      <c r="K304" s="401"/>
      <c r="L304" s="401"/>
      <c r="M304" s="401"/>
      <c r="N304" s="401"/>
      <c r="O304" s="401"/>
      <c r="P304" s="401"/>
      <c r="Q304" s="401"/>
      <c r="R304" s="401"/>
      <c r="S304" s="401"/>
      <c r="T304" s="401"/>
      <c r="U304" s="401"/>
      <c r="V304" s="401"/>
      <c r="W304" s="401"/>
      <c r="X304" s="401"/>
      <c r="Y304" s="401"/>
      <c r="Z304" s="401"/>
      <c r="AA304" s="401"/>
    </row>
    <row r="305">
      <c r="A305" s="401"/>
      <c r="B305" s="401"/>
      <c r="C305" s="401"/>
      <c r="D305" s="401"/>
      <c r="E305" s="399"/>
      <c r="F305" s="399"/>
      <c r="G305" s="399"/>
      <c r="H305" s="400"/>
      <c r="I305" s="401"/>
      <c r="J305" s="401"/>
      <c r="K305" s="401"/>
      <c r="L305" s="401"/>
      <c r="M305" s="401"/>
      <c r="N305" s="401"/>
      <c r="O305" s="401"/>
      <c r="P305" s="401"/>
      <c r="Q305" s="401"/>
      <c r="R305" s="401"/>
      <c r="S305" s="401"/>
      <c r="T305" s="401"/>
      <c r="U305" s="401"/>
      <c r="V305" s="401"/>
      <c r="W305" s="401"/>
      <c r="X305" s="401"/>
      <c r="Y305" s="401"/>
      <c r="Z305" s="401"/>
      <c r="AA305" s="401"/>
    </row>
    <row r="306">
      <c r="A306" s="401"/>
      <c r="B306" s="401"/>
      <c r="C306" s="401"/>
      <c r="D306" s="401"/>
      <c r="E306" s="399"/>
      <c r="F306" s="399"/>
      <c r="G306" s="399"/>
      <c r="H306" s="400"/>
      <c r="I306" s="401"/>
      <c r="J306" s="401"/>
      <c r="K306" s="401"/>
      <c r="L306" s="401"/>
      <c r="M306" s="401"/>
      <c r="N306" s="401"/>
      <c r="O306" s="401"/>
      <c r="P306" s="401"/>
      <c r="Q306" s="401"/>
      <c r="R306" s="401"/>
      <c r="S306" s="401"/>
      <c r="T306" s="401"/>
      <c r="U306" s="401"/>
      <c r="V306" s="401"/>
      <c r="W306" s="401"/>
      <c r="X306" s="401"/>
      <c r="Y306" s="401"/>
      <c r="Z306" s="401"/>
      <c r="AA306" s="401"/>
    </row>
    <row r="307">
      <c r="A307" s="401"/>
      <c r="B307" s="401"/>
      <c r="C307" s="401"/>
      <c r="D307" s="401"/>
      <c r="E307" s="399"/>
      <c r="F307" s="399"/>
      <c r="G307" s="399"/>
      <c r="H307" s="400"/>
      <c r="I307" s="401"/>
      <c r="J307" s="401"/>
      <c r="K307" s="401"/>
      <c r="L307" s="401"/>
      <c r="M307" s="401"/>
      <c r="N307" s="401"/>
      <c r="O307" s="401"/>
      <c r="P307" s="401"/>
      <c r="Q307" s="401"/>
      <c r="R307" s="401"/>
      <c r="S307" s="401"/>
      <c r="T307" s="401"/>
      <c r="U307" s="401"/>
      <c r="V307" s="401"/>
      <c r="W307" s="401"/>
      <c r="X307" s="401"/>
      <c r="Y307" s="401"/>
      <c r="Z307" s="401"/>
      <c r="AA307" s="401"/>
    </row>
    <row r="308">
      <c r="A308" s="401"/>
      <c r="B308" s="401"/>
      <c r="C308" s="401"/>
      <c r="D308" s="401"/>
      <c r="E308" s="399"/>
      <c r="F308" s="399"/>
      <c r="G308" s="399"/>
      <c r="H308" s="400"/>
      <c r="I308" s="401"/>
      <c r="J308" s="401"/>
      <c r="K308" s="401"/>
      <c r="L308" s="401"/>
      <c r="M308" s="401"/>
      <c r="N308" s="401"/>
      <c r="O308" s="401"/>
      <c r="P308" s="401"/>
      <c r="Q308" s="401"/>
      <c r="R308" s="401"/>
      <c r="S308" s="401"/>
      <c r="T308" s="401"/>
      <c r="U308" s="401"/>
      <c r="V308" s="401"/>
      <c r="W308" s="401"/>
      <c r="X308" s="401"/>
      <c r="Y308" s="401"/>
      <c r="Z308" s="401"/>
      <c r="AA308" s="401"/>
    </row>
    <row r="309">
      <c r="A309" s="401"/>
      <c r="B309" s="401"/>
      <c r="C309" s="401"/>
      <c r="D309" s="401"/>
      <c r="E309" s="399"/>
      <c r="F309" s="399"/>
      <c r="G309" s="399"/>
      <c r="H309" s="400"/>
      <c r="I309" s="401"/>
      <c r="J309" s="401"/>
      <c r="K309" s="401"/>
      <c r="L309" s="401"/>
      <c r="M309" s="401"/>
      <c r="N309" s="401"/>
      <c r="O309" s="401"/>
      <c r="P309" s="401"/>
      <c r="Q309" s="401"/>
      <c r="R309" s="401"/>
      <c r="S309" s="401"/>
      <c r="T309" s="401"/>
      <c r="U309" s="401"/>
      <c r="V309" s="401"/>
      <c r="W309" s="401"/>
      <c r="X309" s="401"/>
      <c r="Y309" s="401"/>
      <c r="Z309" s="401"/>
      <c r="AA309" s="401"/>
    </row>
    <row r="310">
      <c r="A310" s="401"/>
      <c r="B310" s="401"/>
      <c r="C310" s="401"/>
      <c r="D310" s="401"/>
      <c r="E310" s="399"/>
      <c r="F310" s="399"/>
      <c r="G310" s="399"/>
      <c r="H310" s="400"/>
      <c r="I310" s="401"/>
      <c r="J310" s="401"/>
      <c r="K310" s="401"/>
      <c r="L310" s="401"/>
      <c r="M310" s="401"/>
      <c r="N310" s="401"/>
      <c r="O310" s="401"/>
      <c r="P310" s="401"/>
      <c r="Q310" s="401"/>
      <c r="R310" s="401"/>
      <c r="S310" s="401"/>
      <c r="T310" s="401"/>
      <c r="U310" s="401"/>
      <c r="V310" s="401"/>
      <c r="W310" s="401"/>
      <c r="X310" s="401"/>
      <c r="Y310" s="401"/>
      <c r="Z310" s="401"/>
      <c r="AA310" s="401"/>
    </row>
    <row r="311">
      <c r="A311" s="401"/>
      <c r="B311" s="401"/>
      <c r="C311" s="401"/>
      <c r="D311" s="401"/>
      <c r="E311" s="399"/>
      <c r="F311" s="399"/>
      <c r="G311" s="399"/>
      <c r="H311" s="400"/>
      <c r="I311" s="401"/>
      <c r="J311" s="401"/>
      <c r="K311" s="401"/>
      <c r="L311" s="401"/>
      <c r="M311" s="401"/>
      <c r="N311" s="401"/>
      <c r="O311" s="401"/>
      <c r="P311" s="401"/>
      <c r="Q311" s="401"/>
      <c r="R311" s="401"/>
      <c r="S311" s="401"/>
      <c r="T311" s="401"/>
      <c r="U311" s="401"/>
      <c r="V311" s="401"/>
      <c r="W311" s="401"/>
      <c r="X311" s="401"/>
      <c r="Y311" s="401"/>
      <c r="Z311" s="401"/>
      <c r="AA311" s="401"/>
    </row>
    <row r="312">
      <c r="A312" s="401"/>
      <c r="B312" s="401"/>
      <c r="C312" s="401"/>
      <c r="D312" s="401"/>
      <c r="E312" s="399"/>
      <c r="F312" s="399"/>
      <c r="G312" s="399"/>
      <c r="H312" s="400"/>
      <c r="I312" s="401"/>
      <c r="J312" s="401"/>
      <c r="K312" s="401"/>
      <c r="L312" s="401"/>
      <c r="M312" s="401"/>
      <c r="N312" s="401"/>
      <c r="O312" s="401"/>
      <c r="P312" s="401"/>
      <c r="Q312" s="401"/>
      <c r="R312" s="401"/>
      <c r="S312" s="401"/>
      <c r="T312" s="401"/>
      <c r="U312" s="401"/>
      <c r="V312" s="401"/>
      <c r="W312" s="401"/>
      <c r="X312" s="401"/>
      <c r="Y312" s="401"/>
      <c r="Z312" s="401"/>
      <c r="AA312" s="401"/>
    </row>
    <row r="313">
      <c r="A313" s="401"/>
      <c r="B313" s="401"/>
      <c r="C313" s="401"/>
      <c r="D313" s="401"/>
      <c r="E313" s="399"/>
      <c r="F313" s="399"/>
      <c r="G313" s="399"/>
      <c r="H313" s="400"/>
      <c r="I313" s="401"/>
      <c r="J313" s="401"/>
      <c r="K313" s="401"/>
      <c r="L313" s="401"/>
      <c r="M313" s="401"/>
      <c r="N313" s="401"/>
      <c r="O313" s="401"/>
      <c r="P313" s="401"/>
      <c r="Q313" s="401"/>
      <c r="R313" s="401"/>
      <c r="S313" s="401"/>
      <c r="T313" s="401"/>
      <c r="U313" s="401"/>
      <c r="V313" s="401"/>
      <c r="W313" s="401"/>
      <c r="X313" s="401"/>
      <c r="Y313" s="401"/>
      <c r="Z313" s="401"/>
      <c r="AA313" s="401"/>
    </row>
    <row r="314">
      <c r="A314" s="401"/>
      <c r="B314" s="401"/>
      <c r="C314" s="401"/>
      <c r="D314" s="401"/>
      <c r="E314" s="399"/>
      <c r="F314" s="399"/>
      <c r="G314" s="399"/>
      <c r="H314" s="400"/>
      <c r="I314" s="401"/>
      <c r="J314" s="401"/>
      <c r="K314" s="401"/>
      <c r="L314" s="401"/>
      <c r="M314" s="401"/>
      <c r="N314" s="401"/>
      <c r="O314" s="401"/>
      <c r="P314" s="401"/>
      <c r="Q314" s="401"/>
      <c r="R314" s="401"/>
      <c r="S314" s="401"/>
      <c r="T314" s="401"/>
      <c r="U314" s="401"/>
      <c r="V314" s="401"/>
      <c r="W314" s="401"/>
      <c r="X314" s="401"/>
      <c r="Y314" s="401"/>
      <c r="Z314" s="401"/>
      <c r="AA314" s="401"/>
    </row>
    <row r="315">
      <c r="A315" s="401"/>
      <c r="B315" s="401"/>
      <c r="C315" s="401"/>
      <c r="D315" s="401"/>
      <c r="E315" s="399"/>
      <c r="F315" s="399"/>
      <c r="G315" s="399"/>
      <c r="H315" s="400"/>
      <c r="I315" s="401"/>
      <c r="J315" s="401"/>
      <c r="K315" s="401"/>
      <c r="L315" s="401"/>
      <c r="M315" s="401"/>
      <c r="N315" s="401"/>
      <c r="O315" s="401"/>
      <c r="P315" s="401"/>
      <c r="Q315" s="401"/>
      <c r="R315" s="401"/>
      <c r="S315" s="401"/>
      <c r="T315" s="401"/>
      <c r="U315" s="401"/>
      <c r="V315" s="401"/>
      <c r="W315" s="401"/>
      <c r="X315" s="401"/>
      <c r="Y315" s="401"/>
      <c r="Z315" s="401"/>
      <c r="AA315" s="401"/>
    </row>
    <row r="316">
      <c r="A316" s="401"/>
      <c r="B316" s="401"/>
      <c r="C316" s="401"/>
      <c r="D316" s="401"/>
      <c r="E316" s="399"/>
      <c r="F316" s="399"/>
      <c r="G316" s="399"/>
      <c r="H316" s="400"/>
      <c r="I316" s="401"/>
      <c r="J316" s="401"/>
      <c r="K316" s="401"/>
      <c r="L316" s="401"/>
      <c r="M316" s="401"/>
      <c r="N316" s="401"/>
      <c r="O316" s="401"/>
      <c r="P316" s="401"/>
      <c r="Q316" s="401"/>
      <c r="R316" s="401"/>
      <c r="S316" s="401"/>
      <c r="T316" s="401"/>
      <c r="U316" s="401"/>
      <c r="V316" s="401"/>
      <c r="W316" s="401"/>
      <c r="X316" s="401"/>
      <c r="Y316" s="401"/>
      <c r="Z316" s="401"/>
      <c r="AA316" s="401"/>
    </row>
    <row r="317">
      <c r="A317" s="401"/>
      <c r="B317" s="401"/>
      <c r="C317" s="401"/>
      <c r="D317" s="401"/>
      <c r="E317" s="399"/>
      <c r="F317" s="399"/>
      <c r="G317" s="399"/>
      <c r="H317" s="400"/>
      <c r="I317" s="401"/>
      <c r="J317" s="401"/>
      <c r="K317" s="401"/>
      <c r="L317" s="401"/>
      <c r="M317" s="401"/>
      <c r="N317" s="401"/>
      <c r="O317" s="401"/>
      <c r="P317" s="401"/>
      <c r="Q317" s="401"/>
      <c r="R317" s="401"/>
      <c r="S317" s="401"/>
      <c r="T317" s="401"/>
      <c r="U317" s="401"/>
      <c r="V317" s="401"/>
      <c r="W317" s="401"/>
      <c r="X317" s="401"/>
      <c r="Y317" s="401"/>
      <c r="Z317" s="401"/>
      <c r="AA317" s="401"/>
    </row>
    <row r="318">
      <c r="A318" s="401"/>
      <c r="B318" s="401"/>
      <c r="C318" s="401"/>
      <c r="D318" s="401"/>
      <c r="E318" s="399"/>
      <c r="F318" s="399"/>
      <c r="G318" s="399"/>
      <c r="H318" s="400"/>
      <c r="I318" s="401"/>
      <c r="J318" s="401"/>
      <c r="K318" s="401"/>
      <c r="L318" s="401"/>
      <c r="M318" s="401"/>
      <c r="N318" s="401"/>
      <c r="O318" s="401"/>
      <c r="P318" s="401"/>
      <c r="Q318" s="401"/>
      <c r="R318" s="401"/>
      <c r="S318" s="401"/>
      <c r="T318" s="401"/>
      <c r="U318" s="401"/>
      <c r="V318" s="401"/>
      <c r="W318" s="401"/>
      <c r="X318" s="401"/>
      <c r="Y318" s="401"/>
      <c r="Z318" s="401"/>
      <c r="AA318" s="401"/>
    </row>
    <row r="319">
      <c r="A319" s="401"/>
      <c r="B319" s="401"/>
      <c r="C319" s="401"/>
      <c r="D319" s="401"/>
      <c r="E319" s="399"/>
      <c r="F319" s="399"/>
      <c r="G319" s="399"/>
      <c r="H319" s="400"/>
      <c r="I319" s="401"/>
      <c r="J319" s="401"/>
      <c r="K319" s="401"/>
      <c r="L319" s="401"/>
      <c r="M319" s="401"/>
      <c r="N319" s="401"/>
      <c r="O319" s="401"/>
      <c r="P319" s="401"/>
      <c r="Q319" s="401"/>
      <c r="R319" s="401"/>
      <c r="S319" s="401"/>
      <c r="T319" s="401"/>
      <c r="U319" s="401"/>
      <c r="V319" s="401"/>
      <c r="W319" s="401"/>
      <c r="X319" s="401"/>
      <c r="Y319" s="401"/>
      <c r="Z319" s="401"/>
      <c r="AA319" s="401"/>
    </row>
    <row r="320">
      <c r="A320" s="401"/>
      <c r="B320" s="401"/>
      <c r="C320" s="401"/>
      <c r="D320" s="401"/>
      <c r="E320" s="399"/>
      <c r="F320" s="399"/>
      <c r="G320" s="399"/>
      <c r="H320" s="400"/>
      <c r="I320" s="401"/>
      <c r="J320" s="401"/>
      <c r="K320" s="401"/>
      <c r="L320" s="401"/>
      <c r="M320" s="401"/>
      <c r="N320" s="401"/>
      <c r="O320" s="401"/>
      <c r="P320" s="401"/>
      <c r="Q320" s="401"/>
      <c r="R320" s="401"/>
      <c r="S320" s="401"/>
      <c r="T320" s="401"/>
      <c r="U320" s="401"/>
      <c r="V320" s="401"/>
      <c r="W320" s="401"/>
      <c r="X320" s="401"/>
      <c r="Y320" s="401"/>
      <c r="Z320" s="401"/>
      <c r="AA320" s="401"/>
    </row>
    <row r="321">
      <c r="A321" s="401"/>
      <c r="B321" s="401"/>
      <c r="C321" s="401"/>
      <c r="D321" s="401"/>
      <c r="E321" s="399"/>
      <c r="F321" s="399"/>
      <c r="G321" s="399"/>
      <c r="H321" s="400"/>
      <c r="I321" s="401"/>
      <c r="J321" s="401"/>
      <c r="K321" s="401"/>
      <c r="L321" s="401"/>
      <c r="M321" s="401"/>
      <c r="N321" s="401"/>
      <c r="O321" s="401"/>
      <c r="P321" s="401"/>
      <c r="Q321" s="401"/>
      <c r="R321" s="401"/>
      <c r="S321" s="401"/>
      <c r="T321" s="401"/>
      <c r="U321" s="401"/>
      <c r="V321" s="401"/>
      <c r="W321" s="401"/>
      <c r="X321" s="401"/>
      <c r="Y321" s="401"/>
      <c r="Z321" s="401"/>
      <c r="AA321" s="401"/>
    </row>
    <row r="322">
      <c r="A322" s="401"/>
      <c r="B322" s="401"/>
      <c r="C322" s="401"/>
      <c r="D322" s="401"/>
      <c r="E322" s="399"/>
      <c r="F322" s="399"/>
      <c r="G322" s="399"/>
      <c r="H322" s="400"/>
      <c r="I322" s="401"/>
      <c r="J322" s="401"/>
      <c r="K322" s="401"/>
      <c r="L322" s="401"/>
      <c r="M322" s="401"/>
      <c r="N322" s="401"/>
      <c r="O322" s="401"/>
      <c r="P322" s="401"/>
      <c r="Q322" s="401"/>
      <c r="R322" s="401"/>
      <c r="S322" s="401"/>
      <c r="T322" s="401"/>
      <c r="U322" s="401"/>
      <c r="V322" s="401"/>
      <c r="W322" s="401"/>
      <c r="X322" s="401"/>
      <c r="Y322" s="401"/>
      <c r="Z322" s="401"/>
      <c r="AA322" s="401"/>
    </row>
    <row r="323">
      <c r="A323" s="401"/>
      <c r="B323" s="401"/>
      <c r="C323" s="401"/>
      <c r="D323" s="401"/>
      <c r="E323" s="399"/>
      <c r="F323" s="399"/>
      <c r="G323" s="399"/>
      <c r="H323" s="400"/>
      <c r="I323" s="401"/>
      <c r="J323" s="401"/>
      <c r="K323" s="401"/>
      <c r="L323" s="401"/>
      <c r="M323" s="401"/>
      <c r="N323" s="401"/>
      <c r="O323" s="401"/>
      <c r="P323" s="401"/>
      <c r="Q323" s="401"/>
      <c r="R323" s="401"/>
      <c r="S323" s="401"/>
      <c r="T323" s="401"/>
      <c r="U323" s="401"/>
      <c r="V323" s="401"/>
      <c r="W323" s="401"/>
      <c r="X323" s="401"/>
      <c r="Y323" s="401"/>
      <c r="Z323" s="401"/>
      <c r="AA323" s="401"/>
    </row>
    <row r="324">
      <c r="A324" s="401"/>
      <c r="B324" s="401"/>
      <c r="C324" s="401"/>
      <c r="D324" s="401"/>
      <c r="E324" s="399"/>
      <c r="F324" s="399"/>
      <c r="G324" s="399"/>
      <c r="H324" s="400"/>
      <c r="I324" s="401"/>
      <c r="J324" s="401"/>
      <c r="K324" s="401"/>
      <c r="L324" s="401"/>
      <c r="M324" s="401"/>
      <c r="N324" s="401"/>
      <c r="O324" s="401"/>
      <c r="P324" s="401"/>
      <c r="Q324" s="401"/>
      <c r="R324" s="401"/>
      <c r="S324" s="401"/>
      <c r="T324" s="401"/>
      <c r="U324" s="401"/>
      <c r="V324" s="401"/>
      <c r="W324" s="401"/>
      <c r="X324" s="401"/>
      <c r="Y324" s="401"/>
      <c r="Z324" s="401"/>
      <c r="AA324" s="401"/>
    </row>
    <row r="325">
      <c r="A325" s="401"/>
      <c r="B325" s="401"/>
      <c r="C325" s="401"/>
      <c r="D325" s="401"/>
      <c r="E325" s="399"/>
      <c r="F325" s="399"/>
      <c r="G325" s="399"/>
      <c r="H325" s="400"/>
      <c r="I325" s="401"/>
      <c r="J325" s="401"/>
      <c r="K325" s="401"/>
      <c r="L325" s="401"/>
      <c r="M325" s="401"/>
      <c r="N325" s="401"/>
      <c r="O325" s="401"/>
      <c r="P325" s="401"/>
      <c r="Q325" s="401"/>
      <c r="R325" s="401"/>
      <c r="S325" s="401"/>
      <c r="T325" s="401"/>
      <c r="U325" s="401"/>
      <c r="V325" s="401"/>
      <c r="W325" s="401"/>
      <c r="X325" s="401"/>
      <c r="Y325" s="401"/>
      <c r="Z325" s="401"/>
      <c r="AA325" s="401"/>
    </row>
    <row r="326">
      <c r="A326" s="401"/>
      <c r="B326" s="401"/>
      <c r="C326" s="401"/>
      <c r="D326" s="401"/>
      <c r="E326" s="399"/>
      <c r="F326" s="399"/>
      <c r="G326" s="399"/>
      <c r="H326" s="400"/>
      <c r="I326" s="401"/>
      <c r="J326" s="401"/>
      <c r="K326" s="401"/>
      <c r="L326" s="401"/>
      <c r="M326" s="401"/>
      <c r="N326" s="401"/>
      <c r="O326" s="401"/>
      <c r="P326" s="401"/>
      <c r="Q326" s="401"/>
      <c r="R326" s="401"/>
      <c r="S326" s="401"/>
      <c r="T326" s="401"/>
      <c r="U326" s="401"/>
      <c r="V326" s="401"/>
      <c r="W326" s="401"/>
      <c r="X326" s="401"/>
      <c r="Y326" s="401"/>
      <c r="Z326" s="401"/>
      <c r="AA326" s="401"/>
    </row>
    <row r="327">
      <c r="A327" s="401"/>
      <c r="B327" s="401"/>
      <c r="C327" s="401"/>
      <c r="D327" s="401"/>
      <c r="E327" s="399"/>
      <c r="F327" s="399"/>
      <c r="G327" s="399"/>
      <c r="H327" s="400"/>
      <c r="I327" s="401"/>
      <c r="J327" s="401"/>
      <c r="K327" s="401"/>
      <c r="L327" s="401"/>
      <c r="M327" s="401"/>
      <c r="N327" s="401"/>
      <c r="O327" s="401"/>
      <c r="P327" s="401"/>
      <c r="Q327" s="401"/>
      <c r="R327" s="401"/>
      <c r="S327" s="401"/>
      <c r="T327" s="401"/>
      <c r="U327" s="401"/>
      <c r="V327" s="401"/>
      <c r="W327" s="401"/>
      <c r="X327" s="401"/>
      <c r="Y327" s="401"/>
      <c r="Z327" s="401"/>
      <c r="AA327" s="401"/>
    </row>
    <row r="328">
      <c r="A328" s="401"/>
      <c r="B328" s="401"/>
      <c r="C328" s="401"/>
      <c r="D328" s="401"/>
      <c r="E328" s="399"/>
      <c r="F328" s="399"/>
      <c r="G328" s="399"/>
      <c r="H328" s="400"/>
      <c r="I328" s="401"/>
      <c r="J328" s="401"/>
      <c r="K328" s="401"/>
      <c r="L328" s="401"/>
      <c r="M328" s="401"/>
      <c r="N328" s="401"/>
      <c r="O328" s="401"/>
      <c r="P328" s="401"/>
      <c r="Q328" s="401"/>
      <c r="R328" s="401"/>
      <c r="S328" s="401"/>
      <c r="T328" s="401"/>
      <c r="U328" s="401"/>
      <c r="V328" s="401"/>
      <c r="W328" s="401"/>
      <c r="X328" s="401"/>
      <c r="Y328" s="401"/>
      <c r="Z328" s="401"/>
      <c r="AA328" s="401"/>
    </row>
    <row r="329">
      <c r="A329" s="401"/>
      <c r="B329" s="401"/>
      <c r="C329" s="401"/>
      <c r="D329" s="401"/>
      <c r="E329" s="399"/>
      <c r="F329" s="399"/>
      <c r="G329" s="399"/>
      <c r="H329" s="400"/>
      <c r="I329" s="401"/>
      <c r="J329" s="401"/>
      <c r="K329" s="401"/>
      <c r="L329" s="401"/>
      <c r="M329" s="401"/>
      <c r="N329" s="401"/>
      <c r="O329" s="401"/>
      <c r="P329" s="401"/>
      <c r="Q329" s="401"/>
      <c r="R329" s="401"/>
      <c r="S329" s="401"/>
      <c r="T329" s="401"/>
      <c r="U329" s="401"/>
      <c r="V329" s="401"/>
      <c r="W329" s="401"/>
      <c r="X329" s="401"/>
      <c r="Y329" s="401"/>
      <c r="Z329" s="401"/>
      <c r="AA329" s="401"/>
    </row>
    <row r="330">
      <c r="A330" s="401"/>
      <c r="B330" s="401"/>
      <c r="C330" s="401"/>
      <c r="D330" s="401"/>
      <c r="E330" s="399"/>
      <c r="F330" s="399"/>
      <c r="G330" s="399"/>
      <c r="H330" s="400"/>
      <c r="I330" s="401"/>
      <c r="J330" s="401"/>
      <c r="K330" s="401"/>
      <c r="L330" s="401"/>
      <c r="M330" s="401"/>
      <c r="N330" s="401"/>
      <c r="O330" s="401"/>
      <c r="P330" s="401"/>
      <c r="Q330" s="401"/>
      <c r="R330" s="401"/>
      <c r="S330" s="401"/>
      <c r="T330" s="401"/>
      <c r="U330" s="401"/>
      <c r="V330" s="401"/>
      <c r="W330" s="401"/>
      <c r="X330" s="401"/>
      <c r="Y330" s="401"/>
      <c r="Z330" s="401"/>
      <c r="AA330" s="401"/>
    </row>
    <row r="331">
      <c r="A331" s="401"/>
      <c r="B331" s="401"/>
      <c r="C331" s="401"/>
      <c r="D331" s="401"/>
      <c r="E331" s="399"/>
      <c r="F331" s="399"/>
      <c r="G331" s="399"/>
      <c r="H331" s="400"/>
      <c r="I331" s="401"/>
      <c r="J331" s="401"/>
      <c r="K331" s="401"/>
      <c r="L331" s="401"/>
      <c r="M331" s="401"/>
      <c r="N331" s="401"/>
      <c r="O331" s="401"/>
      <c r="P331" s="401"/>
      <c r="Q331" s="401"/>
      <c r="R331" s="401"/>
      <c r="S331" s="401"/>
      <c r="T331" s="401"/>
      <c r="U331" s="401"/>
      <c r="V331" s="401"/>
      <c r="W331" s="401"/>
      <c r="X331" s="401"/>
      <c r="Y331" s="401"/>
      <c r="Z331" s="401"/>
      <c r="AA331" s="401"/>
    </row>
    <row r="332">
      <c r="A332" s="401"/>
      <c r="B332" s="401"/>
      <c r="C332" s="401"/>
      <c r="D332" s="401"/>
      <c r="E332" s="399"/>
      <c r="F332" s="399"/>
      <c r="G332" s="399"/>
      <c r="H332" s="400"/>
      <c r="I332" s="401"/>
      <c r="J332" s="401"/>
      <c r="K332" s="401"/>
      <c r="L332" s="401"/>
      <c r="M332" s="401"/>
      <c r="N332" s="401"/>
      <c r="O332" s="401"/>
      <c r="P332" s="401"/>
      <c r="Q332" s="401"/>
      <c r="R332" s="401"/>
      <c r="S332" s="401"/>
      <c r="T332" s="401"/>
      <c r="U332" s="401"/>
      <c r="V332" s="401"/>
      <c r="W332" s="401"/>
      <c r="X332" s="401"/>
      <c r="Y332" s="401"/>
      <c r="Z332" s="401"/>
      <c r="AA332" s="401"/>
    </row>
    <row r="333">
      <c r="A333" s="401"/>
      <c r="B333" s="401"/>
      <c r="C333" s="401"/>
      <c r="D333" s="401"/>
      <c r="E333" s="399"/>
      <c r="F333" s="399"/>
      <c r="G333" s="399"/>
      <c r="H333" s="400"/>
      <c r="I333" s="401"/>
      <c r="J333" s="401"/>
      <c r="K333" s="401"/>
      <c r="L333" s="401"/>
      <c r="M333" s="401"/>
      <c r="N333" s="401"/>
      <c r="O333" s="401"/>
      <c r="P333" s="401"/>
      <c r="Q333" s="401"/>
      <c r="R333" s="401"/>
      <c r="S333" s="401"/>
      <c r="T333" s="401"/>
      <c r="U333" s="401"/>
      <c r="V333" s="401"/>
      <c r="W333" s="401"/>
      <c r="X333" s="401"/>
      <c r="Y333" s="401"/>
      <c r="Z333" s="401"/>
      <c r="AA333" s="401"/>
    </row>
    <row r="334">
      <c r="A334" s="401"/>
      <c r="B334" s="401"/>
      <c r="C334" s="401"/>
      <c r="D334" s="401"/>
      <c r="E334" s="399"/>
      <c r="F334" s="399"/>
      <c r="G334" s="399"/>
      <c r="H334" s="400"/>
      <c r="I334" s="401"/>
      <c r="J334" s="401"/>
      <c r="K334" s="401"/>
      <c r="L334" s="401"/>
      <c r="M334" s="401"/>
      <c r="N334" s="401"/>
      <c r="O334" s="401"/>
      <c r="P334" s="401"/>
      <c r="Q334" s="401"/>
      <c r="R334" s="401"/>
      <c r="S334" s="401"/>
      <c r="T334" s="401"/>
      <c r="U334" s="401"/>
      <c r="V334" s="401"/>
      <c r="W334" s="401"/>
      <c r="X334" s="401"/>
      <c r="Y334" s="401"/>
      <c r="Z334" s="401"/>
      <c r="AA334" s="401"/>
    </row>
    <row r="335">
      <c r="A335" s="401"/>
      <c r="B335" s="401"/>
      <c r="C335" s="401"/>
      <c r="D335" s="401"/>
      <c r="E335" s="399"/>
      <c r="F335" s="399"/>
      <c r="G335" s="399"/>
      <c r="H335" s="400"/>
      <c r="I335" s="401"/>
      <c r="J335" s="401"/>
      <c r="K335" s="401"/>
      <c r="L335" s="401"/>
      <c r="M335" s="401"/>
      <c r="N335" s="401"/>
      <c r="O335" s="401"/>
      <c r="P335" s="401"/>
      <c r="Q335" s="401"/>
      <c r="R335" s="401"/>
      <c r="S335" s="401"/>
      <c r="T335" s="401"/>
      <c r="U335" s="401"/>
      <c r="V335" s="401"/>
      <c r="W335" s="401"/>
      <c r="X335" s="401"/>
      <c r="Y335" s="401"/>
      <c r="Z335" s="401"/>
      <c r="AA335" s="401"/>
    </row>
    <row r="336">
      <c r="A336" s="401"/>
      <c r="B336" s="401"/>
      <c r="C336" s="401"/>
      <c r="D336" s="401"/>
      <c r="E336" s="399"/>
      <c r="F336" s="399"/>
      <c r="G336" s="399"/>
      <c r="H336" s="400"/>
      <c r="I336" s="401"/>
      <c r="J336" s="401"/>
      <c r="K336" s="401"/>
      <c r="L336" s="401"/>
      <c r="M336" s="401"/>
      <c r="N336" s="401"/>
      <c r="O336" s="401"/>
      <c r="P336" s="401"/>
      <c r="Q336" s="401"/>
      <c r="R336" s="401"/>
      <c r="S336" s="401"/>
      <c r="T336" s="401"/>
      <c r="U336" s="401"/>
      <c r="V336" s="401"/>
      <c r="W336" s="401"/>
      <c r="X336" s="401"/>
      <c r="Y336" s="401"/>
      <c r="Z336" s="401"/>
      <c r="AA336" s="401"/>
    </row>
    <row r="337">
      <c r="A337" s="401"/>
      <c r="B337" s="401"/>
      <c r="C337" s="401"/>
      <c r="D337" s="401"/>
      <c r="E337" s="399"/>
      <c r="F337" s="399"/>
      <c r="G337" s="399"/>
      <c r="H337" s="400"/>
      <c r="I337" s="401"/>
      <c r="J337" s="401"/>
      <c r="K337" s="401"/>
      <c r="L337" s="401"/>
      <c r="M337" s="401"/>
      <c r="N337" s="401"/>
      <c r="O337" s="401"/>
      <c r="P337" s="401"/>
      <c r="Q337" s="401"/>
      <c r="R337" s="401"/>
      <c r="S337" s="401"/>
      <c r="T337" s="401"/>
      <c r="U337" s="401"/>
      <c r="V337" s="401"/>
      <c r="W337" s="401"/>
      <c r="X337" s="401"/>
      <c r="Y337" s="401"/>
      <c r="Z337" s="401"/>
      <c r="AA337" s="401"/>
    </row>
    <row r="338">
      <c r="A338" s="401"/>
      <c r="B338" s="401"/>
      <c r="C338" s="401"/>
      <c r="D338" s="401"/>
      <c r="E338" s="399"/>
      <c r="F338" s="399"/>
      <c r="G338" s="399"/>
      <c r="H338" s="400"/>
      <c r="I338" s="401"/>
      <c r="J338" s="401"/>
      <c r="K338" s="401"/>
      <c r="L338" s="401"/>
      <c r="M338" s="401"/>
      <c r="N338" s="401"/>
      <c r="O338" s="401"/>
      <c r="P338" s="401"/>
      <c r="Q338" s="401"/>
      <c r="R338" s="401"/>
      <c r="S338" s="401"/>
      <c r="T338" s="401"/>
      <c r="U338" s="401"/>
      <c r="V338" s="401"/>
      <c r="W338" s="401"/>
      <c r="X338" s="401"/>
      <c r="Y338" s="401"/>
      <c r="Z338" s="401"/>
      <c r="AA338" s="401"/>
    </row>
    <row r="339">
      <c r="A339" s="401"/>
      <c r="B339" s="401"/>
      <c r="C339" s="401"/>
      <c r="D339" s="401"/>
      <c r="E339" s="399"/>
      <c r="F339" s="399"/>
      <c r="G339" s="399"/>
      <c r="H339" s="400"/>
      <c r="I339" s="401"/>
      <c r="J339" s="401"/>
      <c r="K339" s="401"/>
      <c r="L339" s="401"/>
      <c r="M339" s="401"/>
      <c r="N339" s="401"/>
      <c r="O339" s="401"/>
      <c r="P339" s="401"/>
      <c r="Q339" s="401"/>
      <c r="R339" s="401"/>
      <c r="S339" s="401"/>
      <c r="T339" s="401"/>
      <c r="U339" s="401"/>
      <c r="V339" s="401"/>
      <c r="W339" s="401"/>
      <c r="X339" s="401"/>
      <c r="Y339" s="401"/>
      <c r="Z339" s="401"/>
      <c r="AA339" s="401"/>
    </row>
    <row r="340">
      <c r="A340" s="401"/>
      <c r="B340" s="401"/>
      <c r="C340" s="401"/>
      <c r="D340" s="401"/>
      <c r="E340" s="399"/>
      <c r="F340" s="399"/>
      <c r="G340" s="399"/>
      <c r="H340" s="400"/>
      <c r="I340" s="401"/>
      <c r="J340" s="401"/>
      <c r="K340" s="401"/>
      <c r="L340" s="401"/>
      <c r="M340" s="401"/>
      <c r="N340" s="401"/>
      <c r="O340" s="401"/>
      <c r="P340" s="401"/>
      <c r="Q340" s="401"/>
      <c r="R340" s="401"/>
      <c r="S340" s="401"/>
      <c r="T340" s="401"/>
      <c r="U340" s="401"/>
      <c r="V340" s="401"/>
      <c r="W340" s="401"/>
      <c r="X340" s="401"/>
      <c r="Y340" s="401"/>
      <c r="Z340" s="401"/>
      <c r="AA340" s="401"/>
    </row>
    <row r="341">
      <c r="A341" s="401"/>
      <c r="B341" s="401"/>
      <c r="C341" s="401"/>
      <c r="D341" s="401"/>
      <c r="E341" s="399"/>
      <c r="F341" s="399"/>
      <c r="G341" s="399"/>
      <c r="H341" s="400"/>
      <c r="I341" s="401"/>
      <c r="J341" s="401"/>
      <c r="K341" s="401"/>
      <c r="L341" s="401"/>
      <c r="M341" s="401"/>
      <c r="N341" s="401"/>
      <c r="O341" s="401"/>
      <c r="P341" s="401"/>
      <c r="Q341" s="401"/>
      <c r="R341" s="401"/>
      <c r="S341" s="401"/>
      <c r="T341" s="401"/>
      <c r="U341" s="401"/>
      <c r="V341" s="401"/>
      <c r="W341" s="401"/>
      <c r="X341" s="401"/>
      <c r="Y341" s="401"/>
      <c r="Z341" s="401"/>
      <c r="AA341" s="401"/>
    </row>
    <row r="342">
      <c r="A342" s="401"/>
      <c r="B342" s="401"/>
      <c r="C342" s="401"/>
      <c r="D342" s="401"/>
      <c r="E342" s="399"/>
      <c r="F342" s="399"/>
      <c r="G342" s="399"/>
      <c r="H342" s="400"/>
      <c r="I342" s="401"/>
      <c r="J342" s="401"/>
      <c r="K342" s="401"/>
      <c r="L342" s="401"/>
      <c r="M342" s="401"/>
      <c r="N342" s="401"/>
      <c r="O342" s="401"/>
      <c r="P342" s="401"/>
      <c r="Q342" s="401"/>
      <c r="R342" s="401"/>
      <c r="S342" s="401"/>
      <c r="T342" s="401"/>
      <c r="U342" s="401"/>
      <c r="V342" s="401"/>
      <c r="W342" s="401"/>
      <c r="X342" s="401"/>
      <c r="Y342" s="401"/>
      <c r="Z342" s="401"/>
      <c r="AA342" s="401"/>
    </row>
    <row r="343">
      <c r="A343" s="401"/>
      <c r="B343" s="401"/>
      <c r="C343" s="401"/>
      <c r="D343" s="401"/>
      <c r="E343" s="399"/>
      <c r="F343" s="399"/>
      <c r="G343" s="399"/>
      <c r="H343" s="400"/>
      <c r="I343" s="401"/>
      <c r="J343" s="401"/>
      <c r="K343" s="401"/>
      <c r="L343" s="401"/>
      <c r="M343" s="401"/>
      <c r="N343" s="401"/>
      <c r="O343" s="401"/>
      <c r="P343" s="401"/>
      <c r="Q343" s="401"/>
      <c r="R343" s="401"/>
      <c r="S343" s="401"/>
      <c r="T343" s="401"/>
      <c r="U343" s="401"/>
      <c r="V343" s="401"/>
      <c r="W343" s="401"/>
      <c r="X343" s="401"/>
      <c r="Y343" s="401"/>
      <c r="Z343" s="401"/>
      <c r="AA343" s="401"/>
    </row>
    <row r="344">
      <c r="A344" s="401"/>
      <c r="B344" s="401"/>
      <c r="C344" s="401"/>
      <c r="D344" s="401"/>
      <c r="E344" s="399"/>
      <c r="F344" s="399"/>
      <c r="G344" s="399"/>
      <c r="H344" s="400"/>
      <c r="I344" s="401"/>
      <c r="J344" s="401"/>
      <c r="K344" s="401"/>
      <c r="L344" s="401"/>
      <c r="M344" s="401"/>
      <c r="N344" s="401"/>
      <c r="O344" s="401"/>
      <c r="P344" s="401"/>
      <c r="Q344" s="401"/>
      <c r="R344" s="401"/>
      <c r="S344" s="401"/>
      <c r="T344" s="401"/>
      <c r="U344" s="401"/>
      <c r="V344" s="401"/>
      <c r="W344" s="401"/>
      <c r="X344" s="401"/>
      <c r="Y344" s="401"/>
      <c r="Z344" s="401"/>
      <c r="AA344" s="401"/>
    </row>
    <row r="345">
      <c r="A345" s="401"/>
      <c r="B345" s="401"/>
      <c r="C345" s="401"/>
      <c r="D345" s="401"/>
      <c r="E345" s="399"/>
      <c r="F345" s="399"/>
      <c r="G345" s="399"/>
      <c r="H345" s="400"/>
      <c r="I345" s="401"/>
      <c r="J345" s="401"/>
      <c r="K345" s="401"/>
      <c r="L345" s="401"/>
      <c r="M345" s="401"/>
      <c r="N345" s="401"/>
      <c r="O345" s="401"/>
      <c r="P345" s="401"/>
      <c r="Q345" s="401"/>
      <c r="R345" s="401"/>
      <c r="S345" s="401"/>
      <c r="T345" s="401"/>
      <c r="U345" s="401"/>
      <c r="V345" s="401"/>
      <c r="W345" s="401"/>
      <c r="X345" s="401"/>
      <c r="Y345" s="401"/>
      <c r="Z345" s="401"/>
      <c r="AA345" s="401"/>
    </row>
    <row r="346">
      <c r="A346" s="401"/>
      <c r="B346" s="401"/>
      <c r="C346" s="401"/>
      <c r="D346" s="401"/>
      <c r="E346" s="399"/>
      <c r="F346" s="399"/>
      <c r="G346" s="399"/>
      <c r="H346" s="400"/>
      <c r="I346" s="401"/>
      <c r="J346" s="401"/>
      <c r="K346" s="401"/>
      <c r="L346" s="401"/>
      <c r="M346" s="401"/>
      <c r="N346" s="401"/>
      <c r="O346" s="401"/>
      <c r="P346" s="401"/>
      <c r="Q346" s="401"/>
      <c r="R346" s="401"/>
      <c r="S346" s="401"/>
      <c r="T346" s="401"/>
      <c r="U346" s="401"/>
      <c r="V346" s="401"/>
      <c r="W346" s="401"/>
      <c r="X346" s="401"/>
      <c r="Y346" s="401"/>
      <c r="Z346" s="401"/>
      <c r="AA346" s="401"/>
    </row>
    <row r="347">
      <c r="A347" s="401"/>
      <c r="B347" s="401"/>
      <c r="C347" s="401"/>
      <c r="D347" s="401"/>
      <c r="E347" s="399"/>
      <c r="F347" s="399"/>
      <c r="G347" s="399"/>
      <c r="H347" s="400"/>
      <c r="I347" s="401"/>
      <c r="J347" s="401"/>
      <c r="K347" s="401"/>
      <c r="L347" s="401"/>
      <c r="M347" s="401"/>
      <c r="N347" s="401"/>
      <c r="O347" s="401"/>
      <c r="P347" s="401"/>
      <c r="Q347" s="401"/>
      <c r="R347" s="401"/>
      <c r="S347" s="401"/>
      <c r="T347" s="401"/>
      <c r="U347" s="401"/>
      <c r="V347" s="401"/>
      <c r="W347" s="401"/>
      <c r="X347" s="401"/>
      <c r="Y347" s="401"/>
      <c r="Z347" s="401"/>
      <c r="AA347" s="401"/>
    </row>
    <row r="348">
      <c r="A348" s="401"/>
      <c r="B348" s="401"/>
      <c r="C348" s="401"/>
      <c r="D348" s="401"/>
      <c r="E348" s="399"/>
      <c r="F348" s="399"/>
      <c r="G348" s="399"/>
      <c r="H348" s="400"/>
      <c r="I348" s="401"/>
      <c r="J348" s="401"/>
      <c r="K348" s="401"/>
      <c r="L348" s="401"/>
      <c r="M348" s="401"/>
      <c r="N348" s="401"/>
      <c r="O348" s="401"/>
      <c r="P348" s="401"/>
      <c r="Q348" s="401"/>
      <c r="R348" s="401"/>
      <c r="S348" s="401"/>
      <c r="T348" s="401"/>
      <c r="U348" s="401"/>
      <c r="V348" s="401"/>
      <c r="W348" s="401"/>
      <c r="X348" s="401"/>
      <c r="Y348" s="401"/>
      <c r="Z348" s="401"/>
      <c r="AA348" s="401"/>
    </row>
    <row r="349">
      <c r="A349" s="401"/>
      <c r="B349" s="401"/>
      <c r="C349" s="401"/>
      <c r="D349" s="401"/>
      <c r="E349" s="399"/>
      <c r="F349" s="399"/>
      <c r="G349" s="399"/>
      <c r="H349" s="400"/>
      <c r="I349" s="401"/>
      <c r="J349" s="401"/>
      <c r="K349" s="401"/>
      <c r="L349" s="401"/>
      <c r="M349" s="401"/>
      <c r="N349" s="401"/>
      <c r="O349" s="401"/>
      <c r="P349" s="401"/>
      <c r="Q349" s="401"/>
      <c r="R349" s="401"/>
      <c r="S349" s="401"/>
      <c r="T349" s="401"/>
      <c r="U349" s="401"/>
      <c r="V349" s="401"/>
      <c r="W349" s="401"/>
      <c r="X349" s="401"/>
      <c r="Y349" s="401"/>
      <c r="Z349" s="401"/>
      <c r="AA349" s="401"/>
    </row>
    <row r="350">
      <c r="A350" s="401"/>
      <c r="B350" s="401"/>
      <c r="C350" s="401"/>
      <c r="D350" s="401"/>
      <c r="E350" s="399"/>
      <c r="F350" s="399"/>
      <c r="G350" s="399"/>
      <c r="H350" s="400"/>
      <c r="I350" s="401"/>
      <c r="J350" s="401"/>
      <c r="K350" s="401"/>
      <c r="L350" s="401"/>
      <c r="M350" s="401"/>
      <c r="N350" s="401"/>
      <c r="O350" s="401"/>
      <c r="P350" s="401"/>
      <c r="Q350" s="401"/>
      <c r="R350" s="401"/>
      <c r="S350" s="401"/>
      <c r="T350" s="401"/>
      <c r="U350" s="401"/>
      <c r="V350" s="401"/>
      <c r="W350" s="401"/>
      <c r="X350" s="401"/>
      <c r="Y350" s="401"/>
      <c r="Z350" s="401"/>
      <c r="AA350" s="401"/>
    </row>
    <row r="351">
      <c r="A351" s="401"/>
      <c r="B351" s="401"/>
      <c r="C351" s="401"/>
      <c r="D351" s="401"/>
      <c r="E351" s="399"/>
      <c r="F351" s="399"/>
      <c r="G351" s="399"/>
      <c r="H351" s="400"/>
      <c r="I351" s="401"/>
      <c r="J351" s="401"/>
      <c r="K351" s="401"/>
      <c r="L351" s="401"/>
      <c r="M351" s="401"/>
      <c r="N351" s="401"/>
      <c r="O351" s="401"/>
      <c r="P351" s="401"/>
      <c r="Q351" s="401"/>
      <c r="R351" s="401"/>
      <c r="S351" s="401"/>
      <c r="T351" s="401"/>
      <c r="U351" s="401"/>
      <c r="V351" s="401"/>
      <c r="W351" s="401"/>
      <c r="X351" s="401"/>
      <c r="Y351" s="401"/>
      <c r="Z351" s="401"/>
      <c r="AA351" s="401"/>
    </row>
    <row r="352">
      <c r="A352" s="401"/>
      <c r="B352" s="401"/>
      <c r="C352" s="401"/>
      <c r="D352" s="401"/>
      <c r="E352" s="399"/>
      <c r="F352" s="399"/>
      <c r="G352" s="399"/>
      <c r="H352" s="400"/>
      <c r="I352" s="401"/>
      <c r="J352" s="401"/>
      <c r="K352" s="401"/>
      <c r="L352" s="401"/>
      <c r="M352" s="401"/>
      <c r="N352" s="401"/>
      <c r="O352" s="401"/>
      <c r="P352" s="401"/>
      <c r="Q352" s="401"/>
      <c r="R352" s="401"/>
      <c r="S352" s="401"/>
      <c r="T352" s="401"/>
      <c r="U352" s="401"/>
      <c r="V352" s="401"/>
      <c r="W352" s="401"/>
      <c r="X352" s="401"/>
      <c r="Y352" s="401"/>
      <c r="Z352" s="401"/>
      <c r="AA352" s="401"/>
    </row>
    <row r="353">
      <c r="A353" s="401"/>
      <c r="B353" s="401"/>
      <c r="C353" s="401"/>
      <c r="D353" s="401"/>
      <c r="E353" s="399"/>
      <c r="F353" s="399"/>
      <c r="G353" s="399"/>
      <c r="H353" s="400"/>
      <c r="I353" s="401"/>
      <c r="J353" s="401"/>
      <c r="K353" s="401"/>
      <c r="L353" s="401"/>
      <c r="M353" s="401"/>
      <c r="N353" s="401"/>
      <c r="O353" s="401"/>
      <c r="P353" s="401"/>
      <c r="Q353" s="401"/>
      <c r="R353" s="401"/>
      <c r="S353" s="401"/>
      <c r="T353" s="401"/>
      <c r="U353" s="401"/>
      <c r="V353" s="401"/>
      <c r="W353" s="401"/>
      <c r="X353" s="401"/>
      <c r="Y353" s="401"/>
      <c r="Z353" s="401"/>
      <c r="AA353" s="401"/>
    </row>
    <row r="354">
      <c r="A354" s="401"/>
      <c r="B354" s="401"/>
      <c r="C354" s="401"/>
      <c r="D354" s="401"/>
      <c r="E354" s="399"/>
      <c r="F354" s="399"/>
      <c r="G354" s="399"/>
      <c r="H354" s="400"/>
      <c r="I354" s="401"/>
      <c r="J354" s="401"/>
      <c r="K354" s="401"/>
      <c r="L354" s="401"/>
      <c r="M354" s="401"/>
      <c r="N354" s="401"/>
      <c r="O354" s="401"/>
      <c r="P354" s="401"/>
      <c r="Q354" s="401"/>
      <c r="R354" s="401"/>
      <c r="S354" s="401"/>
      <c r="T354" s="401"/>
      <c r="U354" s="401"/>
      <c r="V354" s="401"/>
      <c r="W354" s="401"/>
      <c r="X354" s="401"/>
      <c r="Y354" s="401"/>
      <c r="Z354" s="401"/>
      <c r="AA354" s="401"/>
    </row>
    <row r="355">
      <c r="A355" s="401"/>
      <c r="B355" s="401"/>
      <c r="C355" s="401"/>
      <c r="D355" s="401"/>
      <c r="E355" s="399"/>
      <c r="F355" s="399"/>
      <c r="G355" s="399"/>
      <c r="H355" s="400"/>
      <c r="I355" s="401"/>
      <c r="J355" s="401"/>
      <c r="K355" s="401"/>
      <c r="L355" s="401"/>
      <c r="M355" s="401"/>
      <c r="N355" s="401"/>
      <c r="O355" s="401"/>
      <c r="P355" s="401"/>
      <c r="Q355" s="401"/>
      <c r="R355" s="401"/>
      <c r="S355" s="401"/>
      <c r="T355" s="401"/>
      <c r="U355" s="401"/>
      <c r="V355" s="401"/>
      <c r="W355" s="401"/>
      <c r="X355" s="401"/>
      <c r="Y355" s="401"/>
      <c r="Z355" s="401"/>
      <c r="AA355" s="401"/>
    </row>
    <row r="356">
      <c r="A356" s="401"/>
      <c r="B356" s="401"/>
      <c r="C356" s="401"/>
      <c r="D356" s="401"/>
      <c r="E356" s="399"/>
      <c r="F356" s="399"/>
      <c r="G356" s="399"/>
      <c r="H356" s="400"/>
      <c r="I356" s="401"/>
      <c r="J356" s="401"/>
      <c r="K356" s="401"/>
      <c r="L356" s="401"/>
      <c r="M356" s="401"/>
      <c r="N356" s="401"/>
      <c r="O356" s="401"/>
      <c r="P356" s="401"/>
      <c r="Q356" s="401"/>
      <c r="R356" s="401"/>
      <c r="S356" s="401"/>
      <c r="T356" s="401"/>
      <c r="U356" s="401"/>
      <c r="V356" s="401"/>
      <c r="W356" s="401"/>
      <c r="X356" s="401"/>
      <c r="Y356" s="401"/>
      <c r="Z356" s="401"/>
      <c r="AA356" s="401"/>
    </row>
    <row r="357">
      <c r="A357" s="401"/>
      <c r="B357" s="401"/>
      <c r="C357" s="401"/>
      <c r="D357" s="401"/>
      <c r="E357" s="399"/>
      <c r="F357" s="399"/>
      <c r="G357" s="399"/>
      <c r="H357" s="400"/>
      <c r="I357" s="401"/>
      <c r="J357" s="401"/>
      <c r="K357" s="401"/>
      <c r="L357" s="401"/>
      <c r="M357" s="401"/>
      <c r="N357" s="401"/>
      <c r="O357" s="401"/>
      <c r="P357" s="401"/>
      <c r="Q357" s="401"/>
      <c r="R357" s="401"/>
      <c r="S357" s="401"/>
      <c r="T357" s="401"/>
      <c r="U357" s="401"/>
      <c r="V357" s="401"/>
      <c r="W357" s="401"/>
      <c r="X357" s="401"/>
      <c r="Y357" s="401"/>
      <c r="Z357" s="401"/>
      <c r="AA357" s="401"/>
    </row>
    <row r="358">
      <c r="A358" s="401"/>
      <c r="B358" s="401"/>
      <c r="C358" s="401"/>
      <c r="D358" s="401"/>
      <c r="E358" s="399"/>
      <c r="F358" s="399"/>
      <c r="G358" s="399"/>
      <c r="H358" s="400"/>
      <c r="I358" s="401"/>
      <c r="J358" s="401"/>
      <c r="K358" s="401"/>
      <c r="L358" s="401"/>
      <c r="M358" s="401"/>
      <c r="N358" s="401"/>
      <c r="O358" s="401"/>
      <c r="P358" s="401"/>
      <c r="Q358" s="401"/>
      <c r="R358" s="401"/>
      <c r="S358" s="401"/>
      <c r="T358" s="401"/>
      <c r="U358" s="401"/>
      <c r="V358" s="401"/>
      <c r="W358" s="401"/>
      <c r="X358" s="401"/>
      <c r="Y358" s="401"/>
      <c r="Z358" s="401"/>
      <c r="AA358" s="401"/>
    </row>
    <row r="359">
      <c r="A359" s="401"/>
      <c r="B359" s="401"/>
      <c r="C359" s="401"/>
      <c r="D359" s="401"/>
      <c r="E359" s="399"/>
      <c r="F359" s="399"/>
      <c r="G359" s="399"/>
      <c r="H359" s="400"/>
      <c r="I359" s="401"/>
      <c r="J359" s="401"/>
      <c r="K359" s="401"/>
      <c r="L359" s="401"/>
      <c r="M359" s="401"/>
      <c r="N359" s="401"/>
      <c r="O359" s="401"/>
      <c r="P359" s="401"/>
      <c r="Q359" s="401"/>
      <c r="R359" s="401"/>
      <c r="S359" s="401"/>
      <c r="T359" s="401"/>
      <c r="U359" s="401"/>
      <c r="V359" s="401"/>
      <c r="W359" s="401"/>
      <c r="X359" s="401"/>
      <c r="Y359" s="401"/>
      <c r="Z359" s="401"/>
      <c r="AA359" s="401"/>
    </row>
    <row r="360">
      <c r="A360" s="401"/>
      <c r="B360" s="401"/>
      <c r="C360" s="401"/>
      <c r="D360" s="401"/>
      <c r="E360" s="399"/>
      <c r="F360" s="399"/>
      <c r="G360" s="399"/>
      <c r="H360" s="400"/>
      <c r="I360" s="401"/>
      <c r="J360" s="401"/>
      <c r="K360" s="401"/>
      <c r="L360" s="401"/>
      <c r="M360" s="401"/>
      <c r="N360" s="401"/>
      <c r="O360" s="401"/>
      <c r="P360" s="401"/>
      <c r="Q360" s="401"/>
      <c r="R360" s="401"/>
      <c r="S360" s="401"/>
      <c r="T360" s="401"/>
      <c r="U360" s="401"/>
      <c r="V360" s="401"/>
      <c r="W360" s="401"/>
      <c r="X360" s="401"/>
      <c r="Y360" s="401"/>
      <c r="Z360" s="401"/>
      <c r="AA360" s="401"/>
    </row>
    <row r="361">
      <c r="A361" s="401"/>
      <c r="B361" s="401"/>
      <c r="C361" s="401"/>
      <c r="D361" s="401"/>
      <c r="E361" s="399"/>
      <c r="F361" s="399"/>
      <c r="G361" s="399"/>
      <c r="H361" s="400"/>
      <c r="I361" s="401"/>
      <c r="J361" s="401"/>
      <c r="K361" s="401"/>
      <c r="L361" s="401"/>
      <c r="M361" s="401"/>
      <c r="N361" s="401"/>
      <c r="O361" s="401"/>
      <c r="P361" s="401"/>
      <c r="Q361" s="401"/>
      <c r="R361" s="401"/>
      <c r="S361" s="401"/>
      <c r="T361" s="401"/>
      <c r="U361" s="401"/>
      <c r="V361" s="401"/>
      <c r="W361" s="401"/>
      <c r="X361" s="401"/>
      <c r="Y361" s="401"/>
      <c r="Z361" s="401"/>
      <c r="AA361" s="401"/>
    </row>
    <row r="362">
      <c r="A362" s="401"/>
      <c r="B362" s="401"/>
      <c r="C362" s="401"/>
      <c r="D362" s="401"/>
      <c r="E362" s="399"/>
      <c r="F362" s="399"/>
      <c r="G362" s="399"/>
      <c r="H362" s="400"/>
      <c r="I362" s="401"/>
      <c r="J362" s="401"/>
      <c r="K362" s="401"/>
      <c r="L362" s="401"/>
      <c r="M362" s="401"/>
      <c r="N362" s="401"/>
      <c r="O362" s="401"/>
      <c r="P362" s="401"/>
      <c r="Q362" s="401"/>
      <c r="R362" s="401"/>
      <c r="S362" s="401"/>
      <c r="T362" s="401"/>
      <c r="U362" s="401"/>
      <c r="V362" s="401"/>
      <c r="W362" s="401"/>
      <c r="X362" s="401"/>
      <c r="Y362" s="401"/>
      <c r="Z362" s="401"/>
      <c r="AA362" s="401"/>
    </row>
    <row r="363">
      <c r="A363" s="401"/>
      <c r="B363" s="401"/>
      <c r="C363" s="401"/>
      <c r="D363" s="401"/>
      <c r="E363" s="399"/>
      <c r="F363" s="399"/>
      <c r="G363" s="399"/>
      <c r="H363" s="400"/>
      <c r="I363" s="401"/>
      <c r="J363" s="401"/>
      <c r="K363" s="401"/>
      <c r="L363" s="401"/>
      <c r="M363" s="401"/>
      <c r="N363" s="401"/>
      <c r="O363" s="401"/>
      <c r="P363" s="401"/>
      <c r="Q363" s="401"/>
      <c r="R363" s="401"/>
      <c r="S363" s="401"/>
      <c r="T363" s="401"/>
      <c r="U363" s="401"/>
      <c r="V363" s="401"/>
      <c r="W363" s="401"/>
      <c r="X363" s="401"/>
      <c r="Y363" s="401"/>
      <c r="Z363" s="401"/>
      <c r="AA363" s="401"/>
    </row>
    <row r="364">
      <c r="A364" s="401"/>
      <c r="B364" s="401"/>
      <c r="C364" s="401"/>
      <c r="D364" s="401"/>
      <c r="E364" s="399"/>
      <c r="F364" s="399"/>
      <c r="G364" s="399"/>
      <c r="H364" s="400"/>
      <c r="I364" s="401"/>
      <c r="J364" s="401"/>
      <c r="K364" s="401"/>
      <c r="L364" s="401"/>
      <c r="M364" s="401"/>
      <c r="N364" s="401"/>
      <c r="O364" s="401"/>
      <c r="P364" s="401"/>
      <c r="Q364" s="401"/>
      <c r="R364" s="401"/>
      <c r="S364" s="401"/>
      <c r="T364" s="401"/>
      <c r="U364" s="401"/>
      <c r="V364" s="401"/>
      <c r="W364" s="401"/>
      <c r="X364" s="401"/>
      <c r="Y364" s="401"/>
      <c r="Z364" s="401"/>
      <c r="AA364" s="401"/>
    </row>
    <row r="365">
      <c r="A365" s="401"/>
      <c r="B365" s="401"/>
      <c r="C365" s="401"/>
      <c r="D365" s="401"/>
      <c r="E365" s="399"/>
      <c r="F365" s="399"/>
      <c r="G365" s="399"/>
      <c r="H365" s="400"/>
      <c r="I365" s="401"/>
      <c r="J365" s="401"/>
      <c r="K365" s="401"/>
      <c r="L365" s="401"/>
      <c r="M365" s="401"/>
      <c r="N365" s="401"/>
      <c r="O365" s="401"/>
      <c r="P365" s="401"/>
      <c r="Q365" s="401"/>
      <c r="R365" s="401"/>
      <c r="S365" s="401"/>
      <c r="T365" s="401"/>
      <c r="U365" s="401"/>
      <c r="V365" s="401"/>
      <c r="W365" s="401"/>
      <c r="X365" s="401"/>
      <c r="Y365" s="401"/>
      <c r="Z365" s="401"/>
      <c r="AA365" s="401"/>
    </row>
    <row r="366">
      <c r="A366" s="401"/>
      <c r="B366" s="401"/>
      <c r="C366" s="401"/>
      <c r="D366" s="401"/>
      <c r="E366" s="399"/>
      <c r="F366" s="399"/>
      <c r="G366" s="399"/>
      <c r="H366" s="400"/>
      <c r="I366" s="401"/>
      <c r="J366" s="401"/>
      <c r="K366" s="401"/>
      <c r="L366" s="401"/>
      <c r="M366" s="401"/>
      <c r="N366" s="401"/>
      <c r="O366" s="401"/>
      <c r="P366" s="401"/>
      <c r="Q366" s="401"/>
      <c r="R366" s="401"/>
      <c r="S366" s="401"/>
      <c r="T366" s="401"/>
      <c r="U366" s="401"/>
      <c r="V366" s="401"/>
      <c r="W366" s="401"/>
      <c r="X366" s="401"/>
      <c r="Y366" s="401"/>
      <c r="Z366" s="401"/>
      <c r="AA366" s="401"/>
    </row>
    <row r="367">
      <c r="A367" s="401"/>
      <c r="B367" s="401"/>
      <c r="C367" s="401"/>
      <c r="D367" s="401"/>
      <c r="E367" s="399"/>
      <c r="F367" s="399"/>
      <c r="G367" s="399"/>
      <c r="H367" s="400"/>
      <c r="I367" s="401"/>
      <c r="J367" s="401"/>
      <c r="K367" s="401"/>
      <c r="L367" s="401"/>
      <c r="M367" s="401"/>
      <c r="N367" s="401"/>
      <c r="O367" s="401"/>
      <c r="P367" s="401"/>
      <c r="Q367" s="401"/>
      <c r="R367" s="401"/>
      <c r="S367" s="401"/>
      <c r="T367" s="401"/>
      <c r="U367" s="401"/>
      <c r="V367" s="401"/>
      <c r="W367" s="401"/>
      <c r="X367" s="401"/>
      <c r="Y367" s="401"/>
      <c r="Z367" s="401"/>
      <c r="AA367" s="401"/>
    </row>
    <row r="368">
      <c r="A368" s="401"/>
      <c r="B368" s="401"/>
      <c r="C368" s="401"/>
      <c r="D368" s="401"/>
      <c r="E368" s="399"/>
      <c r="F368" s="399"/>
      <c r="G368" s="399"/>
      <c r="H368" s="400"/>
      <c r="I368" s="401"/>
      <c r="J368" s="401"/>
      <c r="K368" s="401"/>
      <c r="L368" s="401"/>
      <c r="M368" s="401"/>
      <c r="N368" s="401"/>
      <c r="O368" s="401"/>
      <c r="P368" s="401"/>
      <c r="Q368" s="401"/>
      <c r="R368" s="401"/>
      <c r="S368" s="401"/>
      <c r="T368" s="401"/>
      <c r="U368" s="401"/>
      <c r="V368" s="401"/>
      <c r="W368" s="401"/>
      <c r="X368" s="401"/>
      <c r="Y368" s="401"/>
      <c r="Z368" s="401"/>
      <c r="AA368" s="401"/>
    </row>
    <row r="369">
      <c r="A369" s="401"/>
      <c r="B369" s="401"/>
      <c r="C369" s="401"/>
      <c r="D369" s="401"/>
      <c r="E369" s="399"/>
      <c r="F369" s="399"/>
      <c r="G369" s="399"/>
      <c r="H369" s="400"/>
      <c r="I369" s="401"/>
      <c r="J369" s="401"/>
      <c r="K369" s="401"/>
      <c r="L369" s="401"/>
      <c r="M369" s="401"/>
      <c r="N369" s="401"/>
      <c r="O369" s="401"/>
      <c r="P369" s="401"/>
      <c r="Q369" s="401"/>
      <c r="R369" s="401"/>
      <c r="S369" s="401"/>
      <c r="T369" s="401"/>
      <c r="U369" s="401"/>
      <c r="V369" s="401"/>
      <c r="W369" s="401"/>
      <c r="X369" s="401"/>
      <c r="Y369" s="401"/>
      <c r="Z369" s="401"/>
      <c r="AA369" s="401"/>
    </row>
    <row r="370">
      <c r="A370" s="401"/>
      <c r="B370" s="401"/>
      <c r="C370" s="401"/>
      <c r="D370" s="401"/>
      <c r="E370" s="399"/>
      <c r="F370" s="399"/>
      <c r="G370" s="399"/>
      <c r="H370" s="400"/>
      <c r="I370" s="401"/>
      <c r="J370" s="401"/>
      <c r="K370" s="401"/>
      <c r="L370" s="401"/>
      <c r="M370" s="401"/>
      <c r="N370" s="401"/>
      <c r="O370" s="401"/>
      <c r="P370" s="401"/>
      <c r="Q370" s="401"/>
      <c r="R370" s="401"/>
      <c r="S370" s="401"/>
      <c r="T370" s="401"/>
      <c r="U370" s="401"/>
      <c r="V370" s="401"/>
      <c r="W370" s="401"/>
      <c r="X370" s="401"/>
      <c r="Y370" s="401"/>
      <c r="Z370" s="401"/>
      <c r="AA370" s="401"/>
    </row>
    <row r="371">
      <c r="A371" s="401"/>
      <c r="B371" s="401"/>
      <c r="C371" s="401"/>
      <c r="D371" s="401"/>
      <c r="E371" s="399"/>
      <c r="F371" s="399"/>
      <c r="G371" s="399"/>
      <c r="H371" s="400"/>
      <c r="I371" s="401"/>
      <c r="J371" s="401"/>
      <c r="K371" s="401"/>
      <c r="L371" s="401"/>
      <c r="M371" s="401"/>
      <c r="N371" s="401"/>
      <c r="O371" s="401"/>
      <c r="P371" s="401"/>
      <c r="Q371" s="401"/>
      <c r="R371" s="401"/>
      <c r="S371" s="401"/>
      <c r="T371" s="401"/>
      <c r="U371" s="401"/>
      <c r="V371" s="401"/>
      <c r="W371" s="401"/>
      <c r="X371" s="401"/>
      <c r="Y371" s="401"/>
      <c r="Z371" s="401"/>
      <c r="AA371" s="401"/>
    </row>
    <row r="372">
      <c r="A372" s="401"/>
      <c r="B372" s="401"/>
      <c r="C372" s="401"/>
      <c r="D372" s="401"/>
      <c r="E372" s="399"/>
      <c r="F372" s="399"/>
      <c r="G372" s="399"/>
      <c r="H372" s="400"/>
      <c r="I372" s="401"/>
      <c r="J372" s="401"/>
      <c r="K372" s="401"/>
      <c r="L372" s="401"/>
      <c r="M372" s="401"/>
      <c r="N372" s="401"/>
      <c r="O372" s="401"/>
      <c r="P372" s="401"/>
      <c r="Q372" s="401"/>
      <c r="R372" s="401"/>
      <c r="S372" s="401"/>
      <c r="T372" s="401"/>
      <c r="U372" s="401"/>
      <c r="V372" s="401"/>
      <c r="W372" s="401"/>
      <c r="X372" s="401"/>
      <c r="Y372" s="401"/>
      <c r="Z372" s="401"/>
      <c r="AA372" s="401"/>
    </row>
    <row r="373">
      <c r="A373" s="401"/>
      <c r="B373" s="401"/>
      <c r="C373" s="401"/>
      <c r="D373" s="401"/>
      <c r="E373" s="399"/>
      <c r="F373" s="399"/>
      <c r="G373" s="399"/>
      <c r="H373" s="400"/>
      <c r="I373" s="401"/>
      <c r="J373" s="401"/>
      <c r="K373" s="401"/>
      <c r="L373" s="401"/>
      <c r="M373" s="401"/>
      <c r="N373" s="401"/>
      <c r="O373" s="401"/>
      <c r="P373" s="401"/>
      <c r="Q373" s="401"/>
      <c r="R373" s="401"/>
      <c r="S373" s="401"/>
      <c r="T373" s="401"/>
      <c r="U373" s="401"/>
      <c r="V373" s="401"/>
      <c r="W373" s="401"/>
      <c r="X373" s="401"/>
      <c r="Y373" s="401"/>
      <c r="Z373" s="401"/>
      <c r="AA373" s="401"/>
    </row>
    <row r="374">
      <c r="A374" s="401"/>
      <c r="B374" s="401"/>
      <c r="C374" s="401"/>
      <c r="D374" s="401"/>
      <c r="E374" s="399"/>
      <c r="F374" s="399"/>
      <c r="G374" s="399"/>
      <c r="H374" s="400"/>
      <c r="I374" s="401"/>
      <c r="J374" s="401"/>
      <c r="K374" s="401"/>
      <c r="L374" s="401"/>
      <c r="M374" s="401"/>
      <c r="N374" s="401"/>
      <c r="O374" s="401"/>
      <c r="P374" s="401"/>
      <c r="Q374" s="401"/>
      <c r="R374" s="401"/>
      <c r="S374" s="401"/>
      <c r="T374" s="401"/>
      <c r="U374" s="401"/>
      <c r="V374" s="401"/>
      <c r="W374" s="401"/>
      <c r="X374" s="401"/>
      <c r="Y374" s="401"/>
      <c r="Z374" s="401"/>
      <c r="AA374" s="401"/>
    </row>
    <row r="375">
      <c r="A375" s="401"/>
      <c r="B375" s="401"/>
      <c r="C375" s="401"/>
      <c r="D375" s="401"/>
      <c r="E375" s="399"/>
      <c r="F375" s="399"/>
      <c r="G375" s="399"/>
      <c r="H375" s="400"/>
      <c r="I375" s="401"/>
      <c r="J375" s="401"/>
      <c r="K375" s="401"/>
      <c r="L375" s="401"/>
      <c r="M375" s="401"/>
      <c r="N375" s="401"/>
      <c r="O375" s="401"/>
      <c r="P375" s="401"/>
      <c r="Q375" s="401"/>
      <c r="R375" s="401"/>
      <c r="S375" s="401"/>
      <c r="T375" s="401"/>
      <c r="U375" s="401"/>
      <c r="V375" s="401"/>
      <c r="W375" s="401"/>
      <c r="X375" s="401"/>
      <c r="Y375" s="401"/>
      <c r="Z375" s="401"/>
      <c r="AA375" s="401"/>
    </row>
    <row r="376">
      <c r="A376" s="401"/>
      <c r="B376" s="401"/>
      <c r="C376" s="401"/>
      <c r="D376" s="401"/>
      <c r="E376" s="399"/>
      <c r="F376" s="399"/>
      <c r="G376" s="399"/>
      <c r="H376" s="400"/>
      <c r="I376" s="401"/>
      <c r="J376" s="401"/>
      <c r="K376" s="401"/>
      <c r="L376" s="401"/>
      <c r="M376" s="401"/>
      <c r="N376" s="401"/>
      <c r="O376" s="401"/>
      <c r="P376" s="401"/>
      <c r="Q376" s="401"/>
      <c r="R376" s="401"/>
      <c r="S376" s="401"/>
      <c r="T376" s="401"/>
      <c r="U376" s="401"/>
      <c r="V376" s="401"/>
      <c r="W376" s="401"/>
      <c r="X376" s="401"/>
      <c r="Y376" s="401"/>
      <c r="Z376" s="401"/>
      <c r="AA376" s="401"/>
    </row>
    <row r="377">
      <c r="A377" s="401"/>
      <c r="B377" s="401"/>
      <c r="C377" s="401"/>
      <c r="D377" s="401"/>
      <c r="E377" s="399"/>
      <c r="F377" s="399"/>
      <c r="G377" s="399"/>
      <c r="H377" s="400"/>
      <c r="I377" s="401"/>
      <c r="J377" s="401"/>
      <c r="K377" s="401"/>
      <c r="L377" s="401"/>
      <c r="M377" s="401"/>
      <c r="N377" s="401"/>
      <c r="O377" s="401"/>
      <c r="P377" s="401"/>
      <c r="Q377" s="401"/>
      <c r="R377" s="401"/>
      <c r="S377" s="401"/>
      <c r="T377" s="401"/>
      <c r="U377" s="401"/>
      <c r="V377" s="401"/>
      <c r="W377" s="401"/>
      <c r="X377" s="401"/>
      <c r="Y377" s="401"/>
      <c r="Z377" s="401"/>
      <c r="AA377" s="401"/>
    </row>
    <row r="378">
      <c r="A378" s="401"/>
      <c r="B378" s="401"/>
      <c r="C378" s="401"/>
      <c r="D378" s="401"/>
      <c r="E378" s="399"/>
      <c r="F378" s="399"/>
      <c r="G378" s="399"/>
      <c r="H378" s="400"/>
      <c r="I378" s="401"/>
      <c r="J378" s="401"/>
      <c r="K378" s="401"/>
      <c r="L378" s="401"/>
      <c r="M378" s="401"/>
      <c r="N378" s="401"/>
      <c r="O378" s="401"/>
      <c r="P378" s="401"/>
      <c r="Q378" s="401"/>
      <c r="R378" s="401"/>
      <c r="S378" s="401"/>
      <c r="T378" s="401"/>
      <c r="U378" s="401"/>
      <c r="V378" s="401"/>
      <c r="W378" s="401"/>
      <c r="X378" s="401"/>
      <c r="Y378" s="401"/>
      <c r="Z378" s="401"/>
      <c r="AA378" s="401"/>
    </row>
    <row r="379">
      <c r="A379" s="401"/>
      <c r="B379" s="401"/>
      <c r="C379" s="401"/>
      <c r="D379" s="401"/>
      <c r="E379" s="399"/>
      <c r="F379" s="399"/>
      <c r="G379" s="399"/>
      <c r="H379" s="400"/>
      <c r="I379" s="401"/>
      <c r="J379" s="401"/>
      <c r="K379" s="401"/>
      <c r="L379" s="401"/>
      <c r="M379" s="401"/>
      <c r="N379" s="401"/>
      <c r="O379" s="401"/>
      <c r="P379" s="401"/>
      <c r="Q379" s="401"/>
      <c r="R379" s="401"/>
      <c r="S379" s="401"/>
      <c r="T379" s="401"/>
      <c r="U379" s="401"/>
      <c r="V379" s="401"/>
      <c r="W379" s="401"/>
      <c r="X379" s="401"/>
      <c r="Y379" s="401"/>
      <c r="Z379" s="401"/>
      <c r="AA379" s="401"/>
    </row>
    <row r="380">
      <c r="A380" s="401"/>
      <c r="B380" s="401"/>
      <c r="C380" s="401"/>
      <c r="D380" s="401"/>
      <c r="E380" s="399"/>
      <c r="F380" s="399"/>
      <c r="G380" s="399"/>
      <c r="H380" s="400"/>
      <c r="I380" s="401"/>
      <c r="J380" s="401"/>
      <c r="K380" s="401"/>
      <c r="L380" s="401"/>
      <c r="M380" s="401"/>
      <c r="N380" s="401"/>
      <c r="O380" s="401"/>
      <c r="P380" s="401"/>
      <c r="Q380" s="401"/>
      <c r="R380" s="401"/>
      <c r="S380" s="401"/>
      <c r="T380" s="401"/>
      <c r="U380" s="401"/>
      <c r="V380" s="401"/>
      <c r="W380" s="401"/>
      <c r="X380" s="401"/>
      <c r="Y380" s="401"/>
      <c r="Z380" s="401"/>
      <c r="AA380" s="401"/>
    </row>
    <row r="381">
      <c r="A381" s="401"/>
      <c r="B381" s="401"/>
      <c r="C381" s="401"/>
      <c r="D381" s="401"/>
      <c r="E381" s="399"/>
      <c r="F381" s="399"/>
      <c r="G381" s="399"/>
      <c r="H381" s="400"/>
      <c r="I381" s="401"/>
      <c r="J381" s="401"/>
      <c r="K381" s="401"/>
      <c r="L381" s="401"/>
      <c r="M381" s="401"/>
      <c r="N381" s="401"/>
      <c r="O381" s="401"/>
      <c r="P381" s="401"/>
      <c r="Q381" s="401"/>
      <c r="R381" s="401"/>
      <c r="S381" s="401"/>
      <c r="T381" s="401"/>
      <c r="U381" s="401"/>
      <c r="V381" s="401"/>
      <c r="W381" s="401"/>
      <c r="X381" s="401"/>
      <c r="Y381" s="401"/>
      <c r="Z381" s="401"/>
      <c r="AA381" s="401"/>
    </row>
    <row r="382">
      <c r="A382" s="401"/>
      <c r="B382" s="401"/>
      <c r="C382" s="401"/>
      <c r="D382" s="401"/>
      <c r="E382" s="399"/>
      <c r="F382" s="399"/>
      <c r="G382" s="399"/>
      <c r="H382" s="400"/>
      <c r="I382" s="401"/>
      <c r="J382" s="401"/>
      <c r="K382" s="401"/>
      <c r="L382" s="401"/>
      <c r="M382" s="401"/>
      <c r="N382" s="401"/>
      <c r="O382" s="401"/>
      <c r="P382" s="401"/>
      <c r="Q382" s="401"/>
      <c r="R382" s="401"/>
      <c r="S382" s="401"/>
      <c r="T382" s="401"/>
      <c r="U382" s="401"/>
      <c r="V382" s="401"/>
      <c r="W382" s="401"/>
      <c r="X382" s="401"/>
      <c r="Y382" s="401"/>
      <c r="Z382" s="401"/>
      <c r="AA382" s="401"/>
    </row>
    <row r="383">
      <c r="A383" s="401"/>
      <c r="B383" s="401"/>
      <c r="C383" s="401"/>
      <c r="D383" s="401"/>
      <c r="E383" s="399"/>
      <c r="F383" s="399"/>
      <c r="G383" s="399"/>
      <c r="H383" s="400"/>
      <c r="I383" s="401"/>
      <c r="J383" s="401"/>
      <c r="K383" s="401"/>
      <c r="L383" s="401"/>
      <c r="M383" s="401"/>
      <c r="N383" s="401"/>
      <c r="O383" s="401"/>
      <c r="P383" s="401"/>
      <c r="Q383" s="401"/>
      <c r="R383" s="401"/>
      <c r="S383" s="401"/>
      <c r="T383" s="401"/>
      <c r="U383" s="401"/>
      <c r="V383" s="401"/>
      <c r="W383" s="401"/>
      <c r="X383" s="401"/>
      <c r="Y383" s="401"/>
      <c r="Z383" s="401"/>
      <c r="AA383" s="401"/>
    </row>
    <row r="384">
      <c r="A384" s="401"/>
      <c r="B384" s="401"/>
      <c r="C384" s="401"/>
      <c r="D384" s="401"/>
      <c r="E384" s="399"/>
      <c r="F384" s="399"/>
      <c r="G384" s="399"/>
      <c r="H384" s="400"/>
      <c r="I384" s="401"/>
      <c r="J384" s="401"/>
      <c r="K384" s="401"/>
      <c r="L384" s="401"/>
      <c r="M384" s="401"/>
      <c r="N384" s="401"/>
      <c r="O384" s="401"/>
      <c r="P384" s="401"/>
      <c r="Q384" s="401"/>
      <c r="R384" s="401"/>
      <c r="S384" s="401"/>
      <c r="T384" s="401"/>
      <c r="U384" s="401"/>
      <c r="V384" s="401"/>
      <c r="W384" s="401"/>
      <c r="X384" s="401"/>
      <c r="Y384" s="401"/>
      <c r="Z384" s="401"/>
      <c r="AA384" s="401"/>
    </row>
    <row r="385">
      <c r="A385" s="401"/>
      <c r="B385" s="401"/>
      <c r="C385" s="401"/>
      <c r="D385" s="401"/>
      <c r="E385" s="399"/>
      <c r="F385" s="399"/>
      <c r="G385" s="399"/>
      <c r="H385" s="400"/>
      <c r="I385" s="401"/>
      <c r="J385" s="401"/>
      <c r="K385" s="401"/>
      <c r="L385" s="401"/>
      <c r="M385" s="401"/>
      <c r="N385" s="401"/>
      <c r="O385" s="401"/>
      <c r="P385" s="401"/>
      <c r="Q385" s="401"/>
      <c r="R385" s="401"/>
      <c r="S385" s="401"/>
      <c r="T385" s="401"/>
      <c r="U385" s="401"/>
      <c r="V385" s="401"/>
      <c r="W385" s="401"/>
      <c r="X385" s="401"/>
      <c r="Y385" s="401"/>
      <c r="Z385" s="401"/>
      <c r="AA385" s="401"/>
    </row>
    <row r="386">
      <c r="A386" s="401"/>
      <c r="B386" s="401"/>
      <c r="C386" s="401"/>
      <c r="D386" s="401"/>
      <c r="E386" s="399"/>
      <c r="F386" s="399"/>
      <c r="G386" s="399"/>
      <c r="H386" s="400"/>
      <c r="I386" s="401"/>
      <c r="J386" s="401"/>
      <c r="K386" s="401"/>
      <c r="L386" s="401"/>
      <c r="M386" s="401"/>
      <c r="N386" s="401"/>
      <c r="O386" s="401"/>
      <c r="P386" s="401"/>
      <c r="Q386" s="401"/>
      <c r="R386" s="401"/>
      <c r="S386" s="401"/>
      <c r="T386" s="401"/>
      <c r="U386" s="401"/>
      <c r="V386" s="401"/>
      <c r="W386" s="401"/>
      <c r="X386" s="401"/>
      <c r="Y386" s="401"/>
      <c r="Z386" s="401"/>
      <c r="AA386" s="401"/>
    </row>
    <row r="387">
      <c r="A387" s="401"/>
      <c r="B387" s="401"/>
      <c r="C387" s="401"/>
      <c r="D387" s="401"/>
      <c r="E387" s="399"/>
      <c r="F387" s="399"/>
      <c r="G387" s="399"/>
      <c r="H387" s="400"/>
      <c r="I387" s="401"/>
      <c r="J387" s="401"/>
      <c r="K387" s="401"/>
      <c r="L387" s="401"/>
      <c r="M387" s="401"/>
      <c r="N387" s="401"/>
      <c r="O387" s="401"/>
      <c r="P387" s="401"/>
      <c r="Q387" s="401"/>
      <c r="R387" s="401"/>
      <c r="S387" s="401"/>
      <c r="T387" s="401"/>
      <c r="U387" s="401"/>
      <c r="V387" s="401"/>
      <c r="W387" s="401"/>
      <c r="X387" s="401"/>
      <c r="Y387" s="401"/>
      <c r="Z387" s="401"/>
      <c r="AA387" s="401"/>
    </row>
    <row r="388">
      <c r="A388" s="401"/>
      <c r="B388" s="401"/>
      <c r="C388" s="401"/>
      <c r="D388" s="401"/>
      <c r="E388" s="399"/>
      <c r="F388" s="399"/>
      <c r="G388" s="399"/>
      <c r="H388" s="400"/>
      <c r="I388" s="401"/>
      <c r="J388" s="401"/>
      <c r="K388" s="401"/>
      <c r="L388" s="401"/>
      <c r="M388" s="401"/>
      <c r="N388" s="401"/>
      <c r="O388" s="401"/>
      <c r="P388" s="401"/>
      <c r="Q388" s="401"/>
      <c r="R388" s="401"/>
      <c r="S388" s="401"/>
      <c r="T388" s="401"/>
      <c r="U388" s="401"/>
      <c r="V388" s="401"/>
      <c r="W388" s="401"/>
      <c r="X388" s="401"/>
      <c r="Y388" s="401"/>
      <c r="Z388" s="401"/>
      <c r="AA388" s="401"/>
    </row>
    <row r="389">
      <c r="A389" s="401"/>
      <c r="B389" s="401"/>
      <c r="C389" s="401"/>
      <c r="D389" s="401"/>
      <c r="E389" s="399"/>
      <c r="F389" s="399"/>
      <c r="G389" s="399"/>
      <c r="H389" s="400"/>
      <c r="I389" s="401"/>
      <c r="J389" s="401"/>
      <c r="K389" s="401"/>
      <c r="L389" s="401"/>
      <c r="M389" s="401"/>
      <c r="N389" s="401"/>
      <c r="O389" s="401"/>
      <c r="P389" s="401"/>
      <c r="Q389" s="401"/>
      <c r="R389" s="401"/>
      <c r="S389" s="401"/>
      <c r="T389" s="401"/>
      <c r="U389" s="401"/>
      <c r="V389" s="401"/>
      <c r="W389" s="401"/>
      <c r="X389" s="401"/>
      <c r="Y389" s="401"/>
      <c r="Z389" s="401"/>
      <c r="AA389" s="401"/>
    </row>
    <row r="390">
      <c r="A390" s="401"/>
      <c r="B390" s="401"/>
      <c r="C390" s="401"/>
      <c r="D390" s="401"/>
      <c r="E390" s="399"/>
      <c r="F390" s="399"/>
      <c r="G390" s="399"/>
      <c r="H390" s="400"/>
      <c r="I390" s="401"/>
      <c r="J390" s="401"/>
      <c r="K390" s="401"/>
      <c r="L390" s="401"/>
      <c r="M390" s="401"/>
      <c r="N390" s="401"/>
      <c r="O390" s="401"/>
      <c r="P390" s="401"/>
      <c r="Q390" s="401"/>
      <c r="R390" s="401"/>
      <c r="S390" s="401"/>
      <c r="T390" s="401"/>
      <c r="U390" s="401"/>
      <c r="V390" s="401"/>
      <c r="W390" s="401"/>
      <c r="X390" s="401"/>
      <c r="Y390" s="401"/>
      <c r="Z390" s="401"/>
      <c r="AA390" s="401"/>
    </row>
    <row r="391">
      <c r="A391" s="401"/>
      <c r="B391" s="401"/>
      <c r="C391" s="401"/>
      <c r="D391" s="401"/>
      <c r="E391" s="399"/>
      <c r="F391" s="399"/>
      <c r="G391" s="399"/>
      <c r="H391" s="400"/>
      <c r="I391" s="401"/>
      <c r="J391" s="401"/>
      <c r="K391" s="401"/>
      <c r="L391" s="401"/>
      <c r="M391" s="401"/>
      <c r="N391" s="401"/>
      <c r="O391" s="401"/>
      <c r="P391" s="401"/>
      <c r="Q391" s="401"/>
      <c r="R391" s="401"/>
      <c r="S391" s="401"/>
      <c r="T391" s="401"/>
      <c r="U391" s="401"/>
      <c r="V391" s="401"/>
      <c r="W391" s="401"/>
      <c r="X391" s="401"/>
      <c r="Y391" s="401"/>
      <c r="Z391" s="401"/>
      <c r="AA391" s="401"/>
    </row>
    <row r="392">
      <c r="A392" s="401"/>
      <c r="B392" s="401"/>
      <c r="C392" s="401"/>
      <c r="D392" s="401"/>
      <c r="E392" s="399"/>
      <c r="F392" s="399"/>
      <c r="G392" s="399"/>
      <c r="H392" s="400"/>
      <c r="I392" s="401"/>
      <c r="J392" s="401"/>
      <c r="K392" s="401"/>
      <c r="L392" s="401"/>
      <c r="M392" s="401"/>
      <c r="N392" s="401"/>
      <c r="O392" s="401"/>
      <c r="P392" s="401"/>
      <c r="Q392" s="401"/>
      <c r="R392" s="401"/>
      <c r="S392" s="401"/>
      <c r="T392" s="401"/>
      <c r="U392" s="401"/>
      <c r="V392" s="401"/>
      <c r="W392" s="401"/>
      <c r="X392" s="401"/>
      <c r="Y392" s="401"/>
      <c r="Z392" s="401"/>
      <c r="AA392" s="401"/>
    </row>
    <row r="393">
      <c r="A393" s="401"/>
      <c r="B393" s="401"/>
      <c r="C393" s="401"/>
      <c r="D393" s="401"/>
      <c r="E393" s="399"/>
      <c r="F393" s="399"/>
      <c r="G393" s="399"/>
      <c r="H393" s="400"/>
      <c r="I393" s="401"/>
      <c r="J393" s="401"/>
      <c r="K393" s="401"/>
      <c r="L393" s="401"/>
      <c r="M393" s="401"/>
      <c r="N393" s="401"/>
      <c r="O393" s="401"/>
      <c r="P393" s="401"/>
      <c r="Q393" s="401"/>
      <c r="R393" s="401"/>
      <c r="S393" s="401"/>
      <c r="T393" s="401"/>
      <c r="U393" s="401"/>
      <c r="V393" s="401"/>
      <c r="W393" s="401"/>
      <c r="X393" s="401"/>
      <c r="Y393" s="401"/>
      <c r="Z393" s="401"/>
      <c r="AA393" s="401"/>
    </row>
    <row r="394">
      <c r="A394" s="401"/>
      <c r="B394" s="401"/>
      <c r="C394" s="401"/>
      <c r="D394" s="401"/>
      <c r="E394" s="399"/>
      <c r="F394" s="399"/>
      <c r="G394" s="399"/>
      <c r="H394" s="400"/>
      <c r="I394" s="401"/>
      <c r="J394" s="401"/>
      <c r="K394" s="401"/>
      <c r="L394" s="401"/>
      <c r="M394" s="401"/>
      <c r="N394" s="401"/>
      <c r="O394" s="401"/>
      <c r="P394" s="401"/>
      <c r="Q394" s="401"/>
      <c r="R394" s="401"/>
      <c r="S394" s="401"/>
      <c r="T394" s="401"/>
      <c r="U394" s="401"/>
      <c r="V394" s="401"/>
      <c r="W394" s="401"/>
      <c r="X394" s="401"/>
      <c r="Y394" s="401"/>
      <c r="Z394" s="401"/>
      <c r="AA394" s="401"/>
    </row>
    <row r="395">
      <c r="A395" s="401"/>
      <c r="B395" s="401"/>
      <c r="C395" s="401"/>
      <c r="D395" s="401"/>
      <c r="E395" s="399"/>
      <c r="F395" s="399"/>
      <c r="G395" s="399"/>
      <c r="H395" s="400"/>
      <c r="I395" s="401"/>
      <c r="J395" s="401"/>
      <c r="K395" s="401"/>
      <c r="L395" s="401"/>
      <c r="M395" s="401"/>
      <c r="N395" s="401"/>
      <c r="O395" s="401"/>
      <c r="P395" s="401"/>
      <c r="Q395" s="401"/>
      <c r="R395" s="401"/>
      <c r="S395" s="401"/>
      <c r="T395" s="401"/>
      <c r="U395" s="401"/>
      <c r="V395" s="401"/>
      <c r="W395" s="401"/>
      <c r="X395" s="401"/>
      <c r="Y395" s="401"/>
      <c r="Z395" s="401"/>
      <c r="AA395" s="401"/>
    </row>
    <row r="396">
      <c r="A396" s="401"/>
      <c r="B396" s="401"/>
      <c r="C396" s="401"/>
      <c r="D396" s="401"/>
      <c r="E396" s="399"/>
      <c r="F396" s="399"/>
      <c r="G396" s="399"/>
      <c r="H396" s="400"/>
      <c r="I396" s="401"/>
      <c r="J396" s="401"/>
      <c r="K396" s="401"/>
      <c r="L396" s="401"/>
      <c r="M396" s="401"/>
      <c r="N396" s="401"/>
      <c r="O396" s="401"/>
      <c r="P396" s="401"/>
      <c r="Q396" s="401"/>
      <c r="R396" s="401"/>
      <c r="S396" s="401"/>
      <c r="T396" s="401"/>
      <c r="U396" s="401"/>
      <c r="V396" s="401"/>
      <c r="W396" s="401"/>
      <c r="X396" s="401"/>
      <c r="Y396" s="401"/>
      <c r="Z396" s="401"/>
      <c r="AA396" s="401"/>
    </row>
    <row r="397">
      <c r="A397" s="401"/>
      <c r="B397" s="401"/>
      <c r="C397" s="401"/>
      <c r="D397" s="401"/>
      <c r="E397" s="399"/>
      <c r="F397" s="399"/>
      <c r="G397" s="399"/>
      <c r="H397" s="400"/>
      <c r="I397" s="401"/>
      <c r="J397" s="401"/>
      <c r="K397" s="401"/>
      <c r="L397" s="401"/>
      <c r="M397" s="401"/>
      <c r="N397" s="401"/>
      <c r="O397" s="401"/>
      <c r="P397" s="401"/>
      <c r="Q397" s="401"/>
      <c r="R397" s="401"/>
      <c r="S397" s="401"/>
      <c r="T397" s="401"/>
      <c r="U397" s="401"/>
      <c r="V397" s="401"/>
      <c r="W397" s="401"/>
      <c r="X397" s="401"/>
      <c r="Y397" s="401"/>
      <c r="Z397" s="401"/>
      <c r="AA397" s="401"/>
    </row>
    <row r="398">
      <c r="A398" s="401"/>
      <c r="B398" s="401"/>
      <c r="C398" s="401"/>
      <c r="D398" s="401"/>
      <c r="E398" s="399"/>
      <c r="F398" s="399"/>
      <c r="G398" s="399"/>
      <c r="H398" s="400"/>
      <c r="I398" s="401"/>
      <c r="J398" s="401"/>
      <c r="K398" s="401"/>
      <c r="L398" s="401"/>
      <c r="M398" s="401"/>
      <c r="N398" s="401"/>
      <c r="O398" s="401"/>
      <c r="P398" s="401"/>
      <c r="Q398" s="401"/>
      <c r="R398" s="401"/>
      <c r="S398" s="401"/>
      <c r="T398" s="401"/>
      <c r="U398" s="401"/>
      <c r="V398" s="401"/>
      <c r="W398" s="401"/>
      <c r="X398" s="401"/>
      <c r="Y398" s="401"/>
      <c r="Z398" s="401"/>
      <c r="AA398" s="401"/>
    </row>
    <row r="399">
      <c r="A399" s="401"/>
      <c r="B399" s="401"/>
      <c r="C399" s="401"/>
      <c r="D399" s="401"/>
      <c r="E399" s="399"/>
      <c r="F399" s="399"/>
      <c r="G399" s="399"/>
      <c r="H399" s="400"/>
      <c r="I399" s="401"/>
      <c r="J399" s="401"/>
      <c r="K399" s="401"/>
      <c r="L399" s="401"/>
      <c r="M399" s="401"/>
      <c r="N399" s="401"/>
      <c r="O399" s="401"/>
      <c r="P399" s="401"/>
      <c r="Q399" s="401"/>
      <c r="R399" s="401"/>
      <c r="S399" s="401"/>
      <c r="T399" s="401"/>
      <c r="U399" s="401"/>
      <c r="V399" s="401"/>
      <c r="W399" s="401"/>
      <c r="X399" s="401"/>
      <c r="Y399" s="401"/>
      <c r="Z399" s="401"/>
      <c r="AA399" s="401"/>
    </row>
    <row r="400">
      <c r="A400" s="401"/>
      <c r="B400" s="401"/>
      <c r="C400" s="401"/>
      <c r="D400" s="401"/>
      <c r="E400" s="399"/>
      <c r="F400" s="399"/>
      <c r="G400" s="399"/>
      <c r="H400" s="400"/>
      <c r="I400" s="401"/>
      <c r="J400" s="401"/>
      <c r="K400" s="401"/>
      <c r="L400" s="401"/>
      <c r="M400" s="401"/>
      <c r="N400" s="401"/>
      <c r="O400" s="401"/>
      <c r="P400" s="401"/>
      <c r="Q400" s="401"/>
      <c r="R400" s="401"/>
      <c r="S400" s="401"/>
      <c r="T400" s="401"/>
      <c r="U400" s="401"/>
      <c r="V400" s="401"/>
      <c r="W400" s="401"/>
      <c r="X400" s="401"/>
      <c r="Y400" s="401"/>
      <c r="Z400" s="401"/>
      <c r="AA400" s="401"/>
    </row>
    <row r="401">
      <c r="A401" s="401"/>
      <c r="B401" s="401"/>
      <c r="C401" s="401"/>
      <c r="D401" s="401"/>
      <c r="E401" s="399"/>
      <c r="F401" s="399"/>
      <c r="G401" s="399"/>
      <c r="H401" s="400"/>
      <c r="I401" s="401"/>
      <c r="J401" s="401"/>
      <c r="K401" s="401"/>
      <c r="L401" s="401"/>
      <c r="M401" s="401"/>
      <c r="N401" s="401"/>
      <c r="O401" s="401"/>
      <c r="P401" s="401"/>
      <c r="Q401" s="401"/>
      <c r="R401" s="401"/>
      <c r="S401" s="401"/>
      <c r="T401" s="401"/>
      <c r="U401" s="401"/>
      <c r="V401" s="401"/>
      <c r="W401" s="401"/>
      <c r="X401" s="401"/>
      <c r="Y401" s="401"/>
      <c r="Z401" s="401"/>
      <c r="AA401" s="401"/>
    </row>
    <row r="402">
      <c r="A402" s="401"/>
      <c r="B402" s="401"/>
      <c r="C402" s="401"/>
      <c r="D402" s="401"/>
      <c r="E402" s="399"/>
      <c r="F402" s="399"/>
      <c r="G402" s="399"/>
      <c r="H402" s="400"/>
      <c r="I402" s="401"/>
      <c r="J402" s="401"/>
      <c r="K402" s="401"/>
      <c r="L402" s="401"/>
      <c r="M402" s="401"/>
      <c r="N402" s="401"/>
      <c r="O402" s="401"/>
      <c r="P402" s="401"/>
      <c r="Q402" s="401"/>
      <c r="R402" s="401"/>
      <c r="S402" s="401"/>
      <c r="T402" s="401"/>
      <c r="U402" s="401"/>
      <c r="V402" s="401"/>
      <c r="W402" s="401"/>
      <c r="X402" s="401"/>
      <c r="Y402" s="401"/>
      <c r="Z402" s="401"/>
      <c r="AA402" s="401"/>
    </row>
    <row r="403">
      <c r="A403" s="401"/>
      <c r="B403" s="401"/>
      <c r="C403" s="401"/>
      <c r="D403" s="401"/>
      <c r="E403" s="399"/>
      <c r="F403" s="399"/>
      <c r="G403" s="399"/>
      <c r="H403" s="400"/>
      <c r="I403" s="401"/>
      <c r="J403" s="401"/>
      <c r="K403" s="401"/>
      <c r="L403" s="401"/>
      <c r="M403" s="401"/>
      <c r="N403" s="401"/>
      <c r="O403" s="401"/>
      <c r="P403" s="401"/>
      <c r="Q403" s="401"/>
      <c r="R403" s="401"/>
      <c r="S403" s="401"/>
      <c r="T403" s="401"/>
      <c r="U403" s="401"/>
      <c r="V403" s="401"/>
      <c r="W403" s="401"/>
      <c r="X403" s="401"/>
      <c r="Y403" s="401"/>
      <c r="Z403" s="401"/>
      <c r="AA403" s="401"/>
    </row>
    <row r="404">
      <c r="A404" s="401"/>
      <c r="B404" s="401"/>
      <c r="C404" s="401"/>
      <c r="D404" s="401"/>
      <c r="E404" s="399"/>
      <c r="F404" s="399"/>
      <c r="G404" s="399"/>
      <c r="H404" s="400"/>
      <c r="I404" s="401"/>
      <c r="J404" s="401"/>
      <c r="K404" s="401"/>
      <c r="L404" s="401"/>
      <c r="M404" s="401"/>
      <c r="N404" s="401"/>
      <c r="O404" s="401"/>
      <c r="P404" s="401"/>
      <c r="Q404" s="401"/>
      <c r="R404" s="401"/>
      <c r="S404" s="401"/>
      <c r="T404" s="401"/>
      <c r="U404" s="401"/>
      <c r="V404" s="401"/>
      <c r="W404" s="401"/>
      <c r="X404" s="401"/>
      <c r="Y404" s="401"/>
      <c r="Z404" s="401"/>
      <c r="AA404" s="401"/>
    </row>
    <row r="405">
      <c r="A405" s="401"/>
      <c r="B405" s="401"/>
      <c r="C405" s="401"/>
      <c r="D405" s="401"/>
      <c r="E405" s="399"/>
      <c r="F405" s="399"/>
      <c r="G405" s="399"/>
      <c r="H405" s="400"/>
      <c r="I405" s="401"/>
      <c r="J405" s="401"/>
      <c r="K405" s="401"/>
      <c r="L405" s="401"/>
      <c r="M405" s="401"/>
      <c r="N405" s="401"/>
      <c r="O405" s="401"/>
      <c r="P405" s="401"/>
      <c r="Q405" s="401"/>
      <c r="R405" s="401"/>
      <c r="S405" s="401"/>
      <c r="T405" s="401"/>
      <c r="U405" s="401"/>
      <c r="V405" s="401"/>
      <c r="W405" s="401"/>
      <c r="X405" s="401"/>
      <c r="Y405" s="401"/>
      <c r="Z405" s="401"/>
      <c r="AA405" s="401"/>
    </row>
    <row r="406">
      <c r="A406" s="401"/>
      <c r="B406" s="401"/>
      <c r="C406" s="401"/>
      <c r="D406" s="401"/>
      <c r="E406" s="399"/>
      <c r="F406" s="399"/>
      <c r="G406" s="399"/>
      <c r="H406" s="400"/>
      <c r="I406" s="401"/>
      <c r="J406" s="401"/>
      <c r="K406" s="401"/>
      <c r="L406" s="401"/>
      <c r="M406" s="401"/>
      <c r="N406" s="401"/>
      <c r="O406" s="401"/>
      <c r="P406" s="401"/>
      <c r="Q406" s="401"/>
      <c r="R406" s="401"/>
      <c r="S406" s="401"/>
      <c r="T406" s="401"/>
      <c r="U406" s="401"/>
      <c r="V406" s="401"/>
      <c r="W406" s="401"/>
      <c r="X406" s="401"/>
      <c r="Y406" s="401"/>
      <c r="Z406" s="401"/>
      <c r="AA406" s="401"/>
    </row>
    <row r="407">
      <c r="A407" s="401"/>
      <c r="B407" s="401"/>
      <c r="C407" s="401"/>
      <c r="D407" s="401"/>
      <c r="E407" s="399"/>
      <c r="F407" s="399"/>
      <c r="G407" s="399"/>
      <c r="H407" s="400"/>
      <c r="I407" s="401"/>
      <c r="J407" s="401"/>
      <c r="K407" s="401"/>
      <c r="L407" s="401"/>
      <c r="M407" s="401"/>
      <c r="N407" s="401"/>
      <c r="O407" s="401"/>
      <c r="P407" s="401"/>
      <c r="Q407" s="401"/>
      <c r="R407" s="401"/>
      <c r="S407" s="401"/>
      <c r="T407" s="401"/>
      <c r="U407" s="401"/>
      <c r="V407" s="401"/>
      <c r="W407" s="401"/>
      <c r="X407" s="401"/>
      <c r="Y407" s="401"/>
      <c r="Z407" s="401"/>
      <c r="AA407" s="401"/>
    </row>
    <row r="408">
      <c r="A408" s="401"/>
      <c r="B408" s="401"/>
      <c r="C408" s="401"/>
      <c r="D408" s="401"/>
      <c r="E408" s="399"/>
      <c r="F408" s="399"/>
      <c r="G408" s="399"/>
      <c r="H408" s="400"/>
      <c r="I408" s="401"/>
      <c r="J408" s="401"/>
      <c r="K408" s="401"/>
      <c r="L408" s="401"/>
      <c r="M408" s="401"/>
      <c r="N408" s="401"/>
      <c r="O408" s="401"/>
      <c r="P408" s="401"/>
      <c r="Q408" s="401"/>
      <c r="R408" s="401"/>
      <c r="S408" s="401"/>
      <c r="T408" s="401"/>
      <c r="U408" s="401"/>
      <c r="V408" s="401"/>
      <c r="W408" s="401"/>
      <c r="X408" s="401"/>
      <c r="Y408" s="401"/>
      <c r="Z408" s="401"/>
      <c r="AA408" s="401"/>
    </row>
    <row r="409">
      <c r="A409" s="401"/>
      <c r="B409" s="401"/>
      <c r="C409" s="401"/>
      <c r="D409" s="401"/>
      <c r="E409" s="399"/>
      <c r="F409" s="399"/>
      <c r="G409" s="399"/>
      <c r="H409" s="400"/>
      <c r="I409" s="401"/>
      <c r="J409" s="401"/>
      <c r="K409" s="401"/>
      <c r="L409" s="401"/>
      <c r="M409" s="401"/>
      <c r="N409" s="401"/>
      <c r="O409" s="401"/>
      <c r="P409" s="401"/>
      <c r="Q409" s="401"/>
      <c r="R409" s="401"/>
      <c r="S409" s="401"/>
      <c r="T409" s="401"/>
      <c r="U409" s="401"/>
      <c r="V409" s="401"/>
      <c r="W409" s="401"/>
      <c r="X409" s="401"/>
      <c r="Y409" s="401"/>
      <c r="Z409" s="401"/>
      <c r="AA409" s="401"/>
    </row>
    <row r="410">
      <c r="A410" s="401"/>
      <c r="B410" s="401"/>
      <c r="C410" s="401"/>
      <c r="D410" s="401"/>
      <c r="E410" s="399"/>
      <c r="F410" s="399"/>
      <c r="G410" s="399"/>
      <c r="H410" s="400"/>
      <c r="I410" s="401"/>
      <c r="J410" s="401"/>
      <c r="K410" s="401"/>
      <c r="L410" s="401"/>
      <c r="M410" s="401"/>
      <c r="N410" s="401"/>
      <c r="O410" s="401"/>
      <c r="P410" s="401"/>
      <c r="Q410" s="401"/>
      <c r="R410" s="401"/>
      <c r="S410" s="401"/>
      <c r="T410" s="401"/>
      <c r="U410" s="401"/>
      <c r="V410" s="401"/>
      <c r="W410" s="401"/>
      <c r="X410" s="401"/>
      <c r="Y410" s="401"/>
      <c r="Z410" s="401"/>
      <c r="AA410" s="401"/>
    </row>
    <row r="411">
      <c r="A411" s="401"/>
      <c r="B411" s="401"/>
      <c r="C411" s="401"/>
      <c r="D411" s="401"/>
      <c r="E411" s="399"/>
      <c r="F411" s="399"/>
      <c r="G411" s="399"/>
      <c r="H411" s="400"/>
      <c r="I411" s="401"/>
      <c r="J411" s="401"/>
      <c r="K411" s="401"/>
      <c r="L411" s="401"/>
      <c r="M411" s="401"/>
      <c r="N411" s="401"/>
      <c r="O411" s="401"/>
      <c r="P411" s="401"/>
      <c r="Q411" s="401"/>
      <c r="R411" s="401"/>
      <c r="S411" s="401"/>
      <c r="T411" s="401"/>
      <c r="U411" s="401"/>
      <c r="V411" s="401"/>
      <c r="W411" s="401"/>
      <c r="X411" s="401"/>
      <c r="Y411" s="401"/>
      <c r="Z411" s="401"/>
      <c r="AA411" s="401"/>
    </row>
    <row r="412">
      <c r="A412" s="401"/>
      <c r="B412" s="401"/>
      <c r="C412" s="401"/>
      <c r="D412" s="401"/>
      <c r="E412" s="399"/>
      <c r="F412" s="399"/>
      <c r="G412" s="399"/>
      <c r="H412" s="400"/>
      <c r="I412" s="401"/>
      <c r="J412" s="401"/>
      <c r="K412" s="401"/>
      <c r="L412" s="401"/>
      <c r="M412" s="401"/>
      <c r="N412" s="401"/>
      <c r="O412" s="401"/>
      <c r="P412" s="401"/>
      <c r="Q412" s="401"/>
      <c r="R412" s="401"/>
      <c r="S412" s="401"/>
      <c r="T412" s="401"/>
      <c r="U412" s="401"/>
      <c r="V412" s="401"/>
      <c r="W412" s="401"/>
      <c r="X412" s="401"/>
      <c r="Y412" s="401"/>
      <c r="Z412" s="401"/>
      <c r="AA412" s="401"/>
    </row>
    <row r="413">
      <c r="A413" s="401"/>
      <c r="B413" s="401"/>
      <c r="C413" s="401"/>
      <c r="D413" s="401"/>
      <c r="E413" s="399"/>
      <c r="F413" s="399"/>
      <c r="G413" s="399"/>
      <c r="H413" s="400"/>
      <c r="I413" s="401"/>
      <c r="J413" s="401"/>
      <c r="K413" s="401"/>
      <c r="L413" s="401"/>
      <c r="M413" s="401"/>
      <c r="N413" s="401"/>
      <c r="O413" s="401"/>
      <c r="P413" s="401"/>
      <c r="Q413" s="401"/>
      <c r="R413" s="401"/>
      <c r="S413" s="401"/>
      <c r="T413" s="401"/>
      <c r="U413" s="401"/>
      <c r="V413" s="401"/>
      <c r="W413" s="401"/>
      <c r="X413" s="401"/>
      <c r="Y413" s="401"/>
      <c r="Z413" s="401"/>
      <c r="AA413" s="401"/>
    </row>
    <row r="414">
      <c r="A414" s="401"/>
      <c r="B414" s="401"/>
      <c r="C414" s="401"/>
      <c r="D414" s="401"/>
      <c r="E414" s="399"/>
      <c r="F414" s="399"/>
      <c r="G414" s="399"/>
      <c r="H414" s="400"/>
      <c r="I414" s="401"/>
      <c r="J414" s="401"/>
      <c r="K414" s="401"/>
      <c r="L414" s="401"/>
      <c r="M414" s="401"/>
      <c r="N414" s="401"/>
      <c r="O414" s="401"/>
      <c r="P414" s="401"/>
      <c r="Q414" s="401"/>
      <c r="R414" s="401"/>
      <c r="S414" s="401"/>
      <c r="T414" s="401"/>
      <c r="U414" s="401"/>
      <c r="V414" s="401"/>
      <c r="W414" s="401"/>
      <c r="X414" s="401"/>
      <c r="Y414" s="401"/>
      <c r="Z414" s="401"/>
      <c r="AA414" s="401"/>
    </row>
    <row r="415">
      <c r="A415" s="401"/>
      <c r="B415" s="401"/>
      <c r="C415" s="401"/>
      <c r="D415" s="401"/>
      <c r="E415" s="399"/>
      <c r="F415" s="399"/>
      <c r="G415" s="399"/>
      <c r="H415" s="400"/>
      <c r="I415" s="401"/>
      <c r="J415" s="401"/>
      <c r="K415" s="401"/>
      <c r="L415" s="401"/>
      <c r="M415" s="401"/>
      <c r="N415" s="401"/>
      <c r="O415" s="401"/>
      <c r="P415" s="401"/>
      <c r="Q415" s="401"/>
      <c r="R415" s="401"/>
      <c r="S415" s="401"/>
      <c r="T415" s="401"/>
      <c r="U415" s="401"/>
      <c r="V415" s="401"/>
      <c r="W415" s="401"/>
      <c r="X415" s="401"/>
      <c r="Y415" s="401"/>
      <c r="Z415" s="401"/>
      <c r="AA415" s="401"/>
    </row>
    <row r="416">
      <c r="A416" s="401"/>
      <c r="B416" s="401"/>
      <c r="C416" s="401"/>
      <c r="D416" s="401"/>
      <c r="E416" s="399"/>
      <c r="F416" s="399"/>
      <c r="G416" s="399"/>
      <c r="H416" s="400"/>
      <c r="I416" s="401"/>
      <c r="J416" s="401"/>
      <c r="K416" s="401"/>
      <c r="L416" s="401"/>
      <c r="M416" s="401"/>
      <c r="N416" s="401"/>
      <c r="O416" s="401"/>
      <c r="P416" s="401"/>
      <c r="Q416" s="401"/>
      <c r="R416" s="401"/>
      <c r="S416" s="401"/>
      <c r="T416" s="401"/>
      <c r="U416" s="401"/>
      <c r="V416" s="401"/>
      <c r="W416" s="401"/>
      <c r="X416" s="401"/>
      <c r="Y416" s="401"/>
      <c r="Z416" s="401"/>
      <c r="AA416" s="401"/>
    </row>
    <row r="417">
      <c r="A417" s="401"/>
      <c r="B417" s="401"/>
      <c r="C417" s="401"/>
      <c r="D417" s="401"/>
      <c r="E417" s="399"/>
      <c r="F417" s="399"/>
      <c r="G417" s="399"/>
      <c r="H417" s="400"/>
      <c r="I417" s="401"/>
      <c r="J417" s="401"/>
      <c r="K417" s="401"/>
      <c r="L417" s="401"/>
      <c r="M417" s="401"/>
      <c r="N417" s="401"/>
      <c r="O417" s="401"/>
      <c r="P417" s="401"/>
      <c r="Q417" s="401"/>
      <c r="R417" s="401"/>
      <c r="S417" s="401"/>
      <c r="T417" s="401"/>
      <c r="U417" s="401"/>
      <c r="V417" s="401"/>
      <c r="W417" s="401"/>
      <c r="X417" s="401"/>
      <c r="Y417" s="401"/>
      <c r="Z417" s="401"/>
      <c r="AA417" s="401"/>
    </row>
    <row r="418">
      <c r="A418" s="401"/>
      <c r="B418" s="401"/>
      <c r="C418" s="401"/>
      <c r="D418" s="401"/>
      <c r="E418" s="399"/>
      <c r="F418" s="399"/>
      <c r="G418" s="399"/>
      <c r="H418" s="400"/>
      <c r="I418" s="401"/>
      <c r="J418" s="401"/>
      <c r="K418" s="401"/>
      <c r="L418" s="401"/>
      <c r="M418" s="401"/>
      <c r="N418" s="401"/>
      <c r="O418" s="401"/>
      <c r="P418" s="401"/>
      <c r="Q418" s="401"/>
      <c r="R418" s="401"/>
      <c r="S418" s="401"/>
      <c r="T418" s="401"/>
      <c r="U418" s="401"/>
      <c r="V418" s="401"/>
      <c r="W418" s="401"/>
      <c r="X418" s="401"/>
      <c r="Y418" s="401"/>
      <c r="Z418" s="401"/>
      <c r="AA418" s="401"/>
    </row>
    <row r="419">
      <c r="A419" s="401"/>
      <c r="B419" s="401"/>
      <c r="C419" s="401"/>
      <c r="D419" s="401"/>
      <c r="E419" s="399"/>
      <c r="F419" s="399"/>
      <c r="G419" s="399"/>
      <c r="H419" s="400"/>
      <c r="I419" s="401"/>
      <c r="J419" s="401"/>
      <c r="K419" s="401"/>
      <c r="L419" s="401"/>
      <c r="M419" s="401"/>
      <c r="N419" s="401"/>
      <c r="O419" s="401"/>
      <c r="P419" s="401"/>
      <c r="Q419" s="401"/>
      <c r="R419" s="401"/>
      <c r="S419" s="401"/>
      <c r="T419" s="401"/>
      <c r="U419" s="401"/>
      <c r="V419" s="401"/>
      <c r="W419" s="401"/>
      <c r="X419" s="401"/>
      <c r="Y419" s="401"/>
      <c r="Z419" s="401"/>
      <c r="AA419" s="401"/>
    </row>
    <row r="420">
      <c r="A420" s="401"/>
      <c r="B420" s="401"/>
      <c r="C420" s="401"/>
      <c r="D420" s="401"/>
      <c r="E420" s="399"/>
      <c r="F420" s="399"/>
      <c r="G420" s="399"/>
      <c r="H420" s="400"/>
      <c r="I420" s="401"/>
      <c r="J420" s="401"/>
      <c r="K420" s="401"/>
      <c r="L420" s="401"/>
      <c r="M420" s="401"/>
      <c r="N420" s="401"/>
      <c r="O420" s="401"/>
      <c r="P420" s="401"/>
      <c r="Q420" s="401"/>
      <c r="R420" s="401"/>
      <c r="S420" s="401"/>
      <c r="T420" s="401"/>
      <c r="U420" s="401"/>
      <c r="V420" s="401"/>
      <c r="W420" s="401"/>
      <c r="X420" s="401"/>
      <c r="Y420" s="401"/>
      <c r="Z420" s="401"/>
      <c r="AA420" s="401"/>
    </row>
    <row r="421">
      <c r="A421" s="401"/>
      <c r="B421" s="401"/>
      <c r="C421" s="401"/>
      <c r="D421" s="401"/>
      <c r="E421" s="399"/>
      <c r="F421" s="399"/>
      <c r="G421" s="399"/>
      <c r="H421" s="400"/>
      <c r="I421" s="401"/>
      <c r="J421" s="401"/>
      <c r="K421" s="401"/>
      <c r="L421" s="401"/>
      <c r="M421" s="401"/>
      <c r="N421" s="401"/>
      <c r="O421" s="401"/>
      <c r="P421" s="401"/>
      <c r="Q421" s="401"/>
      <c r="R421" s="401"/>
      <c r="S421" s="401"/>
      <c r="T421" s="401"/>
      <c r="U421" s="401"/>
      <c r="V421" s="401"/>
      <c r="W421" s="401"/>
      <c r="X421" s="401"/>
      <c r="Y421" s="401"/>
      <c r="Z421" s="401"/>
      <c r="AA421" s="401"/>
    </row>
    <row r="422">
      <c r="A422" s="401"/>
      <c r="B422" s="401"/>
      <c r="C422" s="401"/>
      <c r="D422" s="401"/>
      <c r="E422" s="399"/>
      <c r="F422" s="399"/>
      <c r="G422" s="399"/>
      <c r="H422" s="400"/>
      <c r="I422" s="401"/>
      <c r="J422" s="401"/>
      <c r="K422" s="401"/>
      <c r="L422" s="401"/>
      <c r="M422" s="401"/>
      <c r="N422" s="401"/>
      <c r="O422" s="401"/>
      <c r="P422" s="401"/>
      <c r="Q422" s="401"/>
      <c r="R422" s="401"/>
      <c r="S422" s="401"/>
      <c r="T422" s="401"/>
      <c r="U422" s="401"/>
      <c r="V422" s="401"/>
      <c r="W422" s="401"/>
      <c r="X422" s="401"/>
      <c r="Y422" s="401"/>
      <c r="Z422" s="401"/>
      <c r="AA422" s="401"/>
    </row>
    <row r="423">
      <c r="A423" s="401"/>
      <c r="B423" s="401"/>
      <c r="C423" s="401"/>
      <c r="D423" s="401"/>
      <c r="E423" s="399"/>
      <c r="F423" s="399"/>
      <c r="G423" s="399"/>
      <c r="H423" s="400"/>
      <c r="I423" s="401"/>
      <c r="J423" s="401"/>
      <c r="K423" s="401"/>
      <c r="L423" s="401"/>
      <c r="M423" s="401"/>
      <c r="N423" s="401"/>
      <c r="O423" s="401"/>
      <c r="P423" s="401"/>
      <c r="Q423" s="401"/>
      <c r="R423" s="401"/>
      <c r="S423" s="401"/>
      <c r="T423" s="401"/>
      <c r="U423" s="401"/>
      <c r="V423" s="401"/>
      <c r="W423" s="401"/>
      <c r="X423" s="401"/>
      <c r="Y423" s="401"/>
      <c r="Z423" s="401"/>
      <c r="AA423" s="401"/>
    </row>
    <row r="424">
      <c r="A424" s="401"/>
      <c r="B424" s="401"/>
      <c r="C424" s="401"/>
      <c r="D424" s="401"/>
      <c r="E424" s="399"/>
      <c r="F424" s="399"/>
      <c r="G424" s="399"/>
      <c r="H424" s="400"/>
      <c r="I424" s="401"/>
      <c r="J424" s="401"/>
      <c r="K424" s="401"/>
      <c r="L424" s="401"/>
      <c r="M424" s="401"/>
      <c r="N424" s="401"/>
      <c r="O424" s="401"/>
      <c r="P424" s="401"/>
      <c r="Q424" s="401"/>
      <c r="R424" s="401"/>
      <c r="S424" s="401"/>
      <c r="T424" s="401"/>
      <c r="U424" s="401"/>
      <c r="V424" s="401"/>
      <c r="W424" s="401"/>
      <c r="X424" s="401"/>
      <c r="Y424" s="401"/>
      <c r="Z424" s="401"/>
      <c r="AA424" s="401"/>
    </row>
    <row r="425">
      <c r="A425" s="401"/>
      <c r="B425" s="401"/>
      <c r="C425" s="401"/>
      <c r="D425" s="401"/>
      <c r="E425" s="399"/>
      <c r="F425" s="399"/>
      <c r="G425" s="399"/>
      <c r="H425" s="400"/>
      <c r="I425" s="401"/>
      <c r="J425" s="401"/>
      <c r="K425" s="401"/>
      <c r="L425" s="401"/>
      <c r="M425" s="401"/>
      <c r="N425" s="401"/>
      <c r="O425" s="401"/>
      <c r="P425" s="401"/>
      <c r="Q425" s="401"/>
      <c r="R425" s="401"/>
      <c r="S425" s="401"/>
      <c r="T425" s="401"/>
      <c r="U425" s="401"/>
      <c r="V425" s="401"/>
      <c r="W425" s="401"/>
      <c r="X425" s="401"/>
      <c r="Y425" s="401"/>
      <c r="Z425" s="401"/>
      <c r="AA425" s="401"/>
    </row>
    <row r="426">
      <c r="A426" s="401"/>
      <c r="B426" s="401"/>
      <c r="C426" s="401"/>
      <c r="D426" s="401"/>
      <c r="E426" s="399"/>
      <c r="F426" s="399"/>
      <c r="G426" s="399"/>
      <c r="H426" s="400"/>
      <c r="I426" s="401"/>
      <c r="J426" s="401"/>
      <c r="K426" s="401"/>
      <c r="L426" s="401"/>
      <c r="M426" s="401"/>
      <c r="N426" s="401"/>
      <c r="O426" s="401"/>
      <c r="P426" s="401"/>
      <c r="Q426" s="401"/>
      <c r="R426" s="401"/>
      <c r="S426" s="401"/>
      <c r="T426" s="401"/>
      <c r="U426" s="401"/>
      <c r="V426" s="401"/>
      <c r="W426" s="401"/>
      <c r="X426" s="401"/>
      <c r="Y426" s="401"/>
      <c r="Z426" s="401"/>
      <c r="AA426" s="401"/>
    </row>
    <row r="427">
      <c r="A427" s="401"/>
      <c r="B427" s="401"/>
      <c r="C427" s="401"/>
      <c r="D427" s="401"/>
      <c r="E427" s="399"/>
      <c r="F427" s="399"/>
      <c r="G427" s="399"/>
      <c r="H427" s="400"/>
      <c r="I427" s="401"/>
      <c r="J427" s="401"/>
      <c r="K427" s="401"/>
      <c r="L427" s="401"/>
      <c r="M427" s="401"/>
      <c r="N427" s="401"/>
      <c r="O427" s="401"/>
      <c r="P427" s="401"/>
      <c r="Q427" s="401"/>
      <c r="R427" s="401"/>
      <c r="S427" s="401"/>
      <c r="T427" s="401"/>
      <c r="U427" s="401"/>
      <c r="V427" s="401"/>
      <c r="W427" s="401"/>
      <c r="X427" s="401"/>
      <c r="Y427" s="401"/>
      <c r="Z427" s="401"/>
      <c r="AA427" s="401"/>
    </row>
    <row r="428">
      <c r="A428" s="401"/>
      <c r="B428" s="401"/>
      <c r="C428" s="401"/>
      <c r="D428" s="401"/>
      <c r="E428" s="399"/>
      <c r="F428" s="399"/>
      <c r="G428" s="399"/>
      <c r="H428" s="400"/>
      <c r="I428" s="401"/>
      <c r="J428" s="401"/>
      <c r="K428" s="401"/>
      <c r="L428" s="401"/>
      <c r="M428" s="401"/>
      <c r="N428" s="401"/>
      <c r="O428" s="401"/>
      <c r="P428" s="401"/>
      <c r="Q428" s="401"/>
      <c r="R428" s="401"/>
      <c r="S428" s="401"/>
      <c r="T428" s="401"/>
      <c r="U428" s="401"/>
      <c r="V428" s="401"/>
      <c r="W428" s="401"/>
      <c r="X428" s="401"/>
      <c r="Y428" s="401"/>
      <c r="Z428" s="401"/>
      <c r="AA428" s="401"/>
    </row>
    <row r="429">
      <c r="A429" s="401"/>
      <c r="B429" s="401"/>
      <c r="C429" s="401"/>
      <c r="D429" s="401"/>
      <c r="E429" s="399"/>
      <c r="F429" s="399"/>
      <c r="G429" s="399"/>
      <c r="H429" s="400"/>
      <c r="I429" s="401"/>
      <c r="J429" s="401"/>
      <c r="K429" s="401"/>
      <c r="L429" s="401"/>
      <c r="M429" s="401"/>
      <c r="N429" s="401"/>
      <c r="O429" s="401"/>
      <c r="P429" s="401"/>
      <c r="Q429" s="401"/>
      <c r="R429" s="401"/>
      <c r="S429" s="401"/>
      <c r="T429" s="401"/>
      <c r="U429" s="401"/>
      <c r="V429" s="401"/>
      <c r="W429" s="401"/>
      <c r="X429" s="401"/>
      <c r="Y429" s="401"/>
      <c r="Z429" s="401"/>
      <c r="AA429" s="401"/>
    </row>
    <row r="430">
      <c r="A430" s="401"/>
      <c r="B430" s="401"/>
      <c r="C430" s="401"/>
      <c r="D430" s="401"/>
      <c r="E430" s="399"/>
      <c r="F430" s="399"/>
      <c r="G430" s="399"/>
      <c r="H430" s="400"/>
      <c r="I430" s="401"/>
      <c r="J430" s="401"/>
      <c r="K430" s="401"/>
      <c r="L430" s="401"/>
      <c r="M430" s="401"/>
      <c r="N430" s="401"/>
      <c r="O430" s="401"/>
      <c r="P430" s="401"/>
      <c r="Q430" s="401"/>
      <c r="R430" s="401"/>
      <c r="S430" s="401"/>
      <c r="T430" s="401"/>
      <c r="U430" s="401"/>
      <c r="V430" s="401"/>
      <c r="W430" s="401"/>
      <c r="X430" s="401"/>
      <c r="Y430" s="401"/>
      <c r="Z430" s="401"/>
      <c r="AA430" s="401"/>
    </row>
    <row r="431">
      <c r="A431" s="401"/>
      <c r="B431" s="401"/>
      <c r="C431" s="401"/>
      <c r="D431" s="401"/>
      <c r="E431" s="399"/>
      <c r="F431" s="399"/>
      <c r="G431" s="399"/>
      <c r="H431" s="400"/>
      <c r="I431" s="401"/>
      <c r="J431" s="401"/>
      <c r="K431" s="401"/>
      <c r="L431" s="401"/>
      <c r="M431" s="401"/>
      <c r="N431" s="401"/>
      <c r="O431" s="401"/>
      <c r="P431" s="401"/>
      <c r="Q431" s="401"/>
      <c r="R431" s="401"/>
      <c r="S431" s="401"/>
      <c r="T431" s="401"/>
      <c r="U431" s="401"/>
      <c r="V431" s="401"/>
      <c r="W431" s="401"/>
      <c r="X431" s="401"/>
      <c r="Y431" s="401"/>
      <c r="Z431" s="401"/>
      <c r="AA431" s="401"/>
    </row>
    <row r="432">
      <c r="A432" s="401"/>
      <c r="B432" s="401"/>
      <c r="C432" s="401"/>
      <c r="D432" s="401"/>
      <c r="E432" s="399"/>
      <c r="F432" s="399"/>
      <c r="G432" s="399"/>
      <c r="H432" s="400"/>
      <c r="I432" s="401"/>
      <c r="J432" s="401"/>
      <c r="K432" s="401"/>
      <c r="L432" s="401"/>
      <c r="M432" s="401"/>
      <c r="N432" s="401"/>
      <c r="O432" s="401"/>
      <c r="P432" s="401"/>
      <c r="Q432" s="401"/>
      <c r="R432" s="401"/>
      <c r="S432" s="401"/>
      <c r="T432" s="401"/>
      <c r="U432" s="401"/>
      <c r="V432" s="401"/>
      <c r="W432" s="401"/>
      <c r="X432" s="401"/>
      <c r="Y432" s="401"/>
      <c r="Z432" s="401"/>
      <c r="AA432" s="401"/>
    </row>
    <row r="433">
      <c r="A433" s="401"/>
      <c r="B433" s="401"/>
      <c r="C433" s="401"/>
      <c r="D433" s="401"/>
      <c r="E433" s="399"/>
      <c r="F433" s="399"/>
      <c r="G433" s="399"/>
      <c r="H433" s="400"/>
      <c r="I433" s="401"/>
      <c r="J433" s="401"/>
      <c r="K433" s="401"/>
      <c r="L433" s="401"/>
      <c r="M433" s="401"/>
      <c r="N433" s="401"/>
      <c r="O433" s="401"/>
      <c r="P433" s="401"/>
      <c r="Q433" s="401"/>
      <c r="R433" s="401"/>
      <c r="S433" s="401"/>
      <c r="T433" s="401"/>
      <c r="U433" s="401"/>
      <c r="V433" s="401"/>
      <c r="W433" s="401"/>
      <c r="X433" s="401"/>
      <c r="Y433" s="401"/>
      <c r="Z433" s="401"/>
      <c r="AA433" s="401"/>
    </row>
    <row r="434">
      <c r="A434" s="401"/>
      <c r="B434" s="401"/>
      <c r="C434" s="401"/>
      <c r="D434" s="401"/>
      <c r="E434" s="399"/>
      <c r="F434" s="399"/>
      <c r="G434" s="399"/>
      <c r="H434" s="400"/>
      <c r="I434" s="401"/>
      <c r="J434" s="401"/>
      <c r="K434" s="401"/>
      <c r="L434" s="401"/>
      <c r="M434" s="401"/>
      <c r="N434" s="401"/>
      <c r="O434" s="401"/>
      <c r="P434" s="401"/>
      <c r="Q434" s="401"/>
      <c r="R434" s="401"/>
      <c r="S434" s="401"/>
      <c r="T434" s="401"/>
      <c r="U434" s="401"/>
      <c r="V434" s="401"/>
      <c r="W434" s="401"/>
      <c r="X434" s="401"/>
      <c r="Y434" s="401"/>
      <c r="Z434" s="401"/>
      <c r="AA434" s="401"/>
    </row>
    <row r="435">
      <c r="A435" s="401"/>
      <c r="B435" s="401"/>
      <c r="C435" s="401"/>
      <c r="D435" s="401"/>
      <c r="E435" s="399"/>
      <c r="F435" s="399"/>
      <c r="G435" s="399"/>
      <c r="H435" s="400"/>
      <c r="I435" s="401"/>
      <c r="J435" s="401"/>
      <c r="K435" s="401"/>
      <c r="L435" s="401"/>
      <c r="M435" s="401"/>
      <c r="N435" s="401"/>
      <c r="O435" s="401"/>
      <c r="P435" s="401"/>
      <c r="Q435" s="401"/>
      <c r="R435" s="401"/>
      <c r="S435" s="401"/>
      <c r="T435" s="401"/>
      <c r="U435" s="401"/>
      <c r="V435" s="401"/>
      <c r="W435" s="401"/>
      <c r="X435" s="401"/>
      <c r="Y435" s="401"/>
      <c r="Z435" s="401"/>
      <c r="AA435" s="401"/>
    </row>
    <row r="436">
      <c r="A436" s="401"/>
      <c r="B436" s="401"/>
      <c r="C436" s="401"/>
      <c r="D436" s="401"/>
      <c r="E436" s="399"/>
      <c r="F436" s="399"/>
      <c r="G436" s="399"/>
      <c r="H436" s="400"/>
      <c r="I436" s="401"/>
      <c r="J436" s="401"/>
      <c r="K436" s="401"/>
      <c r="L436" s="401"/>
      <c r="M436" s="401"/>
      <c r="N436" s="401"/>
      <c r="O436" s="401"/>
      <c r="P436" s="401"/>
      <c r="Q436" s="401"/>
      <c r="R436" s="401"/>
      <c r="S436" s="401"/>
      <c r="T436" s="401"/>
      <c r="U436" s="401"/>
      <c r="V436" s="401"/>
      <c r="W436" s="401"/>
      <c r="X436" s="401"/>
      <c r="Y436" s="401"/>
      <c r="Z436" s="401"/>
      <c r="AA436" s="401"/>
    </row>
    <row r="437">
      <c r="A437" s="401"/>
      <c r="B437" s="401"/>
      <c r="C437" s="401"/>
      <c r="D437" s="401"/>
      <c r="E437" s="399"/>
      <c r="F437" s="399"/>
      <c r="G437" s="399"/>
      <c r="H437" s="400"/>
      <c r="I437" s="401"/>
      <c r="J437" s="401"/>
      <c r="K437" s="401"/>
      <c r="L437" s="401"/>
      <c r="M437" s="401"/>
      <c r="N437" s="401"/>
      <c r="O437" s="401"/>
      <c r="P437" s="401"/>
      <c r="Q437" s="401"/>
      <c r="R437" s="401"/>
      <c r="S437" s="401"/>
      <c r="T437" s="401"/>
      <c r="U437" s="401"/>
      <c r="V437" s="401"/>
      <c r="W437" s="401"/>
      <c r="X437" s="401"/>
      <c r="Y437" s="401"/>
      <c r="Z437" s="401"/>
      <c r="AA437" s="401"/>
    </row>
    <row r="438">
      <c r="A438" s="401"/>
      <c r="B438" s="401"/>
      <c r="C438" s="401"/>
      <c r="D438" s="401"/>
      <c r="E438" s="399"/>
      <c r="F438" s="399"/>
      <c r="G438" s="399"/>
      <c r="H438" s="400"/>
      <c r="I438" s="401"/>
      <c r="J438" s="401"/>
      <c r="K438" s="401"/>
      <c r="L438" s="401"/>
      <c r="M438" s="401"/>
      <c r="N438" s="401"/>
      <c r="O438" s="401"/>
      <c r="P438" s="401"/>
      <c r="Q438" s="401"/>
      <c r="R438" s="401"/>
      <c r="S438" s="401"/>
      <c r="T438" s="401"/>
      <c r="U438" s="401"/>
      <c r="V438" s="401"/>
      <c r="W438" s="401"/>
      <c r="X438" s="401"/>
      <c r="Y438" s="401"/>
      <c r="Z438" s="401"/>
      <c r="AA438" s="401"/>
    </row>
    <row r="439">
      <c r="A439" s="401"/>
      <c r="B439" s="401"/>
      <c r="C439" s="401"/>
      <c r="D439" s="401"/>
      <c r="E439" s="399"/>
      <c r="F439" s="399"/>
      <c r="G439" s="399"/>
      <c r="H439" s="400"/>
      <c r="I439" s="401"/>
      <c r="J439" s="401"/>
      <c r="K439" s="401"/>
      <c r="L439" s="401"/>
      <c r="M439" s="401"/>
      <c r="N439" s="401"/>
      <c r="O439" s="401"/>
      <c r="P439" s="401"/>
      <c r="Q439" s="401"/>
      <c r="R439" s="401"/>
      <c r="S439" s="401"/>
      <c r="T439" s="401"/>
      <c r="U439" s="401"/>
      <c r="V439" s="401"/>
      <c r="W439" s="401"/>
      <c r="X439" s="401"/>
      <c r="Y439" s="401"/>
      <c r="Z439" s="401"/>
      <c r="AA439" s="401"/>
    </row>
    <row r="440">
      <c r="A440" s="401"/>
      <c r="B440" s="401"/>
      <c r="C440" s="401"/>
      <c r="D440" s="401"/>
      <c r="E440" s="399"/>
      <c r="F440" s="399"/>
      <c r="G440" s="399"/>
      <c r="H440" s="400"/>
      <c r="I440" s="401"/>
      <c r="J440" s="401"/>
      <c r="K440" s="401"/>
      <c r="L440" s="401"/>
      <c r="M440" s="401"/>
      <c r="N440" s="401"/>
      <c r="O440" s="401"/>
      <c r="P440" s="401"/>
      <c r="Q440" s="401"/>
      <c r="R440" s="401"/>
      <c r="S440" s="401"/>
      <c r="T440" s="401"/>
      <c r="U440" s="401"/>
      <c r="V440" s="401"/>
      <c r="W440" s="401"/>
      <c r="X440" s="401"/>
      <c r="Y440" s="401"/>
      <c r="Z440" s="401"/>
      <c r="AA440" s="401"/>
    </row>
    <row r="441">
      <c r="A441" s="401"/>
      <c r="B441" s="401"/>
      <c r="C441" s="401"/>
      <c r="D441" s="401"/>
      <c r="E441" s="399"/>
      <c r="F441" s="399"/>
      <c r="G441" s="399"/>
      <c r="H441" s="400"/>
      <c r="I441" s="401"/>
      <c r="J441" s="401"/>
      <c r="K441" s="401"/>
      <c r="L441" s="401"/>
      <c r="M441" s="401"/>
      <c r="N441" s="401"/>
      <c r="O441" s="401"/>
      <c r="P441" s="401"/>
      <c r="Q441" s="401"/>
      <c r="R441" s="401"/>
      <c r="S441" s="401"/>
      <c r="T441" s="401"/>
      <c r="U441" s="401"/>
      <c r="V441" s="401"/>
      <c r="W441" s="401"/>
      <c r="X441" s="401"/>
      <c r="Y441" s="401"/>
      <c r="Z441" s="401"/>
      <c r="AA441" s="401"/>
    </row>
    <row r="442">
      <c r="A442" s="401"/>
      <c r="B442" s="401"/>
      <c r="C442" s="401"/>
      <c r="D442" s="401"/>
      <c r="E442" s="399"/>
      <c r="F442" s="399"/>
      <c r="G442" s="399"/>
      <c r="H442" s="400"/>
      <c r="I442" s="401"/>
      <c r="J442" s="401"/>
      <c r="K442" s="401"/>
      <c r="L442" s="401"/>
      <c r="M442" s="401"/>
      <c r="N442" s="401"/>
      <c r="O442" s="401"/>
      <c r="P442" s="401"/>
      <c r="Q442" s="401"/>
      <c r="R442" s="401"/>
      <c r="S442" s="401"/>
      <c r="T442" s="401"/>
      <c r="U442" s="401"/>
      <c r="V442" s="401"/>
      <c r="W442" s="401"/>
      <c r="X442" s="401"/>
      <c r="Y442" s="401"/>
      <c r="Z442" s="401"/>
      <c r="AA442" s="401"/>
    </row>
    <row r="443">
      <c r="A443" s="401"/>
      <c r="B443" s="401"/>
      <c r="C443" s="401"/>
      <c r="D443" s="401"/>
      <c r="E443" s="399"/>
      <c r="F443" s="399"/>
      <c r="G443" s="399"/>
      <c r="H443" s="400"/>
      <c r="I443" s="401"/>
      <c r="J443" s="401"/>
      <c r="K443" s="401"/>
      <c r="L443" s="401"/>
      <c r="M443" s="401"/>
      <c r="N443" s="401"/>
      <c r="O443" s="401"/>
      <c r="P443" s="401"/>
      <c r="Q443" s="401"/>
      <c r="R443" s="401"/>
      <c r="S443" s="401"/>
      <c r="T443" s="401"/>
      <c r="U443" s="401"/>
      <c r="V443" s="401"/>
      <c r="W443" s="401"/>
      <c r="X443" s="401"/>
      <c r="Y443" s="401"/>
      <c r="Z443" s="401"/>
      <c r="AA443" s="401"/>
    </row>
    <row r="444">
      <c r="A444" s="401"/>
      <c r="B444" s="401"/>
      <c r="C444" s="401"/>
      <c r="D444" s="401"/>
      <c r="E444" s="399"/>
      <c r="F444" s="399"/>
      <c r="G444" s="399"/>
      <c r="H444" s="400"/>
      <c r="I444" s="401"/>
      <c r="J444" s="401"/>
      <c r="K444" s="401"/>
      <c r="L444" s="401"/>
      <c r="M444" s="401"/>
      <c r="N444" s="401"/>
      <c r="O444" s="401"/>
      <c r="P444" s="401"/>
      <c r="Q444" s="401"/>
      <c r="R444" s="401"/>
      <c r="S444" s="401"/>
      <c r="T444" s="401"/>
      <c r="U444" s="401"/>
      <c r="V444" s="401"/>
      <c r="W444" s="401"/>
      <c r="X444" s="401"/>
      <c r="Y444" s="401"/>
      <c r="Z444" s="401"/>
      <c r="AA444" s="401"/>
    </row>
    <row r="445">
      <c r="A445" s="401"/>
      <c r="B445" s="401"/>
      <c r="C445" s="401"/>
      <c r="D445" s="401"/>
      <c r="E445" s="399"/>
      <c r="F445" s="399"/>
      <c r="G445" s="399"/>
      <c r="H445" s="400"/>
      <c r="I445" s="401"/>
      <c r="J445" s="401"/>
      <c r="K445" s="401"/>
      <c r="L445" s="401"/>
      <c r="M445" s="401"/>
      <c r="N445" s="401"/>
      <c r="O445" s="401"/>
      <c r="P445" s="401"/>
      <c r="Q445" s="401"/>
      <c r="R445" s="401"/>
      <c r="S445" s="401"/>
      <c r="T445" s="401"/>
      <c r="U445" s="401"/>
      <c r="V445" s="401"/>
      <c r="W445" s="401"/>
      <c r="X445" s="401"/>
      <c r="Y445" s="401"/>
      <c r="Z445" s="401"/>
      <c r="AA445" s="401"/>
    </row>
    <row r="446">
      <c r="A446" s="401"/>
      <c r="B446" s="401"/>
      <c r="C446" s="401"/>
      <c r="D446" s="401"/>
      <c r="E446" s="399"/>
      <c r="F446" s="399"/>
      <c r="G446" s="399"/>
      <c r="H446" s="400"/>
      <c r="I446" s="401"/>
      <c r="J446" s="401"/>
      <c r="K446" s="401"/>
      <c r="L446" s="401"/>
      <c r="M446" s="401"/>
      <c r="N446" s="401"/>
      <c r="O446" s="401"/>
      <c r="P446" s="401"/>
      <c r="Q446" s="401"/>
      <c r="R446" s="401"/>
      <c r="S446" s="401"/>
      <c r="T446" s="401"/>
      <c r="U446" s="401"/>
      <c r="V446" s="401"/>
      <c r="W446" s="401"/>
      <c r="X446" s="401"/>
      <c r="Y446" s="401"/>
      <c r="Z446" s="401"/>
      <c r="AA446" s="401"/>
    </row>
    <row r="447">
      <c r="A447" s="401"/>
      <c r="B447" s="401"/>
      <c r="C447" s="401"/>
      <c r="D447" s="401"/>
      <c r="E447" s="399"/>
      <c r="F447" s="399"/>
      <c r="G447" s="399"/>
      <c r="H447" s="400"/>
      <c r="I447" s="401"/>
      <c r="J447" s="401"/>
      <c r="K447" s="401"/>
      <c r="L447" s="401"/>
      <c r="M447" s="401"/>
      <c r="N447" s="401"/>
      <c r="O447" s="401"/>
      <c r="P447" s="401"/>
      <c r="Q447" s="401"/>
      <c r="R447" s="401"/>
      <c r="S447" s="401"/>
      <c r="T447" s="401"/>
      <c r="U447" s="401"/>
      <c r="V447" s="401"/>
      <c r="W447" s="401"/>
      <c r="X447" s="401"/>
      <c r="Y447" s="401"/>
      <c r="Z447" s="401"/>
      <c r="AA447" s="401"/>
    </row>
    <row r="448">
      <c r="A448" s="401"/>
      <c r="B448" s="401"/>
      <c r="C448" s="401"/>
      <c r="D448" s="401"/>
      <c r="E448" s="399"/>
      <c r="F448" s="399"/>
      <c r="G448" s="399"/>
      <c r="H448" s="400"/>
      <c r="I448" s="401"/>
      <c r="J448" s="401"/>
      <c r="K448" s="401"/>
      <c r="L448" s="401"/>
      <c r="M448" s="401"/>
      <c r="N448" s="401"/>
      <c r="O448" s="401"/>
      <c r="P448" s="401"/>
      <c r="Q448" s="401"/>
      <c r="R448" s="401"/>
      <c r="S448" s="401"/>
      <c r="T448" s="401"/>
      <c r="U448" s="401"/>
      <c r="V448" s="401"/>
      <c r="W448" s="401"/>
      <c r="X448" s="401"/>
      <c r="Y448" s="401"/>
      <c r="Z448" s="401"/>
      <c r="AA448" s="401"/>
    </row>
    <row r="449">
      <c r="A449" s="401"/>
      <c r="B449" s="401"/>
      <c r="C449" s="401"/>
      <c r="D449" s="401"/>
      <c r="E449" s="399"/>
      <c r="F449" s="399"/>
      <c r="G449" s="399"/>
      <c r="H449" s="400"/>
      <c r="I449" s="401"/>
      <c r="J449" s="401"/>
      <c r="K449" s="401"/>
      <c r="L449" s="401"/>
      <c r="M449" s="401"/>
      <c r="N449" s="401"/>
      <c r="O449" s="401"/>
      <c r="P449" s="401"/>
      <c r="Q449" s="401"/>
      <c r="R449" s="401"/>
      <c r="S449" s="401"/>
      <c r="T449" s="401"/>
      <c r="U449" s="401"/>
      <c r="V449" s="401"/>
      <c r="W449" s="401"/>
      <c r="X449" s="401"/>
      <c r="Y449" s="401"/>
      <c r="Z449" s="401"/>
      <c r="AA449" s="401"/>
    </row>
    <row r="450">
      <c r="A450" s="401"/>
      <c r="B450" s="401"/>
      <c r="C450" s="401"/>
      <c r="D450" s="401"/>
      <c r="E450" s="399"/>
      <c r="F450" s="399"/>
      <c r="G450" s="399"/>
      <c r="H450" s="400"/>
      <c r="I450" s="401"/>
      <c r="J450" s="401"/>
      <c r="K450" s="401"/>
      <c r="L450" s="401"/>
      <c r="M450" s="401"/>
      <c r="N450" s="401"/>
      <c r="O450" s="401"/>
      <c r="P450" s="401"/>
      <c r="Q450" s="401"/>
      <c r="R450" s="401"/>
      <c r="S450" s="401"/>
      <c r="T450" s="401"/>
      <c r="U450" s="401"/>
      <c r="V450" s="401"/>
      <c r="W450" s="401"/>
      <c r="X450" s="401"/>
      <c r="Y450" s="401"/>
      <c r="Z450" s="401"/>
      <c r="AA450" s="401"/>
    </row>
    <row r="451">
      <c r="A451" s="401"/>
      <c r="B451" s="401"/>
      <c r="C451" s="401"/>
      <c r="D451" s="401"/>
      <c r="E451" s="399"/>
      <c r="F451" s="399"/>
      <c r="G451" s="399"/>
      <c r="H451" s="400"/>
      <c r="I451" s="401"/>
      <c r="J451" s="401"/>
      <c r="K451" s="401"/>
      <c r="L451" s="401"/>
      <c r="M451" s="401"/>
      <c r="N451" s="401"/>
      <c r="O451" s="401"/>
      <c r="P451" s="401"/>
      <c r="Q451" s="401"/>
      <c r="R451" s="401"/>
      <c r="S451" s="401"/>
      <c r="T451" s="401"/>
      <c r="U451" s="401"/>
      <c r="V451" s="401"/>
      <c r="W451" s="401"/>
      <c r="X451" s="401"/>
      <c r="Y451" s="401"/>
      <c r="Z451" s="401"/>
      <c r="AA451" s="401"/>
    </row>
    <row r="452">
      <c r="A452" s="401"/>
      <c r="B452" s="401"/>
      <c r="C452" s="401"/>
      <c r="D452" s="401"/>
      <c r="E452" s="399"/>
      <c r="F452" s="399"/>
      <c r="G452" s="399"/>
      <c r="H452" s="400"/>
      <c r="I452" s="401"/>
      <c r="J452" s="401"/>
      <c r="K452" s="401"/>
      <c r="L452" s="401"/>
      <c r="M452" s="401"/>
      <c r="N452" s="401"/>
      <c r="O452" s="401"/>
      <c r="P452" s="401"/>
      <c r="Q452" s="401"/>
      <c r="R452" s="401"/>
      <c r="S452" s="401"/>
      <c r="T452" s="401"/>
      <c r="U452" s="401"/>
      <c r="V452" s="401"/>
      <c r="W452" s="401"/>
      <c r="X452" s="401"/>
      <c r="Y452" s="401"/>
      <c r="Z452" s="401"/>
      <c r="AA452" s="401"/>
    </row>
    <row r="453">
      <c r="A453" s="401"/>
      <c r="B453" s="401"/>
      <c r="C453" s="401"/>
      <c r="D453" s="401"/>
      <c r="E453" s="399"/>
      <c r="F453" s="399"/>
      <c r="G453" s="399"/>
      <c r="H453" s="400"/>
      <c r="I453" s="401"/>
      <c r="J453" s="401"/>
      <c r="K453" s="401"/>
      <c r="L453" s="401"/>
      <c r="M453" s="401"/>
      <c r="N453" s="401"/>
      <c r="O453" s="401"/>
      <c r="P453" s="401"/>
      <c r="Q453" s="401"/>
      <c r="R453" s="401"/>
      <c r="S453" s="401"/>
      <c r="T453" s="401"/>
      <c r="U453" s="401"/>
      <c r="V453" s="401"/>
      <c r="W453" s="401"/>
      <c r="X453" s="401"/>
      <c r="Y453" s="401"/>
      <c r="Z453" s="401"/>
      <c r="AA453" s="401"/>
    </row>
    <row r="454">
      <c r="A454" s="401"/>
      <c r="B454" s="401"/>
      <c r="C454" s="401"/>
      <c r="D454" s="401"/>
      <c r="E454" s="399"/>
      <c r="F454" s="399"/>
      <c r="G454" s="399"/>
      <c r="H454" s="400"/>
      <c r="I454" s="401"/>
      <c r="J454" s="401"/>
      <c r="K454" s="401"/>
      <c r="L454" s="401"/>
      <c r="M454" s="401"/>
      <c r="N454" s="401"/>
      <c r="O454" s="401"/>
      <c r="P454" s="401"/>
      <c r="Q454" s="401"/>
      <c r="R454" s="401"/>
      <c r="S454" s="401"/>
      <c r="T454" s="401"/>
      <c r="U454" s="401"/>
      <c r="V454" s="401"/>
      <c r="W454" s="401"/>
      <c r="X454" s="401"/>
      <c r="Y454" s="401"/>
      <c r="Z454" s="401"/>
      <c r="AA454" s="401"/>
    </row>
    <row r="455">
      <c r="A455" s="401"/>
      <c r="B455" s="401"/>
      <c r="C455" s="401"/>
      <c r="D455" s="401"/>
      <c r="E455" s="399"/>
      <c r="F455" s="399"/>
      <c r="G455" s="399"/>
      <c r="H455" s="400"/>
      <c r="I455" s="401"/>
      <c r="J455" s="401"/>
      <c r="K455" s="401"/>
      <c r="L455" s="401"/>
      <c r="M455" s="401"/>
      <c r="N455" s="401"/>
      <c r="O455" s="401"/>
      <c r="P455" s="401"/>
      <c r="Q455" s="401"/>
      <c r="R455" s="401"/>
      <c r="S455" s="401"/>
      <c r="T455" s="401"/>
      <c r="U455" s="401"/>
      <c r="V455" s="401"/>
      <c r="W455" s="401"/>
      <c r="X455" s="401"/>
      <c r="Y455" s="401"/>
      <c r="Z455" s="401"/>
      <c r="AA455" s="401"/>
    </row>
    <row r="456">
      <c r="A456" s="401"/>
      <c r="B456" s="401"/>
      <c r="C456" s="401"/>
      <c r="D456" s="401"/>
      <c r="E456" s="399"/>
      <c r="F456" s="399"/>
      <c r="G456" s="399"/>
      <c r="H456" s="400"/>
      <c r="I456" s="401"/>
      <c r="J456" s="401"/>
      <c r="K456" s="401"/>
      <c r="L456" s="401"/>
      <c r="M456" s="401"/>
      <c r="N456" s="401"/>
      <c r="O456" s="401"/>
      <c r="P456" s="401"/>
      <c r="Q456" s="401"/>
      <c r="R456" s="401"/>
      <c r="S456" s="401"/>
      <c r="T456" s="401"/>
      <c r="U456" s="401"/>
      <c r="V456" s="401"/>
      <c r="W456" s="401"/>
      <c r="X456" s="401"/>
      <c r="Y456" s="401"/>
      <c r="Z456" s="401"/>
      <c r="AA456" s="401"/>
    </row>
    <row r="457">
      <c r="A457" s="401"/>
      <c r="B457" s="401"/>
      <c r="C457" s="401"/>
      <c r="D457" s="401"/>
      <c r="E457" s="399"/>
      <c r="F457" s="399"/>
      <c r="G457" s="399"/>
      <c r="H457" s="400"/>
      <c r="I457" s="401"/>
      <c r="J457" s="401"/>
      <c r="K457" s="401"/>
      <c r="L457" s="401"/>
      <c r="M457" s="401"/>
      <c r="N457" s="401"/>
      <c r="O457" s="401"/>
      <c r="P457" s="401"/>
      <c r="Q457" s="401"/>
      <c r="R457" s="401"/>
      <c r="S457" s="401"/>
      <c r="T457" s="401"/>
      <c r="U457" s="401"/>
      <c r="V457" s="401"/>
      <c r="W457" s="401"/>
      <c r="X457" s="401"/>
      <c r="Y457" s="401"/>
      <c r="Z457" s="401"/>
      <c r="AA457" s="401"/>
    </row>
    <row r="458">
      <c r="A458" s="401"/>
      <c r="B458" s="401"/>
      <c r="C458" s="401"/>
      <c r="D458" s="401"/>
      <c r="E458" s="399"/>
      <c r="F458" s="399"/>
      <c r="G458" s="399"/>
      <c r="H458" s="400"/>
      <c r="I458" s="401"/>
      <c r="J458" s="401"/>
      <c r="K458" s="401"/>
      <c r="L458" s="401"/>
      <c r="M458" s="401"/>
      <c r="N458" s="401"/>
      <c r="O458" s="401"/>
      <c r="P458" s="401"/>
      <c r="Q458" s="401"/>
      <c r="R458" s="401"/>
      <c r="S458" s="401"/>
      <c r="T458" s="401"/>
      <c r="U458" s="401"/>
      <c r="V458" s="401"/>
      <c r="W458" s="401"/>
      <c r="X458" s="401"/>
      <c r="Y458" s="401"/>
      <c r="Z458" s="401"/>
      <c r="AA458" s="401"/>
    </row>
    <row r="459">
      <c r="A459" s="401"/>
      <c r="B459" s="401"/>
      <c r="C459" s="401"/>
      <c r="D459" s="401"/>
      <c r="E459" s="399"/>
      <c r="F459" s="399"/>
      <c r="G459" s="399"/>
      <c r="H459" s="400"/>
      <c r="I459" s="401"/>
      <c r="J459" s="401"/>
      <c r="K459" s="401"/>
      <c r="L459" s="401"/>
      <c r="M459" s="401"/>
      <c r="N459" s="401"/>
      <c r="O459" s="401"/>
      <c r="P459" s="401"/>
      <c r="Q459" s="401"/>
      <c r="R459" s="401"/>
      <c r="S459" s="401"/>
      <c r="T459" s="401"/>
      <c r="U459" s="401"/>
      <c r="V459" s="401"/>
      <c r="W459" s="401"/>
      <c r="X459" s="401"/>
      <c r="Y459" s="401"/>
      <c r="Z459" s="401"/>
      <c r="AA459" s="401"/>
    </row>
    <row r="460">
      <c r="A460" s="401"/>
      <c r="B460" s="401"/>
      <c r="C460" s="401"/>
      <c r="D460" s="401"/>
      <c r="E460" s="399"/>
      <c r="F460" s="399"/>
      <c r="G460" s="399"/>
      <c r="H460" s="400"/>
      <c r="I460" s="401"/>
      <c r="J460" s="401"/>
      <c r="K460" s="401"/>
      <c r="L460" s="401"/>
      <c r="M460" s="401"/>
      <c r="N460" s="401"/>
      <c r="O460" s="401"/>
      <c r="P460" s="401"/>
      <c r="Q460" s="401"/>
      <c r="R460" s="401"/>
      <c r="S460" s="401"/>
      <c r="T460" s="401"/>
      <c r="U460" s="401"/>
      <c r="V460" s="401"/>
      <c r="W460" s="401"/>
      <c r="X460" s="401"/>
      <c r="Y460" s="401"/>
      <c r="Z460" s="401"/>
      <c r="AA460" s="401"/>
    </row>
    <row r="461">
      <c r="A461" s="401"/>
      <c r="B461" s="401"/>
      <c r="C461" s="401"/>
      <c r="D461" s="401"/>
      <c r="E461" s="399"/>
      <c r="F461" s="399"/>
      <c r="G461" s="399"/>
      <c r="H461" s="400"/>
      <c r="I461" s="401"/>
      <c r="J461" s="401"/>
      <c r="K461" s="401"/>
      <c r="L461" s="401"/>
      <c r="M461" s="401"/>
      <c r="N461" s="401"/>
      <c r="O461" s="401"/>
      <c r="P461" s="401"/>
      <c r="Q461" s="401"/>
      <c r="R461" s="401"/>
      <c r="S461" s="401"/>
      <c r="T461" s="401"/>
      <c r="U461" s="401"/>
      <c r="V461" s="401"/>
      <c r="W461" s="401"/>
      <c r="X461" s="401"/>
      <c r="Y461" s="401"/>
      <c r="Z461" s="401"/>
      <c r="AA461" s="401"/>
    </row>
    <row r="462">
      <c r="A462" s="401"/>
      <c r="B462" s="401"/>
      <c r="C462" s="401"/>
      <c r="D462" s="401"/>
      <c r="E462" s="399"/>
      <c r="F462" s="399"/>
      <c r="G462" s="399"/>
      <c r="H462" s="400"/>
      <c r="I462" s="401"/>
      <c r="J462" s="401"/>
      <c r="K462" s="401"/>
      <c r="L462" s="401"/>
      <c r="M462" s="401"/>
      <c r="N462" s="401"/>
      <c r="O462" s="401"/>
      <c r="P462" s="401"/>
      <c r="Q462" s="401"/>
      <c r="R462" s="401"/>
      <c r="S462" s="401"/>
      <c r="T462" s="401"/>
      <c r="U462" s="401"/>
      <c r="V462" s="401"/>
      <c r="W462" s="401"/>
      <c r="X462" s="401"/>
      <c r="Y462" s="401"/>
      <c r="Z462" s="401"/>
      <c r="AA462" s="401"/>
    </row>
    <row r="463">
      <c r="A463" s="401"/>
      <c r="B463" s="401"/>
      <c r="C463" s="401"/>
      <c r="D463" s="401"/>
      <c r="E463" s="399"/>
      <c r="F463" s="399"/>
      <c r="G463" s="399"/>
      <c r="H463" s="400"/>
      <c r="I463" s="401"/>
      <c r="J463" s="401"/>
      <c r="K463" s="401"/>
      <c r="L463" s="401"/>
      <c r="M463" s="401"/>
      <c r="N463" s="401"/>
      <c r="O463" s="401"/>
      <c r="P463" s="401"/>
      <c r="Q463" s="401"/>
      <c r="R463" s="401"/>
      <c r="S463" s="401"/>
      <c r="T463" s="401"/>
      <c r="U463" s="401"/>
      <c r="V463" s="401"/>
      <c r="W463" s="401"/>
      <c r="X463" s="401"/>
      <c r="Y463" s="401"/>
      <c r="Z463" s="401"/>
      <c r="AA463" s="401"/>
    </row>
    <row r="464">
      <c r="A464" s="401"/>
      <c r="B464" s="401"/>
      <c r="C464" s="401"/>
      <c r="D464" s="401"/>
      <c r="E464" s="399"/>
      <c r="F464" s="399"/>
      <c r="G464" s="399"/>
      <c r="H464" s="400"/>
      <c r="I464" s="401"/>
      <c r="J464" s="401"/>
      <c r="K464" s="401"/>
      <c r="L464" s="401"/>
      <c r="M464" s="401"/>
      <c r="N464" s="401"/>
      <c r="O464" s="401"/>
      <c r="P464" s="401"/>
      <c r="Q464" s="401"/>
      <c r="R464" s="401"/>
      <c r="S464" s="401"/>
      <c r="T464" s="401"/>
      <c r="U464" s="401"/>
      <c r="V464" s="401"/>
      <c r="W464" s="401"/>
      <c r="X464" s="401"/>
      <c r="Y464" s="401"/>
      <c r="Z464" s="401"/>
      <c r="AA464" s="401"/>
    </row>
    <row r="465">
      <c r="A465" s="401"/>
      <c r="B465" s="401"/>
      <c r="C465" s="401"/>
      <c r="D465" s="401"/>
      <c r="E465" s="399"/>
      <c r="F465" s="399"/>
      <c r="G465" s="399"/>
      <c r="H465" s="400"/>
      <c r="I465" s="401"/>
      <c r="J465" s="401"/>
      <c r="K465" s="401"/>
      <c r="L465" s="401"/>
      <c r="M465" s="401"/>
      <c r="N465" s="401"/>
      <c r="O465" s="401"/>
      <c r="P465" s="401"/>
      <c r="Q465" s="401"/>
      <c r="R465" s="401"/>
      <c r="S465" s="401"/>
      <c r="T465" s="401"/>
      <c r="U465" s="401"/>
      <c r="V465" s="401"/>
      <c r="W465" s="401"/>
      <c r="X465" s="401"/>
      <c r="Y465" s="401"/>
      <c r="Z465" s="401"/>
      <c r="AA465" s="401"/>
    </row>
    <row r="466">
      <c r="A466" s="401"/>
      <c r="B466" s="401"/>
      <c r="C466" s="401"/>
      <c r="D466" s="401"/>
      <c r="E466" s="399"/>
      <c r="F466" s="399"/>
      <c r="G466" s="399"/>
      <c r="H466" s="400"/>
      <c r="I466" s="401"/>
      <c r="J466" s="401"/>
      <c r="K466" s="401"/>
      <c r="L466" s="401"/>
      <c r="M466" s="401"/>
      <c r="N466" s="401"/>
      <c r="O466" s="401"/>
      <c r="P466" s="401"/>
      <c r="Q466" s="401"/>
      <c r="R466" s="401"/>
      <c r="S466" s="401"/>
      <c r="T466" s="401"/>
      <c r="U466" s="401"/>
      <c r="V466" s="401"/>
      <c r="W466" s="401"/>
      <c r="X466" s="401"/>
      <c r="Y466" s="401"/>
      <c r="Z466" s="401"/>
      <c r="AA466" s="401"/>
    </row>
    <row r="467">
      <c r="A467" s="401"/>
      <c r="B467" s="401"/>
      <c r="C467" s="401"/>
      <c r="D467" s="401"/>
      <c r="E467" s="399"/>
      <c r="F467" s="399"/>
      <c r="G467" s="399"/>
      <c r="H467" s="400"/>
      <c r="I467" s="401"/>
      <c r="J467" s="401"/>
      <c r="K467" s="401"/>
      <c r="L467" s="401"/>
      <c r="M467" s="401"/>
      <c r="N467" s="401"/>
      <c r="O467" s="401"/>
      <c r="P467" s="401"/>
      <c r="Q467" s="401"/>
      <c r="R467" s="401"/>
      <c r="S467" s="401"/>
      <c r="T467" s="401"/>
      <c r="U467" s="401"/>
      <c r="V467" s="401"/>
      <c r="W467" s="401"/>
      <c r="X467" s="401"/>
      <c r="Y467" s="401"/>
      <c r="Z467" s="401"/>
      <c r="AA467" s="401"/>
    </row>
    <row r="468">
      <c r="A468" s="401"/>
      <c r="B468" s="401"/>
      <c r="C468" s="401"/>
      <c r="D468" s="401"/>
      <c r="E468" s="399"/>
      <c r="F468" s="399"/>
      <c r="G468" s="399"/>
      <c r="H468" s="400"/>
      <c r="I468" s="401"/>
      <c r="J468" s="401"/>
      <c r="K468" s="401"/>
      <c r="L468" s="401"/>
      <c r="M468" s="401"/>
      <c r="N468" s="401"/>
      <c r="O468" s="401"/>
      <c r="P468" s="401"/>
      <c r="Q468" s="401"/>
      <c r="R468" s="401"/>
      <c r="S468" s="401"/>
      <c r="T468" s="401"/>
      <c r="U468" s="401"/>
      <c r="V468" s="401"/>
      <c r="W468" s="401"/>
      <c r="X468" s="401"/>
      <c r="Y468" s="401"/>
      <c r="Z468" s="401"/>
      <c r="AA468" s="401"/>
    </row>
    <row r="469">
      <c r="A469" s="401"/>
      <c r="B469" s="401"/>
      <c r="C469" s="401"/>
      <c r="D469" s="401"/>
      <c r="E469" s="399"/>
      <c r="F469" s="399"/>
      <c r="G469" s="399"/>
      <c r="H469" s="400"/>
      <c r="I469" s="401"/>
      <c r="J469" s="401"/>
      <c r="K469" s="401"/>
      <c r="L469" s="401"/>
      <c r="M469" s="401"/>
      <c r="N469" s="401"/>
      <c r="O469" s="401"/>
      <c r="P469" s="401"/>
      <c r="Q469" s="401"/>
      <c r="R469" s="401"/>
      <c r="S469" s="401"/>
      <c r="T469" s="401"/>
      <c r="U469" s="401"/>
      <c r="V469" s="401"/>
      <c r="W469" s="401"/>
      <c r="X469" s="401"/>
      <c r="Y469" s="401"/>
      <c r="Z469" s="401"/>
      <c r="AA469" s="401"/>
    </row>
    <row r="470">
      <c r="A470" s="401"/>
      <c r="B470" s="401"/>
      <c r="C470" s="401"/>
      <c r="D470" s="401"/>
      <c r="E470" s="399"/>
      <c r="F470" s="399"/>
      <c r="G470" s="399"/>
      <c r="H470" s="400"/>
      <c r="I470" s="401"/>
      <c r="J470" s="401"/>
      <c r="K470" s="401"/>
      <c r="L470" s="401"/>
      <c r="M470" s="401"/>
      <c r="N470" s="401"/>
      <c r="O470" s="401"/>
      <c r="P470" s="401"/>
      <c r="Q470" s="401"/>
      <c r="R470" s="401"/>
      <c r="S470" s="401"/>
      <c r="T470" s="401"/>
      <c r="U470" s="401"/>
      <c r="V470" s="401"/>
      <c r="W470" s="401"/>
      <c r="X470" s="401"/>
      <c r="Y470" s="401"/>
      <c r="Z470" s="401"/>
      <c r="AA470" s="401"/>
    </row>
    <row r="471">
      <c r="A471" s="401"/>
      <c r="B471" s="401"/>
      <c r="C471" s="401"/>
      <c r="D471" s="401"/>
      <c r="E471" s="399"/>
      <c r="F471" s="399"/>
      <c r="G471" s="399"/>
      <c r="H471" s="400"/>
      <c r="I471" s="401"/>
      <c r="J471" s="401"/>
      <c r="K471" s="401"/>
      <c r="L471" s="401"/>
      <c r="M471" s="401"/>
      <c r="N471" s="401"/>
      <c r="O471" s="401"/>
      <c r="P471" s="401"/>
      <c r="Q471" s="401"/>
      <c r="R471" s="401"/>
      <c r="S471" s="401"/>
      <c r="T471" s="401"/>
      <c r="U471" s="401"/>
      <c r="V471" s="401"/>
      <c r="W471" s="401"/>
      <c r="X471" s="401"/>
      <c r="Y471" s="401"/>
      <c r="Z471" s="401"/>
      <c r="AA471" s="401"/>
    </row>
    <row r="472">
      <c r="A472" s="401"/>
      <c r="B472" s="401"/>
      <c r="C472" s="401"/>
      <c r="D472" s="401"/>
      <c r="E472" s="399"/>
      <c r="F472" s="399"/>
      <c r="G472" s="399"/>
      <c r="H472" s="400"/>
      <c r="I472" s="401"/>
      <c r="J472" s="401"/>
      <c r="K472" s="401"/>
      <c r="L472" s="401"/>
      <c r="M472" s="401"/>
      <c r="N472" s="401"/>
      <c r="O472" s="401"/>
      <c r="P472" s="401"/>
      <c r="Q472" s="401"/>
      <c r="R472" s="401"/>
      <c r="S472" s="401"/>
      <c r="T472" s="401"/>
      <c r="U472" s="401"/>
      <c r="V472" s="401"/>
      <c r="W472" s="401"/>
      <c r="X472" s="401"/>
      <c r="Y472" s="401"/>
      <c r="Z472" s="401"/>
      <c r="AA472" s="401"/>
    </row>
    <row r="473">
      <c r="A473" s="401"/>
      <c r="B473" s="401"/>
      <c r="C473" s="401"/>
      <c r="D473" s="401"/>
      <c r="E473" s="399"/>
      <c r="F473" s="399"/>
      <c r="G473" s="399"/>
      <c r="H473" s="400"/>
      <c r="I473" s="401"/>
      <c r="J473" s="401"/>
      <c r="K473" s="401"/>
      <c r="L473" s="401"/>
      <c r="M473" s="401"/>
      <c r="N473" s="401"/>
      <c r="O473" s="401"/>
      <c r="P473" s="401"/>
      <c r="Q473" s="401"/>
      <c r="R473" s="401"/>
      <c r="S473" s="401"/>
      <c r="T473" s="401"/>
      <c r="U473" s="401"/>
      <c r="V473" s="401"/>
      <c r="W473" s="401"/>
      <c r="X473" s="401"/>
      <c r="Y473" s="401"/>
      <c r="Z473" s="401"/>
      <c r="AA473" s="401"/>
    </row>
    <row r="474">
      <c r="A474" s="401"/>
      <c r="B474" s="401"/>
      <c r="C474" s="401"/>
      <c r="D474" s="401"/>
      <c r="E474" s="399"/>
      <c r="F474" s="399"/>
      <c r="G474" s="399"/>
      <c r="H474" s="400"/>
      <c r="I474" s="401"/>
      <c r="J474" s="401"/>
      <c r="K474" s="401"/>
      <c r="L474" s="401"/>
      <c r="M474" s="401"/>
      <c r="N474" s="401"/>
      <c r="O474" s="401"/>
      <c r="P474" s="401"/>
      <c r="Q474" s="401"/>
      <c r="R474" s="401"/>
      <c r="S474" s="401"/>
      <c r="T474" s="401"/>
      <c r="U474" s="401"/>
      <c r="V474" s="401"/>
      <c r="W474" s="401"/>
      <c r="X474" s="401"/>
      <c r="Y474" s="401"/>
      <c r="Z474" s="401"/>
      <c r="AA474" s="401"/>
    </row>
    <row r="475">
      <c r="A475" s="401"/>
      <c r="B475" s="401"/>
      <c r="C475" s="401"/>
      <c r="D475" s="401"/>
      <c r="E475" s="399"/>
      <c r="F475" s="399"/>
      <c r="G475" s="399"/>
      <c r="H475" s="400"/>
      <c r="I475" s="401"/>
      <c r="J475" s="401"/>
      <c r="K475" s="401"/>
      <c r="L475" s="401"/>
      <c r="M475" s="401"/>
      <c r="N475" s="401"/>
      <c r="O475" s="401"/>
      <c r="P475" s="401"/>
      <c r="Q475" s="401"/>
      <c r="R475" s="401"/>
      <c r="S475" s="401"/>
      <c r="T475" s="401"/>
      <c r="U475" s="401"/>
      <c r="V475" s="401"/>
      <c r="W475" s="401"/>
      <c r="X475" s="401"/>
      <c r="Y475" s="401"/>
      <c r="Z475" s="401"/>
      <c r="AA475" s="401"/>
    </row>
    <row r="476">
      <c r="A476" s="401"/>
      <c r="B476" s="401"/>
      <c r="C476" s="401"/>
      <c r="D476" s="401"/>
      <c r="E476" s="399"/>
      <c r="F476" s="399"/>
      <c r="G476" s="399"/>
      <c r="H476" s="400"/>
      <c r="I476" s="401"/>
      <c r="J476" s="401"/>
      <c r="K476" s="401"/>
      <c r="L476" s="401"/>
      <c r="M476" s="401"/>
      <c r="N476" s="401"/>
      <c r="O476" s="401"/>
      <c r="P476" s="401"/>
      <c r="Q476" s="401"/>
      <c r="R476" s="401"/>
      <c r="S476" s="401"/>
      <c r="T476" s="401"/>
      <c r="U476" s="401"/>
      <c r="V476" s="401"/>
      <c r="W476" s="401"/>
      <c r="X476" s="401"/>
      <c r="Y476" s="401"/>
      <c r="Z476" s="401"/>
      <c r="AA476" s="401"/>
    </row>
    <row r="477">
      <c r="A477" s="401"/>
      <c r="B477" s="401"/>
      <c r="C477" s="401"/>
      <c r="D477" s="401"/>
      <c r="E477" s="399"/>
      <c r="F477" s="399"/>
      <c r="G477" s="399"/>
      <c r="H477" s="400"/>
      <c r="I477" s="401"/>
      <c r="J477" s="401"/>
      <c r="K477" s="401"/>
      <c r="L477" s="401"/>
      <c r="M477" s="401"/>
      <c r="N477" s="401"/>
      <c r="O477" s="401"/>
      <c r="P477" s="401"/>
      <c r="Q477" s="401"/>
      <c r="R477" s="401"/>
      <c r="S477" s="401"/>
      <c r="T477" s="401"/>
      <c r="U477" s="401"/>
      <c r="V477" s="401"/>
      <c r="W477" s="401"/>
      <c r="X477" s="401"/>
      <c r="Y477" s="401"/>
      <c r="Z477" s="401"/>
      <c r="AA477" s="401"/>
    </row>
    <row r="478">
      <c r="A478" s="401"/>
      <c r="B478" s="401"/>
      <c r="C478" s="401"/>
      <c r="D478" s="401"/>
      <c r="E478" s="399"/>
      <c r="F478" s="399"/>
      <c r="G478" s="399"/>
      <c r="H478" s="400"/>
      <c r="I478" s="401"/>
      <c r="J478" s="401"/>
      <c r="K478" s="401"/>
      <c r="L478" s="401"/>
      <c r="M478" s="401"/>
      <c r="N478" s="401"/>
      <c r="O478" s="401"/>
      <c r="P478" s="401"/>
      <c r="Q478" s="401"/>
      <c r="R478" s="401"/>
      <c r="S478" s="401"/>
      <c r="T478" s="401"/>
      <c r="U478" s="401"/>
      <c r="V478" s="401"/>
      <c r="W478" s="401"/>
      <c r="X478" s="401"/>
      <c r="Y478" s="401"/>
      <c r="Z478" s="401"/>
      <c r="AA478" s="401"/>
    </row>
    <row r="479">
      <c r="A479" s="401"/>
      <c r="B479" s="401"/>
      <c r="C479" s="401"/>
      <c r="D479" s="401"/>
      <c r="E479" s="399"/>
      <c r="F479" s="399"/>
      <c r="G479" s="399"/>
      <c r="H479" s="400"/>
      <c r="I479" s="401"/>
      <c r="J479" s="401"/>
      <c r="K479" s="401"/>
      <c r="L479" s="401"/>
      <c r="M479" s="401"/>
      <c r="N479" s="401"/>
      <c r="O479" s="401"/>
      <c r="P479" s="401"/>
      <c r="Q479" s="401"/>
      <c r="R479" s="401"/>
      <c r="S479" s="401"/>
      <c r="T479" s="401"/>
      <c r="U479" s="401"/>
      <c r="V479" s="401"/>
      <c r="W479" s="401"/>
      <c r="X479" s="401"/>
      <c r="Y479" s="401"/>
      <c r="Z479" s="401"/>
      <c r="AA479" s="401"/>
    </row>
    <row r="480">
      <c r="A480" s="401"/>
      <c r="B480" s="401"/>
      <c r="C480" s="401"/>
      <c r="D480" s="401"/>
      <c r="E480" s="399"/>
      <c r="F480" s="399"/>
      <c r="G480" s="399"/>
      <c r="H480" s="400"/>
      <c r="I480" s="401"/>
      <c r="J480" s="401"/>
      <c r="K480" s="401"/>
      <c r="L480" s="401"/>
      <c r="M480" s="401"/>
      <c r="N480" s="401"/>
      <c r="O480" s="401"/>
      <c r="P480" s="401"/>
      <c r="Q480" s="401"/>
      <c r="R480" s="401"/>
      <c r="S480" s="401"/>
      <c r="T480" s="401"/>
      <c r="U480" s="401"/>
      <c r="V480" s="401"/>
      <c r="W480" s="401"/>
      <c r="X480" s="401"/>
      <c r="Y480" s="401"/>
      <c r="Z480" s="401"/>
      <c r="AA480" s="401"/>
    </row>
    <row r="481">
      <c r="A481" s="401"/>
      <c r="B481" s="401"/>
      <c r="C481" s="401"/>
      <c r="D481" s="401"/>
      <c r="E481" s="399"/>
      <c r="F481" s="399"/>
      <c r="G481" s="399"/>
      <c r="H481" s="400"/>
      <c r="I481" s="401"/>
      <c r="J481" s="401"/>
      <c r="K481" s="401"/>
      <c r="L481" s="401"/>
      <c r="M481" s="401"/>
      <c r="N481" s="401"/>
      <c r="O481" s="401"/>
      <c r="P481" s="401"/>
      <c r="Q481" s="401"/>
      <c r="R481" s="401"/>
      <c r="S481" s="401"/>
      <c r="T481" s="401"/>
      <c r="U481" s="401"/>
      <c r="V481" s="401"/>
      <c r="W481" s="401"/>
      <c r="X481" s="401"/>
      <c r="Y481" s="401"/>
      <c r="Z481" s="401"/>
      <c r="AA481" s="401"/>
    </row>
    <row r="482">
      <c r="A482" s="401"/>
      <c r="B482" s="401"/>
      <c r="C482" s="401"/>
      <c r="D482" s="401"/>
      <c r="E482" s="399"/>
      <c r="F482" s="399"/>
      <c r="G482" s="399"/>
      <c r="H482" s="400"/>
      <c r="I482" s="401"/>
      <c r="J482" s="401"/>
      <c r="K482" s="401"/>
      <c r="L482" s="401"/>
      <c r="M482" s="401"/>
      <c r="N482" s="401"/>
      <c r="O482" s="401"/>
      <c r="P482" s="401"/>
      <c r="Q482" s="401"/>
      <c r="R482" s="401"/>
      <c r="S482" s="401"/>
      <c r="T482" s="401"/>
      <c r="U482" s="401"/>
      <c r="V482" s="401"/>
      <c r="W482" s="401"/>
      <c r="X482" s="401"/>
      <c r="Y482" s="401"/>
      <c r="Z482" s="401"/>
      <c r="AA482" s="401"/>
    </row>
    <row r="483">
      <c r="A483" s="401"/>
      <c r="B483" s="401"/>
      <c r="C483" s="401"/>
      <c r="D483" s="401"/>
      <c r="E483" s="399"/>
      <c r="F483" s="399"/>
      <c r="G483" s="399"/>
      <c r="H483" s="400"/>
      <c r="I483" s="401"/>
      <c r="J483" s="401"/>
      <c r="K483" s="401"/>
      <c r="L483" s="401"/>
      <c r="M483" s="401"/>
      <c r="N483" s="401"/>
      <c r="O483" s="401"/>
      <c r="P483" s="401"/>
      <c r="Q483" s="401"/>
      <c r="R483" s="401"/>
      <c r="S483" s="401"/>
      <c r="T483" s="401"/>
      <c r="U483" s="401"/>
      <c r="V483" s="401"/>
      <c r="W483" s="401"/>
      <c r="X483" s="401"/>
      <c r="Y483" s="401"/>
      <c r="Z483" s="401"/>
      <c r="AA483" s="401"/>
    </row>
    <row r="484">
      <c r="A484" s="401"/>
      <c r="B484" s="401"/>
      <c r="C484" s="401"/>
      <c r="D484" s="401"/>
      <c r="E484" s="399"/>
      <c r="F484" s="399"/>
      <c r="G484" s="399"/>
      <c r="H484" s="400"/>
      <c r="I484" s="401"/>
      <c r="J484" s="401"/>
      <c r="K484" s="401"/>
      <c r="L484" s="401"/>
      <c r="M484" s="401"/>
      <c r="N484" s="401"/>
      <c r="O484" s="401"/>
      <c r="P484" s="401"/>
      <c r="Q484" s="401"/>
      <c r="R484" s="401"/>
      <c r="S484" s="401"/>
      <c r="T484" s="401"/>
      <c r="U484" s="401"/>
      <c r="V484" s="401"/>
      <c r="W484" s="401"/>
      <c r="X484" s="401"/>
      <c r="Y484" s="401"/>
      <c r="Z484" s="401"/>
      <c r="AA484" s="401"/>
    </row>
    <row r="485">
      <c r="A485" s="401"/>
      <c r="B485" s="401"/>
      <c r="C485" s="401"/>
      <c r="D485" s="401"/>
      <c r="E485" s="399"/>
      <c r="F485" s="399"/>
      <c r="G485" s="399"/>
      <c r="H485" s="400"/>
      <c r="I485" s="401"/>
      <c r="J485" s="401"/>
      <c r="K485" s="401"/>
      <c r="L485" s="401"/>
      <c r="M485" s="401"/>
      <c r="N485" s="401"/>
      <c r="O485" s="401"/>
      <c r="P485" s="401"/>
      <c r="Q485" s="401"/>
      <c r="R485" s="401"/>
      <c r="S485" s="401"/>
      <c r="T485" s="401"/>
      <c r="U485" s="401"/>
      <c r="V485" s="401"/>
      <c r="W485" s="401"/>
      <c r="X485" s="401"/>
      <c r="Y485" s="401"/>
      <c r="Z485" s="401"/>
      <c r="AA485" s="401"/>
    </row>
    <row r="486">
      <c r="A486" s="401"/>
      <c r="B486" s="401"/>
      <c r="C486" s="401"/>
      <c r="D486" s="401"/>
      <c r="E486" s="399"/>
      <c r="F486" s="399"/>
      <c r="G486" s="399"/>
      <c r="H486" s="400"/>
      <c r="I486" s="401"/>
      <c r="J486" s="401"/>
      <c r="K486" s="401"/>
      <c r="L486" s="401"/>
      <c r="M486" s="401"/>
      <c r="N486" s="401"/>
      <c r="O486" s="401"/>
      <c r="P486" s="401"/>
      <c r="Q486" s="401"/>
      <c r="R486" s="401"/>
      <c r="S486" s="401"/>
      <c r="T486" s="401"/>
      <c r="U486" s="401"/>
      <c r="V486" s="401"/>
      <c r="W486" s="401"/>
      <c r="X486" s="401"/>
      <c r="Y486" s="401"/>
      <c r="Z486" s="401"/>
      <c r="AA486" s="401"/>
    </row>
    <row r="487">
      <c r="A487" s="401"/>
      <c r="B487" s="401"/>
      <c r="C487" s="401"/>
      <c r="D487" s="401"/>
      <c r="E487" s="399"/>
      <c r="F487" s="399"/>
      <c r="G487" s="399"/>
      <c r="H487" s="400"/>
      <c r="I487" s="401"/>
      <c r="J487" s="401"/>
      <c r="K487" s="401"/>
      <c r="L487" s="401"/>
      <c r="M487" s="401"/>
      <c r="N487" s="401"/>
      <c r="O487" s="401"/>
      <c r="P487" s="401"/>
      <c r="Q487" s="401"/>
      <c r="R487" s="401"/>
      <c r="S487" s="401"/>
      <c r="T487" s="401"/>
      <c r="U487" s="401"/>
      <c r="V487" s="401"/>
      <c r="W487" s="401"/>
      <c r="X487" s="401"/>
      <c r="Y487" s="401"/>
      <c r="Z487" s="401"/>
      <c r="AA487" s="401"/>
    </row>
    <row r="488">
      <c r="A488" s="401"/>
      <c r="B488" s="401"/>
      <c r="C488" s="401"/>
      <c r="D488" s="401"/>
      <c r="E488" s="399"/>
      <c r="F488" s="399"/>
      <c r="G488" s="399"/>
      <c r="H488" s="400"/>
      <c r="I488" s="401"/>
      <c r="J488" s="401"/>
      <c r="K488" s="401"/>
      <c r="L488" s="401"/>
      <c r="M488" s="401"/>
      <c r="N488" s="401"/>
      <c r="O488" s="401"/>
      <c r="P488" s="401"/>
      <c r="Q488" s="401"/>
      <c r="R488" s="401"/>
      <c r="S488" s="401"/>
      <c r="T488" s="401"/>
      <c r="U488" s="401"/>
      <c r="V488" s="401"/>
      <c r="W488" s="401"/>
      <c r="X488" s="401"/>
      <c r="Y488" s="401"/>
      <c r="Z488" s="401"/>
      <c r="AA488" s="401"/>
    </row>
    <row r="489">
      <c r="A489" s="401"/>
      <c r="B489" s="401"/>
      <c r="C489" s="401"/>
      <c r="D489" s="401"/>
      <c r="E489" s="399"/>
      <c r="F489" s="399"/>
      <c r="G489" s="399"/>
      <c r="H489" s="400"/>
      <c r="I489" s="401"/>
      <c r="J489" s="401"/>
      <c r="K489" s="401"/>
      <c r="L489" s="401"/>
      <c r="M489" s="401"/>
      <c r="N489" s="401"/>
      <c r="O489" s="401"/>
      <c r="P489" s="401"/>
      <c r="Q489" s="401"/>
      <c r="R489" s="401"/>
      <c r="S489" s="401"/>
      <c r="T489" s="401"/>
      <c r="U489" s="401"/>
      <c r="V489" s="401"/>
      <c r="W489" s="401"/>
      <c r="X489" s="401"/>
      <c r="Y489" s="401"/>
      <c r="Z489" s="401"/>
      <c r="AA489" s="401"/>
    </row>
    <row r="490">
      <c r="A490" s="401"/>
      <c r="B490" s="401"/>
      <c r="C490" s="401"/>
      <c r="D490" s="401"/>
      <c r="E490" s="399"/>
      <c r="F490" s="399"/>
      <c r="G490" s="399"/>
      <c r="H490" s="400"/>
      <c r="I490" s="401"/>
      <c r="J490" s="401"/>
      <c r="K490" s="401"/>
      <c r="L490" s="401"/>
      <c r="M490" s="401"/>
      <c r="N490" s="401"/>
      <c r="O490" s="401"/>
      <c r="P490" s="401"/>
      <c r="Q490" s="401"/>
      <c r="R490" s="401"/>
      <c r="S490" s="401"/>
      <c r="T490" s="401"/>
      <c r="U490" s="401"/>
      <c r="V490" s="401"/>
      <c r="W490" s="401"/>
      <c r="X490" s="401"/>
      <c r="Y490" s="401"/>
      <c r="Z490" s="401"/>
      <c r="AA490" s="401"/>
    </row>
    <row r="491">
      <c r="A491" s="401"/>
      <c r="B491" s="401"/>
      <c r="C491" s="401"/>
      <c r="D491" s="401"/>
      <c r="E491" s="399"/>
      <c r="F491" s="399"/>
      <c r="G491" s="399"/>
      <c r="H491" s="400"/>
      <c r="I491" s="401"/>
      <c r="J491" s="401"/>
      <c r="K491" s="401"/>
      <c r="L491" s="401"/>
      <c r="M491" s="401"/>
      <c r="N491" s="401"/>
      <c r="O491" s="401"/>
      <c r="P491" s="401"/>
      <c r="Q491" s="401"/>
      <c r="R491" s="401"/>
      <c r="S491" s="401"/>
      <c r="T491" s="401"/>
      <c r="U491" s="401"/>
      <c r="V491" s="401"/>
      <c r="W491" s="401"/>
      <c r="X491" s="401"/>
      <c r="Y491" s="401"/>
      <c r="Z491" s="401"/>
      <c r="AA491" s="401"/>
    </row>
    <row r="492">
      <c r="A492" s="401"/>
      <c r="B492" s="401"/>
      <c r="C492" s="401"/>
      <c r="D492" s="401"/>
      <c r="E492" s="399"/>
      <c r="F492" s="399"/>
      <c r="G492" s="399"/>
      <c r="H492" s="400"/>
      <c r="I492" s="401"/>
      <c r="J492" s="401"/>
      <c r="K492" s="401"/>
      <c r="L492" s="401"/>
      <c r="M492" s="401"/>
      <c r="N492" s="401"/>
      <c r="O492" s="401"/>
      <c r="P492" s="401"/>
      <c r="Q492" s="401"/>
      <c r="R492" s="401"/>
      <c r="S492" s="401"/>
      <c r="T492" s="401"/>
      <c r="U492" s="401"/>
      <c r="V492" s="401"/>
      <c r="W492" s="401"/>
      <c r="X492" s="401"/>
      <c r="Y492" s="401"/>
      <c r="Z492" s="401"/>
      <c r="AA492" s="401"/>
    </row>
    <row r="493">
      <c r="A493" s="401"/>
      <c r="B493" s="401"/>
      <c r="C493" s="401"/>
      <c r="D493" s="401"/>
      <c r="E493" s="399"/>
      <c r="F493" s="399"/>
      <c r="G493" s="399"/>
      <c r="H493" s="400"/>
      <c r="I493" s="401"/>
      <c r="J493" s="401"/>
      <c r="K493" s="401"/>
      <c r="L493" s="401"/>
      <c r="M493" s="401"/>
      <c r="N493" s="401"/>
      <c r="O493" s="401"/>
      <c r="P493" s="401"/>
      <c r="Q493" s="401"/>
      <c r="R493" s="401"/>
      <c r="S493" s="401"/>
      <c r="T493" s="401"/>
      <c r="U493" s="401"/>
      <c r="V493" s="401"/>
      <c r="W493" s="401"/>
      <c r="X493" s="401"/>
      <c r="Y493" s="401"/>
      <c r="Z493" s="401"/>
      <c r="AA493" s="401"/>
    </row>
    <row r="494">
      <c r="A494" s="401"/>
      <c r="B494" s="401"/>
      <c r="C494" s="401"/>
      <c r="D494" s="401"/>
      <c r="E494" s="399"/>
      <c r="F494" s="399"/>
      <c r="G494" s="399"/>
      <c r="H494" s="400"/>
      <c r="I494" s="401"/>
      <c r="J494" s="401"/>
      <c r="K494" s="401"/>
      <c r="L494" s="401"/>
      <c r="M494" s="401"/>
      <c r="N494" s="401"/>
      <c r="O494" s="401"/>
      <c r="P494" s="401"/>
      <c r="Q494" s="401"/>
      <c r="R494" s="401"/>
      <c r="S494" s="401"/>
      <c r="T494" s="401"/>
      <c r="U494" s="401"/>
      <c r="V494" s="401"/>
      <c r="W494" s="401"/>
      <c r="X494" s="401"/>
      <c r="Y494" s="401"/>
      <c r="Z494" s="401"/>
      <c r="AA494" s="401"/>
    </row>
    <row r="495">
      <c r="A495" s="401"/>
      <c r="B495" s="401"/>
      <c r="C495" s="401"/>
      <c r="D495" s="401"/>
      <c r="E495" s="399"/>
      <c r="F495" s="399"/>
      <c r="G495" s="399"/>
      <c r="H495" s="400"/>
      <c r="I495" s="401"/>
      <c r="J495" s="401"/>
      <c r="K495" s="401"/>
      <c r="L495" s="401"/>
      <c r="M495" s="401"/>
      <c r="N495" s="401"/>
      <c r="O495" s="401"/>
      <c r="P495" s="401"/>
      <c r="Q495" s="401"/>
      <c r="R495" s="401"/>
      <c r="S495" s="401"/>
      <c r="T495" s="401"/>
      <c r="U495" s="401"/>
      <c r="V495" s="401"/>
      <c r="W495" s="401"/>
      <c r="X495" s="401"/>
      <c r="Y495" s="401"/>
      <c r="Z495" s="401"/>
      <c r="AA495" s="401"/>
    </row>
    <row r="496">
      <c r="A496" s="401"/>
      <c r="B496" s="401"/>
      <c r="C496" s="401"/>
      <c r="D496" s="401"/>
      <c r="E496" s="399"/>
      <c r="F496" s="399"/>
      <c r="G496" s="399"/>
      <c r="H496" s="400"/>
      <c r="I496" s="401"/>
      <c r="J496" s="401"/>
      <c r="K496" s="401"/>
      <c r="L496" s="401"/>
      <c r="M496" s="401"/>
      <c r="N496" s="401"/>
      <c r="O496" s="401"/>
      <c r="P496" s="401"/>
      <c r="Q496" s="401"/>
      <c r="R496" s="401"/>
      <c r="S496" s="401"/>
      <c r="T496" s="401"/>
      <c r="U496" s="401"/>
      <c r="V496" s="401"/>
      <c r="W496" s="401"/>
      <c r="X496" s="401"/>
      <c r="Y496" s="401"/>
      <c r="Z496" s="401"/>
      <c r="AA496" s="401"/>
    </row>
    <row r="497">
      <c r="A497" s="401"/>
      <c r="B497" s="401"/>
      <c r="C497" s="401"/>
      <c r="D497" s="401"/>
      <c r="E497" s="399"/>
      <c r="F497" s="399"/>
      <c r="G497" s="399"/>
      <c r="H497" s="400"/>
      <c r="I497" s="401"/>
      <c r="J497" s="401"/>
      <c r="K497" s="401"/>
      <c r="L497" s="401"/>
      <c r="M497" s="401"/>
      <c r="N497" s="401"/>
      <c r="O497" s="401"/>
      <c r="P497" s="401"/>
      <c r="Q497" s="401"/>
      <c r="R497" s="401"/>
      <c r="S497" s="401"/>
      <c r="T497" s="401"/>
      <c r="U497" s="401"/>
      <c r="V497" s="401"/>
      <c r="W497" s="401"/>
      <c r="X497" s="401"/>
      <c r="Y497" s="401"/>
      <c r="Z497" s="401"/>
      <c r="AA497" s="401"/>
    </row>
    <row r="498">
      <c r="A498" s="401"/>
      <c r="B498" s="401"/>
      <c r="C498" s="401"/>
      <c r="D498" s="401"/>
      <c r="E498" s="399"/>
      <c r="F498" s="399"/>
      <c r="G498" s="399"/>
      <c r="H498" s="400"/>
      <c r="I498" s="401"/>
      <c r="J498" s="401"/>
      <c r="K498" s="401"/>
      <c r="L498" s="401"/>
      <c r="M498" s="401"/>
      <c r="N498" s="401"/>
      <c r="O498" s="401"/>
      <c r="P498" s="401"/>
      <c r="Q498" s="401"/>
      <c r="R498" s="401"/>
      <c r="S498" s="401"/>
      <c r="T498" s="401"/>
      <c r="U498" s="401"/>
      <c r="V498" s="401"/>
      <c r="W498" s="401"/>
      <c r="X498" s="401"/>
      <c r="Y498" s="401"/>
      <c r="Z498" s="401"/>
      <c r="AA498" s="401"/>
    </row>
    <row r="499">
      <c r="A499" s="401"/>
      <c r="B499" s="401"/>
      <c r="C499" s="401"/>
      <c r="D499" s="401"/>
      <c r="E499" s="399"/>
      <c r="F499" s="399"/>
      <c r="G499" s="399"/>
      <c r="H499" s="400"/>
      <c r="I499" s="401"/>
      <c r="J499" s="401"/>
      <c r="K499" s="401"/>
      <c r="L499" s="401"/>
      <c r="M499" s="401"/>
      <c r="N499" s="401"/>
      <c r="O499" s="401"/>
      <c r="P499" s="401"/>
      <c r="Q499" s="401"/>
      <c r="R499" s="401"/>
      <c r="S499" s="401"/>
      <c r="T499" s="401"/>
      <c r="U499" s="401"/>
      <c r="V499" s="401"/>
      <c r="W499" s="401"/>
      <c r="X499" s="401"/>
      <c r="Y499" s="401"/>
      <c r="Z499" s="401"/>
      <c r="AA499" s="401"/>
    </row>
    <row r="500">
      <c r="A500" s="401"/>
      <c r="B500" s="401"/>
      <c r="C500" s="401"/>
      <c r="D500" s="401"/>
      <c r="E500" s="399"/>
      <c r="F500" s="399"/>
      <c r="G500" s="399"/>
      <c r="H500" s="400"/>
      <c r="I500" s="401"/>
      <c r="J500" s="401"/>
      <c r="K500" s="401"/>
      <c r="L500" s="401"/>
      <c r="M500" s="401"/>
      <c r="N500" s="401"/>
      <c r="O500" s="401"/>
      <c r="P500" s="401"/>
      <c r="Q500" s="401"/>
      <c r="R500" s="401"/>
      <c r="S500" s="401"/>
      <c r="T500" s="401"/>
      <c r="U500" s="401"/>
      <c r="V500" s="401"/>
      <c r="W500" s="401"/>
      <c r="X500" s="401"/>
      <c r="Y500" s="401"/>
      <c r="Z500" s="401"/>
      <c r="AA500" s="401"/>
    </row>
    <row r="501">
      <c r="A501" s="401"/>
      <c r="B501" s="401"/>
      <c r="C501" s="401"/>
      <c r="D501" s="401"/>
      <c r="E501" s="399"/>
      <c r="F501" s="399"/>
      <c r="G501" s="399"/>
      <c r="H501" s="400"/>
      <c r="I501" s="401"/>
      <c r="J501" s="401"/>
      <c r="K501" s="401"/>
      <c r="L501" s="401"/>
      <c r="M501" s="401"/>
      <c r="N501" s="401"/>
      <c r="O501" s="401"/>
      <c r="P501" s="401"/>
      <c r="Q501" s="401"/>
      <c r="R501" s="401"/>
      <c r="S501" s="401"/>
      <c r="T501" s="401"/>
      <c r="U501" s="401"/>
      <c r="V501" s="401"/>
      <c r="W501" s="401"/>
      <c r="X501" s="401"/>
      <c r="Y501" s="401"/>
      <c r="Z501" s="401"/>
      <c r="AA501" s="401"/>
    </row>
    <row r="502">
      <c r="A502" s="401"/>
      <c r="B502" s="401"/>
      <c r="C502" s="401"/>
      <c r="D502" s="401"/>
      <c r="E502" s="399"/>
      <c r="F502" s="399"/>
      <c r="G502" s="399"/>
      <c r="H502" s="400"/>
      <c r="I502" s="401"/>
      <c r="J502" s="401"/>
      <c r="K502" s="401"/>
      <c r="L502" s="401"/>
      <c r="M502" s="401"/>
      <c r="N502" s="401"/>
      <c r="O502" s="401"/>
      <c r="P502" s="401"/>
      <c r="Q502" s="401"/>
      <c r="R502" s="401"/>
      <c r="S502" s="401"/>
      <c r="T502" s="401"/>
      <c r="U502" s="401"/>
      <c r="V502" s="401"/>
      <c r="W502" s="401"/>
      <c r="X502" s="401"/>
      <c r="Y502" s="401"/>
      <c r="Z502" s="401"/>
      <c r="AA502" s="401"/>
    </row>
    <row r="503">
      <c r="A503" s="401"/>
      <c r="B503" s="401"/>
      <c r="C503" s="401"/>
      <c r="D503" s="401"/>
      <c r="E503" s="399"/>
      <c r="F503" s="399"/>
      <c r="G503" s="399"/>
      <c r="H503" s="400"/>
      <c r="I503" s="401"/>
      <c r="J503" s="401"/>
      <c r="K503" s="401"/>
      <c r="L503" s="401"/>
      <c r="M503" s="401"/>
      <c r="N503" s="401"/>
      <c r="O503" s="401"/>
      <c r="P503" s="401"/>
      <c r="Q503" s="401"/>
      <c r="R503" s="401"/>
      <c r="S503" s="401"/>
      <c r="T503" s="401"/>
      <c r="U503" s="401"/>
      <c r="V503" s="401"/>
      <c r="W503" s="401"/>
      <c r="X503" s="401"/>
      <c r="Y503" s="401"/>
      <c r="Z503" s="401"/>
      <c r="AA503" s="401"/>
    </row>
    <row r="504">
      <c r="A504" s="401"/>
      <c r="B504" s="401"/>
      <c r="C504" s="401"/>
      <c r="D504" s="401"/>
      <c r="E504" s="399"/>
      <c r="F504" s="399"/>
      <c r="G504" s="399"/>
      <c r="H504" s="400"/>
      <c r="I504" s="401"/>
      <c r="J504" s="401"/>
      <c r="K504" s="401"/>
      <c r="L504" s="401"/>
      <c r="M504" s="401"/>
      <c r="N504" s="401"/>
      <c r="O504" s="401"/>
      <c r="P504" s="401"/>
      <c r="Q504" s="401"/>
      <c r="R504" s="401"/>
      <c r="S504" s="401"/>
      <c r="T504" s="401"/>
      <c r="U504" s="401"/>
      <c r="V504" s="401"/>
      <c r="W504" s="401"/>
      <c r="X504" s="401"/>
      <c r="Y504" s="401"/>
      <c r="Z504" s="401"/>
      <c r="AA504" s="401"/>
    </row>
    <row r="505">
      <c r="A505" s="401"/>
      <c r="B505" s="401"/>
      <c r="C505" s="401"/>
      <c r="D505" s="401"/>
      <c r="E505" s="399"/>
      <c r="F505" s="399"/>
      <c r="G505" s="399"/>
      <c r="H505" s="400"/>
      <c r="I505" s="401"/>
      <c r="J505" s="401"/>
      <c r="K505" s="401"/>
      <c r="L505" s="401"/>
      <c r="M505" s="401"/>
      <c r="N505" s="401"/>
      <c r="O505" s="401"/>
      <c r="P505" s="401"/>
      <c r="Q505" s="401"/>
      <c r="R505" s="401"/>
      <c r="S505" s="401"/>
      <c r="T505" s="401"/>
      <c r="U505" s="401"/>
      <c r="V505" s="401"/>
      <c r="W505" s="401"/>
      <c r="X505" s="401"/>
      <c r="Y505" s="401"/>
      <c r="Z505" s="401"/>
      <c r="AA505" s="401"/>
    </row>
    <row r="506">
      <c r="A506" s="401"/>
      <c r="B506" s="401"/>
      <c r="C506" s="401"/>
      <c r="D506" s="401"/>
      <c r="E506" s="399"/>
      <c r="F506" s="399"/>
      <c r="G506" s="399"/>
      <c r="H506" s="400"/>
      <c r="I506" s="401"/>
      <c r="J506" s="401"/>
      <c r="K506" s="401"/>
      <c r="L506" s="401"/>
      <c r="M506" s="401"/>
      <c r="N506" s="401"/>
      <c r="O506" s="401"/>
      <c r="P506" s="401"/>
      <c r="Q506" s="401"/>
      <c r="R506" s="401"/>
      <c r="S506" s="401"/>
      <c r="T506" s="401"/>
      <c r="U506" s="401"/>
      <c r="V506" s="401"/>
      <c r="W506" s="401"/>
      <c r="X506" s="401"/>
      <c r="Y506" s="401"/>
      <c r="Z506" s="401"/>
      <c r="AA506" s="401"/>
    </row>
    <row r="507">
      <c r="A507" s="401"/>
      <c r="B507" s="401"/>
      <c r="C507" s="401"/>
      <c r="D507" s="401"/>
      <c r="E507" s="399"/>
      <c r="F507" s="399"/>
      <c r="G507" s="399"/>
      <c r="H507" s="400"/>
      <c r="I507" s="401"/>
      <c r="J507" s="401"/>
      <c r="K507" s="401"/>
      <c r="L507" s="401"/>
      <c r="M507" s="401"/>
      <c r="N507" s="401"/>
      <c r="O507" s="401"/>
      <c r="P507" s="401"/>
      <c r="Q507" s="401"/>
      <c r="R507" s="401"/>
      <c r="S507" s="401"/>
      <c r="T507" s="401"/>
      <c r="U507" s="401"/>
      <c r="V507" s="401"/>
      <c r="W507" s="401"/>
      <c r="X507" s="401"/>
      <c r="Y507" s="401"/>
      <c r="Z507" s="401"/>
      <c r="AA507" s="401"/>
    </row>
    <row r="508">
      <c r="A508" s="401"/>
      <c r="B508" s="401"/>
      <c r="C508" s="401"/>
      <c r="D508" s="401"/>
      <c r="E508" s="399"/>
      <c r="F508" s="399"/>
      <c r="G508" s="399"/>
      <c r="H508" s="400"/>
      <c r="I508" s="401"/>
      <c r="J508" s="401"/>
      <c r="K508" s="401"/>
      <c r="L508" s="401"/>
      <c r="M508" s="401"/>
      <c r="N508" s="401"/>
      <c r="O508" s="401"/>
      <c r="P508" s="401"/>
      <c r="Q508" s="401"/>
      <c r="R508" s="401"/>
      <c r="S508" s="401"/>
      <c r="T508" s="401"/>
      <c r="U508" s="401"/>
      <c r="V508" s="401"/>
      <c r="W508" s="401"/>
      <c r="X508" s="401"/>
      <c r="Y508" s="401"/>
      <c r="Z508" s="401"/>
      <c r="AA508" s="401"/>
    </row>
    <row r="509">
      <c r="A509" s="401"/>
      <c r="B509" s="401"/>
      <c r="C509" s="401"/>
      <c r="D509" s="401"/>
      <c r="E509" s="399"/>
      <c r="F509" s="399"/>
      <c r="G509" s="399"/>
      <c r="H509" s="400"/>
      <c r="I509" s="401"/>
      <c r="J509" s="401"/>
      <c r="K509" s="401"/>
      <c r="L509" s="401"/>
      <c r="M509" s="401"/>
      <c r="N509" s="401"/>
      <c r="O509" s="401"/>
      <c r="P509" s="401"/>
      <c r="Q509" s="401"/>
      <c r="R509" s="401"/>
      <c r="S509" s="401"/>
      <c r="T509" s="401"/>
      <c r="U509" s="401"/>
      <c r="V509" s="401"/>
      <c r="W509" s="401"/>
      <c r="X509" s="401"/>
      <c r="Y509" s="401"/>
      <c r="Z509" s="401"/>
      <c r="AA509" s="401"/>
    </row>
    <row r="510">
      <c r="A510" s="401"/>
      <c r="B510" s="401"/>
      <c r="C510" s="401"/>
      <c r="D510" s="401"/>
      <c r="E510" s="399"/>
      <c r="F510" s="399"/>
      <c r="G510" s="399"/>
      <c r="H510" s="400"/>
      <c r="I510" s="401"/>
      <c r="J510" s="401"/>
      <c r="K510" s="401"/>
      <c r="L510" s="401"/>
      <c r="M510" s="401"/>
      <c r="N510" s="401"/>
      <c r="O510" s="401"/>
      <c r="P510" s="401"/>
      <c r="Q510" s="401"/>
      <c r="R510" s="401"/>
      <c r="S510" s="401"/>
      <c r="T510" s="401"/>
      <c r="U510" s="401"/>
      <c r="V510" s="401"/>
      <c r="W510" s="401"/>
      <c r="X510" s="401"/>
      <c r="Y510" s="401"/>
      <c r="Z510" s="401"/>
      <c r="AA510" s="401"/>
    </row>
    <row r="511">
      <c r="A511" s="401"/>
      <c r="B511" s="401"/>
      <c r="C511" s="401"/>
      <c r="D511" s="401"/>
      <c r="E511" s="399"/>
      <c r="F511" s="399"/>
      <c r="G511" s="399"/>
      <c r="H511" s="400"/>
      <c r="I511" s="401"/>
      <c r="J511" s="401"/>
      <c r="K511" s="401"/>
      <c r="L511" s="401"/>
      <c r="M511" s="401"/>
      <c r="N511" s="401"/>
      <c r="O511" s="401"/>
      <c r="P511" s="401"/>
      <c r="Q511" s="401"/>
      <c r="R511" s="401"/>
      <c r="S511" s="401"/>
      <c r="T511" s="401"/>
      <c r="U511" s="401"/>
      <c r="V511" s="401"/>
      <c r="W511" s="401"/>
      <c r="X511" s="401"/>
      <c r="Y511" s="401"/>
      <c r="Z511" s="401"/>
      <c r="AA511" s="401"/>
    </row>
    <row r="512">
      <c r="A512" s="401"/>
      <c r="B512" s="401"/>
      <c r="C512" s="401"/>
      <c r="D512" s="401"/>
      <c r="E512" s="399"/>
      <c r="F512" s="399"/>
      <c r="G512" s="399"/>
      <c r="H512" s="400"/>
      <c r="I512" s="401"/>
      <c r="J512" s="401"/>
      <c r="K512" s="401"/>
      <c r="L512" s="401"/>
      <c r="M512" s="401"/>
      <c r="N512" s="401"/>
      <c r="O512" s="401"/>
      <c r="P512" s="401"/>
      <c r="Q512" s="401"/>
      <c r="R512" s="401"/>
      <c r="S512" s="401"/>
      <c r="T512" s="401"/>
      <c r="U512" s="401"/>
      <c r="V512" s="401"/>
      <c r="W512" s="401"/>
      <c r="X512" s="401"/>
      <c r="Y512" s="401"/>
      <c r="Z512" s="401"/>
      <c r="AA512" s="401"/>
    </row>
    <row r="513">
      <c r="A513" s="401"/>
      <c r="B513" s="401"/>
      <c r="C513" s="401"/>
      <c r="D513" s="401"/>
      <c r="E513" s="399"/>
      <c r="F513" s="399"/>
      <c r="G513" s="399"/>
      <c r="H513" s="400"/>
      <c r="I513" s="401"/>
      <c r="J513" s="401"/>
      <c r="K513" s="401"/>
      <c r="L513" s="401"/>
      <c r="M513" s="401"/>
      <c r="N513" s="401"/>
      <c r="O513" s="401"/>
      <c r="P513" s="401"/>
      <c r="Q513" s="401"/>
      <c r="R513" s="401"/>
      <c r="S513" s="401"/>
      <c r="T513" s="401"/>
      <c r="U513" s="401"/>
      <c r="V513" s="401"/>
      <c r="W513" s="401"/>
      <c r="X513" s="401"/>
      <c r="Y513" s="401"/>
      <c r="Z513" s="401"/>
      <c r="AA513" s="401"/>
    </row>
    <row r="514">
      <c r="A514" s="401"/>
      <c r="B514" s="401"/>
      <c r="C514" s="401"/>
      <c r="D514" s="401"/>
      <c r="E514" s="399"/>
      <c r="F514" s="399"/>
      <c r="G514" s="399"/>
      <c r="H514" s="400"/>
      <c r="I514" s="401"/>
      <c r="J514" s="401"/>
      <c r="K514" s="401"/>
      <c r="L514" s="401"/>
      <c r="M514" s="401"/>
      <c r="N514" s="401"/>
      <c r="O514" s="401"/>
      <c r="P514" s="401"/>
      <c r="Q514" s="401"/>
      <c r="R514" s="401"/>
      <c r="S514" s="401"/>
      <c r="T514" s="401"/>
      <c r="U514" s="401"/>
      <c r="V514" s="401"/>
      <c r="W514" s="401"/>
      <c r="X514" s="401"/>
      <c r="Y514" s="401"/>
      <c r="Z514" s="401"/>
      <c r="AA514" s="401"/>
    </row>
    <row r="515">
      <c r="A515" s="401"/>
      <c r="B515" s="401"/>
      <c r="C515" s="401"/>
      <c r="D515" s="401"/>
      <c r="E515" s="399"/>
      <c r="F515" s="399"/>
      <c r="G515" s="399"/>
      <c r="H515" s="400"/>
      <c r="I515" s="401"/>
      <c r="J515" s="401"/>
      <c r="K515" s="401"/>
      <c r="L515" s="401"/>
      <c r="M515" s="401"/>
      <c r="N515" s="401"/>
      <c r="O515" s="401"/>
      <c r="P515" s="401"/>
      <c r="Q515" s="401"/>
      <c r="R515" s="401"/>
      <c r="S515" s="401"/>
      <c r="T515" s="401"/>
      <c r="U515" s="401"/>
      <c r="V515" s="401"/>
      <c r="W515" s="401"/>
      <c r="X515" s="401"/>
      <c r="Y515" s="401"/>
      <c r="Z515" s="401"/>
      <c r="AA515" s="401"/>
    </row>
    <row r="516">
      <c r="A516" s="401"/>
      <c r="B516" s="401"/>
      <c r="C516" s="401"/>
      <c r="D516" s="401"/>
      <c r="E516" s="399"/>
      <c r="F516" s="399"/>
      <c r="G516" s="399"/>
      <c r="H516" s="400"/>
      <c r="I516" s="401"/>
      <c r="J516" s="401"/>
      <c r="K516" s="401"/>
      <c r="L516" s="401"/>
      <c r="M516" s="401"/>
      <c r="N516" s="401"/>
      <c r="O516" s="401"/>
      <c r="P516" s="401"/>
      <c r="Q516" s="401"/>
      <c r="R516" s="401"/>
      <c r="S516" s="401"/>
      <c r="T516" s="401"/>
      <c r="U516" s="401"/>
      <c r="V516" s="401"/>
      <c r="W516" s="401"/>
      <c r="X516" s="401"/>
      <c r="Y516" s="401"/>
      <c r="Z516" s="401"/>
      <c r="AA516" s="401"/>
    </row>
    <row r="517">
      <c r="A517" s="401"/>
      <c r="B517" s="401"/>
      <c r="C517" s="401"/>
      <c r="D517" s="401"/>
      <c r="E517" s="399"/>
      <c r="F517" s="399"/>
      <c r="G517" s="399"/>
      <c r="H517" s="400"/>
      <c r="I517" s="401"/>
      <c r="J517" s="401"/>
      <c r="K517" s="401"/>
      <c r="L517" s="401"/>
      <c r="M517" s="401"/>
      <c r="N517" s="401"/>
      <c r="O517" s="401"/>
      <c r="P517" s="401"/>
      <c r="Q517" s="401"/>
      <c r="R517" s="401"/>
      <c r="S517" s="401"/>
      <c r="T517" s="401"/>
      <c r="U517" s="401"/>
      <c r="V517" s="401"/>
      <c r="W517" s="401"/>
      <c r="X517" s="401"/>
      <c r="Y517" s="401"/>
      <c r="Z517" s="401"/>
      <c r="AA517" s="401"/>
    </row>
    <row r="518">
      <c r="A518" s="401"/>
      <c r="B518" s="401"/>
      <c r="C518" s="401"/>
      <c r="D518" s="401"/>
      <c r="E518" s="399"/>
      <c r="F518" s="399"/>
      <c r="G518" s="399"/>
      <c r="H518" s="400"/>
      <c r="I518" s="401"/>
      <c r="J518" s="401"/>
      <c r="K518" s="401"/>
      <c r="L518" s="401"/>
      <c r="M518" s="401"/>
      <c r="N518" s="401"/>
      <c r="O518" s="401"/>
      <c r="P518" s="401"/>
      <c r="Q518" s="401"/>
      <c r="R518" s="401"/>
      <c r="S518" s="401"/>
      <c r="T518" s="401"/>
      <c r="U518" s="401"/>
      <c r="V518" s="401"/>
      <c r="W518" s="401"/>
      <c r="X518" s="401"/>
      <c r="Y518" s="401"/>
      <c r="Z518" s="401"/>
      <c r="AA518" s="401"/>
    </row>
    <row r="519">
      <c r="A519" s="401"/>
      <c r="B519" s="401"/>
      <c r="C519" s="401"/>
      <c r="D519" s="401"/>
      <c r="E519" s="399"/>
      <c r="F519" s="399"/>
      <c r="G519" s="399"/>
      <c r="H519" s="400"/>
      <c r="I519" s="401"/>
      <c r="J519" s="401"/>
      <c r="K519" s="401"/>
      <c r="L519" s="401"/>
      <c r="M519" s="401"/>
      <c r="N519" s="401"/>
      <c r="O519" s="401"/>
      <c r="P519" s="401"/>
      <c r="Q519" s="401"/>
      <c r="R519" s="401"/>
      <c r="S519" s="401"/>
      <c r="T519" s="401"/>
      <c r="U519" s="401"/>
      <c r="V519" s="401"/>
      <c r="W519" s="401"/>
      <c r="X519" s="401"/>
      <c r="Y519" s="401"/>
      <c r="Z519" s="401"/>
      <c r="AA519" s="401"/>
    </row>
    <row r="520">
      <c r="A520" s="401"/>
      <c r="B520" s="401"/>
      <c r="C520" s="401"/>
      <c r="D520" s="401"/>
      <c r="E520" s="399"/>
      <c r="F520" s="399"/>
      <c r="G520" s="399"/>
      <c r="H520" s="400"/>
      <c r="I520" s="401"/>
      <c r="J520" s="401"/>
      <c r="K520" s="401"/>
      <c r="L520" s="401"/>
      <c r="M520" s="401"/>
      <c r="N520" s="401"/>
      <c r="O520" s="401"/>
      <c r="P520" s="401"/>
      <c r="Q520" s="401"/>
      <c r="R520" s="401"/>
      <c r="S520" s="401"/>
      <c r="T520" s="401"/>
      <c r="U520" s="401"/>
      <c r="V520" s="401"/>
      <c r="W520" s="401"/>
      <c r="X520" s="401"/>
      <c r="Y520" s="401"/>
      <c r="Z520" s="401"/>
      <c r="AA520" s="401"/>
    </row>
    <row r="521">
      <c r="A521" s="401"/>
      <c r="B521" s="401"/>
      <c r="C521" s="401"/>
      <c r="D521" s="401"/>
      <c r="E521" s="399"/>
      <c r="F521" s="399"/>
      <c r="G521" s="399"/>
      <c r="H521" s="400"/>
      <c r="I521" s="401"/>
      <c r="J521" s="401"/>
      <c r="K521" s="401"/>
      <c r="L521" s="401"/>
      <c r="M521" s="401"/>
      <c r="N521" s="401"/>
      <c r="O521" s="401"/>
      <c r="P521" s="401"/>
      <c r="Q521" s="401"/>
      <c r="R521" s="401"/>
      <c r="S521" s="401"/>
      <c r="T521" s="401"/>
      <c r="U521" s="401"/>
      <c r="V521" s="401"/>
      <c r="W521" s="401"/>
      <c r="X521" s="401"/>
      <c r="Y521" s="401"/>
      <c r="Z521" s="401"/>
      <c r="AA521" s="401"/>
    </row>
    <row r="522">
      <c r="A522" s="401"/>
      <c r="B522" s="401"/>
      <c r="C522" s="401"/>
      <c r="D522" s="401"/>
      <c r="E522" s="399"/>
      <c r="F522" s="399"/>
      <c r="G522" s="399"/>
      <c r="H522" s="400"/>
      <c r="I522" s="401"/>
      <c r="J522" s="401"/>
      <c r="K522" s="401"/>
      <c r="L522" s="401"/>
      <c r="M522" s="401"/>
      <c r="N522" s="401"/>
      <c r="O522" s="401"/>
      <c r="P522" s="401"/>
      <c r="Q522" s="401"/>
      <c r="R522" s="401"/>
      <c r="S522" s="401"/>
      <c r="T522" s="401"/>
      <c r="U522" s="401"/>
      <c r="V522" s="401"/>
      <c r="W522" s="401"/>
      <c r="X522" s="401"/>
      <c r="Y522" s="401"/>
      <c r="Z522" s="401"/>
      <c r="AA522" s="401"/>
    </row>
    <row r="523">
      <c r="A523" s="401"/>
      <c r="B523" s="401"/>
      <c r="C523" s="401"/>
      <c r="D523" s="401"/>
      <c r="E523" s="399"/>
      <c r="F523" s="399"/>
      <c r="G523" s="399"/>
      <c r="H523" s="400"/>
      <c r="I523" s="401"/>
      <c r="J523" s="401"/>
      <c r="K523" s="401"/>
      <c r="L523" s="401"/>
      <c r="M523" s="401"/>
      <c r="N523" s="401"/>
      <c r="O523" s="401"/>
      <c r="P523" s="401"/>
      <c r="Q523" s="401"/>
      <c r="R523" s="401"/>
      <c r="S523" s="401"/>
      <c r="T523" s="401"/>
      <c r="U523" s="401"/>
      <c r="V523" s="401"/>
      <c r="W523" s="401"/>
      <c r="X523" s="401"/>
      <c r="Y523" s="401"/>
      <c r="Z523" s="401"/>
      <c r="AA523" s="401"/>
    </row>
    <row r="524">
      <c r="A524" s="401"/>
      <c r="B524" s="401"/>
      <c r="C524" s="401"/>
      <c r="D524" s="401"/>
      <c r="E524" s="399"/>
      <c r="F524" s="399"/>
      <c r="G524" s="399"/>
      <c r="H524" s="400"/>
      <c r="I524" s="401"/>
      <c r="J524" s="401"/>
      <c r="K524" s="401"/>
      <c r="L524" s="401"/>
      <c r="M524" s="401"/>
      <c r="N524" s="401"/>
      <c r="O524" s="401"/>
      <c r="P524" s="401"/>
      <c r="Q524" s="401"/>
      <c r="R524" s="401"/>
      <c r="S524" s="401"/>
      <c r="T524" s="401"/>
      <c r="U524" s="401"/>
      <c r="V524" s="401"/>
      <c r="W524" s="401"/>
      <c r="X524" s="401"/>
      <c r="Y524" s="401"/>
      <c r="Z524" s="401"/>
      <c r="AA524" s="401"/>
    </row>
    <row r="525">
      <c r="A525" s="401"/>
      <c r="B525" s="401"/>
      <c r="C525" s="401"/>
      <c r="D525" s="401"/>
      <c r="E525" s="399"/>
      <c r="F525" s="399"/>
      <c r="G525" s="399"/>
      <c r="H525" s="400"/>
      <c r="I525" s="401"/>
      <c r="J525" s="401"/>
      <c r="K525" s="401"/>
      <c r="L525" s="401"/>
      <c r="M525" s="401"/>
      <c r="N525" s="401"/>
      <c r="O525" s="401"/>
      <c r="P525" s="401"/>
      <c r="Q525" s="401"/>
      <c r="R525" s="401"/>
      <c r="S525" s="401"/>
      <c r="T525" s="401"/>
      <c r="U525" s="401"/>
      <c r="V525" s="401"/>
      <c r="W525" s="401"/>
      <c r="X525" s="401"/>
      <c r="Y525" s="401"/>
      <c r="Z525" s="401"/>
      <c r="AA525" s="401"/>
    </row>
    <row r="526">
      <c r="A526" s="401"/>
      <c r="B526" s="401"/>
      <c r="C526" s="401"/>
      <c r="D526" s="401"/>
      <c r="E526" s="399"/>
      <c r="F526" s="399"/>
      <c r="G526" s="399"/>
      <c r="H526" s="400"/>
      <c r="I526" s="401"/>
      <c r="J526" s="401"/>
      <c r="K526" s="401"/>
      <c r="L526" s="401"/>
      <c r="M526" s="401"/>
      <c r="N526" s="401"/>
      <c r="O526" s="401"/>
      <c r="P526" s="401"/>
      <c r="Q526" s="401"/>
      <c r="R526" s="401"/>
      <c r="S526" s="401"/>
      <c r="T526" s="401"/>
      <c r="U526" s="401"/>
      <c r="V526" s="401"/>
      <c r="W526" s="401"/>
      <c r="X526" s="401"/>
      <c r="Y526" s="401"/>
      <c r="Z526" s="401"/>
      <c r="AA526" s="401"/>
    </row>
    <row r="527">
      <c r="A527" s="401"/>
      <c r="B527" s="401"/>
      <c r="C527" s="401"/>
      <c r="D527" s="401"/>
      <c r="E527" s="399"/>
      <c r="F527" s="399"/>
      <c r="G527" s="399"/>
      <c r="H527" s="400"/>
      <c r="I527" s="401"/>
      <c r="J527" s="401"/>
      <c r="K527" s="401"/>
      <c r="L527" s="401"/>
      <c r="M527" s="401"/>
      <c r="N527" s="401"/>
      <c r="O527" s="401"/>
      <c r="P527" s="401"/>
      <c r="Q527" s="401"/>
      <c r="R527" s="401"/>
      <c r="S527" s="401"/>
      <c r="T527" s="401"/>
      <c r="U527" s="401"/>
      <c r="V527" s="401"/>
      <c r="W527" s="401"/>
      <c r="X527" s="401"/>
      <c r="Y527" s="401"/>
      <c r="Z527" s="401"/>
      <c r="AA527" s="401"/>
    </row>
    <row r="528">
      <c r="A528" s="401"/>
      <c r="B528" s="401"/>
      <c r="C528" s="401"/>
      <c r="D528" s="401"/>
      <c r="E528" s="399"/>
      <c r="F528" s="399"/>
      <c r="G528" s="399"/>
      <c r="H528" s="400"/>
      <c r="I528" s="401"/>
      <c r="J528" s="401"/>
      <c r="K528" s="401"/>
      <c r="L528" s="401"/>
      <c r="M528" s="401"/>
      <c r="N528" s="401"/>
      <c r="O528" s="401"/>
      <c r="P528" s="401"/>
      <c r="Q528" s="401"/>
      <c r="R528" s="401"/>
      <c r="S528" s="401"/>
      <c r="T528" s="401"/>
      <c r="U528" s="401"/>
      <c r="V528" s="401"/>
      <c r="W528" s="401"/>
      <c r="X528" s="401"/>
      <c r="Y528" s="401"/>
      <c r="Z528" s="401"/>
      <c r="AA528" s="401"/>
    </row>
    <row r="529">
      <c r="A529" s="401"/>
      <c r="B529" s="401"/>
      <c r="C529" s="401"/>
      <c r="D529" s="401"/>
      <c r="E529" s="399"/>
      <c r="F529" s="399"/>
      <c r="G529" s="399"/>
      <c r="H529" s="400"/>
      <c r="I529" s="401"/>
      <c r="J529" s="401"/>
      <c r="K529" s="401"/>
      <c r="L529" s="401"/>
      <c r="M529" s="401"/>
      <c r="N529" s="401"/>
      <c r="O529" s="401"/>
      <c r="P529" s="401"/>
      <c r="Q529" s="401"/>
      <c r="R529" s="401"/>
      <c r="S529" s="401"/>
      <c r="T529" s="401"/>
      <c r="U529" s="401"/>
      <c r="V529" s="401"/>
      <c r="W529" s="401"/>
      <c r="X529" s="401"/>
      <c r="Y529" s="401"/>
      <c r="Z529" s="401"/>
      <c r="AA529" s="401"/>
    </row>
    <row r="530">
      <c r="A530" s="401"/>
      <c r="B530" s="401"/>
      <c r="C530" s="401"/>
      <c r="D530" s="401"/>
      <c r="E530" s="399"/>
      <c r="F530" s="399"/>
      <c r="G530" s="399"/>
      <c r="H530" s="400"/>
      <c r="I530" s="401"/>
      <c r="J530" s="401"/>
      <c r="K530" s="401"/>
      <c r="L530" s="401"/>
      <c r="M530" s="401"/>
      <c r="N530" s="401"/>
      <c r="O530" s="401"/>
      <c r="P530" s="401"/>
      <c r="Q530" s="401"/>
      <c r="R530" s="401"/>
      <c r="S530" s="401"/>
      <c r="T530" s="401"/>
      <c r="U530" s="401"/>
      <c r="V530" s="401"/>
      <c r="W530" s="401"/>
      <c r="X530" s="401"/>
      <c r="Y530" s="401"/>
      <c r="Z530" s="401"/>
      <c r="AA530" s="401"/>
    </row>
    <row r="531">
      <c r="A531" s="401"/>
      <c r="B531" s="401"/>
      <c r="C531" s="401"/>
      <c r="D531" s="401"/>
      <c r="E531" s="399"/>
      <c r="F531" s="399"/>
      <c r="G531" s="399"/>
      <c r="H531" s="400"/>
      <c r="I531" s="401"/>
      <c r="J531" s="401"/>
      <c r="K531" s="401"/>
      <c r="L531" s="401"/>
      <c r="M531" s="401"/>
      <c r="N531" s="401"/>
      <c r="O531" s="401"/>
      <c r="P531" s="401"/>
      <c r="Q531" s="401"/>
      <c r="R531" s="401"/>
      <c r="S531" s="401"/>
      <c r="T531" s="401"/>
      <c r="U531" s="401"/>
      <c r="V531" s="401"/>
      <c r="W531" s="401"/>
      <c r="X531" s="401"/>
      <c r="Y531" s="401"/>
      <c r="Z531" s="401"/>
      <c r="AA531" s="401"/>
    </row>
    <row r="532">
      <c r="A532" s="401"/>
      <c r="B532" s="401"/>
      <c r="C532" s="401"/>
      <c r="D532" s="401"/>
      <c r="E532" s="399"/>
      <c r="F532" s="399"/>
      <c r="G532" s="399"/>
      <c r="H532" s="400"/>
      <c r="I532" s="401"/>
      <c r="J532" s="401"/>
      <c r="K532" s="401"/>
      <c r="L532" s="401"/>
      <c r="M532" s="401"/>
      <c r="N532" s="401"/>
      <c r="O532" s="401"/>
      <c r="P532" s="401"/>
      <c r="Q532" s="401"/>
      <c r="R532" s="401"/>
      <c r="S532" s="401"/>
      <c r="T532" s="401"/>
      <c r="U532" s="401"/>
      <c r="V532" s="401"/>
      <c r="W532" s="401"/>
      <c r="X532" s="401"/>
      <c r="Y532" s="401"/>
      <c r="Z532" s="401"/>
      <c r="AA532" s="401"/>
    </row>
    <row r="533">
      <c r="A533" s="401"/>
      <c r="B533" s="401"/>
      <c r="C533" s="401"/>
      <c r="D533" s="401"/>
      <c r="E533" s="399"/>
      <c r="F533" s="399"/>
      <c r="G533" s="399"/>
      <c r="H533" s="400"/>
      <c r="I533" s="401"/>
      <c r="J533" s="401"/>
      <c r="K533" s="401"/>
      <c r="L533" s="401"/>
      <c r="M533" s="401"/>
      <c r="N533" s="401"/>
      <c r="O533" s="401"/>
      <c r="P533" s="401"/>
      <c r="Q533" s="401"/>
      <c r="R533" s="401"/>
      <c r="S533" s="401"/>
      <c r="T533" s="401"/>
      <c r="U533" s="401"/>
      <c r="V533" s="401"/>
      <c r="W533" s="401"/>
      <c r="X533" s="401"/>
      <c r="Y533" s="401"/>
      <c r="Z533" s="401"/>
      <c r="AA533" s="401"/>
    </row>
    <row r="534">
      <c r="A534" s="401"/>
      <c r="B534" s="401"/>
      <c r="C534" s="401"/>
      <c r="D534" s="401"/>
      <c r="E534" s="399"/>
      <c r="F534" s="399"/>
      <c r="G534" s="399"/>
      <c r="H534" s="400"/>
      <c r="I534" s="401"/>
      <c r="J534" s="401"/>
      <c r="K534" s="401"/>
      <c r="L534" s="401"/>
      <c r="M534" s="401"/>
      <c r="N534" s="401"/>
      <c r="O534" s="401"/>
      <c r="P534" s="401"/>
      <c r="Q534" s="401"/>
      <c r="R534" s="401"/>
      <c r="S534" s="401"/>
      <c r="T534" s="401"/>
      <c r="U534" s="401"/>
      <c r="V534" s="401"/>
      <c r="W534" s="401"/>
      <c r="X534" s="401"/>
      <c r="Y534" s="401"/>
      <c r="Z534" s="401"/>
      <c r="AA534" s="401"/>
    </row>
    <row r="535">
      <c r="A535" s="401"/>
      <c r="B535" s="401"/>
      <c r="C535" s="401"/>
      <c r="D535" s="401"/>
      <c r="E535" s="399"/>
      <c r="F535" s="399"/>
      <c r="G535" s="399"/>
      <c r="H535" s="400"/>
      <c r="I535" s="401"/>
      <c r="J535" s="401"/>
      <c r="K535" s="401"/>
      <c r="L535" s="401"/>
      <c r="M535" s="401"/>
      <c r="N535" s="401"/>
      <c r="O535" s="401"/>
      <c r="P535" s="401"/>
      <c r="Q535" s="401"/>
      <c r="R535" s="401"/>
      <c r="S535" s="401"/>
      <c r="T535" s="401"/>
      <c r="U535" s="401"/>
      <c r="V535" s="401"/>
      <c r="W535" s="401"/>
      <c r="X535" s="401"/>
      <c r="Y535" s="401"/>
      <c r="Z535" s="401"/>
      <c r="AA535" s="401"/>
    </row>
    <row r="536">
      <c r="A536" s="401"/>
      <c r="B536" s="401"/>
      <c r="C536" s="401"/>
      <c r="D536" s="401"/>
      <c r="E536" s="399"/>
      <c r="F536" s="399"/>
      <c r="G536" s="399"/>
      <c r="H536" s="400"/>
      <c r="I536" s="401"/>
      <c r="J536" s="401"/>
      <c r="K536" s="401"/>
      <c r="L536" s="401"/>
      <c r="M536" s="401"/>
      <c r="N536" s="401"/>
      <c r="O536" s="401"/>
      <c r="P536" s="401"/>
      <c r="Q536" s="401"/>
      <c r="R536" s="401"/>
      <c r="S536" s="401"/>
      <c r="T536" s="401"/>
      <c r="U536" s="401"/>
      <c r="V536" s="401"/>
      <c r="W536" s="401"/>
      <c r="X536" s="401"/>
      <c r="Y536" s="401"/>
      <c r="Z536" s="401"/>
      <c r="AA536" s="401"/>
    </row>
    <row r="537">
      <c r="A537" s="401"/>
      <c r="B537" s="401"/>
      <c r="C537" s="401"/>
      <c r="D537" s="401"/>
      <c r="E537" s="399"/>
      <c r="F537" s="399"/>
      <c r="G537" s="399"/>
      <c r="H537" s="400"/>
      <c r="I537" s="401"/>
      <c r="J537" s="401"/>
      <c r="K537" s="401"/>
      <c r="L537" s="401"/>
      <c r="M537" s="401"/>
      <c r="N537" s="401"/>
      <c r="O537" s="401"/>
      <c r="P537" s="401"/>
      <c r="Q537" s="401"/>
      <c r="R537" s="401"/>
      <c r="S537" s="401"/>
      <c r="T537" s="401"/>
      <c r="U537" s="401"/>
      <c r="V537" s="401"/>
      <c r="W537" s="401"/>
      <c r="X537" s="401"/>
      <c r="Y537" s="401"/>
      <c r="Z537" s="401"/>
      <c r="AA537" s="401"/>
    </row>
    <row r="538">
      <c r="A538" s="401"/>
      <c r="B538" s="401"/>
      <c r="C538" s="401"/>
      <c r="D538" s="401"/>
      <c r="E538" s="399"/>
      <c r="F538" s="399"/>
      <c r="G538" s="399"/>
      <c r="H538" s="400"/>
      <c r="I538" s="401"/>
      <c r="J538" s="401"/>
      <c r="K538" s="401"/>
      <c r="L538" s="401"/>
      <c r="M538" s="401"/>
      <c r="N538" s="401"/>
      <c r="O538" s="401"/>
      <c r="P538" s="401"/>
      <c r="Q538" s="401"/>
      <c r="R538" s="401"/>
      <c r="S538" s="401"/>
      <c r="T538" s="401"/>
      <c r="U538" s="401"/>
      <c r="V538" s="401"/>
      <c r="W538" s="401"/>
      <c r="X538" s="401"/>
      <c r="Y538" s="401"/>
      <c r="Z538" s="401"/>
      <c r="AA538" s="401"/>
    </row>
    <row r="539">
      <c r="A539" s="401"/>
      <c r="B539" s="401"/>
      <c r="C539" s="401"/>
      <c r="D539" s="401"/>
      <c r="E539" s="399"/>
      <c r="F539" s="399"/>
      <c r="G539" s="399"/>
      <c r="H539" s="400"/>
      <c r="I539" s="401"/>
      <c r="J539" s="401"/>
      <c r="K539" s="401"/>
      <c r="L539" s="401"/>
      <c r="M539" s="401"/>
      <c r="N539" s="401"/>
      <c r="O539" s="401"/>
      <c r="P539" s="401"/>
      <c r="Q539" s="401"/>
      <c r="R539" s="401"/>
      <c r="S539" s="401"/>
      <c r="T539" s="401"/>
      <c r="U539" s="401"/>
      <c r="V539" s="401"/>
      <c r="W539" s="401"/>
      <c r="X539" s="401"/>
      <c r="Y539" s="401"/>
      <c r="Z539" s="401"/>
      <c r="AA539" s="401"/>
    </row>
    <row r="540">
      <c r="A540" s="401"/>
      <c r="B540" s="401"/>
      <c r="C540" s="401"/>
      <c r="D540" s="401"/>
      <c r="E540" s="399"/>
      <c r="F540" s="399"/>
      <c r="G540" s="399"/>
      <c r="H540" s="400"/>
      <c r="I540" s="401"/>
      <c r="J540" s="401"/>
      <c r="K540" s="401"/>
      <c r="L540" s="401"/>
      <c r="M540" s="401"/>
      <c r="N540" s="401"/>
      <c r="O540" s="401"/>
      <c r="P540" s="401"/>
      <c r="Q540" s="401"/>
      <c r="R540" s="401"/>
      <c r="S540" s="401"/>
      <c r="T540" s="401"/>
      <c r="U540" s="401"/>
      <c r="V540" s="401"/>
      <c r="W540" s="401"/>
      <c r="X540" s="401"/>
      <c r="Y540" s="401"/>
      <c r="Z540" s="401"/>
      <c r="AA540" s="401"/>
    </row>
    <row r="541">
      <c r="A541" s="401"/>
      <c r="B541" s="401"/>
      <c r="C541" s="401"/>
      <c r="D541" s="401"/>
      <c r="E541" s="399"/>
      <c r="F541" s="399"/>
      <c r="G541" s="399"/>
      <c r="H541" s="400"/>
      <c r="I541" s="401"/>
      <c r="J541" s="401"/>
      <c r="K541" s="401"/>
      <c r="L541" s="401"/>
      <c r="M541" s="401"/>
      <c r="N541" s="401"/>
      <c r="O541" s="401"/>
      <c r="P541" s="401"/>
      <c r="Q541" s="401"/>
      <c r="R541" s="401"/>
      <c r="S541" s="401"/>
      <c r="T541" s="401"/>
      <c r="U541" s="401"/>
      <c r="V541" s="401"/>
      <c r="W541" s="401"/>
      <c r="X541" s="401"/>
      <c r="Y541" s="401"/>
      <c r="Z541" s="401"/>
      <c r="AA541" s="401"/>
    </row>
    <row r="542">
      <c r="A542" s="401"/>
      <c r="B542" s="401"/>
      <c r="C542" s="401"/>
      <c r="D542" s="401"/>
      <c r="E542" s="399"/>
      <c r="F542" s="399"/>
      <c r="G542" s="399"/>
      <c r="H542" s="400"/>
      <c r="I542" s="401"/>
      <c r="J542" s="401"/>
      <c r="K542" s="401"/>
      <c r="L542" s="401"/>
      <c r="M542" s="401"/>
      <c r="N542" s="401"/>
      <c r="O542" s="401"/>
      <c r="P542" s="401"/>
      <c r="Q542" s="401"/>
      <c r="R542" s="401"/>
      <c r="S542" s="401"/>
      <c r="T542" s="401"/>
      <c r="U542" s="401"/>
      <c r="V542" s="401"/>
      <c r="W542" s="401"/>
      <c r="X542" s="401"/>
      <c r="Y542" s="401"/>
      <c r="Z542" s="401"/>
      <c r="AA542" s="401"/>
    </row>
    <row r="543">
      <c r="A543" s="401"/>
      <c r="B543" s="401"/>
      <c r="C543" s="401"/>
      <c r="D543" s="401"/>
      <c r="E543" s="399"/>
      <c r="F543" s="399"/>
      <c r="G543" s="399"/>
      <c r="H543" s="400"/>
      <c r="I543" s="401"/>
      <c r="J543" s="401"/>
      <c r="K543" s="401"/>
      <c r="L543" s="401"/>
      <c r="M543" s="401"/>
      <c r="N543" s="401"/>
      <c r="O543" s="401"/>
      <c r="P543" s="401"/>
      <c r="Q543" s="401"/>
      <c r="R543" s="401"/>
      <c r="S543" s="401"/>
      <c r="T543" s="401"/>
      <c r="U543" s="401"/>
      <c r="V543" s="401"/>
      <c r="W543" s="401"/>
      <c r="X543" s="401"/>
      <c r="Y543" s="401"/>
      <c r="Z543" s="401"/>
      <c r="AA543" s="401"/>
    </row>
    <row r="544">
      <c r="A544" s="401"/>
      <c r="B544" s="401"/>
      <c r="C544" s="401"/>
      <c r="D544" s="401"/>
      <c r="E544" s="399"/>
      <c r="F544" s="399"/>
      <c r="G544" s="399"/>
      <c r="H544" s="400"/>
      <c r="I544" s="401"/>
      <c r="J544" s="401"/>
      <c r="K544" s="401"/>
      <c r="L544" s="401"/>
      <c r="M544" s="401"/>
      <c r="N544" s="401"/>
      <c r="O544" s="401"/>
      <c r="P544" s="401"/>
      <c r="Q544" s="401"/>
      <c r="R544" s="401"/>
      <c r="S544" s="401"/>
      <c r="T544" s="401"/>
      <c r="U544" s="401"/>
      <c r="V544" s="401"/>
      <c r="W544" s="401"/>
      <c r="X544" s="401"/>
      <c r="Y544" s="401"/>
      <c r="Z544" s="401"/>
      <c r="AA544" s="401"/>
    </row>
    <row r="545">
      <c r="A545" s="401"/>
      <c r="B545" s="401"/>
      <c r="C545" s="401"/>
      <c r="D545" s="401"/>
      <c r="E545" s="399"/>
      <c r="F545" s="399"/>
      <c r="G545" s="399"/>
      <c r="H545" s="400"/>
      <c r="I545" s="401"/>
      <c r="J545" s="401"/>
      <c r="K545" s="401"/>
      <c r="L545" s="401"/>
      <c r="M545" s="401"/>
      <c r="N545" s="401"/>
      <c r="O545" s="401"/>
      <c r="P545" s="401"/>
      <c r="Q545" s="401"/>
      <c r="R545" s="401"/>
      <c r="S545" s="401"/>
      <c r="T545" s="401"/>
      <c r="U545" s="401"/>
      <c r="V545" s="401"/>
      <c r="W545" s="401"/>
      <c r="X545" s="401"/>
      <c r="Y545" s="401"/>
      <c r="Z545" s="401"/>
      <c r="AA545" s="401"/>
    </row>
    <row r="546">
      <c r="A546" s="401"/>
      <c r="B546" s="401"/>
      <c r="C546" s="401"/>
      <c r="D546" s="401"/>
      <c r="E546" s="399"/>
      <c r="F546" s="399"/>
      <c r="G546" s="399"/>
      <c r="H546" s="400"/>
      <c r="I546" s="401"/>
      <c r="J546" s="401"/>
      <c r="K546" s="401"/>
      <c r="L546" s="401"/>
      <c r="M546" s="401"/>
      <c r="N546" s="401"/>
      <c r="O546" s="401"/>
      <c r="P546" s="401"/>
      <c r="Q546" s="401"/>
      <c r="R546" s="401"/>
      <c r="S546" s="401"/>
      <c r="T546" s="401"/>
      <c r="U546" s="401"/>
      <c r="V546" s="401"/>
      <c r="W546" s="401"/>
      <c r="X546" s="401"/>
      <c r="Y546" s="401"/>
      <c r="Z546" s="401"/>
      <c r="AA546" s="401"/>
    </row>
    <row r="547">
      <c r="A547" s="401"/>
      <c r="B547" s="401"/>
      <c r="C547" s="401"/>
      <c r="D547" s="401"/>
      <c r="E547" s="399"/>
      <c r="F547" s="399"/>
      <c r="G547" s="399"/>
      <c r="H547" s="400"/>
      <c r="I547" s="401"/>
      <c r="J547" s="401"/>
      <c r="K547" s="401"/>
      <c r="L547" s="401"/>
      <c r="M547" s="401"/>
      <c r="N547" s="401"/>
      <c r="O547" s="401"/>
      <c r="P547" s="401"/>
      <c r="Q547" s="401"/>
      <c r="R547" s="401"/>
      <c r="S547" s="401"/>
      <c r="T547" s="401"/>
      <c r="U547" s="401"/>
      <c r="V547" s="401"/>
      <c r="W547" s="401"/>
      <c r="X547" s="401"/>
      <c r="Y547" s="401"/>
      <c r="Z547" s="401"/>
      <c r="AA547" s="401"/>
    </row>
    <row r="548">
      <c r="A548" s="401"/>
      <c r="B548" s="401"/>
      <c r="C548" s="401"/>
      <c r="D548" s="401"/>
      <c r="E548" s="399"/>
      <c r="F548" s="399"/>
      <c r="G548" s="399"/>
      <c r="H548" s="400"/>
      <c r="I548" s="401"/>
      <c r="J548" s="401"/>
      <c r="K548" s="401"/>
      <c r="L548" s="401"/>
      <c r="M548" s="401"/>
      <c r="N548" s="401"/>
      <c r="O548" s="401"/>
      <c r="P548" s="401"/>
      <c r="Q548" s="401"/>
      <c r="R548" s="401"/>
      <c r="S548" s="401"/>
      <c r="T548" s="401"/>
      <c r="U548" s="401"/>
      <c r="V548" s="401"/>
      <c r="W548" s="401"/>
      <c r="X548" s="401"/>
      <c r="Y548" s="401"/>
      <c r="Z548" s="401"/>
      <c r="AA548" s="401"/>
    </row>
    <row r="549">
      <c r="A549" s="401"/>
      <c r="B549" s="401"/>
      <c r="C549" s="401"/>
      <c r="D549" s="401"/>
      <c r="E549" s="399"/>
      <c r="F549" s="399"/>
      <c r="G549" s="399"/>
      <c r="H549" s="400"/>
      <c r="I549" s="401"/>
      <c r="J549" s="401"/>
      <c r="K549" s="401"/>
      <c r="L549" s="401"/>
      <c r="M549" s="401"/>
      <c r="N549" s="401"/>
      <c r="O549" s="401"/>
      <c r="P549" s="401"/>
      <c r="Q549" s="401"/>
      <c r="R549" s="401"/>
      <c r="S549" s="401"/>
      <c r="T549" s="401"/>
      <c r="U549" s="401"/>
      <c r="V549" s="401"/>
      <c r="W549" s="401"/>
      <c r="X549" s="401"/>
      <c r="Y549" s="401"/>
      <c r="Z549" s="401"/>
      <c r="AA549" s="401"/>
    </row>
    <row r="550">
      <c r="A550" s="401"/>
      <c r="B550" s="401"/>
      <c r="C550" s="401"/>
      <c r="D550" s="401"/>
      <c r="E550" s="399"/>
      <c r="F550" s="399"/>
      <c r="G550" s="399"/>
      <c r="H550" s="400"/>
      <c r="I550" s="401"/>
      <c r="J550" s="401"/>
      <c r="K550" s="401"/>
      <c r="L550" s="401"/>
      <c r="M550" s="401"/>
      <c r="N550" s="401"/>
      <c r="O550" s="401"/>
      <c r="P550" s="401"/>
      <c r="Q550" s="401"/>
      <c r="R550" s="401"/>
      <c r="S550" s="401"/>
      <c r="T550" s="401"/>
      <c r="U550" s="401"/>
      <c r="V550" s="401"/>
      <c r="W550" s="401"/>
      <c r="X550" s="401"/>
      <c r="Y550" s="401"/>
      <c r="Z550" s="401"/>
      <c r="AA550" s="401"/>
    </row>
    <row r="551">
      <c r="A551" s="401"/>
      <c r="B551" s="401"/>
      <c r="C551" s="401"/>
      <c r="D551" s="401"/>
      <c r="E551" s="399"/>
      <c r="F551" s="399"/>
      <c r="G551" s="399"/>
      <c r="H551" s="400"/>
      <c r="I551" s="401"/>
      <c r="J551" s="401"/>
      <c r="K551" s="401"/>
      <c r="L551" s="401"/>
      <c r="M551" s="401"/>
      <c r="N551" s="401"/>
      <c r="O551" s="401"/>
      <c r="P551" s="401"/>
      <c r="Q551" s="401"/>
      <c r="R551" s="401"/>
      <c r="S551" s="401"/>
      <c r="T551" s="401"/>
      <c r="U551" s="401"/>
      <c r="V551" s="401"/>
      <c r="W551" s="401"/>
      <c r="X551" s="401"/>
      <c r="Y551" s="401"/>
      <c r="Z551" s="401"/>
      <c r="AA551" s="401"/>
    </row>
    <row r="552">
      <c r="A552" s="401"/>
      <c r="B552" s="401"/>
      <c r="C552" s="401"/>
      <c r="D552" s="401"/>
      <c r="E552" s="399"/>
      <c r="F552" s="399"/>
      <c r="G552" s="399"/>
      <c r="H552" s="400"/>
      <c r="I552" s="401"/>
      <c r="J552" s="401"/>
      <c r="K552" s="401"/>
      <c r="L552" s="401"/>
      <c r="M552" s="401"/>
      <c r="N552" s="401"/>
      <c r="O552" s="401"/>
      <c r="P552" s="401"/>
      <c r="Q552" s="401"/>
      <c r="R552" s="401"/>
      <c r="S552" s="401"/>
      <c r="T552" s="401"/>
      <c r="U552" s="401"/>
      <c r="V552" s="401"/>
      <c r="W552" s="401"/>
      <c r="X552" s="401"/>
      <c r="Y552" s="401"/>
      <c r="Z552" s="401"/>
      <c r="AA552" s="401"/>
    </row>
    <row r="553">
      <c r="A553" s="401"/>
      <c r="B553" s="401"/>
      <c r="C553" s="401"/>
      <c r="D553" s="401"/>
      <c r="E553" s="399"/>
      <c r="F553" s="399"/>
      <c r="G553" s="399"/>
      <c r="H553" s="400"/>
      <c r="I553" s="401"/>
      <c r="J553" s="401"/>
      <c r="K553" s="401"/>
      <c r="L553" s="401"/>
      <c r="M553" s="401"/>
      <c r="N553" s="401"/>
      <c r="O553" s="401"/>
      <c r="P553" s="401"/>
      <c r="Q553" s="401"/>
      <c r="R553" s="401"/>
      <c r="S553" s="401"/>
      <c r="T553" s="401"/>
      <c r="U553" s="401"/>
      <c r="V553" s="401"/>
      <c r="W553" s="401"/>
      <c r="X553" s="401"/>
      <c r="Y553" s="401"/>
      <c r="Z553" s="401"/>
      <c r="AA553" s="401"/>
    </row>
    <row r="554">
      <c r="A554" s="401"/>
      <c r="B554" s="401"/>
      <c r="C554" s="401"/>
      <c r="D554" s="401"/>
      <c r="E554" s="399"/>
      <c r="F554" s="399"/>
      <c r="G554" s="399"/>
      <c r="H554" s="400"/>
      <c r="I554" s="401"/>
      <c r="J554" s="401"/>
      <c r="K554" s="401"/>
      <c r="L554" s="401"/>
      <c r="M554" s="401"/>
      <c r="N554" s="401"/>
      <c r="O554" s="401"/>
      <c r="P554" s="401"/>
      <c r="Q554" s="401"/>
      <c r="R554" s="401"/>
      <c r="S554" s="401"/>
      <c r="T554" s="401"/>
      <c r="U554" s="401"/>
      <c r="V554" s="401"/>
      <c r="W554" s="401"/>
      <c r="X554" s="401"/>
      <c r="Y554" s="401"/>
      <c r="Z554" s="401"/>
      <c r="AA554" s="401"/>
    </row>
    <row r="555">
      <c r="A555" s="401"/>
      <c r="B555" s="401"/>
      <c r="C555" s="401"/>
      <c r="D555" s="401"/>
      <c r="E555" s="399"/>
      <c r="F555" s="399"/>
      <c r="G555" s="399"/>
      <c r="H555" s="400"/>
      <c r="I555" s="401"/>
      <c r="J555" s="401"/>
      <c r="K555" s="401"/>
      <c r="L555" s="401"/>
      <c r="M555" s="401"/>
      <c r="N555" s="401"/>
      <c r="O555" s="401"/>
      <c r="P555" s="401"/>
      <c r="Q555" s="401"/>
      <c r="R555" s="401"/>
      <c r="S555" s="401"/>
      <c r="T555" s="401"/>
      <c r="U555" s="401"/>
      <c r="V555" s="401"/>
      <c r="W555" s="401"/>
      <c r="X555" s="401"/>
      <c r="Y555" s="401"/>
      <c r="Z555" s="401"/>
      <c r="AA555" s="401"/>
    </row>
    <row r="556">
      <c r="A556" s="401"/>
      <c r="B556" s="401"/>
      <c r="C556" s="401"/>
      <c r="D556" s="401"/>
      <c r="E556" s="399"/>
      <c r="F556" s="399"/>
      <c r="G556" s="399"/>
      <c r="H556" s="400"/>
      <c r="I556" s="401"/>
      <c r="J556" s="401"/>
      <c r="K556" s="401"/>
      <c r="L556" s="401"/>
      <c r="M556" s="401"/>
      <c r="N556" s="401"/>
      <c r="O556" s="401"/>
      <c r="P556" s="401"/>
      <c r="Q556" s="401"/>
      <c r="R556" s="401"/>
      <c r="S556" s="401"/>
      <c r="T556" s="401"/>
      <c r="U556" s="401"/>
      <c r="V556" s="401"/>
      <c r="W556" s="401"/>
      <c r="X556" s="401"/>
      <c r="Y556" s="401"/>
      <c r="Z556" s="401"/>
      <c r="AA556" s="401"/>
    </row>
    <row r="557">
      <c r="A557" s="401"/>
      <c r="B557" s="401"/>
      <c r="C557" s="401"/>
      <c r="D557" s="401"/>
      <c r="E557" s="399"/>
      <c r="F557" s="399"/>
      <c r="G557" s="399"/>
      <c r="H557" s="400"/>
      <c r="I557" s="401"/>
      <c r="J557" s="401"/>
      <c r="K557" s="401"/>
      <c r="L557" s="401"/>
      <c r="M557" s="401"/>
      <c r="N557" s="401"/>
      <c r="O557" s="401"/>
      <c r="P557" s="401"/>
      <c r="Q557" s="401"/>
      <c r="R557" s="401"/>
      <c r="S557" s="401"/>
      <c r="T557" s="401"/>
      <c r="U557" s="401"/>
      <c r="V557" s="401"/>
      <c r="W557" s="401"/>
      <c r="X557" s="401"/>
      <c r="Y557" s="401"/>
      <c r="Z557" s="401"/>
      <c r="AA557" s="401"/>
    </row>
    <row r="558">
      <c r="A558" s="401"/>
      <c r="B558" s="401"/>
      <c r="C558" s="401"/>
      <c r="D558" s="401"/>
      <c r="E558" s="399"/>
      <c r="F558" s="399"/>
      <c r="G558" s="399"/>
      <c r="H558" s="400"/>
      <c r="I558" s="401"/>
      <c r="J558" s="401"/>
      <c r="K558" s="401"/>
      <c r="L558" s="401"/>
      <c r="M558" s="401"/>
      <c r="N558" s="401"/>
      <c r="O558" s="401"/>
      <c r="P558" s="401"/>
      <c r="Q558" s="401"/>
      <c r="R558" s="401"/>
      <c r="S558" s="401"/>
      <c r="T558" s="401"/>
      <c r="U558" s="401"/>
      <c r="V558" s="401"/>
      <c r="W558" s="401"/>
      <c r="X558" s="401"/>
      <c r="Y558" s="401"/>
      <c r="Z558" s="401"/>
      <c r="AA558" s="401"/>
    </row>
    <row r="559">
      <c r="A559" s="401"/>
      <c r="B559" s="401"/>
      <c r="C559" s="401"/>
      <c r="D559" s="401"/>
      <c r="E559" s="399"/>
      <c r="F559" s="399"/>
      <c r="G559" s="399"/>
      <c r="H559" s="400"/>
      <c r="I559" s="401"/>
      <c r="J559" s="401"/>
      <c r="K559" s="401"/>
      <c r="L559" s="401"/>
      <c r="M559" s="401"/>
      <c r="N559" s="401"/>
      <c r="O559" s="401"/>
      <c r="P559" s="401"/>
      <c r="Q559" s="401"/>
      <c r="R559" s="401"/>
      <c r="S559" s="401"/>
      <c r="T559" s="401"/>
      <c r="U559" s="401"/>
      <c r="V559" s="401"/>
      <c r="W559" s="401"/>
      <c r="X559" s="401"/>
      <c r="Y559" s="401"/>
      <c r="Z559" s="401"/>
      <c r="AA559" s="401"/>
    </row>
    <row r="560">
      <c r="A560" s="401"/>
      <c r="B560" s="401"/>
      <c r="C560" s="401"/>
      <c r="D560" s="401"/>
      <c r="E560" s="399"/>
      <c r="F560" s="399"/>
      <c r="G560" s="399"/>
      <c r="H560" s="400"/>
      <c r="I560" s="401"/>
      <c r="J560" s="401"/>
      <c r="K560" s="401"/>
      <c r="L560" s="401"/>
      <c r="M560" s="401"/>
      <c r="N560" s="401"/>
      <c r="O560" s="401"/>
      <c r="P560" s="401"/>
      <c r="Q560" s="401"/>
      <c r="R560" s="401"/>
      <c r="S560" s="401"/>
      <c r="T560" s="401"/>
      <c r="U560" s="401"/>
      <c r="V560" s="401"/>
      <c r="W560" s="401"/>
      <c r="X560" s="401"/>
      <c r="Y560" s="401"/>
      <c r="Z560" s="401"/>
      <c r="AA560" s="401"/>
    </row>
    <row r="561">
      <c r="A561" s="401"/>
      <c r="B561" s="401"/>
      <c r="C561" s="401"/>
      <c r="D561" s="401"/>
      <c r="E561" s="399"/>
      <c r="F561" s="399"/>
      <c r="G561" s="399"/>
      <c r="H561" s="400"/>
      <c r="I561" s="401"/>
      <c r="J561" s="401"/>
      <c r="K561" s="401"/>
      <c r="L561" s="401"/>
      <c r="M561" s="401"/>
      <c r="N561" s="401"/>
      <c r="O561" s="401"/>
      <c r="P561" s="401"/>
      <c r="Q561" s="401"/>
      <c r="R561" s="401"/>
      <c r="S561" s="401"/>
      <c r="T561" s="401"/>
      <c r="U561" s="401"/>
      <c r="V561" s="401"/>
      <c r="W561" s="401"/>
      <c r="X561" s="401"/>
      <c r="Y561" s="401"/>
      <c r="Z561" s="401"/>
      <c r="AA561" s="401"/>
    </row>
    <row r="562">
      <c r="A562" s="401"/>
      <c r="B562" s="401"/>
      <c r="C562" s="401"/>
      <c r="D562" s="401"/>
      <c r="E562" s="399"/>
      <c r="F562" s="399"/>
      <c r="G562" s="399"/>
      <c r="H562" s="400"/>
      <c r="I562" s="401"/>
      <c r="J562" s="401"/>
      <c r="K562" s="401"/>
      <c r="L562" s="401"/>
      <c r="M562" s="401"/>
      <c r="N562" s="401"/>
      <c r="O562" s="401"/>
      <c r="P562" s="401"/>
      <c r="Q562" s="401"/>
      <c r="R562" s="401"/>
      <c r="S562" s="401"/>
      <c r="T562" s="401"/>
      <c r="U562" s="401"/>
      <c r="V562" s="401"/>
      <c r="W562" s="401"/>
      <c r="X562" s="401"/>
      <c r="Y562" s="401"/>
      <c r="Z562" s="401"/>
      <c r="AA562" s="401"/>
    </row>
    <row r="563">
      <c r="A563" s="401"/>
      <c r="B563" s="401"/>
      <c r="C563" s="401"/>
      <c r="D563" s="401"/>
      <c r="E563" s="399"/>
      <c r="F563" s="399"/>
      <c r="G563" s="399"/>
      <c r="H563" s="400"/>
      <c r="I563" s="401"/>
      <c r="J563" s="401"/>
      <c r="K563" s="401"/>
      <c r="L563" s="401"/>
      <c r="M563" s="401"/>
      <c r="N563" s="401"/>
      <c r="O563" s="401"/>
      <c r="P563" s="401"/>
      <c r="Q563" s="401"/>
      <c r="R563" s="401"/>
      <c r="S563" s="401"/>
      <c r="T563" s="401"/>
      <c r="U563" s="401"/>
      <c r="V563" s="401"/>
      <c r="W563" s="401"/>
      <c r="X563" s="401"/>
      <c r="Y563" s="401"/>
      <c r="Z563" s="401"/>
      <c r="AA563" s="401"/>
    </row>
    <row r="564">
      <c r="A564" s="401"/>
      <c r="B564" s="401"/>
      <c r="C564" s="401"/>
      <c r="D564" s="401"/>
      <c r="E564" s="399"/>
      <c r="F564" s="399"/>
      <c r="G564" s="399"/>
      <c r="H564" s="400"/>
      <c r="I564" s="401"/>
      <c r="J564" s="401"/>
      <c r="K564" s="401"/>
      <c r="L564" s="401"/>
      <c r="M564" s="401"/>
      <c r="N564" s="401"/>
      <c r="O564" s="401"/>
      <c r="P564" s="401"/>
      <c r="Q564" s="401"/>
      <c r="R564" s="401"/>
      <c r="S564" s="401"/>
      <c r="T564" s="401"/>
      <c r="U564" s="401"/>
      <c r="V564" s="401"/>
      <c r="W564" s="401"/>
      <c r="X564" s="401"/>
      <c r="Y564" s="401"/>
      <c r="Z564" s="401"/>
      <c r="AA564" s="401"/>
    </row>
    <row r="565">
      <c r="A565" s="401"/>
      <c r="B565" s="401"/>
      <c r="C565" s="401"/>
      <c r="D565" s="401"/>
      <c r="E565" s="399"/>
      <c r="F565" s="399"/>
      <c r="G565" s="399"/>
      <c r="H565" s="400"/>
      <c r="I565" s="401"/>
      <c r="J565" s="401"/>
      <c r="K565" s="401"/>
      <c r="L565" s="401"/>
      <c r="M565" s="401"/>
      <c r="N565" s="401"/>
      <c r="O565" s="401"/>
      <c r="P565" s="401"/>
      <c r="Q565" s="401"/>
      <c r="R565" s="401"/>
      <c r="S565" s="401"/>
      <c r="T565" s="401"/>
      <c r="U565" s="401"/>
      <c r="V565" s="401"/>
      <c r="W565" s="401"/>
      <c r="X565" s="401"/>
      <c r="Y565" s="401"/>
      <c r="Z565" s="401"/>
      <c r="AA565" s="401"/>
    </row>
    <row r="566">
      <c r="A566" s="401"/>
      <c r="B566" s="401"/>
      <c r="C566" s="401"/>
      <c r="D566" s="401"/>
      <c r="E566" s="399"/>
      <c r="F566" s="399"/>
      <c r="G566" s="399"/>
      <c r="H566" s="400"/>
      <c r="I566" s="401"/>
      <c r="J566" s="401"/>
      <c r="K566" s="401"/>
      <c r="L566" s="401"/>
      <c r="M566" s="401"/>
      <c r="N566" s="401"/>
      <c r="O566" s="401"/>
      <c r="P566" s="401"/>
      <c r="Q566" s="401"/>
      <c r="R566" s="401"/>
      <c r="S566" s="401"/>
      <c r="T566" s="401"/>
      <c r="U566" s="401"/>
      <c r="V566" s="401"/>
      <c r="W566" s="401"/>
      <c r="X566" s="401"/>
      <c r="Y566" s="401"/>
      <c r="Z566" s="401"/>
      <c r="AA566" s="401"/>
    </row>
    <row r="567">
      <c r="A567" s="401"/>
      <c r="B567" s="401"/>
      <c r="C567" s="401"/>
      <c r="D567" s="401"/>
      <c r="E567" s="399"/>
      <c r="F567" s="399"/>
      <c r="G567" s="399"/>
      <c r="H567" s="400"/>
      <c r="I567" s="401"/>
      <c r="J567" s="401"/>
      <c r="K567" s="401"/>
      <c r="L567" s="401"/>
      <c r="M567" s="401"/>
      <c r="N567" s="401"/>
      <c r="O567" s="401"/>
      <c r="P567" s="401"/>
      <c r="Q567" s="401"/>
      <c r="R567" s="401"/>
      <c r="S567" s="401"/>
      <c r="T567" s="401"/>
      <c r="U567" s="401"/>
      <c r="V567" s="401"/>
      <c r="W567" s="401"/>
      <c r="X567" s="401"/>
      <c r="Y567" s="401"/>
      <c r="Z567" s="401"/>
      <c r="AA567" s="401"/>
    </row>
    <row r="568">
      <c r="A568" s="401"/>
      <c r="B568" s="401"/>
      <c r="C568" s="401"/>
      <c r="D568" s="401"/>
      <c r="E568" s="399"/>
      <c r="F568" s="399"/>
      <c r="G568" s="399"/>
      <c r="H568" s="400"/>
      <c r="I568" s="401"/>
      <c r="J568" s="401"/>
      <c r="K568" s="401"/>
      <c r="L568" s="401"/>
      <c r="M568" s="401"/>
      <c r="N568" s="401"/>
      <c r="O568" s="401"/>
      <c r="P568" s="401"/>
      <c r="Q568" s="401"/>
      <c r="R568" s="401"/>
      <c r="S568" s="401"/>
      <c r="T568" s="401"/>
      <c r="U568" s="401"/>
      <c r="V568" s="401"/>
      <c r="W568" s="401"/>
      <c r="X568" s="401"/>
      <c r="Y568" s="401"/>
      <c r="Z568" s="401"/>
      <c r="AA568" s="401"/>
    </row>
    <row r="569">
      <c r="A569" s="401"/>
      <c r="B569" s="401"/>
      <c r="C569" s="401"/>
      <c r="D569" s="401"/>
      <c r="E569" s="399"/>
      <c r="F569" s="399"/>
      <c r="G569" s="399"/>
      <c r="H569" s="400"/>
      <c r="I569" s="401"/>
      <c r="J569" s="401"/>
      <c r="K569" s="401"/>
      <c r="L569" s="401"/>
      <c r="M569" s="401"/>
      <c r="N569" s="401"/>
      <c r="O569" s="401"/>
      <c r="P569" s="401"/>
      <c r="Q569" s="401"/>
      <c r="R569" s="401"/>
      <c r="S569" s="401"/>
      <c r="T569" s="401"/>
      <c r="U569" s="401"/>
      <c r="V569" s="401"/>
      <c r="W569" s="401"/>
      <c r="X569" s="401"/>
      <c r="Y569" s="401"/>
      <c r="Z569" s="401"/>
      <c r="AA569" s="401"/>
    </row>
    <row r="570">
      <c r="A570" s="401"/>
      <c r="B570" s="401"/>
      <c r="C570" s="401"/>
      <c r="D570" s="401"/>
      <c r="E570" s="399"/>
      <c r="F570" s="399"/>
      <c r="G570" s="399"/>
      <c r="H570" s="400"/>
      <c r="I570" s="401"/>
      <c r="J570" s="401"/>
      <c r="K570" s="401"/>
      <c r="L570" s="401"/>
      <c r="M570" s="401"/>
      <c r="N570" s="401"/>
      <c r="O570" s="401"/>
      <c r="P570" s="401"/>
      <c r="Q570" s="401"/>
      <c r="R570" s="401"/>
      <c r="S570" s="401"/>
      <c r="T570" s="401"/>
      <c r="U570" s="401"/>
      <c r="V570" s="401"/>
      <c r="W570" s="401"/>
      <c r="X570" s="401"/>
      <c r="Y570" s="401"/>
      <c r="Z570" s="401"/>
      <c r="AA570" s="401"/>
    </row>
    <row r="571">
      <c r="A571" s="401"/>
      <c r="B571" s="401"/>
      <c r="C571" s="401"/>
      <c r="D571" s="401"/>
      <c r="E571" s="399"/>
      <c r="F571" s="399"/>
      <c r="G571" s="399"/>
      <c r="H571" s="400"/>
      <c r="I571" s="401"/>
      <c r="J571" s="401"/>
      <c r="K571" s="401"/>
      <c r="L571" s="401"/>
      <c r="M571" s="401"/>
      <c r="N571" s="401"/>
      <c r="O571" s="401"/>
      <c r="P571" s="401"/>
      <c r="Q571" s="401"/>
      <c r="R571" s="401"/>
      <c r="S571" s="401"/>
      <c r="T571" s="401"/>
      <c r="U571" s="401"/>
      <c r="V571" s="401"/>
      <c r="W571" s="401"/>
      <c r="X571" s="401"/>
      <c r="Y571" s="401"/>
      <c r="Z571" s="401"/>
      <c r="AA571" s="401"/>
    </row>
    <row r="572">
      <c r="A572" s="401"/>
      <c r="B572" s="401"/>
      <c r="C572" s="401"/>
      <c r="D572" s="401"/>
      <c r="E572" s="399"/>
      <c r="F572" s="399"/>
      <c r="G572" s="399"/>
      <c r="H572" s="400"/>
      <c r="I572" s="401"/>
      <c r="J572" s="401"/>
      <c r="K572" s="401"/>
      <c r="L572" s="401"/>
      <c r="M572" s="401"/>
      <c r="N572" s="401"/>
      <c r="O572" s="401"/>
      <c r="P572" s="401"/>
      <c r="Q572" s="401"/>
      <c r="R572" s="401"/>
      <c r="S572" s="401"/>
      <c r="T572" s="401"/>
      <c r="U572" s="401"/>
      <c r="V572" s="401"/>
      <c r="W572" s="401"/>
      <c r="X572" s="401"/>
      <c r="Y572" s="401"/>
      <c r="Z572" s="401"/>
      <c r="AA572" s="401"/>
    </row>
    <row r="573">
      <c r="A573" s="401"/>
      <c r="B573" s="401"/>
      <c r="C573" s="401"/>
      <c r="D573" s="401"/>
      <c r="E573" s="399"/>
      <c r="F573" s="399"/>
      <c r="G573" s="399"/>
      <c r="H573" s="400"/>
      <c r="I573" s="401"/>
      <c r="J573" s="401"/>
      <c r="K573" s="401"/>
      <c r="L573" s="401"/>
      <c r="M573" s="401"/>
      <c r="N573" s="401"/>
      <c r="O573" s="401"/>
      <c r="P573" s="401"/>
      <c r="Q573" s="401"/>
      <c r="R573" s="401"/>
      <c r="S573" s="401"/>
      <c r="T573" s="401"/>
      <c r="U573" s="401"/>
      <c r="V573" s="401"/>
      <c r="W573" s="401"/>
      <c r="X573" s="401"/>
      <c r="Y573" s="401"/>
      <c r="Z573" s="401"/>
      <c r="AA573" s="401"/>
    </row>
    <row r="574">
      <c r="A574" s="401"/>
      <c r="B574" s="401"/>
      <c r="C574" s="401"/>
      <c r="D574" s="401"/>
      <c r="E574" s="399"/>
      <c r="F574" s="399"/>
      <c r="G574" s="399"/>
      <c r="H574" s="400"/>
      <c r="I574" s="401"/>
      <c r="J574" s="401"/>
      <c r="K574" s="401"/>
      <c r="L574" s="401"/>
      <c r="M574" s="401"/>
      <c r="N574" s="401"/>
      <c r="O574" s="401"/>
      <c r="P574" s="401"/>
      <c r="Q574" s="401"/>
      <c r="R574" s="401"/>
      <c r="S574" s="401"/>
      <c r="T574" s="401"/>
      <c r="U574" s="401"/>
      <c r="V574" s="401"/>
      <c r="W574" s="401"/>
      <c r="X574" s="401"/>
      <c r="Y574" s="401"/>
      <c r="Z574" s="401"/>
      <c r="AA574" s="401"/>
    </row>
    <row r="575">
      <c r="A575" s="401"/>
      <c r="B575" s="401"/>
      <c r="C575" s="401"/>
      <c r="D575" s="401"/>
      <c r="E575" s="399"/>
      <c r="F575" s="399"/>
      <c r="G575" s="399"/>
      <c r="H575" s="400"/>
      <c r="I575" s="401"/>
      <c r="J575" s="401"/>
      <c r="K575" s="401"/>
      <c r="L575" s="401"/>
      <c r="M575" s="401"/>
      <c r="N575" s="401"/>
      <c r="O575" s="401"/>
      <c r="P575" s="401"/>
      <c r="Q575" s="401"/>
      <c r="R575" s="401"/>
      <c r="S575" s="401"/>
      <c r="T575" s="401"/>
      <c r="U575" s="401"/>
      <c r="V575" s="401"/>
      <c r="W575" s="401"/>
      <c r="X575" s="401"/>
      <c r="Y575" s="401"/>
      <c r="Z575" s="401"/>
      <c r="AA575" s="401"/>
    </row>
    <row r="576">
      <c r="A576" s="401"/>
      <c r="B576" s="401"/>
      <c r="C576" s="401"/>
      <c r="D576" s="401"/>
      <c r="E576" s="399"/>
      <c r="F576" s="399"/>
      <c r="G576" s="399"/>
      <c r="H576" s="400"/>
      <c r="I576" s="401"/>
      <c r="J576" s="401"/>
      <c r="K576" s="401"/>
      <c r="L576" s="401"/>
      <c r="M576" s="401"/>
      <c r="N576" s="401"/>
      <c r="O576" s="401"/>
      <c r="P576" s="401"/>
      <c r="Q576" s="401"/>
      <c r="R576" s="401"/>
      <c r="S576" s="401"/>
      <c r="T576" s="401"/>
      <c r="U576" s="401"/>
      <c r="V576" s="401"/>
      <c r="W576" s="401"/>
      <c r="X576" s="401"/>
      <c r="Y576" s="401"/>
      <c r="Z576" s="401"/>
      <c r="AA576" s="401"/>
    </row>
    <row r="577">
      <c r="A577" s="401"/>
      <c r="B577" s="401"/>
      <c r="C577" s="401"/>
      <c r="D577" s="401"/>
      <c r="E577" s="399"/>
      <c r="F577" s="399"/>
      <c r="G577" s="399"/>
      <c r="H577" s="400"/>
      <c r="I577" s="401"/>
      <c r="J577" s="401"/>
      <c r="K577" s="401"/>
      <c r="L577" s="401"/>
      <c r="M577" s="401"/>
      <c r="N577" s="401"/>
      <c r="O577" s="401"/>
      <c r="P577" s="401"/>
      <c r="Q577" s="401"/>
      <c r="R577" s="401"/>
      <c r="S577" s="401"/>
      <c r="T577" s="401"/>
      <c r="U577" s="401"/>
      <c r="V577" s="401"/>
      <c r="W577" s="401"/>
      <c r="X577" s="401"/>
      <c r="Y577" s="401"/>
      <c r="Z577" s="401"/>
      <c r="AA577" s="401"/>
    </row>
    <row r="578">
      <c r="A578" s="401"/>
      <c r="B578" s="401"/>
      <c r="C578" s="401"/>
      <c r="D578" s="401"/>
      <c r="E578" s="399"/>
      <c r="F578" s="399"/>
      <c r="G578" s="399"/>
      <c r="H578" s="400"/>
      <c r="I578" s="401"/>
      <c r="J578" s="401"/>
      <c r="K578" s="401"/>
      <c r="L578" s="401"/>
      <c r="M578" s="401"/>
      <c r="N578" s="401"/>
      <c r="O578" s="401"/>
      <c r="P578" s="401"/>
      <c r="Q578" s="401"/>
      <c r="R578" s="401"/>
      <c r="S578" s="401"/>
      <c r="T578" s="401"/>
      <c r="U578" s="401"/>
      <c r="V578" s="401"/>
      <c r="W578" s="401"/>
      <c r="X578" s="401"/>
      <c r="Y578" s="401"/>
      <c r="Z578" s="401"/>
      <c r="AA578" s="401"/>
    </row>
    <row r="579">
      <c r="A579" s="401"/>
      <c r="B579" s="401"/>
      <c r="C579" s="401"/>
      <c r="D579" s="401"/>
      <c r="E579" s="399"/>
      <c r="F579" s="399"/>
      <c r="G579" s="399"/>
      <c r="H579" s="400"/>
      <c r="I579" s="401"/>
      <c r="J579" s="401"/>
      <c r="K579" s="401"/>
      <c r="L579" s="401"/>
      <c r="M579" s="401"/>
      <c r="N579" s="401"/>
      <c r="O579" s="401"/>
      <c r="P579" s="401"/>
      <c r="Q579" s="401"/>
      <c r="R579" s="401"/>
      <c r="S579" s="401"/>
      <c r="T579" s="401"/>
      <c r="U579" s="401"/>
      <c r="V579" s="401"/>
      <c r="W579" s="401"/>
      <c r="X579" s="401"/>
      <c r="Y579" s="401"/>
      <c r="Z579" s="401"/>
      <c r="AA579" s="401"/>
    </row>
    <row r="580">
      <c r="A580" s="401"/>
      <c r="B580" s="401"/>
      <c r="C580" s="401"/>
      <c r="D580" s="401"/>
      <c r="E580" s="399"/>
      <c r="F580" s="399"/>
      <c r="G580" s="399"/>
      <c r="H580" s="400"/>
      <c r="I580" s="401"/>
      <c r="J580" s="401"/>
      <c r="K580" s="401"/>
      <c r="L580" s="401"/>
      <c r="M580" s="401"/>
      <c r="N580" s="401"/>
      <c r="O580" s="401"/>
      <c r="P580" s="401"/>
      <c r="Q580" s="401"/>
      <c r="R580" s="401"/>
      <c r="S580" s="401"/>
      <c r="T580" s="401"/>
      <c r="U580" s="401"/>
      <c r="V580" s="401"/>
      <c r="W580" s="401"/>
      <c r="X580" s="401"/>
      <c r="Y580" s="401"/>
      <c r="Z580" s="401"/>
      <c r="AA580" s="401"/>
    </row>
    <row r="581">
      <c r="A581" s="401"/>
      <c r="B581" s="401"/>
      <c r="C581" s="401"/>
      <c r="D581" s="401"/>
      <c r="E581" s="399"/>
      <c r="F581" s="399"/>
      <c r="G581" s="399"/>
      <c r="H581" s="400"/>
      <c r="I581" s="401"/>
      <c r="J581" s="401"/>
      <c r="K581" s="401"/>
      <c r="L581" s="401"/>
      <c r="M581" s="401"/>
      <c r="N581" s="401"/>
      <c r="O581" s="401"/>
      <c r="P581" s="401"/>
      <c r="Q581" s="401"/>
      <c r="R581" s="401"/>
      <c r="S581" s="401"/>
      <c r="T581" s="401"/>
      <c r="U581" s="401"/>
      <c r="V581" s="401"/>
      <c r="W581" s="401"/>
      <c r="X581" s="401"/>
      <c r="Y581" s="401"/>
      <c r="Z581" s="401"/>
      <c r="AA581" s="401"/>
    </row>
    <row r="582">
      <c r="A582" s="401"/>
      <c r="B582" s="401"/>
      <c r="C582" s="401"/>
      <c r="D582" s="401"/>
      <c r="E582" s="399"/>
      <c r="F582" s="399"/>
      <c r="G582" s="399"/>
      <c r="H582" s="400"/>
      <c r="I582" s="401"/>
      <c r="J582" s="401"/>
      <c r="K582" s="401"/>
      <c r="L582" s="401"/>
      <c r="M582" s="401"/>
      <c r="N582" s="401"/>
      <c r="O582" s="401"/>
      <c r="P582" s="401"/>
      <c r="Q582" s="401"/>
      <c r="R582" s="401"/>
      <c r="S582" s="401"/>
      <c r="T582" s="401"/>
      <c r="U582" s="401"/>
      <c r="V582" s="401"/>
      <c r="W582" s="401"/>
      <c r="X582" s="401"/>
      <c r="Y582" s="401"/>
      <c r="Z582" s="401"/>
      <c r="AA582" s="401"/>
    </row>
    <row r="583">
      <c r="A583" s="401"/>
      <c r="B583" s="401"/>
      <c r="C583" s="401"/>
      <c r="D583" s="401"/>
      <c r="E583" s="399"/>
      <c r="F583" s="399"/>
      <c r="G583" s="399"/>
      <c r="H583" s="400"/>
      <c r="I583" s="401"/>
      <c r="J583" s="401"/>
      <c r="K583" s="401"/>
      <c r="L583" s="401"/>
      <c r="M583" s="401"/>
      <c r="N583" s="401"/>
      <c r="O583" s="401"/>
      <c r="P583" s="401"/>
      <c r="Q583" s="401"/>
      <c r="R583" s="401"/>
      <c r="S583" s="401"/>
      <c r="T583" s="401"/>
      <c r="U583" s="401"/>
      <c r="V583" s="401"/>
      <c r="W583" s="401"/>
      <c r="X583" s="401"/>
      <c r="Y583" s="401"/>
      <c r="Z583" s="401"/>
      <c r="AA583" s="401"/>
    </row>
    <row r="584">
      <c r="A584" s="401"/>
      <c r="B584" s="401"/>
      <c r="C584" s="401"/>
      <c r="D584" s="401"/>
      <c r="E584" s="399"/>
      <c r="F584" s="399"/>
      <c r="G584" s="399"/>
      <c r="H584" s="400"/>
      <c r="I584" s="401"/>
      <c r="J584" s="401"/>
      <c r="K584" s="401"/>
      <c r="L584" s="401"/>
      <c r="M584" s="401"/>
      <c r="N584" s="401"/>
      <c r="O584" s="401"/>
      <c r="P584" s="401"/>
      <c r="Q584" s="401"/>
      <c r="R584" s="401"/>
      <c r="S584" s="401"/>
      <c r="T584" s="401"/>
      <c r="U584" s="401"/>
      <c r="V584" s="401"/>
      <c r="W584" s="401"/>
      <c r="X584" s="401"/>
      <c r="Y584" s="401"/>
      <c r="Z584" s="401"/>
      <c r="AA584" s="401"/>
    </row>
    <row r="585">
      <c r="A585" s="401"/>
      <c r="B585" s="401"/>
      <c r="C585" s="401"/>
      <c r="D585" s="401"/>
      <c r="E585" s="399"/>
      <c r="F585" s="399"/>
      <c r="G585" s="399"/>
      <c r="H585" s="400"/>
      <c r="I585" s="401"/>
      <c r="J585" s="401"/>
      <c r="K585" s="401"/>
      <c r="L585" s="401"/>
      <c r="M585" s="401"/>
      <c r="N585" s="401"/>
      <c r="O585" s="401"/>
      <c r="P585" s="401"/>
      <c r="Q585" s="401"/>
      <c r="R585" s="401"/>
      <c r="S585" s="401"/>
      <c r="T585" s="401"/>
      <c r="U585" s="401"/>
      <c r="V585" s="401"/>
      <c r="W585" s="401"/>
      <c r="X585" s="401"/>
      <c r="Y585" s="401"/>
      <c r="Z585" s="401"/>
      <c r="AA585" s="401"/>
    </row>
    <row r="586">
      <c r="A586" s="401"/>
      <c r="B586" s="401"/>
      <c r="C586" s="401"/>
      <c r="D586" s="401"/>
      <c r="E586" s="399"/>
      <c r="F586" s="399"/>
      <c r="G586" s="399"/>
      <c r="H586" s="400"/>
      <c r="I586" s="401"/>
      <c r="J586" s="401"/>
      <c r="K586" s="401"/>
      <c r="L586" s="401"/>
      <c r="M586" s="401"/>
      <c r="N586" s="401"/>
      <c r="O586" s="401"/>
      <c r="P586" s="401"/>
      <c r="Q586" s="401"/>
      <c r="R586" s="401"/>
      <c r="S586" s="401"/>
      <c r="T586" s="401"/>
      <c r="U586" s="401"/>
      <c r="V586" s="401"/>
      <c r="W586" s="401"/>
      <c r="X586" s="401"/>
      <c r="Y586" s="401"/>
      <c r="Z586" s="401"/>
      <c r="AA586" s="401"/>
    </row>
    <row r="587">
      <c r="A587" s="401"/>
      <c r="B587" s="401"/>
      <c r="C587" s="401"/>
      <c r="D587" s="401"/>
      <c r="E587" s="399"/>
      <c r="F587" s="399"/>
      <c r="G587" s="399"/>
      <c r="H587" s="400"/>
      <c r="I587" s="401"/>
      <c r="J587" s="401"/>
      <c r="K587" s="401"/>
      <c r="L587" s="401"/>
      <c r="M587" s="401"/>
      <c r="N587" s="401"/>
      <c r="O587" s="401"/>
      <c r="P587" s="401"/>
      <c r="Q587" s="401"/>
      <c r="R587" s="401"/>
      <c r="S587" s="401"/>
      <c r="T587" s="401"/>
      <c r="U587" s="401"/>
      <c r="V587" s="401"/>
      <c r="W587" s="401"/>
      <c r="X587" s="401"/>
      <c r="Y587" s="401"/>
      <c r="Z587" s="401"/>
      <c r="AA587" s="401"/>
    </row>
    <row r="588">
      <c r="A588" s="401"/>
      <c r="B588" s="401"/>
      <c r="C588" s="401"/>
      <c r="D588" s="401"/>
      <c r="E588" s="399"/>
      <c r="F588" s="399"/>
      <c r="G588" s="399"/>
      <c r="H588" s="400"/>
      <c r="I588" s="401"/>
      <c r="J588" s="401"/>
      <c r="K588" s="401"/>
      <c r="L588" s="401"/>
      <c r="M588" s="401"/>
      <c r="N588" s="401"/>
      <c r="O588" s="401"/>
      <c r="P588" s="401"/>
      <c r="Q588" s="401"/>
      <c r="R588" s="401"/>
      <c r="S588" s="401"/>
      <c r="T588" s="401"/>
      <c r="U588" s="401"/>
      <c r="V588" s="401"/>
      <c r="W588" s="401"/>
      <c r="X588" s="401"/>
      <c r="Y588" s="401"/>
      <c r="Z588" s="401"/>
      <c r="AA588" s="401"/>
    </row>
    <row r="589">
      <c r="A589" s="401"/>
      <c r="B589" s="401"/>
      <c r="C589" s="401"/>
      <c r="D589" s="401"/>
      <c r="E589" s="399"/>
      <c r="F589" s="399"/>
      <c r="G589" s="399"/>
      <c r="H589" s="400"/>
      <c r="I589" s="401"/>
      <c r="J589" s="401"/>
      <c r="K589" s="401"/>
      <c r="L589" s="401"/>
      <c r="M589" s="401"/>
      <c r="N589" s="401"/>
      <c r="O589" s="401"/>
      <c r="P589" s="401"/>
      <c r="Q589" s="401"/>
      <c r="R589" s="401"/>
      <c r="S589" s="401"/>
      <c r="T589" s="401"/>
      <c r="U589" s="401"/>
      <c r="V589" s="401"/>
      <c r="W589" s="401"/>
      <c r="X589" s="401"/>
      <c r="Y589" s="401"/>
      <c r="Z589" s="401"/>
      <c r="AA589" s="401"/>
    </row>
    <row r="590">
      <c r="A590" s="401"/>
      <c r="B590" s="401"/>
      <c r="C590" s="401"/>
      <c r="D590" s="401"/>
      <c r="E590" s="399"/>
      <c r="F590" s="399"/>
      <c r="G590" s="399"/>
      <c r="H590" s="400"/>
      <c r="I590" s="401"/>
      <c r="J590" s="401"/>
      <c r="K590" s="401"/>
      <c r="L590" s="401"/>
      <c r="M590" s="401"/>
      <c r="N590" s="401"/>
      <c r="O590" s="401"/>
      <c r="P590" s="401"/>
      <c r="Q590" s="401"/>
      <c r="R590" s="401"/>
      <c r="S590" s="401"/>
      <c r="T590" s="401"/>
      <c r="U590" s="401"/>
      <c r="V590" s="401"/>
      <c r="W590" s="401"/>
      <c r="X590" s="401"/>
      <c r="Y590" s="401"/>
      <c r="Z590" s="401"/>
      <c r="AA590" s="401"/>
    </row>
    <row r="591">
      <c r="A591" s="401"/>
      <c r="B591" s="401"/>
      <c r="C591" s="401"/>
      <c r="D591" s="401"/>
      <c r="E591" s="399"/>
      <c r="F591" s="399"/>
      <c r="G591" s="399"/>
      <c r="H591" s="400"/>
      <c r="I591" s="401"/>
      <c r="J591" s="401"/>
      <c r="K591" s="401"/>
      <c r="L591" s="401"/>
      <c r="M591" s="401"/>
      <c r="N591" s="401"/>
      <c r="O591" s="401"/>
      <c r="P591" s="401"/>
      <c r="Q591" s="401"/>
      <c r="R591" s="401"/>
      <c r="S591" s="401"/>
      <c r="T591" s="401"/>
      <c r="U591" s="401"/>
      <c r="V591" s="401"/>
      <c r="W591" s="401"/>
      <c r="X591" s="401"/>
      <c r="Y591" s="401"/>
      <c r="Z591" s="401"/>
      <c r="AA591" s="401"/>
    </row>
    <row r="592">
      <c r="A592" s="401"/>
      <c r="B592" s="401"/>
      <c r="C592" s="401"/>
      <c r="D592" s="401"/>
      <c r="E592" s="399"/>
      <c r="F592" s="399"/>
      <c r="G592" s="399"/>
      <c r="H592" s="400"/>
      <c r="I592" s="401"/>
      <c r="J592" s="401"/>
      <c r="K592" s="401"/>
      <c r="L592" s="401"/>
      <c r="M592" s="401"/>
      <c r="N592" s="401"/>
      <c r="O592" s="401"/>
      <c r="P592" s="401"/>
      <c r="Q592" s="401"/>
      <c r="R592" s="401"/>
      <c r="S592" s="401"/>
      <c r="T592" s="401"/>
      <c r="U592" s="401"/>
      <c r="V592" s="401"/>
      <c r="W592" s="401"/>
      <c r="X592" s="401"/>
      <c r="Y592" s="401"/>
      <c r="Z592" s="401"/>
      <c r="AA592" s="401"/>
    </row>
    <row r="593">
      <c r="A593" s="401"/>
      <c r="B593" s="401"/>
      <c r="C593" s="401"/>
      <c r="D593" s="401"/>
      <c r="E593" s="399"/>
      <c r="F593" s="399"/>
      <c r="G593" s="399"/>
      <c r="H593" s="400"/>
      <c r="I593" s="401"/>
      <c r="J593" s="401"/>
      <c r="K593" s="401"/>
      <c r="L593" s="401"/>
      <c r="M593" s="401"/>
      <c r="N593" s="401"/>
      <c r="O593" s="401"/>
      <c r="P593" s="401"/>
      <c r="Q593" s="401"/>
      <c r="R593" s="401"/>
      <c r="S593" s="401"/>
      <c r="T593" s="401"/>
      <c r="U593" s="401"/>
      <c r="V593" s="401"/>
      <c r="W593" s="401"/>
      <c r="X593" s="401"/>
      <c r="Y593" s="401"/>
      <c r="Z593" s="401"/>
      <c r="AA593" s="401"/>
    </row>
    <row r="594">
      <c r="A594" s="401"/>
      <c r="B594" s="401"/>
      <c r="C594" s="401"/>
      <c r="D594" s="401"/>
      <c r="E594" s="399"/>
      <c r="F594" s="399"/>
      <c r="G594" s="399"/>
      <c r="H594" s="400"/>
      <c r="I594" s="401"/>
      <c r="J594" s="401"/>
      <c r="K594" s="401"/>
      <c r="L594" s="401"/>
      <c r="M594" s="401"/>
      <c r="N594" s="401"/>
      <c r="O594" s="401"/>
      <c r="P594" s="401"/>
      <c r="Q594" s="401"/>
      <c r="R594" s="401"/>
      <c r="S594" s="401"/>
      <c r="T594" s="401"/>
      <c r="U594" s="401"/>
      <c r="V594" s="401"/>
      <c r="W594" s="401"/>
      <c r="X594" s="401"/>
      <c r="Y594" s="401"/>
      <c r="Z594" s="401"/>
      <c r="AA594" s="401"/>
    </row>
    <row r="595">
      <c r="A595" s="401"/>
      <c r="B595" s="401"/>
      <c r="C595" s="401"/>
      <c r="D595" s="401"/>
      <c r="E595" s="399"/>
      <c r="F595" s="399"/>
      <c r="G595" s="399"/>
      <c r="H595" s="400"/>
      <c r="I595" s="401"/>
      <c r="J595" s="401"/>
      <c r="K595" s="401"/>
      <c r="L595" s="401"/>
      <c r="M595" s="401"/>
      <c r="N595" s="401"/>
      <c r="O595" s="401"/>
      <c r="P595" s="401"/>
      <c r="Q595" s="401"/>
      <c r="R595" s="401"/>
      <c r="S595" s="401"/>
      <c r="T595" s="401"/>
      <c r="U595" s="401"/>
      <c r="V595" s="401"/>
      <c r="W595" s="401"/>
      <c r="X595" s="401"/>
      <c r="Y595" s="401"/>
      <c r="Z595" s="401"/>
      <c r="AA595" s="401"/>
    </row>
    <row r="596">
      <c r="A596" s="401"/>
      <c r="B596" s="401"/>
      <c r="C596" s="401"/>
      <c r="D596" s="401"/>
      <c r="E596" s="399"/>
      <c r="F596" s="399"/>
      <c r="G596" s="399"/>
      <c r="H596" s="400"/>
      <c r="I596" s="401"/>
      <c r="J596" s="401"/>
      <c r="K596" s="401"/>
      <c r="L596" s="401"/>
      <c r="M596" s="401"/>
      <c r="N596" s="401"/>
      <c r="O596" s="401"/>
      <c r="P596" s="401"/>
      <c r="Q596" s="401"/>
      <c r="R596" s="401"/>
      <c r="S596" s="401"/>
      <c r="T596" s="401"/>
      <c r="U596" s="401"/>
      <c r="V596" s="401"/>
      <c r="W596" s="401"/>
      <c r="X596" s="401"/>
      <c r="Y596" s="401"/>
      <c r="Z596" s="401"/>
      <c r="AA596" s="401"/>
    </row>
    <row r="597">
      <c r="A597" s="401"/>
      <c r="B597" s="401"/>
      <c r="C597" s="401"/>
      <c r="D597" s="401"/>
      <c r="E597" s="399"/>
      <c r="F597" s="399"/>
      <c r="G597" s="399"/>
      <c r="H597" s="400"/>
      <c r="I597" s="401"/>
      <c r="J597" s="401"/>
      <c r="K597" s="401"/>
      <c r="L597" s="401"/>
      <c r="M597" s="401"/>
      <c r="N597" s="401"/>
      <c r="O597" s="401"/>
      <c r="P597" s="401"/>
      <c r="Q597" s="401"/>
      <c r="R597" s="401"/>
      <c r="S597" s="401"/>
      <c r="T597" s="401"/>
      <c r="U597" s="401"/>
      <c r="V597" s="401"/>
      <c r="W597" s="401"/>
      <c r="X597" s="401"/>
      <c r="Y597" s="401"/>
      <c r="Z597" s="401"/>
      <c r="AA597" s="401"/>
    </row>
    <row r="598">
      <c r="A598" s="401"/>
      <c r="B598" s="401"/>
      <c r="C598" s="401"/>
      <c r="D598" s="401"/>
      <c r="E598" s="399"/>
      <c r="F598" s="399"/>
      <c r="G598" s="399"/>
      <c r="H598" s="400"/>
      <c r="I598" s="401"/>
      <c r="J598" s="401"/>
      <c r="K598" s="401"/>
      <c r="L598" s="401"/>
      <c r="M598" s="401"/>
      <c r="N598" s="401"/>
      <c r="O598" s="401"/>
      <c r="P598" s="401"/>
      <c r="Q598" s="401"/>
      <c r="R598" s="401"/>
      <c r="S598" s="401"/>
      <c r="T598" s="401"/>
      <c r="U598" s="401"/>
      <c r="V598" s="401"/>
      <c r="W598" s="401"/>
      <c r="X598" s="401"/>
      <c r="Y598" s="401"/>
      <c r="Z598" s="401"/>
      <c r="AA598" s="401"/>
    </row>
    <row r="599">
      <c r="A599" s="401"/>
      <c r="B599" s="401"/>
      <c r="C599" s="401"/>
      <c r="D599" s="401"/>
      <c r="E599" s="399"/>
      <c r="F599" s="399"/>
      <c r="G599" s="399"/>
      <c r="H599" s="400"/>
      <c r="I599" s="401"/>
      <c r="J599" s="401"/>
      <c r="K599" s="401"/>
      <c r="L599" s="401"/>
      <c r="M599" s="401"/>
      <c r="N599" s="401"/>
      <c r="O599" s="401"/>
      <c r="P599" s="401"/>
      <c r="Q599" s="401"/>
      <c r="R599" s="401"/>
      <c r="S599" s="401"/>
      <c r="T599" s="401"/>
      <c r="U599" s="401"/>
      <c r="V599" s="401"/>
      <c r="W599" s="401"/>
      <c r="X599" s="401"/>
      <c r="Y599" s="401"/>
      <c r="Z599" s="401"/>
      <c r="AA599" s="401"/>
    </row>
    <row r="600">
      <c r="A600" s="401"/>
      <c r="B600" s="401"/>
      <c r="C600" s="401"/>
      <c r="D600" s="401"/>
      <c r="E600" s="399"/>
      <c r="F600" s="399"/>
      <c r="G600" s="399"/>
      <c r="H600" s="400"/>
      <c r="I600" s="401"/>
      <c r="J600" s="401"/>
      <c r="K600" s="401"/>
      <c r="L600" s="401"/>
      <c r="M600" s="401"/>
      <c r="N600" s="401"/>
      <c r="O600" s="401"/>
      <c r="P600" s="401"/>
      <c r="Q600" s="401"/>
      <c r="R600" s="401"/>
      <c r="S600" s="401"/>
      <c r="T600" s="401"/>
      <c r="U600" s="401"/>
      <c r="V600" s="401"/>
      <c r="W600" s="401"/>
      <c r="X600" s="401"/>
      <c r="Y600" s="401"/>
      <c r="Z600" s="401"/>
      <c r="AA600" s="401"/>
    </row>
    <row r="601">
      <c r="A601" s="401"/>
      <c r="B601" s="401"/>
      <c r="C601" s="401"/>
      <c r="D601" s="401"/>
      <c r="E601" s="399"/>
      <c r="F601" s="399"/>
      <c r="G601" s="399"/>
      <c r="H601" s="400"/>
      <c r="I601" s="401"/>
      <c r="J601" s="401"/>
      <c r="K601" s="401"/>
      <c r="L601" s="401"/>
      <c r="M601" s="401"/>
      <c r="N601" s="401"/>
      <c r="O601" s="401"/>
      <c r="P601" s="401"/>
      <c r="Q601" s="401"/>
      <c r="R601" s="401"/>
      <c r="S601" s="401"/>
      <c r="T601" s="401"/>
      <c r="U601" s="401"/>
      <c r="V601" s="401"/>
      <c r="W601" s="401"/>
      <c r="X601" s="401"/>
      <c r="Y601" s="401"/>
      <c r="Z601" s="401"/>
      <c r="AA601" s="401"/>
    </row>
    <row r="602">
      <c r="A602" s="401"/>
      <c r="B602" s="401"/>
      <c r="C602" s="401"/>
      <c r="D602" s="401"/>
      <c r="E602" s="399"/>
      <c r="F602" s="399"/>
      <c r="G602" s="399"/>
      <c r="H602" s="400"/>
      <c r="I602" s="401"/>
      <c r="J602" s="401"/>
      <c r="K602" s="401"/>
      <c r="L602" s="401"/>
      <c r="M602" s="401"/>
      <c r="N602" s="401"/>
      <c r="O602" s="401"/>
      <c r="P602" s="401"/>
      <c r="Q602" s="401"/>
      <c r="R602" s="401"/>
      <c r="S602" s="401"/>
      <c r="T602" s="401"/>
      <c r="U602" s="401"/>
      <c r="V602" s="401"/>
      <c r="W602" s="401"/>
      <c r="X602" s="401"/>
      <c r="Y602" s="401"/>
      <c r="Z602" s="401"/>
      <c r="AA602" s="401"/>
    </row>
    <row r="603">
      <c r="A603" s="401"/>
      <c r="B603" s="401"/>
      <c r="C603" s="401"/>
      <c r="D603" s="401"/>
      <c r="E603" s="399"/>
      <c r="F603" s="399"/>
      <c r="G603" s="399"/>
      <c r="H603" s="400"/>
      <c r="I603" s="401"/>
      <c r="J603" s="401"/>
      <c r="K603" s="401"/>
      <c r="L603" s="401"/>
      <c r="M603" s="401"/>
      <c r="N603" s="401"/>
      <c r="O603" s="401"/>
      <c r="P603" s="401"/>
      <c r="Q603" s="401"/>
      <c r="R603" s="401"/>
      <c r="S603" s="401"/>
      <c r="T603" s="401"/>
      <c r="U603" s="401"/>
      <c r="V603" s="401"/>
      <c r="W603" s="401"/>
      <c r="X603" s="401"/>
      <c r="Y603" s="401"/>
      <c r="Z603" s="401"/>
      <c r="AA603" s="401"/>
    </row>
    <row r="604">
      <c r="A604" s="401"/>
      <c r="B604" s="401"/>
      <c r="C604" s="401"/>
      <c r="D604" s="401"/>
      <c r="E604" s="399"/>
      <c r="F604" s="399"/>
      <c r="G604" s="399"/>
      <c r="H604" s="400"/>
      <c r="I604" s="401"/>
      <c r="J604" s="401"/>
      <c r="K604" s="401"/>
      <c r="L604" s="401"/>
      <c r="M604" s="401"/>
      <c r="N604" s="401"/>
      <c r="O604" s="401"/>
      <c r="P604" s="401"/>
      <c r="Q604" s="401"/>
      <c r="R604" s="401"/>
      <c r="S604" s="401"/>
      <c r="T604" s="401"/>
      <c r="U604" s="401"/>
      <c r="V604" s="401"/>
      <c r="W604" s="401"/>
      <c r="X604" s="401"/>
      <c r="Y604" s="401"/>
      <c r="Z604" s="401"/>
      <c r="AA604" s="401"/>
    </row>
    <row r="605">
      <c r="A605" s="401"/>
      <c r="B605" s="401"/>
      <c r="C605" s="401"/>
      <c r="D605" s="401"/>
      <c r="E605" s="399"/>
      <c r="F605" s="399"/>
      <c r="G605" s="399"/>
      <c r="H605" s="400"/>
      <c r="I605" s="401"/>
      <c r="J605" s="401"/>
      <c r="K605" s="401"/>
      <c r="L605" s="401"/>
      <c r="M605" s="401"/>
      <c r="N605" s="401"/>
      <c r="O605" s="401"/>
      <c r="P605" s="401"/>
      <c r="Q605" s="401"/>
      <c r="R605" s="401"/>
      <c r="S605" s="401"/>
      <c r="T605" s="401"/>
      <c r="U605" s="401"/>
      <c r="V605" s="401"/>
      <c r="W605" s="401"/>
      <c r="X605" s="401"/>
      <c r="Y605" s="401"/>
      <c r="Z605" s="401"/>
      <c r="AA605" s="401"/>
    </row>
    <row r="606">
      <c r="A606" s="401"/>
      <c r="B606" s="401"/>
      <c r="C606" s="401"/>
      <c r="D606" s="401"/>
      <c r="E606" s="399"/>
      <c r="F606" s="399"/>
      <c r="G606" s="399"/>
      <c r="H606" s="400"/>
      <c r="I606" s="401"/>
      <c r="J606" s="401"/>
      <c r="K606" s="401"/>
      <c r="L606" s="401"/>
      <c r="M606" s="401"/>
      <c r="N606" s="401"/>
      <c r="O606" s="401"/>
      <c r="P606" s="401"/>
      <c r="Q606" s="401"/>
      <c r="R606" s="401"/>
      <c r="S606" s="401"/>
      <c r="T606" s="401"/>
      <c r="U606" s="401"/>
      <c r="V606" s="401"/>
      <c r="W606" s="401"/>
      <c r="X606" s="401"/>
      <c r="Y606" s="401"/>
      <c r="Z606" s="401"/>
      <c r="AA606" s="401"/>
    </row>
    <row r="607">
      <c r="A607" s="401"/>
      <c r="B607" s="401"/>
      <c r="C607" s="401"/>
      <c r="D607" s="401"/>
      <c r="E607" s="399"/>
      <c r="F607" s="399"/>
      <c r="G607" s="399"/>
      <c r="H607" s="400"/>
      <c r="I607" s="401"/>
      <c r="J607" s="401"/>
      <c r="K607" s="401"/>
      <c r="L607" s="401"/>
      <c r="M607" s="401"/>
      <c r="N607" s="401"/>
      <c r="O607" s="401"/>
      <c r="P607" s="401"/>
      <c r="Q607" s="401"/>
      <c r="R607" s="401"/>
      <c r="S607" s="401"/>
      <c r="T607" s="401"/>
      <c r="U607" s="401"/>
      <c r="V607" s="401"/>
      <c r="W607" s="401"/>
      <c r="X607" s="401"/>
      <c r="Y607" s="401"/>
      <c r="Z607" s="401"/>
      <c r="AA607" s="401"/>
    </row>
    <row r="608">
      <c r="A608" s="401"/>
      <c r="B608" s="401"/>
      <c r="C608" s="401"/>
      <c r="D608" s="401"/>
      <c r="E608" s="399"/>
      <c r="F608" s="399"/>
      <c r="G608" s="399"/>
      <c r="H608" s="400"/>
      <c r="I608" s="401"/>
      <c r="J608" s="401"/>
      <c r="K608" s="401"/>
      <c r="L608" s="401"/>
      <c r="M608" s="401"/>
      <c r="N608" s="401"/>
      <c r="O608" s="401"/>
      <c r="P608" s="401"/>
      <c r="Q608" s="401"/>
      <c r="R608" s="401"/>
      <c r="S608" s="401"/>
      <c r="T608" s="401"/>
      <c r="U608" s="401"/>
      <c r="V608" s="401"/>
      <c r="W608" s="401"/>
      <c r="X608" s="401"/>
      <c r="Y608" s="401"/>
      <c r="Z608" s="401"/>
      <c r="AA608" s="401"/>
    </row>
    <row r="609">
      <c r="A609" s="401"/>
      <c r="B609" s="401"/>
      <c r="C609" s="401"/>
      <c r="D609" s="401"/>
      <c r="E609" s="399"/>
      <c r="F609" s="399"/>
      <c r="G609" s="399"/>
      <c r="H609" s="400"/>
      <c r="I609" s="401"/>
      <c r="J609" s="401"/>
      <c r="K609" s="401"/>
      <c r="L609" s="401"/>
      <c r="M609" s="401"/>
      <c r="N609" s="401"/>
      <c r="O609" s="401"/>
      <c r="P609" s="401"/>
      <c r="Q609" s="401"/>
      <c r="R609" s="401"/>
      <c r="S609" s="401"/>
      <c r="T609" s="401"/>
      <c r="U609" s="401"/>
      <c r="V609" s="401"/>
      <c r="W609" s="401"/>
      <c r="X609" s="401"/>
      <c r="Y609" s="401"/>
      <c r="Z609" s="401"/>
      <c r="AA609" s="401"/>
    </row>
    <row r="610">
      <c r="A610" s="401"/>
      <c r="B610" s="401"/>
      <c r="C610" s="401"/>
      <c r="D610" s="401"/>
      <c r="E610" s="399"/>
      <c r="F610" s="399"/>
      <c r="G610" s="399"/>
      <c r="H610" s="400"/>
      <c r="I610" s="401"/>
      <c r="J610" s="401"/>
      <c r="K610" s="401"/>
      <c r="L610" s="401"/>
      <c r="M610" s="401"/>
      <c r="N610" s="401"/>
      <c r="O610" s="401"/>
      <c r="P610" s="401"/>
      <c r="Q610" s="401"/>
      <c r="R610" s="401"/>
      <c r="S610" s="401"/>
      <c r="T610" s="401"/>
      <c r="U610" s="401"/>
      <c r="V610" s="401"/>
      <c r="W610" s="401"/>
      <c r="X610" s="401"/>
      <c r="Y610" s="401"/>
      <c r="Z610" s="401"/>
      <c r="AA610" s="401"/>
    </row>
    <row r="611">
      <c r="A611" s="401"/>
      <c r="B611" s="401"/>
      <c r="C611" s="401"/>
      <c r="D611" s="401"/>
      <c r="E611" s="399"/>
      <c r="F611" s="399"/>
      <c r="G611" s="399"/>
      <c r="H611" s="400"/>
      <c r="I611" s="401"/>
      <c r="J611" s="401"/>
      <c r="K611" s="401"/>
      <c r="L611" s="401"/>
      <c r="M611" s="401"/>
      <c r="N611" s="401"/>
      <c r="O611" s="401"/>
      <c r="P611" s="401"/>
      <c r="Q611" s="401"/>
      <c r="R611" s="401"/>
      <c r="S611" s="401"/>
      <c r="T611" s="401"/>
      <c r="U611" s="401"/>
      <c r="V611" s="401"/>
      <c r="W611" s="401"/>
      <c r="X611" s="401"/>
      <c r="Y611" s="401"/>
      <c r="Z611" s="401"/>
      <c r="AA611" s="401"/>
    </row>
    <row r="612">
      <c r="A612" s="401"/>
      <c r="B612" s="401"/>
      <c r="C612" s="401"/>
      <c r="D612" s="401"/>
      <c r="E612" s="399"/>
      <c r="F612" s="399"/>
      <c r="G612" s="399"/>
      <c r="H612" s="400"/>
      <c r="I612" s="401"/>
      <c r="J612" s="401"/>
      <c r="K612" s="401"/>
      <c r="L612" s="401"/>
      <c r="M612" s="401"/>
      <c r="N612" s="401"/>
      <c r="O612" s="401"/>
      <c r="P612" s="401"/>
      <c r="Q612" s="401"/>
      <c r="R612" s="401"/>
      <c r="S612" s="401"/>
      <c r="T612" s="401"/>
      <c r="U612" s="401"/>
      <c r="V612" s="401"/>
      <c r="W612" s="401"/>
      <c r="X612" s="401"/>
      <c r="Y612" s="401"/>
      <c r="Z612" s="401"/>
      <c r="AA612" s="401"/>
    </row>
    <row r="613">
      <c r="A613" s="401"/>
      <c r="B613" s="401"/>
      <c r="C613" s="401"/>
      <c r="D613" s="401"/>
      <c r="E613" s="399"/>
      <c r="F613" s="399"/>
      <c r="G613" s="399"/>
      <c r="H613" s="400"/>
      <c r="I613" s="401"/>
      <c r="J613" s="401"/>
      <c r="K613" s="401"/>
      <c r="L613" s="401"/>
      <c r="M613" s="401"/>
      <c r="N613" s="401"/>
      <c r="O613" s="401"/>
      <c r="P613" s="401"/>
      <c r="Q613" s="401"/>
      <c r="R613" s="401"/>
      <c r="S613" s="401"/>
      <c r="T613" s="401"/>
      <c r="U613" s="401"/>
      <c r="V613" s="401"/>
      <c r="W613" s="401"/>
      <c r="X613" s="401"/>
      <c r="Y613" s="401"/>
      <c r="Z613" s="401"/>
      <c r="AA613" s="401"/>
    </row>
    <row r="614">
      <c r="A614" s="401"/>
      <c r="B614" s="401"/>
      <c r="C614" s="401"/>
      <c r="D614" s="401"/>
      <c r="E614" s="399"/>
      <c r="F614" s="399"/>
      <c r="G614" s="399"/>
      <c r="H614" s="400"/>
      <c r="I614" s="401"/>
      <c r="J614" s="401"/>
      <c r="K614" s="401"/>
      <c r="L614" s="401"/>
      <c r="M614" s="401"/>
      <c r="N614" s="401"/>
      <c r="O614" s="401"/>
      <c r="P614" s="401"/>
      <c r="Q614" s="401"/>
      <c r="R614" s="401"/>
      <c r="S614" s="401"/>
      <c r="T614" s="401"/>
      <c r="U614" s="401"/>
      <c r="V614" s="401"/>
      <c r="W614" s="401"/>
      <c r="X614" s="401"/>
      <c r="Y614" s="401"/>
      <c r="Z614" s="401"/>
      <c r="AA614" s="401"/>
    </row>
    <row r="615">
      <c r="A615" s="401"/>
      <c r="B615" s="401"/>
      <c r="C615" s="401"/>
      <c r="D615" s="401"/>
      <c r="E615" s="399"/>
      <c r="F615" s="399"/>
      <c r="G615" s="399"/>
      <c r="H615" s="400"/>
      <c r="I615" s="401"/>
      <c r="J615" s="401"/>
      <c r="K615" s="401"/>
      <c r="L615" s="401"/>
      <c r="M615" s="401"/>
      <c r="N615" s="401"/>
      <c r="O615" s="401"/>
      <c r="P615" s="401"/>
      <c r="Q615" s="401"/>
      <c r="R615" s="401"/>
      <c r="S615" s="401"/>
      <c r="T615" s="401"/>
      <c r="U615" s="401"/>
      <c r="V615" s="401"/>
      <c r="W615" s="401"/>
      <c r="X615" s="401"/>
      <c r="Y615" s="401"/>
      <c r="Z615" s="401"/>
      <c r="AA615" s="401"/>
    </row>
    <row r="616">
      <c r="A616" s="401"/>
      <c r="B616" s="401"/>
      <c r="C616" s="401"/>
      <c r="D616" s="401"/>
      <c r="E616" s="399"/>
      <c r="F616" s="399"/>
      <c r="G616" s="399"/>
      <c r="H616" s="400"/>
      <c r="I616" s="401"/>
      <c r="J616" s="401"/>
      <c r="K616" s="401"/>
      <c r="L616" s="401"/>
      <c r="M616" s="401"/>
      <c r="N616" s="401"/>
      <c r="O616" s="401"/>
      <c r="P616" s="401"/>
      <c r="Q616" s="401"/>
      <c r="R616" s="401"/>
      <c r="S616" s="401"/>
      <c r="T616" s="401"/>
      <c r="U616" s="401"/>
      <c r="V616" s="401"/>
      <c r="W616" s="401"/>
      <c r="X616" s="401"/>
      <c r="Y616" s="401"/>
      <c r="Z616" s="401"/>
      <c r="AA616" s="401"/>
    </row>
    <row r="617">
      <c r="A617" s="401"/>
      <c r="B617" s="401"/>
      <c r="C617" s="401"/>
      <c r="D617" s="401"/>
      <c r="E617" s="399"/>
      <c r="F617" s="399"/>
      <c r="G617" s="399"/>
      <c r="H617" s="400"/>
      <c r="I617" s="401"/>
      <c r="J617" s="401"/>
      <c r="K617" s="401"/>
      <c r="L617" s="401"/>
      <c r="M617" s="401"/>
      <c r="N617" s="401"/>
      <c r="O617" s="401"/>
      <c r="P617" s="401"/>
      <c r="Q617" s="401"/>
      <c r="R617" s="401"/>
      <c r="S617" s="401"/>
      <c r="T617" s="401"/>
      <c r="U617" s="401"/>
      <c r="V617" s="401"/>
      <c r="W617" s="401"/>
      <c r="X617" s="401"/>
      <c r="Y617" s="401"/>
      <c r="Z617" s="401"/>
      <c r="AA617" s="401"/>
    </row>
    <row r="618">
      <c r="A618" s="401"/>
      <c r="B618" s="401"/>
      <c r="C618" s="401"/>
      <c r="D618" s="401"/>
      <c r="E618" s="399"/>
      <c r="F618" s="399"/>
      <c r="G618" s="399"/>
      <c r="H618" s="400"/>
      <c r="I618" s="401"/>
      <c r="J618" s="401"/>
      <c r="K618" s="401"/>
      <c r="L618" s="401"/>
      <c r="M618" s="401"/>
      <c r="N618" s="401"/>
      <c r="O618" s="401"/>
      <c r="P618" s="401"/>
      <c r="Q618" s="401"/>
      <c r="R618" s="401"/>
      <c r="S618" s="401"/>
      <c r="T618" s="401"/>
      <c r="U618" s="401"/>
      <c r="V618" s="401"/>
      <c r="W618" s="401"/>
      <c r="X618" s="401"/>
      <c r="Y618" s="401"/>
      <c r="Z618" s="401"/>
      <c r="AA618" s="401"/>
    </row>
    <row r="619">
      <c r="A619" s="401"/>
      <c r="B619" s="401"/>
      <c r="C619" s="401"/>
      <c r="D619" s="401"/>
      <c r="E619" s="399"/>
      <c r="F619" s="399"/>
      <c r="G619" s="399"/>
      <c r="H619" s="400"/>
      <c r="I619" s="401"/>
      <c r="J619" s="401"/>
      <c r="K619" s="401"/>
      <c r="L619" s="401"/>
      <c r="M619" s="401"/>
      <c r="N619" s="401"/>
      <c r="O619" s="401"/>
      <c r="P619" s="401"/>
      <c r="Q619" s="401"/>
      <c r="R619" s="401"/>
      <c r="S619" s="401"/>
      <c r="T619" s="401"/>
      <c r="U619" s="401"/>
      <c r="V619" s="401"/>
      <c r="W619" s="401"/>
      <c r="X619" s="401"/>
      <c r="Y619" s="401"/>
      <c r="Z619" s="401"/>
      <c r="AA619" s="401"/>
    </row>
    <row r="620">
      <c r="A620" s="401"/>
      <c r="B620" s="401"/>
      <c r="C620" s="401"/>
      <c r="D620" s="401"/>
      <c r="E620" s="399"/>
      <c r="F620" s="399"/>
      <c r="G620" s="399"/>
      <c r="H620" s="400"/>
      <c r="I620" s="401"/>
      <c r="J620" s="401"/>
      <c r="K620" s="401"/>
      <c r="L620" s="401"/>
      <c r="M620" s="401"/>
      <c r="N620" s="401"/>
      <c r="O620" s="401"/>
      <c r="P620" s="401"/>
      <c r="Q620" s="401"/>
      <c r="R620" s="401"/>
      <c r="S620" s="401"/>
      <c r="T620" s="401"/>
      <c r="U620" s="401"/>
      <c r="V620" s="401"/>
      <c r="W620" s="401"/>
      <c r="X620" s="401"/>
      <c r="Y620" s="401"/>
      <c r="Z620" s="401"/>
      <c r="AA620" s="401"/>
    </row>
    <row r="621">
      <c r="A621" s="401"/>
      <c r="B621" s="401"/>
      <c r="C621" s="401"/>
      <c r="D621" s="401"/>
      <c r="E621" s="399"/>
      <c r="F621" s="399"/>
      <c r="G621" s="399"/>
      <c r="H621" s="400"/>
      <c r="I621" s="401"/>
      <c r="J621" s="401"/>
      <c r="K621" s="401"/>
      <c r="L621" s="401"/>
      <c r="M621" s="401"/>
      <c r="N621" s="401"/>
      <c r="O621" s="401"/>
      <c r="P621" s="401"/>
      <c r="Q621" s="401"/>
      <c r="R621" s="401"/>
      <c r="S621" s="401"/>
      <c r="T621" s="401"/>
      <c r="U621" s="401"/>
      <c r="V621" s="401"/>
      <c r="W621" s="401"/>
      <c r="X621" s="401"/>
      <c r="Y621" s="401"/>
      <c r="Z621" s="401"/>
      <c r="AA621" s="401"/>
    </row>
    <row r="622">
      <c r="A622" s="401"/>
      <c r="B622" s="401"/>
      <c r="C622" s="401"/>
      <c r="D622" s="401"/>
      <c r="E622" s="399"/>
      <c r="F622" s="399"/>
      <c r="G622" s="399"/>
      <c r="H622" s="400"/>
      <c r="I622" s="401"/>
      <c r="J622" s="401"/>
      <c r="K622" s="401"/>
      <c r="L622" s="401"/>
      <c r="M622" s="401"/>
      <c r="N622" s="401"/>
      <c r="O622" s="401"/>
      <c r="P622" s="401"/>
      <c r="Q622" s="401"/>
      <c r="R622" s="401"/>
      <c r="S622" s="401"/>
      <c r="T622" s="401"/>
      <c r="U622" s="401"/>
      <c r="V622" s="401"/>
      <c r="W622" s="401"/>
      <c r="X622" s="401"/>
      <c r="Y622" s="401"/>
      <c r="Z622" s="401"/>
      <c r="AA622" s="401"/>
    </row>
    <row r="623">
      <c r="A623" s="401"/>
      <c r="B623" s="401"/>
      <c r="C623" s="401"/>
      <c r="D623" s="401"/>
      <c r="E623" s="399"/>
      <c r="F623" s="399"/>
      <c r="G623" s="399"/>
      <c r="H623" s="400"/>
      <c r="I623" s="401"/>
      <c r="J623" s="401"/>
      <c r="K623" s="401"/>
      <c r="L623" s="401"/>
      <c r="M623" s="401"/>
      <c r="N623" s="401"/>
      <c r="O623" s="401"/>
      <c r="P623" s="401"/>
      <c r="Q623" s="401"/>
      <c r="R623" s="401"/>
      <c r="S623" s="401"/>
      <c r="T623" s="401"/>
      <c r="U623" s="401"/>
      <c r="V623" s="401"/>
      <c r="W623" s="401"/>
      <c r="X623" s="401"/>
      <c r="Y623" s="401"/>
      <c r="Z623" s="401"/>
      <c r="AA623" s="401"/>
    </row>
    <row r="624">
      <c r="A624" s="401"/>
      <c r="B624" s="401"/>
      <c r="C624" s="401"/>
      <c r="D624" s="401"/>
      <c r="E624" s="399"/>
      <c r="F624" s="399"/>
      <c r="G624" s="399"/>
      <c r="H624" s="400"/>
      <c r="I624" s="401"/>
      <c r="J624" s="401"/>
      <c r="K624" s="401"/>
      <c r="L624" s="401"/>
      <c r="M624" s="401"/>
      <c r="N624" s="401"/>
      <c r="O624" s="401"/>
      <c r="P624" s="401"/>
      <c r="Q624" s="401"/>
      <c r="R624" s="401"/>
      <c r="S624" s="401"/>
      <c r="T624" s="401"/>
      <c r="U624" s="401"/>
      <c r="V624" s="401"/>
      <c r="W624" s="401"/>
      <c r="X624" s="401"/>
      <c r="Y624" s="401"/>
      <c r="Z624" s="401"/>
      <c r="AA624" s="401"/>
    </row>
    <row r="625">
      <c r="A625" s="401"/>
      <c r="B625" s="401"/>
      <c r="C625" s="401"/>
      <c r="D625" s="401"/>
      <c r="E625" s="399"/>
      <c r="F625" s="399"/>
      <c r="G625" s="399"/>
      <c r="H625" s="400"/>
      <c r="I625" s="401"/>
      <c r="J625" s="401"/>
      <c r="K625" s="401"/>
      <c r="L625" s="401"/>
      <c r="M625" s="401"/>
      <c r="N625" s="401"/>
      <c r="O625" s="401"/>
      <c r="P625" s="401"/>
      <c r="Q625" s="401"/>
      <c r="R625" s="401"/>
      <c r="S625" s="401"/>
      <c r="T625" s="401"/>
      <c r="U625" s="401"/>
      <c r="V625" s="401"/>
      <c r="W625" s="401"/>
      <c r="X625" s="401"/>
      <c r="Y625" s="401"/>
      <c r="Z625" s="401"/>
      <c r="AA625" s="401"/>
    </row>
    <row r="626">
      <c r="A626" s="401"/>
      <c r="B626" s="401"/>
      <c r="C626" s="401"/>
      <c r="D626" s="401"/>
      <c r="E626" s="399"/>
      <c r="F626" s="399"/>
      <c r="G626" s="399"/>
      <c r="H626" s="400"/>
      <c r="I626" s="401"/>
      <c r="J626" s="401"/>
      <c r="K626" s="401"/>
      <c r="L626" s="401"/>
      <c r="M626" s="401"/>
      <c r="N626" s="401"/>
      <c r="O626" s="401"/>
      <c r="P626" s="401"/>
      <c r="Q626" s="401"/>
      <c r="R626" s="401"/>
      <c r="S626" s="401"/>
      <c r="T626" s="401"/>
      <c r="U626" s="401"/>
      <c r="V626" s="401"/>
      <c r="W626" s="401"/>
      <c r="X626" s="401"/>
      <c r="Y626" s="401"/>
      <c r="Z626" s="401"/>
      <c r="AA626" s="401"/>
    </row>
    <row r="627">
      <c r="A627" s="401"/>
      <c r="B627" s="401"/>
      <c r="C627" s="401"/>
      <c r="D627" s="401"/>
      <c r="E627" s="399"/>
      <c r="F627" s="399"/>
      <c r="G627" s="399"/>
      <c r="H627" s="400"/>
      <c r="I627" s="401"/>
      <c r="J627" s="401"/>
      <c r="K627" s="401"/>
      <c r="L627" s="401"/>
      <c r="M627" s="401"/>
      <c r="N627" s="401"/>
      <c r="O627" s="401"/>
      <c r="P627" s="401"/>
      <c r="Q627" s="401"/>
      <c r="R627" s="401"/>
      <c r="S627" s="401"/>
      <c r="T627" s="401"/>
      <c r="U627" s="401"/>
      <c r="V627" s="401"/>
      <c r="W627" s="401"/>
      <c r="X627" s="401"/>
      <c r="Y627" s="401"/>
      <c r="Z627" s="401"/>
      <c r="AA627" s="401"/>
    </row>
    <row r="628">
      <c r="A628" s="401"/>
      <c r="B628" s="401"/>
      <c r="C628" s="401"/>
      <c r="D628" s="401"/>
      <c r="E628" s="399"/>
      <c r="F628" s="399"/>
      <c r="G628" s="399"/>
      <c r="H628" s="400"/>
      <c r="I628" s="401"/>
      <c r="J628" s="401"/>
      <c r="K628" s="401"/>
      <c r="L628" s="401"/>
      <c r="M628" s="401"/>
      <c r="N628" s="401"/>
      <c r="O628" s="401"/>
      <c r="P628" s="401"/>
      <c r="Q628" s="401"/>
      <c r="R628" s="401"/>
      <c r="S628" s="401"/>
      <c r="T628" s="401"/>
      <c r="U628" s="401"/>
      <c r="V628" s="401"/>
      <c r="W628" s="401"/>
      <c r="X628" s="401"/>
      <c r="Y628" s="401"/>
      <c r="Z628" s="401"/>
      <c r="AA628" s="401"/>
    </row>
    <row r="629">
      <c r="A629" s="401"/>
      <c r="B629" s="401"/>
      <c r="C629" s="401"/>
      <c r="D629" s="401"/>
      <c r="E629" s="399"/>
      <c r="F629" s="399"/>
      <c r="G629" s="399"/>
      <c r="H629" s="400"/>
      <c r="I629" s="401"/>
      <c r="J629" s="401"/>
      <c r="K629" s="401"/>
      <c r="L629" s="401"/>
      <c r="M629" s="401"/>
      <c r="N629" s="401"/>
      <c r="O629" s="401"/>
      <c r="P629" s="401"/>
      <c r="Q629" s="401"/>
      <c r="R629" s="401"/>
      <c r="S629" s="401"/>
      <c r="T629" s="401"/>
      <c r="U629" s="401"/>
      <c r="V629" s="401"/>
      <c r="W629" s="401"/>
      <c r="X629" s="401"/>
      <c r="Y629" s="401"/>
      <c r="Z629" s="401"/>
      <c r="AA629" s="401"/>
    </row>
    <row r="630">
      <c r="A630" s="401"/>
      <c r="B630" s="401"/>
      <c r="C630" s="401"/>
      <c r="D630" s="401"/>
      <c r="E630" s="399"/>
      <c r="F630" s="399"/>
      <c r="G630" s="399"/>
      <c r="H630" s="400"/>
      <c r="I630" s="401"/>
      <c r="J630" s="401"/>
      <c r="K630" s="401"/>
      <c r="L630" s="401"/>
      <c r="M630" s="401"/>
      <c r="N630" s="401"/>
      <c r="O630" s="401"/>
      <c r="P630" s="401"/>
      <c r="Q630" s="401"/>
      <c r="R630" s="401"/>
      <c r="S630" s="401"/>
      <c r="T630" s="401"/>
      <c r="U630" s="401"/>
      <c r="V630" s="401"/>
      <c r="W630" s="401"/>
      <c r="X630" s="401"/>
      <c r="Y630" s="401"/>
      <c r="Z630" s="401"/>
      <c r="AA630" s="401"/>
    </row>
    <row r="631">
      <c r="A631" s="401"/>
      <c r="B631" s="401"/>
      <c r="C631" s="401"/>
      <c r="D631" s="401"/>
      <c r="E631" s="399"/>
      <c r="F631" s="399"/>
      <c r="G631" s="399"/>
      <c r="H631" s="400"/>
      <c r="I631" s="401"/>
      <c r="J631" s="401"/>
      <c r="K631" s="401"/>
      <c r="L631" s="401"/>
      <c r="M631" s="401"/>
      <c r="N631" s="401"/>
      <c r="O631" s="401"/>
      <c r="P631" s="401"/>
      <c r="Q631" s="401"/>
      <c r="R631" s="401"/>
      <c r="S631" s="401"/>
      <c r="T631" s="401"/>
      <c r="U631" s="401"/>
      <c r="V631" s="401"/>
      <c r="W631" s="401"/>
      <c r="X631" s="401"/>
      <c r="Y631" s="401"/>
      <c r="Z631" s="401"/>
      <c r="AA631" s="401"/>
    </row>
    <row r="632">
      <c r="A632" s="401"/>
      <c r="B632" s="401"/>
      <c r="C632" s="401"/>
      <c r="D632" s="401"/>
      <c r="E632" s="399"/>
      <c r="F632" s="399"/>
      <c r="G632" s="399"/>
      <c r="H632" s="400"/>
      <c r="I632" s="401"/>
      <c r="J632" s="401"/>
      <c r="K632" s="401"/>
      <c r="L632" s="401"/>
      <c r="M632" s="401"/>
      <c r="N632" s="401"/>
      <c r="O632" s="401"/>
      <c r="P632" s="401"/>
      <c r="Q632" s="401"/>
      <c r="R632" s="401"/>
      <c r="S632" s="401"/>
      <c r="T632" s="401"/>
      <c r="U632" s="401"/>
      <c r="V632" s="401"/>
      <c r="W632" s="401"/>
      <c r="X632" s="401"/>
      <c r="Y632" s="401"/>
      <c r="Z632" s="401"/>
      <c r="AA632" s="401"/>
    </row>
    <row r="633">
      <c r="A633" s="401"/>
      <c r="B633" s="401"/>
      <c r="C633" s="401"/>
      <c r="D633" s="401"/>
      <c r="E633" s="399"/>
      <c r="F633" s="399"/>
      <c r="G633" s="399"/>
      <c r="H633" s="400"/>
      <c r="I633" s="401"/>
      <c r="J633" s="401"/>
      <c r="K633" s="401"/>
      <c r="L633" s="401"/>
      <c r="M633" s="401"/>
      <c r="N633" s="401"/>
      <c r="O633" s="401"/>
      <c r="P633" s="401"/>
      <c r="Q633" s="401"/>
      <c r="R633" s="401"/>
      <c r="S633" s="401"/>
      <c r="T633" s="401"/>
      <c r="U633" s="401"/>
      <c r="V633" s="401"/>
      <c r="W633" s="401"/>
      <c r="X633" s="401"/>
      <c r="Y633" s="401"/>
      <c r="Z633" s="401"/>
      <c r="AA633" s="401"/>
    </row>
    <row r="634">
      <c r="A634" s="401"/>
      <c r="B634" s="401"/>
      <c r="C634" s="401"/>
      <c r="D634" s="401"/>
      <c r="E634" s="399"/>
      <c r="F634" s="399"/>
      <c r="G634" s="399"/>
      <c r="H634" s="400"/>
      <c r="I634" s="401"/>
      <c r="J634" s="401"/>
      <c r="K634" s="401"/>
      <c r="L634" s="401"/>
      <c r="M634" s="401"/>
      <c r="N634" s="401"/>
      <c r="O634" s="401"/>
      <c r="P634" s="401"/>
      <c r="Q634" s="401"/>
      <c r="R634" s="401"/>
      <c r="S634" s="401"/>
      <c r="T634" s="401"/>
      <c r="U634" s="401"/>
      <c r="V634" s="401"/>
      <c r="W634" s="401"/>
      <c r="X634" s="401"/>
      <c r="Y634" s="401"/>
      <c r="Z634" s="401"/>
      <c r="AA634" s="401"/>
    </row>
    <row r="635">
      <c r="A635" s="401"/>
      <c r="B635" s="401"/>
      <c r="C635" s="401"/>
      <c r="D635" s="401"/>
      <c r="E635" s="399"/>
      <c r="F635" s="399"/>
      <c r="G635" s="399"/>
      <c r="H635" s="400"/>
      <c r="I635" s="401"/>
      <c r="J635" s="401"/>
      <c r="K635" s="401"/>
      <c r="L635" s="401"/>
      <c r="M635" s="401"/>
      <c r="N635" s="401"/>
      <c r="O635" s="401"/>
      <c r="P635" s="401"/>
      <c r="Q635" s="401"/>
      <c r="R635" s="401"/>
      <c r="S635" s="401"/>
      <c r="T635" s="401"/>
      <c r="U635" s="401"/>
      <c r="V635" s="401"/>
      <c r="W635" s="401"/>
      <c r="X635" s="401"/>
      <c r="Y635" s="401"/>
      <c r="Z635" s="401"/>
      <c r="AA635" s="401"/>
    </row>
    <row r="636">
      <c r="A636" s="401"/>
      <c r="B636" s="401"/>
      <c r="C636" s="401"/>
      <c r="D636" s="401"/>
      <c r="E636" s="399"/>
      <c r="F636" s="399"/>
      <c r="G636" s="399"/>
      <c r="H636" s="400"/>
      <c r="I636" s="401"/>
      <c r="J636" s="401"/>
      <c r="K636" s="401"/>
      <c r="L636" s="401"/>
      <c r="M636" s="401"/>
      <c r="N636" s="401"/>
      <c r="O636" s="401"/>
      <c r="P636" s="401"/>
      <c r="Q636" s="401"/>
      <c r="R636" s="401"/>
      <c r="S636" s="401"/>
      <c r="T636" s="401"/>
      <c r="U636" s="401"/>
      <c r="V636" s="401"/>
      <c r="W636" s="401"/>
      <c r="X636" s="401"/>
      <c r="Y636" s="401"/>
      <c r="Z636" s="401"/>
      <c r="AA636" s="401"/>
    </row>
    <row r="637">
      <c r="A637" s="401"/>
      <c r="B637" s="401"/>
      <c r="C637" s="401"/>
      <c r="D637" s="401"/>
      <c r="E637" s="399"/>
      <c r="F637" s="399"/>
      <c r="G637" s="399"/>
      <c r="H637" s="400"/>
      <c r="I637" s="401"/>
      <c r="J637" s="401"/>
      <c r="K637" s="401"/>
      <c r="L637" s="401"/>
      <c r="M637" s="401"/>
      <c r="N637" s="401"/>
      <c r="O637" s="401"/>
      <c r="P637" s="401"/>
      <c r="Q637" s="401"/>
      <c r="R637" s="401"/>
      <c r="S637" s="401"/>
      <c r="T637" s="401"/>
      <c r="U637" s="401"/>
      <c r="V637" s="401"/>
      <c r="W637" s="401"/>
      <c r="X637" s="401"/>
      <c r="Y637" s="401"/>
      <c r="Z637" s="401"/>
      <c r="AA637" s="401"/>
    </row>
    <row r="638">
      <c r="A638" s="401"/>
      <c r="B638" s="401"/>
      <c r="C638" s="401"/>
      <c r="D638" s="401"/>
      <c r="E638" s="399"/>
      <c r="F638" s="399"/>
      <c r="G638" s="399"/>
      <c r="H638" s="400"/>
      <c r="I638" s="401"/>
      <c r="J638" s="401"/>
      <c r="K638" s="401"/>
      <c r="L638" s="401"/>
      <c r="M638" s="401"/>
      <c r="N638" s="401"/>
      <c r="O638" s="401"/>
      <c r="P638" s="401"/>
      <c r="Q638" s="401"/>
      <c r="R638" s="401"/>
      <c r="S638" s="401"/>
      <c r="T638" s="401"/>
      <c r="U638" s="401"/>
      <c r="V638" s="401"/>
      <c r="W638" s="401"/>
      <c r="X638" s="401"/>
      <c r="Y638" s="401"/>
      <c r="Z638" s="401"/>
      <c r="AA638" s="401"/>
    </row>
    <row r="639">
      <c r="A639" s="401"/>
      <c r="B639" s="401"/>
      <c r="C639" s="401"/>
      <c r="D639" s="401"/>
      <c r="E639" s="399"/>
      <c r="F639" s="399"/>
      <c r="G639" s="399"/>
      <c r="H639" s="400"/>
      <c r="I639" s="401"/>
      <c r="J639" s="401"/>
      <c r="K639" s="401"/>
      <c r="L639" s="401"/>
      <c r="M639" s="401"/>
      <c r="N639" s="401"/>
      <c r="O639" s="401"/>
      <c r="P639" s="401"/>
      <c r="Q639" s="401"/>
      <c r="R639" s="401"/>
      <c r="S639" s="401"/>
      <c r="T639" s="401"/>
      <c r="U639" s="401"/>
      <c r="V639" s="401"/>
      <c r="W639" s="401"/>
      <c r="X639" s="401"/>
      <c r="Y639" s="401"/>
      <c r="Z639" s="401"/>
      <c r="AA639" s="401"/>
    </row>
    <row r="640">
      <c r="A640" s="401"/>
      <c r="B640" s="401"/>
      <c r="C640" s="401"/>
      <c r="D640" s="401"/>
      <c r="E640" s="399"/>
      <c r="F640" s="399"/>
      <c r="G640" s="399"/>
      <c r="H640" s="400"/>
      <c r="I640" s="401"/>
      <c r="J640" s="401"/>
      <c r="K640" s="401"/>
      <c r="L640" s="401"/>
      <c r="M640" s="401"/>
      <c r="N640" s="401"/>
      <c r="O640" s="401"/>
      <c r="P640" s="401"/>
      <c r="Q640" s="401"/>
      <c r="R640" s="401"/>
      <c r="S640" s="401"/>
      <c r="T640" s="401"/>
      <c r="U640" s="401"/>
      <c r="V640" s="401"/>
      <c r="W640" s="401"/>
      <c r="X640" s="401"/>
      <c r="Y640" s="401"/>
      <c r="Z640" s="401"/>
      <c r="AA640" s="401"/>
    </row>
    <row r="641">
      <c r="A641" s="401"/>
      <c r="B641" s="401"/>
      <c r="C641" s="401"/>
      <c r="D641" s="401"/>
      <c r="E641" s="399"/>
      <c r="F641" s="399"/>
      <c r="G641" s="399"/>
      <c r="H641" s="400"/>
      <c r="I641" s="401"/>
      <c r="J641" s="401"/>
      <c r="K641" s="401"/>
      <c r="L641" s="401"/>
      <c r="M641" s="401"/>
      <c r="N641" s="401"/>
      <c r="O641" s="401"/>
      <c r="P641" s="401"/>
      <c r="Q641" s="401"/>
      <c r="R641" s="401"/>
      <c r="S641" s="401"/>
      <c r="T641" s="401"/>
      <c r="U641" s="401"/>
      <c r="V641" s="401"/>
      <c r="W641" s="401"/>
      <c r="X641" s="401"/>
      <c r="Y641" s="401"/>
      <c r="Z641" s="401"/>
      <c r="AA641" s="401"/>
    </row>
    <row r="642">
      <c r="A642" s="401"/>
      <c r="B642" s="401"/>
      <c r="C642" s="401"/>
      <c r="D642" s="401"/>
      <c r="E642" s="399"/>
      <c r="F642" s="399"/>
      <c r="G642" s="399"/>
      <c r="H642" s="400"/>
      <c r="I642" s="401"/>
      <c r="J642" s="401"/>
      <c r="K642" s="401"/>
      <c r="L642" s="401"/>
      <c r="M642" s="401"/>
      <c r="N642" s="401"/>
      <c r="O642" s="401"/>
      <c r="P642" s="401"/>
      <c r="Q642" s="401"/>
      <c r="R642" s="401"/>
      <c r="S642" s="401"/>
      <c r="T642" s="401"/>
      <c r="U642" s="401"/>
      <c r="V642" s="401"/>
      <c r="W642" s="401"/>
      <c r="X642" s="401"/>
      <c r="Y642" s="401"/>
      <c r="Z642" s="401"/>
      <c r="AA642" s="401"/>
    </row>
    <row r="643">
      <c r="A643" s="401"/>
      <c r="B643" s="401"/>
      <c r="C643" s="401"/>
      <c r="D643" s="401"/>
      <c r="E643" s="399"/>
      <c r="F643" s="399"/>
      <c r="G643" s="399"/>
      <c r="H643" s="400"/>
      <c r="I643" s="401"/>
      <c r="J643" s="401"/>
      <c r="K643" s="401"/>
      <c r="L643" s="401"/>
      <c r="M643" s="401"/>
      <c r="N643" s="401"/>
      <c r="O643" s="401"/>
      <c r="P643" s="401"/>
      <c r="Q643" s="401"/>
      <c r="R643" s="401"/>
      <c r="S643" s="401"/>
      <c r="T643" s="401"/>
      <c r="U643" s="401"/>
      <c r="V643" s="401"/>
      <c r="W643" s="401"/>
      <c r="X643" s="401"/>
      <c r="Y643" s="401"/>
      <c r="Z643" s="401"/>
      <c r="AA643" s="401"/>
    </row>
    <row r="644">
      <c r="A644" s="401"/>
      <c r="B644" s="401"/>
      <c r="C644" s="401"/>
      <c r="D644" s="401"/>
      <c r="E644" s="399"/>
      <c r="F644" s="399"/>
      <c r="G644" s="399"/>
      <c r="H644" s="400"/>
      <c r="I644" s="401"/>
      <c r="J644" s="401"/>
      <c r="K644" s="401"/>
      <c r="L644" s="401"/>
      <c r="M644" s="401"/>
      <c r="N644" s="401"/>
      <c r="O644" s="401"/>
      <c r="P644" s="401"/>
      <c r="Q644" s="401"/>
      <c r="R644" s="401"/>
      <c r="S644" s="401"/>
      <c r="T644" s="401"/>
      <c r="U644" s="401"/>
      <c r="V644" s="401"/>
      <c r="W644" s="401"/>
      <c r="X644" s="401"/>
      <c r="Y644" s="401"/>
      <c r="Z644" s="401"/>
      <c r="AA644" s="401"/>
    </row>
    <row r="645">
      <c r="A645" s="401"/>
      <c r="B645" s="401"/>
      <c r="C645" s="401"/>
      <c r="D645" s="401"/>
      <c r="E645" s="399"/>
      <c r="F645" s="399"/>
      <c r="G645" s="399"/>
      <c r="H645" s="400"/>
      <c r="I645" s="401"/>
      <c r="J645" s="401"/>
      <c r="K645" s="401"/>
      <c r="L645" s="401"/>
      <c r="M645" s="401"/>
      <c r="N645" s="401"/>
      <c r="O645" s="401"/>
      <c r="P645" s="401"/>
      <c r="Q645" s="401"/>
      <c r="R645" s="401"/>
      <c r="S645" s="401"/>
      <c r="T645" s="401"/>
      <c r="U645" s="401"/>
      <c r="V645" s="401"/>
      <c r="W645" s="401"/>
      <c r="X645" s="401"/>
      <c r="Y645" s="401"/>
      <c r="Z645" s="401"/>
      <c r="AA645" s="401"/>
    </row>
    <row r="646">
      <c r="A646" s="401"/>
      <c r="B646" s="401"/>
      <c r="C646" s="401"/>
      <c r="D646" s="401"/>
      <c r="E646" s="399"/>
      <c r="F646" s="399"/>
      <c r="G646" s="399"/>
      <c r="H646" s="400"/>
      <c r="I646" s="401"/>
      <c r="J646" s="401"/>
      <c r="K646" s="401"/>
      <c r="L646" s="401"/>
      <c r="M646" s="401"/>
      <c r="N646" s="401"/>
      <c r="O646" s="401"/>
      <c r="P646" s="401"/>
      <c r="Q646" s="401"/>
      <c r="R646" s="401"/>
      <c r="S646" s="401"/>
      <c r="T646" s="401"/>
      <c r="U646" s="401"/>
      <c r="V646" s="401"/>
      <c r="W646" s="401"/>
      <c r="X646" s="401"/>
      <c r="Y646" s="401"/>
      <c r="Z646" s="401"/>
      <c r="AA646" s="401"/>
    </row>
    <row r="647">
      <c r="A647" s="401"/>
      <c r="B647" s="401"/>
      <c r="C647" s="401"/>
      <c r="D647" s="401"/>
      <c r="E647" s="399"/>
      <c r="F647" s="399"/>
      <c r="G647" s="399"/>
      <c r="H647" s="400"/>
      <c r="I647" s="401"/>
      <c r="J647" s="401"/>
      <c r="K647" s="401"/>
      <c r="L647" s="401"/>
      <c r="M647" s="401"/>
      <c r="N647" s="401"/>
      <c r="O647" s="401"/>
      <c r="P647" s="401"/>
      <c r="Q647" s="401"/>
      <c r="R647" s="401"/>
      <c r="S647" s="401"/>
      <c r="T647" s="401"/>
      <c r="U647" s="401"/>
      <c r="V647" s="401"/>
      <c r="W647" s="401"/>
      <c r="X647" s="401"/>
      <c r="Y647" s="401"/>
      <c r="Z647" s="401"/>
      <c r="AA647" s="401"/>
    </row>
    <row r="648">
      <c r="A648" s="401"/>
      <c r="B648" s="401"/>
      <c r="C648" s="401"/>
      <c r="D648" s="401"/>
      <c r="E648" s="399"/>
      <c r="F648" s="399"/>
      <c r="G648" s="399"/>
      <c r="H648" s="400"/>
      <c r="I648" s="401"/>
      <c r="J648" s="401"/>
      <c r="K648" s="401"/>
      <c r="L648" s="401"/>
      <c r="M648" s="401"/>
      <c r="N648" s="401"/>
      <c r="O648" s="401"/>
      <c r="P648" s="401"/>
      <c r="Q648" s="401"/>
      <c r="R648" s="401"/>
      <c r="S648" s="401"/>
      <c r="T648" s="401"/>
      <c r="U648" s="401"/>
      <c r="V648" s="401"/>
      <c r="W648" s="401"/>
      <c r="X648" s="401"/>
      <c r="Y648" s="401"/>
      <c r="Z648" s="401"/>
      <c r="AA648" s="401"/>
    </row>
    <row r="649">
      <c r="A649" s="401"/>
      <c r="B649" s="401"/>
      <c r="C649" s="401"/>
      <c r="D649" s="401"/>
      <c r="E649" s="399"/>
      <c r="F649" s="399"/>
      <c r="G649" s="399"/>
      <c r="H649" s="400"/>
      <c r="I649" s="401"/>
      <c r="J649" s="401"/>
      <c r="K649" s="401"/>
      <c r="L649" s="401"/>
      <c r="M649" s="401"/>
      <c r="N649" s="401"/>
      <c r="O649" s="401"/>
      <c r="P649" s="401"/>
      <c r="Q649" s="401"/>
      <c r="R649" s="401"/>
      <c r="S649" s="401"/>
      <c r="T649" s="401"/>
      <c r="U649" s="401"/>
      <c r="V649" s="401"/>
      <c r="W649" s="401"/>
      <c r="X649" s="401"/>
      <c r="Y649" s="401"/>
      <c r="Z649" s="401"/>
      <c r="AA649" s="401"/>
    </row>
    <row r="650">
      <c r="A650" s="401"/>
      <c r="B650" s="401"/>
      <c r="C650" s="401"/>
      <c r="D650" s="401"/>
      <c r="E650" s="399"/>
      <c r="F650" s="399"/>
      <c r="G650" s="399"/>
      <c r="H650" s="400"/>
      <c r="I650" s="401"/>
      <c r="J650" s="401"/>
      <c r="K650" s="401"/>
      <c r="L650" s="401"/>
      <c r="M650" s="401"/>
      <c r="N650" s="401"/>
      <c r="O650" s="401"/>
      <c r="P650" s="401"/>
      <c r="Q650" s="401"/>
      <c r="R650" s="401"/>
      <c r="S650" s="401"/>
      <c r="T650" s="401"/>
      <c r="U650" s="401"/>
      <c r="V650" s="401"/>
      <c r="W650" s="401"/>
      <c r="X650" s="401"/>
      <c r="Y650" s="401"/>
      <c r="Z650" s="401"/>
      <c r="AA650" s="401"/>
    </row>
    <row r="651">
      <c r="A651" s="401"/>
      <c r="B651" s="401"/>
      <c r="C651" s="401"/>
      <c r="D651" s="401"/>
      <c r="E651" s="399"/>
      <c r="F651" s="399"/>
      <c r="G651" s="399"/>
      <c r="H651" s="400"/>
      <c r="I651" s="401"/>
      <c r="J651" s="401"/>
      <c r="K651" s="401"/>
      <c r="L651" s="401"/>
      <c r="M651" s="401"/>
      <c r="N651" s="401"/>
      <c r="O651" s="401"/>
      <c r="P651" s="401"/>
      <c r="Q651" s="401"/>
      <c r="R651" s="401"/>
      <c r="S651" s="401"/>
      <c r="T651" s="401"/>
      <c r="U651" s="401"/>
      <c r="V651" s="401"/>
      <c r="W651" s="401"/>
      <c r="X651" s="401"/>
      <c r="Y651" s="401"/>
      <c r="Z651" s="401"/>
      <c r="AA651" s="401"/>
    </row>
    <row r="652">
      <c r="A652" s="401"/>
      <c r="B652" s="401"/>
      <c r="C652" s="401"/>
      <c r="D652" s="401"/>
      <c r="E652" s="399"/>
      <c r="F652" s="399"/>
      <c r="G652" s="399"/>
      <c r="H652" s="400"/>
      <c r="I652" s="401"/>
      <c r="J652" s="401"/>
      <c r="K652" s="401"/>
      <c r="L652" s="401"/>
      <c r="M652" s="401"/>
      <c r="N652" s="401"/>
      <c r="O652" s="401"/>
      <c r="P652" s="401"/>
      <c r="Q652" s="401"/>
      <c r="R652" s="401"/>
      <c r="S652" s="401"/>
      <c r="T652" s="401"/>
      <c r="U652" s="401"/>
      <c r="V652" s="401"/>
      <c r="W652" s="401"/>
      <c r="X652" s="401"/>
      <c r="Y652" s="401"/>
      <c r="Z652" s="401"/>
      <c r="AA652" s="401"/>
    </row>
    <row r="653">
      <c r="A653" s="401"/>
      <c r="B653" s="401"/>
      <c r="C653" s="401"/>
      <c r="D653" s="401"/>
      <c r="E653" s="399"/>
      <c r="F653" s="399"/>
      <c r="G653" s="399"/>
      <c r="H653" s="400"/>
      <c r="I653" s="401"/>
      <c r="J653" s="401"/>
      <c r="K653" s="401"/>
      <c r="L653" s="401"/>
      <c r="M653" s="401"/>
      <c r="N653" s="401"/>
      <c r="O653" s="401"/>
      <c r="P653" s="401"/>
      <c r="Q653" s="401"/>
      <c r="R653" s="401"/>
      <c r="S653" s="401"/>
      <c r="T653" s="401"/>
      <c r="U653" s="401"/>
      <c r="V653" s="401"/>
      <c r="W653" s="401"/>
      <c r="X653" s="401"/>
      <c r="Y653" s="401"/>
      <c r="Z653" s="401"/>
      <c r="AA653" s="401"/>
    </row>
    <row r="654">
      <c r="A654" s="401"/>
      <c r="B654" s="401"/>
      <c r="C654" s="401"/>
      <c r="D654" s="401"/>
      <c r="E654" s="399"/>
      <c r="F654" s="399"/>
      <c r="G654" s="399"/>
      <c r="H654" s="400"/>
      <c r="I654" s="401"/>
      <c r="J654" s="401"/>
      <c r="K654" s="401"/>
      <c r="L654" s="401"/>
      <c r="M654" s="401"/>
      <c r="N654" s="401"/>
      <c r="O654" s="401"/>
      <c r="P654" s="401"/>
      <c r="Q654" s="401"/>
      <c r="R654" s="401"/>
      <c r="S654" s="401"/>
      <c r="T654" s="401"/>
      <c r="U654" s="401"/>
      <c r="V654" s="401"/>
      <c r="W654" s="401"/>
      <c r="X654" s="401"/>
      <c r="Y654" s="401"/>
      <c r="Z654" s="401"/>
      <c r="AA654" s="401"/>
    </row>
    <row r="655">
      <c r="A655" s="401"/>
      <c r="B655" s="401"/>
      <c r="C655" s="401"/>
      <c r="D655" s="401"/>
      <c r="E655" s="399"/>
      <c r="F655" s="399"/>
      <c r="G655" s="399"/>
      <c r="H655" s="400"/>
      <c r="I655" s="401"/>
      <c r="J655" s="401"/>
      <c r="K655" s="401"/>
      <c r="L655" s="401"/>
      <c r="M655" s="401"/>
      <c r="N655" s="401"/>
      <c r="O655" s="401"/>
      <c r="P655" s="401"/>
      <c r="Q655" s="401"/>
      <c r="R655" s="401"/>
      <c r="S655" s="401"/>
      <c r="T655" s="401"/>
      <c r="U655" s="401"/>
      <c r="V655" s="401"/>
      <c r="W655" s="401"/>
      <c r="X655" s="401"/>
      <c r="Y655" s="401"/>
      <c r="Z655" s="401"/>
      <c r="AA655" s="401"/>
    </row>
    <row r="656">
      <c r="A656" s="401"/>
      <c r="B656" s="401"/>
      <c r="C656" s="401"/>
      <c r="D656" s="401"/>
      <c r="E656" s="399"/>
      <c r="F656" s="399"/>
      <c r="G656" s="399"/>
      <c r="H656" s="400"/>
      <c r="I656" s="401"/>
      <c r="J656" s="401"/>
      <c r="K656" s="401"/>
      <c r="L656" s="401"/>
      <c r="M656" s="401"/>
      <c r="N656" s="401"/>
      <c r="O656" s="401"/>
      <c r="P656" s="401"/>
      <c r="Q656" s="401"/>
      <c r="R656" s="401"/>
      <c r="S656" s="401"/>
      <c r="T656" s="401"/>
      <c r="U656" s="401"/>
      <c r="V656" s="401"/>
      <c r="W656" s="401"/>
      <c r="X656" s="401"/>
      <c r="Y656" s="401"/>
      <c r="Z656" s="401"/>
      <c r="AA656" s="401"/>
    </row>
    <row r="657">
      <c r="A657" s="401"/>
      <c r="B657" s="401"/>
      <c r="C657" s="401"/>
      <c r="D657" s="401"/>
      <c r="E657" s="399"/>
      <c r="F657" s="399"/>
      <c r="G657" s="399"/>
      <c r="H657" s="400"/>
      <c r="I657" s="401"/>
      <c r="J657" s="401"/>
      <c r="K657" s="401"/>
      <c r="L657" s="401"/>
      <c r="M657" s="401"/>
      <c r="N657" s="401"/>
      <c r="O657" s="401"/>
      <c r="P657" s="401"/>
      <c r="Q657" s="401"/>
      <c r="R657" s="401"/>
      <c r="S657" s="401"/>
      <c r="T657" s="401"/>
      <c r="U657" s="401"/>
      <c r="V657" s="401"/>
      <c r="W657" s="401"/>
      <c r="X657" s="401"/>
      <c r="Y657" s="401"/>
      <c r="Z657" s="401"/>
      <c r="AA657" s="401"/>
    </row>
    <row r="658">
      <c r="A658" s="401"/>
      <c r="B658" s="401"/>
      <c r="C658" s="401"/>
      <c r="D658" s="401"/>
      <c r="E658" s="399"/>
      <c r="F658" s="399"/>
      <c r="G658" s="399"/>
      <c r="H658" s="400"/>
      <c r="I658" s="401"/>
      <c r="J658" s="401"/>
      <c r="K658" s="401"/>
      <c r="L658" s="401"/>
      <c r="M658" s="401"/>
      <c r="N658" s="401"/>
      <c r="O658" s="401"/>
      <c r="P658" s="401"/>
      <c r="Q658" s="401"/>
      <c r="R658" s="401"/>
      <c r="S658" s="401"/>
      <c r="T658" s="401"/>
      <c r="U658" s="401"/>
      <c r="V658" s="401"/>
      <c r="W658" s="401"/>
      <c r="X658" s="401"/>
      <c r="Y658" s="401"/>
      <c r="Z658" s="401"/>
      <c r="AA658" s="401"/>
    </row>
    <row r="659">
      <c r="A659" s="401"/>
      <c r="B659" s="401"/>
      <c r="C659" s="401"/>
      <c r="D659" s="401"/>
      <c r="E659" s="399"/>
      <c r="F659" s="399"/>
      <c r="G659" s="399"/>
      <c r="H659" s="400"/>
      <c r="I659" s="401"/>
      <c r="J659" s="401"/>
      <c r="K659" s="401"/>
      <c r="L659" s="401"/>
      <c r="M659" s="401"/>
      <c r="N659" s="401"/>
      <c r="O659" s="401"/>
      <c r="P659" s="401"/>
      <c r="Q659" s="401"/>
      <c r="R659" s="401"/>
      <c r="S659" s="401"/>
      <c r="T659" s="401"/>
      <c r="U659" s="401"/>
      <c r="V659" s="401"/>
      <c r="W659" s="401"/>
      <c r="X659" s="401"/>
      <c r="Y659" s="401"/>
      <c r="Z659" s="401"/>
      <c r="AA659" s="401"/>
    </row>
    <row r="660">
      <c r="A660" s="401"/>
      <c r="B660" s="401"/>
      <c r="C660" s="401"/>
      <c r="D660" s="401"/>
      <c r="E660" s="399"/>
      <c r="F660" s="399"/>
      <c r="G660" s="399"/>
      <c r="H660" s="400"/>
      <c r="I660" s="401"/>
      <c r="J660" s="401"/>
      <c r="K660" s="401"/>
      <c r="L660" s="401"/>
      <c r="M660" s="401"/>
      <c r="N660" s="401"/>
      <c r="O660" s="401"/>
      <c r="P660" s="401"/>
      <c r="Q660" s="401"/>
      <c r="R660" s="401"/>
      <c r="S660" s="401"/>
      <c r="T660" s="401"/>
      <c r="U660" s="401"/>
      <c r="V660" s="401"/>
      <c r="W660" s="401"/>
      <c r="X660" s="401"/>
      <c r="Y660" s="401"/>
      <c r="Z660" s="401"/>
      <c r="AA660" s="401"/>
    </row>
    <row r="661">
      <c r="A661" s="401"/>
      <c r="B661" s="401"/>
      <c r="C661" s="401"/>
      <c r="D661" s="401"/>
      <c r="E661" s="399"/>
      <c r="F661" s="399"/>
      <c r="G661" s="399"/>
      <c r="H661" s="400"/>
      <c r="I661" s="401"/>
      <c r="J661" s="401"/>
      <c r="K661" s="401"/>
      <c r="L661" s="401"/>
      <c r="M661" s="401"/>
      <c r="N661" s="401"/>
      <c r="O661" s="401"/>
      <c r="P661" s="401"/>
      <c r="Q661" s="401"/>
      <c r="R661" s="401"/>
      <c r="S661" s="401"/>
      <c r="T661" s="401"/>
      <c r="U661" s="401"/>
      <c r="V661" s="401"/>
      <c r="W661" s="401"/>
      <c r="X661" s="401"/>
      <c r="Y661" s="401"/>
      <c r="Z661" s="401"/>
      <c r="AA661" s="401"/>
    </row>
    <row r="662">
      <c r="A662" s="401"/>
      <c r="B662" s="401"/>
      <c r="C662" s="401"/>
      <c r="D662" s="401"/>
      <c r="E662" s="399"/>
      <c r="F662" s="399"/>
      <c r="G662" s="399"/>
      <c r="H662" s="400"/>
      <c r="I662" s="401"/>
      <c r="J662" s="401"/>
      <c r="K662" s="401"/>
      <c r="L662" s="401"/>
      <c r="M662" s="401"/>
      <c r="N662" s="401"/>
      <c r="O662" s="401"/>
      <c r="P662" s="401"/>
      <c r="Q662" s="401"/>
      <c r="R662" s="401"/>
      <c r="S662" s="401"/>
      <c r="T662" s="401"/>
      <c r="U662" s="401"/>
      <c r="V662" s="401"/>
      <c r="W662" s="401"/>
      <c r="X662" s="401"/>
      <c r="Y662" s="401"/>
      <c r="Z662" s="401"/>
      <c r="AA662" s="401"/>
    </row>
    <row r="663">
      <c r="A663" s="401"/>
      <c r="B663" s="401"/>
      <c r="C663" s="401"/>
      <c r="D663" s="401"/>
      <c r="E663" s="399"/>
      <c r="F663" s="399"/>
      <c r="G663" s="399"/>
      <c r="H663" s="400"/>
      <c r="I663" s="401"/>
      <c r="J663" s="401"/>
      <c r="K663" s="401"/>
      <c r="L663" s="401"/>
      <c r="M663" s="401"/>
      <c r="N663" s="401"/>
      <c r="O663" s="401"/>
      <c r="P663" s="401"/>
      <c r="Q663" s="401"/>
      <c r="R663" s="401"/>
      <c r="S663" s="401"/>
      <c r="T663" s="401"/>
      <c r="U663" s="401"/>
      <c r="V663" s="401"/>
      <c r="W663" s="401"/>
      <c r="X663" s="401"/>
      <c r="Y663" s="401"/>
      <c r="Z663" s="401"/>
      <c r="AA663" s="401"/>
    </row>
    <row r="664">
      <c r="A664" s="401"/>
      <c r="B664" s="401"/>
      <c r="C664" s="401"/>
      <c r="D664" s="401"/>
      <c r="E664" s="399"/>
      <c r="F664" s="399"/>
      <c r="G664" s="399"/>
      <c r="H664" s="400"/>
      <c r="I664" s="401"/>
      <c r="J664" s="401"/>
      <c r="K664" s="401"/>
      <c r="L664" s="401"/>
      <c r="M664" s="401"/>
      <c r="N664" s="401"/>
      <c r="O664" s="401"/>
      <c r="P664" s="401"/>
      <c r="Q664" s="401"/>
      <c r="R664" s="401"/>
      <c r="S664" s="401"/>
      <c r="T664" s="401"/>
      <c r="U664" s="401"/>
      <c r="V664" s="401"/>
      <c r="W664" s="401"/>
      <c r="X664" s="401"/>
      <c r="Y664" s="401"/>
      <c r="Z664" s="401"/>
      <c r="AA664" s="401"/>
    </row>
    <row r="665">
      <c r="A665" s="401"/>
      <c r="B665" s="401"/>
      <c r="C665" s="401"/>
      <c r="D665" s="401"/>
      <c r="E665" s="399"/>
      <c r="F665" s="399"/>
      <c r="G665" s="399"/>
      <c r="H665" s="400"/>
      <c r="I665" s="401"/>
      <c r="J665" s="401"/>
      <c r="K665" s="401"/>
      <c r="L665" s="401"/>
      <c r="M665" s="401"/>
      <c r="N665" s="401"/>
      <c r="O665" s="401"/>
      <c r="P665" s="401"/>
      <c r="Q665" s="401"/>
      <c r="R665" s="401"/>
      <c r="S665" s="401"/>
      <c r="T665" s="401"/>
      <c r="U665" s="401"/>
      <c r="V665" s="401"/>
      <c r="W665" s="401"/>
      <c r="X665" s="401"/>
      <c r="Y665" s="401"/>
      <c r="Z665" s="401"/>
      <c r="AA665" s="401"/>
    </row>
    <row r="666">
      <c r="A666" s="401"/>
      <c r="B666" s="401"/>
      <c r="C666" s="401"/>
      <c r="D666" s="401"/>
      <c r="E666" s="399"/>
      <c r="F666" s="399"/>
      <c r="G666" s="399"/>
      <c r="H666" s="400"/>
      <c r="I666" s="401"/>
      <c r="J666" s="401"/>
      <c r="K666" s="401"/>
      <c r="L666" s="401"/>
      <c r="M666" s="401"/>
      <c r="N666" s="401"/>
      <c r="O666" s="401"/>
      <c r="P666" s="401"/>
      <c r="Q666" s="401"/>
      <c r="R666" s="401"/>
      <c r="S666" s="401"/>
      <c r="T666" s="401"/>
      <c r="U666" s="401"/>
      <c r="V666" s="401"/>
      <c r="W666" s="401"/>
      <c r="X666" s="401"/>
      <c r="Y666" s="401"/>
      <c r="Z666" s="401"/>
      <c r="AA666" s="401"/>
    </row>
    <row r="667">
      <c r="A667" s="401"/>
      <c r="B667" s="401"/>
      <c r="C667" s="401"/>
      <c r="D667" s="401"/>
      <c r="E667" s="399"/>
      <c r="F667" s="399"/>
      <c r="G667" s="399"/>
      <c r="H667" s="400"/>
      <c r="I667" s="401"/>
      <c r="J667" s="401"/>
      <c r="K667" s="401"/>
      <c r="L667" s="401"/>
      <c r="M667" s="401"/>
      <c r="N667" s="401"/>
      <c r="O667" s="401"/>
      <c r="P667" s="401"/>
      <c r="Q667" s="401"/>
      <c r="R667" s="401"/>
      <c r="S667" s="401"/>
      <c r="T667" s="401"/>
      <c r="U667" s="401"/>
      <c r="V667" s="401"/>
      <c r="W667" s="401"/>
      <c r="X667" s="401"/>
      <c r="Y667" s="401"/>
      <c r="Z667" s="401"/>
      <c r="AA667" s="401"/>
    </row>
    <row r="668">
      <c r="A668" s="401"/>
      <c r="B668" s="401"/>
      <c r="C668" s="401"/>
      <c r="D668" s="401"/>
      <c r="E668" s="399"/>
      <c r="F668" s="399"/>
      <c r="G668" s="399"/>
      <c r="H668" s="400"/>
      <c r="I668" s="401"/>
      <c r="J668" s="401"/>
      <c r="K668" s="401"/>
      <c r="L668" s="401"/>
      <c r="M668" s="401"/>
      <c r="N668" s="401"/>
      <c r="O668" s="401"/>
      <c r="P668" s="401"/>
      <c r="Q668" s="401"/>
      <c r="R668" s="401"/>
      <c r="S668" s="401"/>
      <c r="T668" s="401"/>
      <c r="U668" s="401"/>
      <c r="V668" s="401"/>
      <c r="W668" s="401"/>
      <c r="X668" s="401"/>
      <c r="Y668" s="401"/>
      <c r="Z668" s="401"/>
      <c r="AA668" s="401"/>
    </row>
    <row r="669">
      <c r="A669" s="401"/>
      <c r="B669" s="401"/>
      <c r="C669" s="401"/>
      <c r="D669" s="401"/>
      <c r="E669" s="399"/>
      <c r="F669" s="399"/>
      <c r="G669" s="399"/>
      <c r="H669" s="400"/>
      <c r="I669" s="401"/>
      <c r="J669" s="401"/>
      <c r="K669" s="401"/>
      <c r="L669" s="401"/>
      <c r="M669" s="401"/>
      <c r="N669" s="401"/>
      <c r="O669" s="401"/>
      <c r="P669" s="401"/>
      <c r="Q669" s="401"/>
      <c r="R669" s="401"/>
      <c r="S669" s="401"/>
      <c r="T669" s="401"/>
      <c r="U669" s="401"/>
      <c r="V669" s="401"/>
      <c r="W669" s="401"/>
      <c r="X669" s="401"/>
      <c r="Y669" s="401"/>
      <c r="Z669" s="401"/>
      <c r="AA669" s="401"/>
    </row>
    <row r="670">
      <c r="A670" s="401"/>
      <c r="B670" s="401"/>
      <c r="C670" s="401"/>
      <c r="D670" s="401"/>
      <c r="E670" s="399"/>
      <c r="F670" s="399"/>
      <c r="G670" s="399"/>
      <c r="H670" s="400"/>
      <c r="I670" s="401"/>
      <c r="J670" s="401"/>
      <c r="K670" s="401"/>
      <c r="L670" s="401"/>
      <c r="M670" s="401"/>
      <c r="N670" s="401"/>
      <c r="O670" s="401"/>
      <c r="P670" s="401"/>
      <c r="Q670" s="401"/>
      <c r="R670" s="401"/>
      <c r="S670" s="401"/>
      <c r="T670" s="401"/>
      <c r="U670" s="401"/>
      <c r="V670" s="401"/>
      <c r="W670" s="401"/>
      <c r="X670" s="401"/>
      <c r="Y670" s="401"/>
      <c r="Z670" s="401"/>
      <c r="AA670" s="401"/>
    </row>
    <row r="671">
      <c r="A671" s="401"/>
      <c r="B671" s="401"/>
      <c r="C671" s="401"/>
      <c r="D671" s="401"/>
      <c r="E671" s="399"/>
      <c r="F671" s="399"/>
      <c r="G671" s="399"/>
      <c r="H671" s="400"/>
      <c r="I671" s="401"/>
      <c r="J671" s="401"/>
      <c r="K671" s="401"/>
      <c r="L671" s="401"/>
      <c r="M671" s="401"/>
      <c r="N671" s="401"/>
      <c r="O671" s="401"/>
      <c r="P671" s="401"/>
      <c r="Q671" s="401"/>
      <c r="R671" s="401"/>
      <c r="S671" s="401"/>
      <c r="T671" s="401"/>
      <c r="U671" s="401"/>
      <c r="V671" s="401"/>
      <c r="W671" s="401"/>
      <c r="X671" s="401"/>
      <c r="Y671" s="401"/>
      <c r="Z671" s="401"/>
      <c r="AA671" s="401"/>
    </row>
    <row r="672">
      <c r="A672" s="401"/>
      <c r="B672" s="401"/>
      <c r="C672" s="401"/>
      <c r="D672" s="401"/>
      <c r="E672" s="399"/>
      <c r="F672" s="399"/>
      <c r="G672" s="399"/>
      <c r="H672" s="400"/>
      <c r="I672" s="401"/>
      <c r="J672" s="401"/>
      <c r="K672" s="401"/>
      <c r="L672" s="401"/>
      <c r="M672" s="401"/>
      <c r="N672" s="401"/>
      <c r="O672" s="401"/>
      <c r="P672" s="401"/>
      <c r="Q672" s="401"/>
      <c r="R672" s="401"/>
      <c r="S672" s="401"/>
      <c r="T672" s="401"/>
      <c r="U672" s="401"/>
      <c r="V672" s="401"/>
      <c r="W672" s="401"/>
      <c r="X672" s="401"/>
      <c r="Y672" s="401"/>
      <c r="Z672" s="401"/>
      <c r="AA672" s="401"/>
    </row>
    <row r="673">
      <c r="A673" s="401"/>
      <c r="B673" s="401"/>
      <c r="C673" s="401"/>
      <c r="D673" s="401"/>
      <c r="E673" s="399"/>
      <c r="F673" s="399"/>
      <c r="G673" s="399"/>
      <c r="H673" s="400"/>
      <c r="I673" s="401"/>
      <c r="J673" s="401"/>
      <c r="K673" s="401"/>
      <c r="L673" s="401"/>
      <c r="M673" s="401"/>
      <c r="N673" s="401"/>
      <c r="O673" s="401"/>
      <c r="P673" s="401"/>
      <c r="Q673" s="401"/>
      <c r="R673" s="401"/>
      <c r="S673" s="401"/>
      <c r="T673" s="401"/>
      <c r="U673" s="401"/>
      <c r="V673" s="401"/>
      <c r="W673" s="401"/>
      <c r="X673" s="401"/>
      <c r="Y673" s="401"/>
      <c r="Z673" s="401"/>
      <c r="AA673" s="401"/>
    </row>
    <row r="674">
      <c r="A674" s="401"/>
      <c r="B674" s="401"/>
      <c r="C674" s="401"/>
      <c r="D674" s="401"/>
      <c r="E674" s="399"/>
      <c r="F674" s="399"/>
      <c r="G674" s="399"/>
      <c r="H674" s="400"/>
      <c r="I674" s="401"/>
      <c r="J674" s="401"/>
      <c r="K674" s="401"/>
      <c r="L674" s="401"/>
      <c r="M674" s="401"/>
      <c r="N674" s="401"/>
      <c r="O674" s="401"/>
      <c r="P674" s="401"/>
      <c r="Q674" s="401"/>
      <c r="R674" s="401"/>
      <c r="S674" s="401"/>
      <c r="T674" s="401"/>
      <c r="U674" s="401"/>
      <c r="V674" s="401"/>
      <c r="W674" s="401"/>
      <c r="X674" s="401"/>
      <c r="Y674" s="401"/>
      <c r="Z674" s="401"/>
      <c r="AA674" s="401"/>
    </row>
    <row r="675">
      <c r="A675" s="401"/>
      <c r="B675" s="401"/>
      <c r="C675" s="401"/>
      <c r="D675" s="401"/>
      <c r="E675" s="399"/>
      <c r="F675" s="399"/>
      <c r="G675" s="399"/>
      <c r="H675" s="400"/>
      <c r="I675" s="401"/>
      <c r="J675" s="401"/>
      <c r="K675" s="401"/>
      <c r="L675" s="401"/>
      <c r="M675" s="401"/>
      <c r="N675" s="401"/>
      <c r="O675" s="401"/>
      <c r="P675" s="401"/>
      <c r="Q675" s="401"/>
      <c r="R675" s="401"/>
      <c r="S675" s="401"/>
      <c r="T675" s="401"/>
      <c r="U675" s="401"/>
      <c r="V675" s="401"/>
      <c r="W675" s="401"/>
      <c r="X675" s="401"/>
      <c r="Y675" s="401"/>
      <c r="Z675" s="401"/>
      <c r="AA675" s="401"/>
    </row>
    <row r="676">
      <c r="A676" s="401"/>
      <c r="B676" s="401"/>
      <c r="C676" s="401"/>
      <c r="D676" s="401"/>
      <c r="E676" s="399"/>
      <c r="F676" s="399"/>
      <c r="G676" s="399"/>
      <c r="H676" s="400"/>
      <c r="I676" s="401"/>
      <c r="J676" s="401"/>
      <c r="K676" s="401"/>
      <c r="L676" s="401"/>
      <c r="M676" s="401"/>
      <c r="N676" s="401"/>
      <c r="O676" s="401"/>
      <c r="P676" s="401"/>
      <c r="Q676" s="401"/>
      <c r="R676" s="401"/>
      <c r="S676" s="401"/>
      <c r="T676" s="401"/>
      <c r="U676" s="401"/>
      <c r="V676" s="401"/>
      <c r="W676" s="401"/>
      <c r="X676" s="401"/>
      <c r="Y676" s="401"/>
      <c r="Z676" s="401"/>
      <c r="AA676" s="401"/>
    </row>
    <row r="677">
      <c r="A677" s="401"/>
      <c r="B677" s="401"/>
      <c r="C677" s="401"/>
      <c r="D677" s="401"/>
      <c r="E677" s="399"/>
      <c r="F677" s="399"/>
      <c r="G677" s="399"/>
      <c r="H677" s="400"/>
      <c r="I677" s="401"/>
      <c r="J677" s="401"/>
      <c r="K677" s="401"/>
      <c r="L677" s="401"/>
      <c r="M677" s="401"/>
      <c r="N677" s="401"/>
      <c r="O677" s="401"/>
      <c r="P677" s="401"/>
      <c r="Q677" s="401"/>
      <c r="R677" s="401"/>
      <c r="S677" s="401"/>
      <c r="T677" s="401"/>
      <c r="U677" s="401"/>
      <c r="V677" s="401"/>
      <c r="W677" s="401"/>
      <c r="X677" s="401"/>
      <c r="Y677" s="401"/>
      <c r="Z677" s="401"/>
      <c r="AA677" s="401"/>
    </row>
    <row r="678">
      <c r="A678" s="401"/>
      <c r="B678" s="401"/>
      <c r="C678" s="401"/>
      <c r="D678" s="401"/>
      <c r="E678" s="399"/>
      <c r="F678" s="399"/>
      <c r="G678" s="399"/>
      <c r="H678" s="400"/>
      <c r="I678" s="401"/>
      <c r="J678" s="401"/>
      <c r="K678" s="401"/>
      <c r="L678" s="401"/>
      <c r="M678" s="401"/>
      <c r="N678" s="401"/>
      <c r="O678" s="401"/>
      <c r="P678" s="401"/>
      <c r="Q678" s="401"/>
      <c r="R678" s="401"/>
      <c r="S678" s="401"/>
      <c r="T678" s="401"/>
      <c r="U678" s="401"/>
      <c r="V678" s="401"/>
      <c r="W678" s="401"/>
      <c r="X678" s="401"/>
      <c r="Y678" s="401"/>
      <c r="Z678" s="401"/>
      <c r="AA678" s="401"/>
    </row>
    <row r="679">
      <c r="A679" s="401"/>
      <c r="B679" s="401"/>
      <c r="C679" s="401"/>
      <c r="D679" s="401"/>
      <c r="E679" s="399"/>
      <c r="F679" s="399"/>
      <c r="G679" s="399"/>
      <c r="H679" s="400"/>
      <c r="I679" s="401"/>
      <c r="J679" s="401"/>
      <c r="K679" s="401"/>
      <c r="L679" s="401"/>
      <c r="M679" s="401"/>
      <c r="N679" s="401"/>
      <c r="O679" s="401"/>
      <c r="P679" s="401"/>
      <c r="Q679" s="401"/>
      <c r="R679" s="401"/>
      <c r="S679" s="401"/>
      <c r="T679" s="401"/>
      <c r="U679" s="401"/>
      <c r="V679" s="401"/>
      <c r="W679" s="401"/>
      <c r="X679" s="401"/>
      <c r="Y679" s="401"/>
      <c r="Z679" s="401"/>
      <c r="AA679" s="401"/>
    </row>
    <row r="680">
      <c r="A680" s="401"/>
      <c r="B680" s="401"/>
      <c r="C680" s="401"/>
      <c r="D680" s="401"/>
      <c r="E680" s="399"/>
      <c r="F680" s="399"/>
      <c r="G680" s="399"/>
      <c r="H680" s="400"/>
      <c r="I680" s="401"/>
      <c r="J680" s="401"/>
      <c r="K680" s="401"/>
      <c r="L680" s="401"/>
      <c r="M680" s="401"/>
      <c r="N680" s="401"/>
      <c r="O680" s="401"/>
      <c r="P680" s="401"/>
      <c r="Q680" s="401"/>
      <c r="R680" s="401"/>
      <c r="S680" s="401"/>
      <c r="T680" s="401"/>
      <c r="U680" s="401"/>
      <c r="V680" s="401"/>
      <c r="W680" s="401"/>
      <c r="X680" s="401"/>
      <c r="Y680" s="401"/>
      <c r="Z680" s="401"/>
      <c r="AA680" s="401"/>
    </row>
    <row r="681">
      <c r="A681" s="401"/>
      <c r="B681" s="401"/>
      <c r="C681" s="401"/>
      <c r="D681" s="401"/>
      <c r="E681" s="399"/>
      <c r="F681" s="399"/>
      <c r="G681" s="399"/>
      <c r="H681" s="400"/>
      <c r="I681" s="401"/>
      <c r="J681" s="401"/>
      <c r="K681" s="401"/>
      <c r="L681" s="401"/>
      <c r="M681" s="401"/>
      <c r="N681" s="401"/>
      <c r="O681" s="401"/>
      <c r="P681" s="401"/>
      <c r="Q681" s="401"/>
      <c r="R681" s="401"/>
      <c r="S681" s="401"/>
      <c r="T681" s="401"/>
      <c r="U681" s="401"/>
      <c r="V681" s="401"/>
      <c r="W681" s="401"/>
      <c r="X681" s="401"/>
      <c r="Y681" s="401"/>
      <c r="Z681" s="401"/>
      <c r="AA681" s="401"/>
    </row>
    <row r="682">
      <c r="A682" s="401"/>
      <c r="B682" s="401"/>
      <c r="C682" s="401"/>
      <c r="D682" s="401"/>
      <c r="E682" s="399"/>
      <c r="F682" s="399"/>
      <c r="G682" s="399"/>
      <c r="H682" s="400"/>
      <c r="I682" s="401"/>
      <c r="J682" s="401"/>
      <c r="K682" s="401"/>
      <c r="L682" s="401"/>
      <c r="M682" s="401"/>
      <c r="N682" s="401"/>
      <c r="O682" s="401"/>
      <c r="P682" s="401"/>
      <c r="Q682" s="401"/>
      <c r="R682" s="401"/>
      <c r="S682" s="401"/>
      <c r="T682" s="401"/>
      <c r="U682" s="401"/>
      <c r="V682" s="401"/>
      <c r="W682" s="401"/>
      <c r="X682" s="401"/>
      <c r="Y682" s="401"/>
      <c r="Z682" s="401"/>
      <c r="AA682" s="401"/>
    </row>
    <row r="683">
      <c r="A683" s="401"/>
      <c r="B683" s="401"/>
      <c r="C683" s="401"/>
      <c r="D683" s="401"/>
      <c r="E683" s="399"/>
      <c r="F683" s="399"/>
      <c r="G683" s="399"/>
      <c r="H683" s="400"/>
      <c r="I683" s="401"/>
      <c r="J683" s="401"/>
      <c r="K683" s="401"/>
      <c r="L683" s="401"/>
      <c r="M683" s="401"/>
      <c r="N683" s="401"/>
      <c r="O683" s="401"/>
      <c r="P683" s="401"/>
      <c r="Q683" s="401"/>
      <c r="R683" s="401"/>
      <c r="S683" s="401"/>
      <c r="T683" s="401"/>
      <c r="U683" s="401"/>
      <c r="V683" s="401"/>
      <c r="W683" s="401"/>
      <c r="X683" s="401"/>
      <c r="Y683" s="401"/>
      <c r="Z683" s="401"/>
      <c r="AA683" s="401"/>
    </row>
    <row r="684">
      <c r="A684" s="401"/>
      <c r="B684" s="401"/>
      <c r="C684" s="401"/>
      <c r="D684" s="401"/>
      <c r="E684" s="399"/>
      <c r="F684" s="399"/>
      <c r="G684" s="399"/>
      <c r="H684" s="400"/>
      <c r="I684" s="401"/>
      <c r="J684" s="401"/>
      <c r="K684" s="401"/>
      <c r="L684" s="401"/>
      <c r="M684" s="401"/>
      <c r="N684" s="401"/>
      <c r="O684" s="401"/>
      <c r="P684" s="401"/>
      <c r="Q684" s="401"/>
      <c r="R684" s="401"/>
      <c r="S684" s="401"/>
      <c r="T684" s="401"/>
      <c r="U684" s="401"/>
      <c r="V684" s="401"/>
      <c r="W684" s="401"/>
      <c r="X684" s="401"/>
      <c r="Y684" s="401"/>
      <c r="Z684" s="401"/>
      <c r="AA684" s="401"/>
    </row>
    <row r="685">
      <c r="A685" s="401"/>
      <c r="B685" s="401"/>
      <c r="C685" s="401"/>
      <c r="D685" s="401"/>
      <c r="E685" s="399"/>
      <c r="F685" s="399"/>
      <c r="G685" s="399"/>
      <c r="H685" s="400"/>
      <c r="I685" s="401"/>
      <c r="J685" s="401"/>
      <c r="K685" s="401"/>
      <c r="L685" s="401"/>
      <c r="M685" s="401"/>
      <c r="N685" s="401"/>
      <c r="O685" s="401"/>
      <c r="P685" s="401"/>
      <c r="Q685" s="401"/>
      <c r="R685" s="401"/>
      <c r="S685" s="401"/>
      <c r="T685" s="401"/>
      <c r="U685" s="401"/>
      <c r="V685" s="401"/>
      <c r="W685" s="401"/>
      <c r="X685" s="401"/>
      <c r="Y685" s="401"/>
      <c r="Z685" s="401"/>
      <c r="AA685" s="401"/>
    </row>
    <row r="686">
      <c r="A686" s="401"/>
      <c r="B686" s="401"/>
      <c r="C686" s="401"/>
      <c r="D686" s="401"/>
      <c r="E686" s="399"/>
      <c r="F686" s="399"/>
      <c r="G686" s="399"/>
      <c r="H686" s="400"/>
      <c r="I686" s="401"/>
      <c r="J686" s="401"/>
      <c r="K686" s="401"/>
      <c r="L686" s="401"/>
      <c r="M686" s="401"/>
      <c r="N686" s="401"/>
      <c r="O686" s="401"/>
      <c r="P686" s="401"/>
      <c r="Q686" s="401"/>
      <c r="R686" s="401"/>
      <c r="S686" s="401"/>
      <c r="T686" s="401"/>
      <c r="U686" s="401"/>
      <c r="V686" s="401"/>
      <c r="W686" s="401"/>
      <c r="X686" s="401"/>
      <c r="Y686" s="401"/>
      <c r="Z686" s="401"/>
      <c r="AA686" s="401"/>
    </row>
    <row r="687">
      <c r="A687" s="401"/>
      <c r="B687" s="401"/>
      <c r="C687" s="401"/>
      <c r="D687" s="401"/>
      <c r="E687" s="399"/>
      <c r="F687" s="399"/>
      <c r="G687" s="399"/>
      <c r="H687" s="400"/>
      <c r="I687" s="401"/>
      <c r="J687" s="401"/>
      <c r="K687" s="401"/>
      <c r="L687" s="401"/>
      <c r="M687" s="401"/>
      <c r="N687" s="401"/>
      <c r="O687" s="401"/>
      <c r="P687" s="401"/>
      <c r="Q687" s="401"/>
      <c r="R687" s="401"/>
      <c r="S687" s="401"/>
      <c r="T687" s="401"/>
      <c r="U687" s="401"/>
      <c r="V687" s="401"/>
      <c r="W687" s="401"/>
      <c r="X687" s="401"/>
      <c r="Y687" s="401"/>
      <c r="Z687" s="401"/>
      <c r="AA687" s="401"/>
    </row>
    <row r="688">
      <c r="A688" s="401"/>
      <c r="B688" s="401"/>
      <c r="C688" s="401"/>
      <c r="D688" s="401"/>
      <c r="E688" s="399"/>
      <c r="F688" s="399"/>
      <c r="G688" s="399"/>
      <c r="H688" s="400"/>
      <c r="I688" s="401"/>
      <c r="J688" s="401"/>
      <c r="K688" s="401"/>
      <c r="L688" s="401"/>
      <c r="M688" s="401"/>
      <c r="N688" s="401"/>
      <c r="O688" s="401"/>
      <c r="P688" s="401"/>
      <c r="Q688" s="401"/>
      <c r="R688" s="401"/>
      <c r="S688" s="401"/>
      <c r="T688" s="401"/>
      <c r="U688" s="401"/>
      <c r="V688" s="401"/>
      <c r="W688" s="401"/>
      <c r="X688" s="401"/>
      <c r="Y688" s="401"/>
      <c r="Z688" s="401"/>
      <c r="AA688" s="401"/>
    </row>
    <row r="689">
      <c r="A689" s="401"/>
      <c r="B689" s="401"/>
      <c r="C689" s="401"/>
      <c r="D689" s="401"/>
      <c r="E689" s="399"/>
      <c r="F689" s="399"/>
      <c r="G689" s="399"/>
      <c r="H689" s="400"/>
      <c r="I689" s="401"/>
      <c r="J689" s="401"/>
      <c r="K689" s="401"/>
      <c r="L689" s="401"/>
      <c r="M689" s="401"/>
      <c r="N689" s="401"/>
      <c r="O689" s="401"/>
      <c r="P689" s="401"/>
      <c r="Q689" s="401"/>
      <c r="R689" s="401"/>
      <c r="S689" s="401"/>
      <c r="T689" s="401"/>
      <c r="U689" s="401"/>
      <c r="V689" s="401"/>
      <c r="W689" s="401"/>
      <c r="X689" s="401"/>
      <c r="Y689" s="401"/>
      <c r="Z689" s="401"/>
      <c r="AA689" s="401"/>
    </row>
    <row r="690">
      <c r="A690" s="401"/>
      <c r="B690" s="401"/>
      <c r="C690" s="401"/>
      <c r="D690" s="401"/>
      <c r="E690" s="399"/>
      <c r="F690" s="399"/>
      <c r="G690" s="399"/>
      <c r="H690" s="400"/>
      <c r="I690" s="401"/>
      <c r="J690" s="401"/>
      <c r="K690" s="401"/>
      <c r="L690" s="401"/>
      <c r="M690" s="401"/>
      <c r="N690" s="401"/>
      <c r="O690" s="401"/>
      <c r="P690" s="401"/>
      <c r="Q690" s="401"/>
      <c r="R690" s="401"/>
      <c r="S690" s="401"/>
      <c r="T690" s="401"/>
      <c r="U690" s="401"/>
      <c r="V690" s="401"/>
      <c r="W690" s="401"/>
      <c r="X690" s="401"/>
      <c r="Y690" s="401"/>
      <c r="Z690" s="401"/>
      <c r="AA690" s="401"/>
    </row>
    <row r="691">
      <c r="A691" s="401"/>
      <c r="B691" s="401"/>
      <c r="C691" s="401"/>
      <c r="D691" s="401"/>
      <c r="E691" s="399"/>
      <c r="F691" s="399"/>
      <c r="G691" s="399"/>
      <c r="H691" s="400"/>
      <c r="I691" s="401"/>
      <c r="J691" s="401"/>
      <c r="K691" s="401"/>
      <c r="L691" s="401"/>
      <c r="M691" s="401"/>
      <c r="N691" s="401"/>
      <c r="O691" s="401"/>
      <c r="P691" s="401"/>
      <c r="Q691" s="401"/>
      <c r="R691" s="401"/>
      <c r="S691" s="401"/>
      <c r="T691" s="401"/>
      <c r="U691" s="401"/>
      <c r="V691" s="401"/>
      <c r="W691" s="401"/>
      <c r="X691" s="401"/>
      <c r="Y691" s="401"/>
      <c r="Z691" s="401"/>
      <c r="AA691" s="401"/>
    </row>
    <row r="692">
      <c r="A692" s="401"/>
      <c r="B692" s="401"/>
      <c r="C692" s="401"/>
      <c r="D692" s="401"/>
      <c r="E692" s="399"/>
      <c r="F692" s="399"/>
      <c r="G692" s="399"/>
      <c r="H692" s="400"/>
      <c r="I692" s="401"/>
      <c r="J692" s="401"/>
      <c r="K692" s="401"/>
      <c r="L692" s="401"/>
      <c r="M692" s="401"/>
      <c r="N692" s="401"/>
      <c r="O692" s="401"/>
      <c r="P692" s="401"/>
      <c r="Q692" s="401"/>
      <c r="R692" s="401"/>
      <c r="S692" s="401"/>
      <c r="T692" s="401"/>
      <c r="U692" s="401"/>
      <c r="V692" s="401"/>
      <c r="W692" s="401"/>
      <c r="X692" s="401"/>
      <c r="Y692" s="401"/>
      <c r="Z692" s="401"/>
      <c r="AA692" s="401"/>
    </row>
    <row r="693">
      <c r="A693" s="401"/>
      <c r="B693" s="401"/>
      <c r="C693" s="401"/>
      <c r="D693" s="401"/>
      <c r="E693" s="399"/>
      <c r="F693" s="399"/>
      <c r="G693" s="399"/>
      <c r="H693" s="400"/>
      <c r="I693" s="401"/>
      <c r="J693" s="401"/>
      <c r="K693" s="401"/>
      <c r="L693" s="401"/>
      <c r="M693" s="401"/>
      <c r="N693" s="401"/>
      <c r="O693" s="401"/>
      <c r="P693" s="401"/>
      <c r="Q693" s="401"/>
      <c r="R693" s="401"/>
      <c r="S693" s="401"/>
      <c r="T693" s="401"/>
      <c r="U693" s="401"/>
      <c r="V693" s="401"/>
      <c r="W693" s="401"/>
      <c r="X693" s="401"/>
      <c r="Y693" s="401"/>
      <c r="Z693" s="401"/>
      <c r="AA693" s="401"/>
    </row>
    <row r="694">
      <c r="A694" s="401"/>
      <c r="B694" s="401"/>
      <c r="C694" s="401"/>
      <c r="D694" s="401"/>
      <c r="E694" s="399"/>
      <c r="F694" s="399"/>
      <c r="G694" s="399"/>
      <c r="H694" s="400"/>
      <c r="I694" s="401"/>
      <c r="J694" s="401"/>
      <c r="K694" s="401"/>
      <c r="L694" s="401"/>
      <c r="M694" s="401"/>
      <c r="N694" s="401"/>
      <c r="O694" s="401"/>
      <c r="P694" s="401"/>
      <c r="Q694" s="401"/>
      <c r="R694" s="401"/>
      <c r="S694" s="401"/>
      <c r="T694" s="401"/>
      <c r="U694" s="401"/>
      <c r="V694" s="401"/>
      <c r="W694" s="401"/>
      <c r="X694" s="401"/>
      <c r="Y694" s="401"/>
      <c r="Z694" s="401"/>
      <c r="AA694" s="401"/>
    </row>
    <row r="695">
      <c r="A695" s="401"/>
      <c r="B695" s="401"/>
      <c r="C695" s="401"/>
      <c r="D695" s="401"/>
      <c r="E695" s="399"/>
      <c r="F695" s="399"/>
      <c r="G695" s="399"/>
      <c r="H695" s="400"/>
      <c r="I695" s="401"/>
      <c r="J695" s="401"/>
      <c r="K695" s="401"/>
      <c r="L695" s="401"/>
      <c r="M695" s="401"/>
      <c r="N695" s="401"/>
      <c r="O695" s="401"/>
      <c r="P695" s="401"/>
      <c r="Q695" s="401"/>
      <c r="R695" s="401"/>
      <c r="S695" s="401"/>
      <c r="T695" s="401"/>
      <c r="U695" s="401"/>
      <c r="V695" s="401"/>
      <c r="W695" s="401"/>
      <c r="X695" s="401"/>
      <c r="Y695" s="401"/>
      <c r="Z695" s="401"/>
      <c r="AA695" s="401"/>
    </row>
    <row r="696">
      <c r="A696" s="401"/>
      <c r="B696" s="401"/>
      <c r="C696" s="401"/>
      <c r="D696" s="401"/>
      <c r="E696" s="399"/>
      <c r="F696" s="399"/>
      <c r="G696" s="399"/>
      <c r="H696" s="400"/>
      <c r="I696" s="401"/>
      <c r="J696" s="401"/>
      <c r="K696" s="401"/>
      <c r="L696" s="401"/>
      <c r="M696" s="401"/>
      <c r="N696" s="401"/>
      <c r="O696" s="401"/>
      <c r="P696" s="401"/>
      <c r="Q696" s="401"/>
      <c r="R696" s="401"/>
      <c r="S696" s="401"/>
      <c r="T696" s="401"/>
      <c r="U696" s="401"/>
      <c r="V696" s="401"/>
      <c r="W696" s="401"/>
      <c r="X696" s="401"/>
      <c r="Y696" s="401"/>
      <c r="Z696" s="401"/>
      <c r="AA696" s="401"/>
    </row>
    <row r="697">
      <c r="A697" s="401"/>
      <c r="B697" s="401"/>
      <c r="C697" s="401"/>
      <c r="D697" s="401"/>
      <c r="E697" s="399"/>
      <c r="F697" s="399"/>
      <c r="G697" s="399"/>
      <c r="H697" s="400"/>
      <c r="I697" s="401"/>
      <c r="J697" s="401"/>
      <c r="K697" s="401"/>
      <c r="L697" s="401"/>
      <c r="M697" s="401"/>
      <c r="N697" s="401"/>
      <c r="O697" s="401"/>
      <c r="P697" s="401"/>
      <c r="Q697" s="401"/>
      <c r="R697" s="401"/>
      <c r="S697" s="401"/>
      <c r="T697" s="401"/>
      <c r="U697" s="401"/>
      <c r="V697" s="401"/>
      <c r="W697" s="401"/>
      <c r="X697" s="401"/>
      <c r="Y697" s="401"/>
      <c r="Z697" s="401"/>
      <c r="AA697" s="401"/>
    </row>
    <row r="698">
      <c r="A698" s="401"/>
      <c r="B698" s="401"/>
      <c r="C698" s="401"/>
      <c r="D698" s="401"/>
      <c r="E698" s="399"/>
      <c r="F698" s="399"/>
      <c r="G698" s="399"/>
      <c r="H698" s="400"/>
      <c r="I698" s="401"/>
      <c r="J698" s="401"/>
      <c r="K698" s="401"/>
      <c r="L698" s="401"/>
      <c r="M698" s="401"/>
      <c r="N698" s="401"/>
      <c r="O698" s="401"/>
      <c r="P698" s="401"/>
      <c r="Q698" s="401"/>
      <c r="R698" s="401"/>
      <c r="S698" s="401"/>
      <c r="T698" s="401"/>
      <c r="U698" s="401"/>
      <c r="V698" s="401"/>
      <c r="W698" s="401"/>
      <c r="X698" s="401"/>
      <c r="Y698" s="401"/>
      <c r="Z698" s="401"/>
      <c r="AA698" s="401"/>
    </row>
    <row r="699">
      <c r="A699" s="401"/>
      <c r="B699" s="401"/>
      <c r="C699" s="401"/>
      <c r="D699" s="401"/>
      <c r="E699" s="399"/>
      <c r="F699" s="399"/>
      <c r="G699" s="399"/>
      <c r="H699" s="400"/>
      <c r="I699" s="401"/>
      <c r="J699" s="401"/>
      <c r="K699" s="401"/>
      <c r="L699" s="401"/>
      <c r="M699" s="401"/>
      <c r="N699" s="401"/>
      <c r="O699" s="401"/>
      <c r="P699" s="401"/>
      <c r="Q699" s="401"/>
      <c r="R699" s="401"/>
      <c r="S699" s="401"/>
      <c r="T699" s="401"/>
      <c r="U699" s="401"/>
      <c r="V699" s="401"/>
      <c r="W699" s="401"/>
      <c r="X699" s="401"/>
      <c r="Y699" s="401"/>
      <c r="Z699" s="401"/>
      <c r="AA699" s="401"/>
    </row>
    <row r="700">
      <c r="A700" s="401"/>
      <c r="B700" s="401"/>
      <c r="C700" s="401"/>
      <c r="D700" s="401"/>
      <c r="E700" s="399"/>
      <c r="F700" s="399"/>
      <c r="G700" s="399"/>
      <c r="H700" s="400"/>
      <c r="I700" s="401"/>
      <c r="J700" s="401"/>
      <c r="K700" s="401"/>
      <c r="L700" s="401"/>
      <c r="M700" s="401"/>
      <c r="N700" s="401"/>
      <c r="O700" s="401"/>
      <c r="P700" s="401"/>
      <c r="Q700" s="401"/>
      <c r="R700" s="401"/>
      <c r="S700" s="401"/>
      <c r="T700" s="401"/>
      <c r="U700" s="401"/>
      <c r="V700" s="401"/>
      <c r="W700" s="401"/>
      <c r="X700" s="401"/>
      <c r="Y700" s="401"/>
      <c r="Z700" s="401"/>
      <c r="AA700" s="401"/>
    </row>
    <row r="701">
      <c r="A701" s="401"/>
      <c r="B701" s="401"/>
      <c r="C701" s="401"/>
      <c r="D701" s="401"/>
      <c r="E701" s="399"/>
      <c r="F701" s="399"/>
      <c r="G701" s="399"/>
      <c r="H701" s="400"/>
      <c r="I701" s="401"/>
      <c r="J701" s="401"/>
      <c r="K701" s="401"/>
      <c r="L701" s="401"/>
      <c r="M701" s="401"/>
      <c r="N701" s="401"/>
      <c r="O701" s="401"/>
      <c r="P701" s="401"/>
      <c r="Q701" s="401"/>
      <c r="R701" s="401"/>
      <c r="S701" s="401"/>
      <c r="T701" s="401"/>
      <c r="U701" s="401"/>
      <c r="V701" s="401"/>
      <c r="W701" s="401"/>
      <c r="X701" s="401"/>
      <c r="Y701" s="401"/>
      <c r="Z701" s="401"/>
      <c r="AA701" s="401"/>
    </row>
    <row r="702">
      <c r="A702" s="401"/>
      <c r="B702" s="401"/>
      <c r="C702" s="401"/>
      <c r="D702" s="401"/>
      <c r="E702" s="399"/>
      <c r="F702" s="399"/>
      <c r="G702" s="399"/>
      <c r="H702" s="400"/>
      <c r="I702" s="401"/>
      <c r="J702" s="401"/>
      <c r="K702" s="401"/>
      <c r="L702" s="401"/>
      <c r="M702" s="401"/>
      <c r="N702" s="401"/>
      <c r="O702" s="401"/>
      <c r="P702" s="401"/>
      <c r="Q702" s="401"/>
      <c r="R702" s="401"/>
      <c r="S702" s="401"/>
      <c r="T702" s="401"/>
      <c r="U702" s="401"/>
      <c r="V702" s="401"/>
      <c r="W702" s="401"/>
      <c r="X702" s="401"/>
      <c r="Y702" s="401"/>
      <c r="Z702" s="401"/>
      <c r="AA702" s="401"/>
    </row>
    <row r="703">
      <c r="A703" s="401"/>
      <c r="B703" s="401"/>
      <c r="C703" s="401"/>
      <c r="D703" s="401"/>
      <c r="E703" s="399"/>
      <c r="F703" s="399"/>
      <c r="G703" s="399"/>
      <c r="H703" s="400"/>
      <c r="I703" s="401"/>
      <c r="J703" s="401"/>
      <c r="K703" s="401"/>
      <c r="L703" s="401"/>
      <c r="M703" s="401"/>
      <c r="N703" s="401"/>
      <c r="O703" s="401"/>
      <c r="P703" s="401"/>
      <c r="Q703" s="401"/>
      <c r="R703" s="401"/>
      <c r="S703" s="401"/>
      <c r="T703" s="401"/>
      <c r="U703" s="401"/>
      <c r="V703" s="401"/>
      <c r="W703" s="401"/>
      <c r="X703" s="401"/>
      <c r="Y703" s="401"/>
      <c r="Z703" s="401"/>
      <c r="AA703" s="401"/>
    </row>
    <row r="704">
      <c r="A704" s="401"/>
      <c r="B704" s="401"/>
      <c r="C704" s="401"/>
      <c r="D704" s="401"/>
      <c r="E704" s="399"/>
      <c r="F704" s="399"/>
      <c r="G704" s="399"/>
      <c r="H704" s="400"/>
      <c r="I704" s="401"/>
      <c r="J704" s="401"/>
      <c r="K704" s="401"/>
      <c r="L704" s="401"/>
      <c r="M704" s="401"/>
      <c r="N704" s="401"/>
      <c r="O704" s="401"/>
      <c r="P704" s="401"/>
      <c r="Q704" s="401"/>
      <c r="R704" s="401"/>
      <c r="S704" s="401"/>
      <c r="T704" s="401"/>
      <c r="U704" s="401"/>
      <c r="V704" s="401"/>
      <c r="W704" s="401"/>
      <c r="X704" s="401"/>
      <c r="Y704" s="401"/>
      <c r="Z704" s="401"/>
      <c r="AA704" s="401"/>
    </row>
    <row r="705">
      <c r="A705" s="401"/>
      <c r="B705" s="401"/>
      <c r="C705" s="401"/>
      <c r="D705" s="401"/>
      <c r="E705" s="399"/>
      <c r="F705" s="399"/>
      <c r="G705" s="399"/>
      <c r="H705" s="400"/>
      <c r="I705" s="401"/>
      <c r="J705" s="401"/>
      <c r="K705" s="401"/>
      <c r="L705" s="401"/>
      <c r="M705" s="401"/>
      <c r="N705" s="401"/>
      <c r="O705" s="401"/>
      <c r="P705" s="401"/>
      <c r="Q705" s="401"/>
      <c r="R705" s="401"/>
      <c r="S705" s="401"/>
      <c r="T705" s="401"/>
      <c r="U705" s="401"/>
      <c r="V705" s="401"/>
      <c r="W705" s="401"/>
      <c r="X705" s="401"/>
      <c r="Y705" s="401"/>
      <c r="Z705" s="401"/>
      <c r="AA705" s="401"/>
    </row>
    <row r="706">
      <c r="A706" s="401"/>
      <c r="B706" s="401"/>
      <c r="C706" s="401"/>
      <c r="D706" s="401"/>
      <c r="E706" s="399"/>
      <c r="F706" s="399"/>
      <c r="G706" s="399"/>
      <c r="H706" s="400"/>
      <c r="I706" s="401"/>
      <c r="J706" s="401"/>
      <c r="K706" s="401"/>
      <c r="L706" s="401"/>
      <c r="M706" s="401"/>
      <c r="N706" s="401"/>
      <c r="O706" s="401"/>
      <c r="P706" s="401"/>
      <c r="Q706" s="401"/>
      <c r="R706" s="401"/>
      <c r="S706" s="401"/>
      <c r="T706" s="401"/>
      <c r="U706" s="401"/>
      <c r="V706" s="401"/>
      <c r="W706" s="401"/>
      <c r="X706" s="401"/>
      <c r="Y706" s="401"/>
      <c r="Z706" s="401"/>
      <c r="AA706" s="401"/>
    </row>
    <row r="707">
      <c r="A707" s="401"/>
      <c r="B707" s="401"/>
      <c r="C707" s="401"/>
      <c r="D707" s="401"/>
      <c r="E707" s="399"/>
      <c r="F707" s="399"/>
      <c r="G707" s="399"/>
      <c r="H707" s="400"/>
      <c r="I707" s="401"/>
      <c r="J707" s="401"/>
      <c r="K707" s="401"/>
      <c r="L707" s="401"/>
      <c r="M707" s="401"/>
      <c r="N707" s="401"/>
      <c r="O707" s="401"/>
      <c r="P707" s="401"/>
      <c r="Q707" s="401"/>
      <c r="R707" s="401"/>
      <c r="S707" s="401"/>
      <c r="T707" s="401"/>
      <c r="U707" s="401"/>
      <c r="V707" s="401"/>
      <c r="W707" s="401"/>
      <c r="X707" s="401"/>
      <c r="Y707" s="401"/>
      <c r="Z707" s="401"/>
      <c r="AA707" s="401"/>
    </row>
    <row r="708">
      <c r="A708" s="401"/>
      <c r="B708" s="401"/>
      <c r="C708" s="401"/>
      <c r="D708" s="401"/>
      <c r="E708" s="399"/>
      <c r="F708" s="399"/>
      <c r="G708" s="399"/>
      <c r="H708" s="400"/>
      <c r="I708" s="401"/>
      <c r="J708" s="401"/>
      <c r="K708" s="401"/>
      <c r="L708" s="401"/>
      <c r="M708" s="401"/>
      <c r="N708" s="401"/>
      <c r="O708" s="401"/>
      <c r="P708" s="401"/>
      <c r="Q708" s="401"/>
      <c r="R708" s="401"/>
      <c r="S708" s="401"/>
      <c r="T708" s="401"/>
      <c r="U708" s="401"/>
      <c r="V708" s="401"/>
      <c r="W708" s="401"/>
      <c r="X708" s="401"/>
      <c r="Y708" s="401"/>
      <c r="Z708" s="401"/>
      <c r="AA708" s="401"/>
    </row>
    <row r="709">
      <c r="A709" s="401"/>
      <c r="B709" s="401"/>
      <c r="C709" s="401"/>
      <c r="D709" s="401"/>
      <c r="E709" s="399"/>
      <c r="F709" s="399"/>
      <c r="G709" s="399"/>
      <c r="H709" s="400"/>
      <c r="I709" s="401"/>
      <c r="J709" s="401"/>
      <c r="K709" s="401"/>
      <c r="L709" s="401"/>
      <c r="M709" s="401"/>
      <c r="N709" s="401"/>
      <c r="O709" s="401"/>
      <c r="P709" s="401"/>
      <c r="Q709" s="401"/>
      <c r="R709" s="401"/>
      <c r="S709" s="401"/>
      <c r="T709" s="401"/>
      <c r="U709" s="401"/>
      <c r="V709" s="401"/>
      <c r="W709" s="401"/>
      <c r="X709" s="401"/>
      <c r="Y709" s="401"/>
      <c r="Z709" s="401"/>
      <c r="AA709" s="401"/>
    </row>
    <row r="710">
      <c r="A710" s="401"/>
      <c r="B710" s="401"/>
      <c r="C710" s="401"/>
      <c r="D710" s="401"/>
      <c r="E710" s="399"/>
      <c r="F710" s="399"/>
      <c r="G710" s="399"/>
      <c r="H710" s="400"/>
      <c r="I710" s="401"/>
      <c r="J710" s="401"/>
      <c r="K710" s="401"/>
      <c r="L710" s="401"/>
      <c r="M710" s="401"/>
      <c r="N710" s="401"/>
      <c r="O710" s="401"/>
      <c r="P710" s="401"/>
      <c r="Q710" s="401"/>
      <c r="R710" s="401"/>
      <c r="S710" s="401"/>
      <c r="T710" s="401"/>
      <c r="U710" s="401"/>
      <c r="V710" s="401"/>
      <c r="W710" s="401"/>
      <c r="X710" s="401"/>
      <c r="Y710" s="401"/>
      <c r="Z710" s="401"/>
      <c r="AA710" s="401"/>
    </row>
    <row r="711">
      <c r="A711" s="401"/>
      <c r="B711" s="401"/>
      <c r="C711" s="401"/>
      <c r="D711" s="401"/>
      <c r="E711" s="399"/>
      <c r="F711" s="399"/>
      <c r="G711" s="399"/>
      <c r="H711" s="400"/>
      <c r="I711" s="401"/>
      <c r="J711" s="401"/>
      <c r="K711" s="401"/>
      <c r="L711" s="401"/>
      <c r="M711" s="401"/>
      <c r="N711" s="401"/>
      <c r="O711" s="401"/>
      <c r="P711" s="401"/>
      <c r="Q711" s="401"/>
      <c r="R711" s="401"/>
      <c r="S711" s="401"/>
      <c r="T711" s="401"/>
      <c r="U711" s="401"/>
      <c r="V711" s="401"/>
      <c r="W711" s="401"/>
      <c r="X711" s="401"/>
      <c r="Y711" s="401"/>
      <c r="Z711" s="401"/>
      <c r="AA711" s="401"/>
    </row>
    <row r="712">
      <c r="A712" s="401"/>
      <c r="B712" s="401"/>
      <c r="C712" s="401"/>
      <c r="D712" s="401"/>
      <c r="E712" s="399"/>
      <c r="F712" s="399"/>
      <c r="G712" s="399"/>
      <c r="H712" s="400"/>
      <c r="I712" s="401"/>
      <c r="J712" s="401"/>
      <c r="K712" s="401"/>
      <c r="L712" s="401"/>
      <c r="M712" s="401"/>
      <c r="N712" s="401"/>
      <c r="O712" s="401"/>
      <c r="P712" s="401"/>
      <c r="Q712" s="401"/>
      <c r="R712" s="401"/>
      <c r="S712" s="401"/>
      <c r="T712" s="401"/>
      <c r="U712" s="401"/>
      <c r="V712" s="401"/>
      <c r="W712" s="401"/>
      <c r="X712" s="401"/>
      <c r="Y712" s="401"/>
      <c r="Z712" s="401"/>
      <c r="AA712" s="401"/>
    </row>
    <row r="713">
      <c r="A713" s="401"/>
      <c r="B713" s="401"/>
      <c r="C713" s="401"/>
      <c r="D713" s="401"/>
      <c r="E713" s="399"/>
      <c r="F713" s="399"/>
      <c r="G713" s="399"/>
      <c r="H713" s="400"/>
      <c r="I713" s="401"/>
      <c r="J713" s="401"/>
      <c r="K713" s="401"/>
      <c r="L713" s="401"/>
      <c r="M713" s="401"/>
      <c r="N713" s="401"/>
      <c r="O713" s="401"/>
      <c r="P713" s="401"/>
      <c r="Q713" s="401"/>
      <c r="R713" s="401"/>
      <c r="S713" s="401"/>
      <c r="T713" s="401"/>
      <c r="U713" s="401"/>
      <c r="V713" s="401"/>
      <c r="W713" s="401"/>
      <c r="X713" s="401"/>
      <c r="Y713" s="401"/>
      <c r="Z713" s="401"/>
      <c r="AA713" s="401"/>
    </row>
    <row r="714">
      <c r="A714" s="401"/>
      <c r="B714" s="401"/>
      <c r="C714" s="401"/>
      <c r="D714" s="401"/>
      <c r="E714" s="399"/>
      <c r="F714" s="399"/>
      <c r="G714" s="399"/>
      <c r="H714" s="400"/>
      <c r="I714" s="401"/>
      <c r="J714" s="401"/>
      <c r="K714" s="401"/>
      <c r="L714" s="401"/>
      <c r="M714" s="401"/>
      <c r="N714" s="401"/>
      <c r="O714" s="401"/>
      <c r="P714" s="401"/>
      <c r="Q714" s="401"/>
      <c r="R714" s="401"/>
      <c r="S714" s="401"/>
      <c r="T714" s="401"/>
      <c r="U714" s="401"/>
      <c r="V714" s="401"/>
      <c r="W714" s="401"/>
      <c r="X714" s="401"/>
      <c r="Y714" s="401"/>
      <c r="Z714" s="401"/>
      <c r="AA714" s="401"/>
    </row>
    <row r="715">
      <c r="A715" s="401"/>
      <c r="B715" s="401"/>
      <c r="C715" s="401"/>
      <c r="D715" s="401"/>
      <c r="E715" s="399"/>
      <c r="F715" s="399"/>
      <c r="G715" s="399"/>
      <c r="H715" s="400"/>
      <c r="I715" s="401"/>
      <c r="J715" s="401"/>
      <c r="K715" s="401"/>
      <c r="L715" s="401"/>
      <c r="M715" s="401"/>
      <c r="N715" s="401"/>
      <c r="O715" s="401"/>
      <c r="P715" s="401"/>
      <c r="Q715" s="401"/>
      <c r="R715" s="401"/>
      <c r="S715" s="401"/>
      <c r="T715" s="401"/>
      <c r="U715" s="401"/>
      <c r="V715" s="401"/>
      <c r="W715" s="401"/>
      <c r="X715" s="401"/>
      <c r="Y715" s="401"/>
      <c r="Z715" s="401"/>
      <c r="AA715" s="401"/>
    </row>
    <row r="716">
      <c r="A716" s="401"/>
      <c r="B716" s="401"/>
      <c r="C716" s="401"/>
      <c r="D716" s="401"/>
      <c r="E716" s="399"/>
      <c r="F716" s="399"/>
      <c r="G716" s="399"/>
      <c r="H716" s="400"/>
      <c r="I716" s="401"/>
      <c r="J716" s="401"/>
      <c r="K716" s="401"/>
      <c r="L716" s="401"/>
      <c r="M716" s="401"/>
      <c r="N716" s="401"/>
      <c r="O716" s="401"/>
      <c r="P716" s="401"/>
      <c r="Q716" s="401"/>
      <c r="R716" s="401"/>
      <c r="S716" s="401"/>
      <c r="T716" s="401"/>
      <c r="U716" s="401"/>
      <c r="V716" s="401"/>
      <c r="W716" s="401"/>
      <c r="X716" s="401"/>
      <c r="Y716" s="401"/>
      <c r="Z716" s="401"/>
      <c r="AA716" s="401"/>
    </row>
    <row r="717">
      <c r="A717" s="401"/>
      <c r="B717" s="401"/>
      <c r="C717" s="401"/>
      <c r="D717" s="401"/>
      <c r="E717" s="399"/>
      <c r="F717" s="399"/>
      <c r="G717" s="399"/>
      <c r="H717" s="400"/>
      <c r="I717" s="401"/>
      <c r="J717" s="401"/>
      <c r="K717" s="401"/>
      <c r="L717" s="401"/>
      <c r="M717" s="401"/>
      <c r="N717" s="401"/>
      <c r="O717" s="401"/>
      <c r="P717" s="401"/>
      <c r="Q717" s="401"/>
      <c r="R717" s="401"/>
      <c r="S717" s="401"/>
      <c r="T717" s="401"/>
      <c r="U717" s="401"/>
      <c r="V717" s="401"/>
      <c r="W717" s="401"/>
      <c r="X717" s="401"/>
      <c r="Y717" s="401"/>
      <c r="Z717" s="401"/>
      <c r="AA717" s="401"/>
    </row>
    <row r="718">
      <c r="A718" s="401"/>
      <c r="B718" s="401"/>
      <c r="C718" s="401"/>
      <c r="D718" s="401"/>
      <c r="E718" s="399"/>
      <c r="F718" s="399"/>
      <c r="G718" s="399"/>
      <c r="H718" s="400"/>
      <c r="I718" s="401"/>
      <c r="J718" s="401"/>
      <c r="K718" s="401"/>
      <c r="L718" s="401"/>
      <c r="M718" s="401"/>
      <c r="N718" s="401"/>
      <c r="O718" s="401"/>
      <c r="P718" s="401"/>
      <c r="Q718" s="401"/>
      <c r="R718" s="401"/>
      <c r="S718" s="401"/>
      <c r="T718" s="401"/>
      <c r="U718" s="401"/>
      <c r="V718" s="401"/>
      <c r="W718" s="401"/>
      <c r="X718" s="401"/>
      <c r="Y718" s="401"/>
      <c r="Z718" s="401"/>
      <c r="AA718" s="401"/>
    </row>
    <row r="719">
      <c r="A719" s="401"/>
      <c r="B719" s="401"/>
      <c r="C719" s="401"/>
      <c r="D719" s="401"/>
      <c r="E719" s="399"/>
      <c r="F719" s="399"/>
      <c r="G719" s="399"/>
      <c r="H719" s="400"/>
      <c r="I719" s="401"/>
      <c r="J719" s="401"/>
      <c r="K719" s="401"/>
      <c r="L719" s="401"/>
      <c r="M719" s="401"/>
      <c r="N719" s="401"/>
      <c r="O719" s="401"/>
      <c r="P719" s="401"/>
      <c r="Q719" s="401"/>
      <c r="R719" s="401"/>
      <c r="S719" s="401"/>
      <c r="T719" s="401"/>
      <c r="U719" s="401"/>
      <c r="V719" s="401"/>
      <c r="W719" s="401"/>
      <c r="X719" s="401"/>
      <c r="Y719" s="401"/>
      <c r="Z719" s="401"/>
      <c r="AA719" s="401"/>
    </row>
    <row r="720">
      <c r="A720" s="401"/>
      <c r="B720" s="401"/>
      <c r="C720" s="401"/>
      <c r="D720" s="401"/>
      <c r="E720" s="399"/>
      <c r="F720" s="399"/>
      <c r="G720" s="399"/>
      <c r="H720" s="400"/>
      <c r="I720" s="401"/>
      <c r="J720" s="401"/>
      <c r="K720" s="401"/>
      <c r="L720" s="401"/>
      <c r="M720" s="401"/>
      <c r="N720" s="401"/>
      <c r="O720" s="401"/>
      <c r="P720" s="401"/>
      <c r="Q720" s="401"/>
      <c r="R720" s="401"/>
      <c r="S720" s="401"/>
      <c r="T720" s="401"/>
      <c r="U720" s="401"/>
      <c r="V720" s="401"/>
      <c r="W720" s="401"/>
      <c r="X720" s="401"/>
      <c r="Y720" s="401"/>
      <c r="Z720" s="401"/>
      <c r="AA720" s="401"/>
    </row>
    <row r="721">
      <c r="A721" s="401"/>
      <c r="B721" s="401"/>
      <c r="C721" s="401"/>
      <c r="D721" s="401"/>
      <c r="E721" s="399"/>
      <c r="F721" s="399"/>
      <c r="G721" s="399"/>
      <c r="H721" s="400"/>
      <c r="I721" s="401"/>
      <c r="J721" s="401"/>
      <c r="K721" s="401"/>
      <c r="L721" s="401"/>
      <c r="M721" s="401"/>
      <c r="N721" s="401"/>
      <c r="O721" s="401"/>
      <c r="P721" s="401"/>
      <c r="Q721" s="401"/>
      <c r="R721" s="401"/>
      <c r="S721" s="401"/>
      <c r="T721" s="401"/>
      <c r="U721" s="401"/>
      <c r="V721" s="401"/>
      <c r="W721" s="401"/>
      <c r="X721" s="401"/>
      <c r="Y721" s="401"/>
      <c r="Z721" s="401"/>
      <c r="AA721" s="401"/>
    </row>
    <row r="722">
      <c r="A722" s="401"/>
      <c r="B722" s="401"/>
      <c r="C722" s="401"/>
      <c r="D722" s="401"/>
      <c r="E722" s="399"/>
      <c r="F722" s="399"/>
      <c r="G722" s="399"/>
      <c r="H722" s="400"/>
      <c r="I722" s="401"/>
      <c r="J722" s="401"/>
      <c r="K722" s="401"/>
      <c r="L722" s="401"/>
      <c r="M722" s="401"/>
      <c r="N722" s="401"/>
      <c r="O722" s="401"/>
      <c r="P722" s="401"/>
      <c r="Q722" s="401"/>
      <c r="R722" s="401"/>
      <c r="S722" s="401"/>
      <c r="T722" s="401"/>
      <c r="U722" s="401"/>
      <c r="V722" s="401"/>
      <c r="W722" s="401"/>
      <c r="X722" s="401"/>
      <c r="Y722" s="401"/>
      <c r="Z722" s="401"/>
      <c r="AA722" s="401"/>
    </row>
    <row r="723">
      <c r="A723" s="401"/>
      <c r="B723" s="401"/>
      <c r="C723" s="401"/>
      <c r="D723" s="401"/>
      <c r="E723" s="399"/>
      <c r="F723" s="399"/>
      <c r="G723" s="399"/>
      <c r="H723" s="400"/>
      <c r="I723" s="401"/>
      <c r="J723" s="401"/>
      <c r="K723" s="401"/>
      <c r="L723" s="401"/>
      <c r="M723" s="401"/>
      <c r="N723" s="401"/>
      <c r="O723" s="401"/>
      <c r="P723" s="401"/>
      <c r="Q723" s="401"/>
      <c r="R723" s="401"/>
      <c r="S723" s="401"/>
      <c r="T723" s="401"/>
      <c r="U723" s="401"/>
      <c r="V723" s="401"/>
      <c r="W723" s="401"/>
      <c r="X723" s="401"/>
      <c r="Y723" s="401"/>
      <c r="Z723" s="401"/>
      <c r="AA723" s="401"/>
    </row>
    <row r="724">
      <c r="A724" s="401"/>
      <c r="B724" s="401"/>
      <c r="C724" s="401"/>
      <c r="D724" s="401"/>
      <c r="E724" s="399"/>
      <c r="F724" s="399"/>
      <c r="G724" s="399"/>
      <c r="H724" s="400"/>
      <c r="I724" s="401"/>
      <c r="J724" s="401"/>
      <c r="K724" s="401"/>
      <c r="L724" s="401"/>
      <c r="M724" s="401"/>
      <c r="N724" s="401"/>
      <c r="O724" s="401"/>
      <c r="P724" s="401"/>
      <c r="Q724" s="401"/>
      <c r="R724" s="401"/>
      <c r="S724" s="401"/>
      <c r="T724" s="401"/>
      <c r="U724" s="401"/>
      <c r="V724" s="401"/>
      <c r="W724" s="401"/>
      <c r="X724" s="401"/>
      <c r="Y724" s="401"/>
      <c r="Z724" s="401"/>
      <c r="AA724" s="401"/>
    </row>
    <row r="725">
      <c r="A725" s="401"/>
      <c r="B725" s="401"/>
      <c r="C725" s="401"/>
      <c r="D725" s="401"/>
      <c r="E725" s="399"/>
      <c r="F725" s="399"/>
      <c r="G725" s="399"/>
      <c r="H725" s="400"/>
      <c r="I725" s="401"/>
      <c r="J725" s="401"/>
      <c r="K725" s="401"/>
      <c r="L725" s="401"/>
      <c r="M725" s="401"/>
      <c r="N725" s="401"/>
      <c r="O725" s="401"/>
      <c r="P725" s="401"/>
      <c r="Q725" s="401"/>
      <c r="R725" s="401"/>
      <c r="S725" s="401"/>
      <c r="T725" s="401"/>
      <c r="U725" s="401"/>
      <c r="V725" s="401"/>
      <c r="W725" s="401"/>
      <c r="X725" s="401"/>
      <c r="Y725" s="401"/>
      <c r="Z725" s="401"/>
      <c r="AA725" s="401"/>
    </row>
    <row r="726">
      <c r="A726" s="401"/>
      <c r="B726" s="401"/>
      <c r="C726" s="401"/>
      <c r="D726" s="401"/>
      <c r="E726" s="399"/>
      <c r="F726" s="399"/>
      <c r="G726" s="399"/>
      <c r="H726" s="400"/>
      <c r="I726" s="401"/>
      <c r="J726" s="401"/>
      <c r="K726" s="401"/>
      <c r="L726" s="401"/>
      <c r="M726" s="401"/>
      <c r="N726" s="401"/>
      <c r="O726" s="401"/>
      <c r="P726" s="401"/>
      <c r="Q726" s="401"/>
      <c r="R726" s="401"/>
      <c r="S726" s="401"/>
      <c r="T726" s="401"/>
      <c r="U726" s="401"/>
      <c r="V726" s="401"/>
      <c r="W726" s="401"/>
      <c r="X726" s="401"/>
      <c r="Y726" s="401"/>
      <c r="Z726" s="401"/>
      <c r="AA726" s="401"/>
    </row>
    <row r="727">
      <c r="A727" s="401"/>
      <c r="B727" s="401"/>
      <c r="C727" s="401"/>
      <c r="D727" s="401"/>
      <c r="E727" s="399"/>
      <c r="F727" s="399"/>
      <c r="G727" s="399"/>
      <c r="H727" s="400"/>
      <c r="I727" s="401"/>
      <c r="J727" s="401"/>
      <c r="K727" s="401"/>
      <c r="L727" s="401"/>
      <c r="M727" s="401"/>
      <c r="N727" s="401"/>
      <c r="O727" s="401"/>
      <c r="P727" s="401"/>
      <c r="Q727" s="401"/>
      <c r="R727" s="401"/>
      <c r="S727" s="401"/>
      <c r="T727" s="401"/>
      <c r="U727" s="401"/>
      <c r="V727" s="401"/>
      <c r="W727" s="401"/>
      <c r="X727" s="401"/>
      <c r="Y727" s="401"/>
      <c r="Z727" s="401"/>
      <c r="AA727" s="401"/>
    </row>
    <row r="728">
      <c r="A728" s="401"/>
      <c r="B728" s="401"/>
      <c r="C728" s="401"/>
      <c r="D728" s="401"/>
      <c r="E728" s="399"/>
      <c r="F728" s="399"/>
      <c r="G728" s="399"/>
      <c r="H728" s="400"/>
      <c r="I728" s="401"/>
      <c r="J728" s="401"/>
      <c r="K728" s="401"/>
      <c r="L728" s="401"/>
      <c r="M728" s="401"/>
      <c r="N728" s="401"/>
      <c r="O728" s="401"/>
      <c r="P728" s="401"/>
      <c r="Q728" s="401"/>
      <c r="R728" s="401"/>
      <c r="S728" s="401"/>
      <c r="T728" s="401"/>
      <c r="U728" s="401"/>
      <c r="V728" s="401"/>
      <c r="W728" s="401"/>
      <c r="X728" s="401"/>
      <c r="Y728" s="401"/>
      <c r="Z728" s="401"/>
      <c r="AA728" s="401"/>
    </row>
    <row r="729">
      <c r="A729" s="401"/>
      <c r="B729" s="401"/>
      <c r="C729" s="401"/>
      <c r="D729" s="401"/>
      <c r="E729" s="399"/>
      <c r="F729" s="399"/>
      <c r="G729" s="399"/>
      <c r="H729" s="400"/>
      <c r="I729" s="401"/>
      <c r="J729" s="401"/>
      <c r="K729" s="401"/>
      <c r="L729" s="401"/>
      <c r="M729" s="401"/>
      <c r="N729" s="401"/>
      <c r="O729" s="401"/>
      <c r="P729" s="401"/>
      <c r="Q729" s="401"/>
      <c r="R729" s="401"/>
      <c r="S729" s="401"/>
      <c r="T729" s="401"/>
      <c r="U729" s="401"/>
      <c r="V729" s="401"/>
      <c r="W729" s="401"/>
      <c r="X729" s="401"/>
      <c r="Y729" s="401"/>
      <c r="Z729" s="401"/>
      <c r="AA729" s="401"/>
    </row>
    <row r="730">
      <c r="A730" s="401"/>
      <c r="B730" s="401"/>
      <c r="C730" s="401"/>
      <c r="D730" s="401"/>
      <c r="E730" s="399"/>
      <c r="F730" s="399"/>
      <c r="G730" s="399"/>
      <c r="H730" s="400"/>
      <c r="I730" s="401"/>
      <c r="J730" s="401"/>
      <c r="K730" s="401"/>
      <c r="L730" s="401"/>
      <c r="M730" s="401"/>
      <c r="N730" s="401"/>
      <c r="O730" s="401"/>
      <c r="P730" s="401"/>
      <c r="Q730" s="401"/>
      <c r="R730" s="401"/>
      <c r="S730" s="401"/>
      <c r="T730" s="401"/>
      <c r="U730" s="401"/>
      <c r="V730" s="401"/>
      <c r="W730" s="401"/>
      <c r="X730" s="401"/>
      <c r="Y730" s="401"/>
      <c r="Z730" s="401"/>
      <c r="AA730" s="401"/>
    </row>
    <row r="731">
      <c r="A731" s="401"/>
      <c r="B731" s="401"/>
      <c r="C731" s="401"/>
      <c r="D731" s="401"/>
      <c r="E731" s="399"/>
      <c r="F731" s="399"/>
      <c r="G731" s="399"/>
      <c r="H731" s="400"/>
      <c r="I731" s="401"/>
      <c r="J731" s="401"/>
      <c r="K731" s="401"/>
      <c r="L731" s="401"/>
      <c r="M731" s="401"/>
      <c r="N731" s="401"/>
      <c r="O731" s="401"/>
      <c r="P731" s="401"/>
      <c r="Q731" s="401"/>
      <c r="R731" s="401"/>
      <c r="S731" s="401"/>
      <c r="T731" s="401"/>
      <c r="U731" s="401"/>
      <c r="V731" s="401"/>
      <c r="W731" s="401"/>
      <c r="X731" s="401"/>
      <c r="Y731" s="401"/>
      <c r="Z731" s="401"/>
      <c r="AA731" s="401"/>
    </row>
    <row r="732">
      <c r="A732" s="401"/>
      <c r="B732" s="401"/>
      <c r="C732" s="401"/>
      <c r="D732" s="401"/>
      <c r="E732" s="399"/>
      <c r="F732" s="399"/>
      <c r="G732" s="399"/>
      <c r="H732" s="400"/>
      <c r="I732" s="401"/>
      <c r="J732" s="401"/>
      <c r="K732" s="401"/>
      <c r="L732" s="401"/>
      <c r="M732" s="401"/>
      <c r="N732" s="401"/>
      <c r="O732" s="401"/>
      <c r="P732" s="401"/>
      <c r="Q732" s="401"/>
      <c r="R732" s="401"/>
      <c r="S732" s="401"/>
      <c r="T732" s="401"/>
      <c r="U732" s="401"/>
      <c r="V732" s="401"/>
      <c r="W732" s="401"/>
      <c r="X732" s="401"/>
      <c r="Y732" s="401"/>
      <c r="Z732" s="401"/>
      <c r="AA732" s="401"/>
    </row>
    <row r="733">
      <c r="A733" s="401"/>
      <c r="B733" s="401"/>
      <c r="C733" s="401"/>
      <c r="D733" s="401"/>
      <c r="E733" s="399"/>
      <c r="F733" s="399"/>
      <c r="G733" s="399"/>
      <c r="H733" s="400"/>
      <c r="I733" s="401"/>
      <c r="J733" s="401"/>
      <c r="K733" s="401"/>
      <c r="L733" s="401"/>
      <c r="M733" s="401"/>
      <c r="N733" s="401"/>
      <c r="O733" s="401"/>
      <c r="P733" s="401"/>
      <c r="Q733" s="401"/>
      <c r="R733" s="401"/>
      <c r="S733" s="401"/>
      <c r="T733" s="401"/>
      <c r="U733" s="401"/>
      <c r="V733" s="401"/>
      <c r="W733" s="401"/>
      <c r="X733" s="401"/>
      <c r="Y733" s="401"/>
      <c r="Z733" s="401"/>
      <c r="AA733" s="401"/>
    </row>
    <row r="734">
      <c r="A734" s="401"/>
      <c r="B734" s="401"/>
      <c r="C734" s="401"/>
      <c r="D734" s="401"/>
      <c r="E734" s="399"/>
      <c r="F734" s="399"/>
      <c r="G734" s="399"/>
      <c r="H734" s="400"/>
      <c r="I734" s="401"/>
      <c r="J734" s="401"/>
      <c r="K734" s="401"/>
      <c r="L734" s="401"/>
      <c r="M734" s="401"/>
      <c r="N734" s="401"/>
      <c r="O734" s="401"/>
      <c r="P734" s="401"/>
      <c r="Q734" s="401"/>
      <c r="R734" s="401"/>
      <c r="S734" s="401"/>
      <c r="T734" s="401"/>
      <c r="U734" s="401"/>
      <c r="V734" s="401"/>
      <c r="W734" s="401"/>
      <c r="X734" s="401"/>
      <c r="Y734" s="401"/>
      <c r="Z734" s="401"/>
      <c r="AA734" s="401"/>
    </row>
    <row r="735">
      <c r="A735" s="401"/>
      <c r="B735" s="401"/>
      <c r="C735" s="401"/>
      <c r="D735" s="401"/>
      <c r="E735" s="399"/>
      <c r="F735" s="399"/>
      <c r="G735" s="399"/>
      <c r="H735" s="400"/>
      <c r="I735" s="401"/>
      <c r="J735" s="401"/>
      <c r="K735" s="401"/>
      <c r="L735" s="401"/>
      <c r="M735" s="401"/>
      <c r="N735" s="401"/>
      <c r="O735" s="401"/>
      <c r="P735" s="401"/>
      <c r="Q735" s="401"/>
      <c r="R735" s="401"/>
      <c r="S735" s="401"/>
      <c r="T735" s="401"/>
      <c r="U735" s="401"/>
      <c r="V735" s="401"/>
      <c r="W735" s="401"/>
      <c r="X735" s="401"/>
      <c r="Y735" s="401"/>
      <c r="Z735" s="401"/>
      <c r="AA735" s="401"/>
    </row>
    <row r="736">
      <c r="A736" s="401"/>
      <c r="B736" s="401"/>
      <c r="C736" s="401"/>
      <c r="D736" s="401"/>
      <c r="E736" s="399"/>
      <c r="F736" s="399"/>
      <c r="G736" s="399"/>
      <c r="H736" s="400"/>
      <c r="I736" s="401"/>
      <c r="J736" s="401"/>
      <c r="K736" s="401"/>
      <c r="L736" s="401"/>
      <c r="M736" s="401"/>
      <c r="N736" s="401"/>
      <c r="O736" s="401"/>
      <c r="P736" s="401"/>
      <c r="Q736" s="401"/>
      <c r="R736" s="401"/>
      <c r="S736" s="401"/>
      <c r="T736" s="401"/>
      <c r="U736" s="401"/>
      <c r="V736" s="401"/>
      <c r="W736" s="401"/>
      <c r="X736" s="401"/>
      <c r="Y736" s="401"/>
      <c r="Z736" s="401"/>
      <c r="AA736" s="401"/>
    </row>
    <row r="737">
      <c r="A737" s="401"/>
      <c r="B737" s="401"/>
      <c r="C737" s="401"/>
      <c r="D737" s="401"/>
      <c r="E737" s="399"/>
      <c r="F737" s="399"/>
      <c r="G737" s="399"/>
      <c r="H737" s="400"/>
      <c r="I737" s="401"/>
      <c r="J737" s="401"/>
      <c r="K737" s="401"/>
      <c r="L737" s="401"/>
      <c r="M737" s="401"/>
      <c r="N737" s="401"/>
      <c r="O737" s="401"/>
      <c r="P737" s="401"/>
      <c r="Q737" s="401"/>
      <c r="R737" s="401"/>
      <c r="S737" s="401"/>
      <c r="T737" s="401"/>
      <c r="U737" s="401"/>
      <c r="V737" s="401"/>
      <c r="W737" s="401"/>
      <c r="X737" s="401"/>
      <c r="Y737" s="401"/>
      <c r="Z737" s="401"/>
      <c r="AA737" s="401"/>
    </row>
    <row r="738">
      <c r="A738" s="401"/>
      <c r="B738" s="401"/>
      <c r="C738" s="401"/>
      <c r="D738" s="401"/>
      <c r="E738" s="399"/>
      <c r="F738" s="399"/>
      <c r="G738" s="399"/>
      <c r="H738" s="400"/>
      <c r="I738" s="401"/>
      <c r="J738" s="401"/>
      <c r="K738" s="401"/>
      <c r="L738" s="401"/>
      <c r="M738" s="401"/>
      <c r="N738" s="401"/>
      <c r="O738" s="401"/>
      <c r="P738" s="401"/>
      <c r="Q738" s="401"/>
      <c r="R738" s="401"/>
      <c r="S738" s="401"/>
      <c r="T738" s="401"/>
      <c r="U738" s="401"/>
      <c r="V738" s="401"/>
      <c r="W738" s="401"/>
      <c r="X738" s="401"/>
      <c r="Y738" s="401"/>
      <c r="Z738" s="401"/>
      <c r="AA738" s="401"/>
    </row>
    <row r="739">
      <c r="A739" s="401"/>
      <c r="B739" s="401"/>
      <c r="C739" s="401"/>
      <c r="D739" s="401"/>
      <c r="E739" s="399"/>
      <c r="F739" s="399"/>
      <c r="G739" s="399"/>
      <c r="H739" s="400"/>
      <c r="I739" s="401"/>
      <c r="J739" s="401"/>
      <c r="K739" s="401"/>
      <c r="L739" s="401"/>
      <c r="M739" s="401"/>
      <c r="N739" s="401"/>
      <c r="O739" s="401"/>
      <c r="P739" s="401"/>
      <c r="Q739" s="401"/>
      <c r="R739" s="401"/>
      <c r="S739" s="401"/>
      <c r="T739" s="401"/>
      <c r="U739" s="401"/>
      <c r="V739" s="401"/>
      <c r="W739" s="401"/>
      <c r="X739" s="401"/>
      <c r="Y739" s="401"/>
      <c r="Z739" s="401"/>
      <c r="AA739" s="401"/>
    </row>
    <row r="740">
      <c r="A740" s="401"/>
      <c r="B740" s="401"/>
      <c r="C740" s="401"/>
      <c r="D740" s="401"/>
      <c r="E740" s="399"/>
      <c r="F740" s="399"/>
      <c r="G740" s="399"/>
      <c r="H740" s="400"/>
      <c r="I740" s="401"/>
      <c r="J740" s="401"/>
      <c r="K740" s="401"/>
      <c r="L740" s="401"/>
      <c r="M740" s="401"/>
      <c r="N740" s="401"/>
      <c r="O740" s="401"/>
      <c r="P740" s="401"/>
      <c r="Q740" s="401"/>
      <c r="R740" s="401"/>
      <c r="S740" s="401"/>
      <c r="T740" s="401"/>
      <c r="U740" s="401"/>
      <c r="V740" s="401"/>
      <c r="W740" s="401"/>
      <c r="X740" s="401"/>
      <c r="Y740" s="401"/>
      <c r="Z740" s="401"/>
      <c r="AA740" s="401"/>
    </row>
    <row r="741">
      <c r="A741" s="401"/>
      <c r="B741" s="401"/>
      <c r="C741" s="401"/>
      <c r="D741" s="401"/>
      <c r="E741" s="399"/>
      <c r="F741" s="399"/>
      <c r="G741" s="399"/>
      <c r="H741" s="400"/>
      <c r="I741" s="401"/>
      <c r="J741" s="401"/>
      <c r="K741" s="401"/>
      <c r="L741" s="401"/>
      <c r="M741" s="401"/>
      <c r="N741" s="401"/>
      <c r="O741" s="401"/>
      <c r="P741" s="401"/>
      <c r="Q741" s="401"/>
      <c r="R741" s="401"/>
      <c r="S741" s="401"/>
      <c r="T741" s="401"/>
      <c r="U741" s="401"/>
      <c r="V741" s="401"/>
      <c r="W741" s="401"/>
      <c r="X741" s="401"/>
      <c r="Y741" s="401"/>
      <c r="Z741" s="401"/>
      <c r="AA741" s="401"/>
    </row>
    <row r="742">
      <c r="A742" s="401"/>
      <c r="B742" s="401"/>
      <c r="C742" s="401"/>
      <c r="D742" s="401"/>
      <c r="E742" s="399"/>
      <c r="F742" s="399"/>
      <c r="G742" s="399"/>
      <c r="H742" s="400"/>
      <c r="I742" s="401"/>
      <c r="J742" s="401"/>
      <c r="K742" s="401"/>
      <c r="L742" s="401"/>
      <c r="M742" s="401"/>
      <c r="N742" s="401"/>
      <c r="O742" s="401"/>
      <c r="P742" s="401"/>
      <c r="Q742" s="401"/>
      <c r="R742" s="401"/>
      <c r="S742" s="401"/>
      <c r="T742" s="401"/>
      <c r="U742" s="401"/>
      <c r="V742" s="401"/>
      <c r="W742" s="401"/>
      <c r="X742" s="401"/>
      <c r="Y742" s="401"/>
      <c r="Z742" s="401"/>
      <c r="AA742" s="401"/>
    </row>
    <row r="743">
      <c r="A743" s="401"/>
      <c r="B743" s="401"/>
      <c r="C743" s="401"/>
      <c r="D743" s="401"/>
      <c r="E743" s="399"/>
      <c r="F743" s="399"/>
      <c r="G743" s="399"/>
      <c r="H743" s="400"/>
      <c r="I743" s="401"/>
      <c r="J743" s="401"/>
      <c r="K743" s="401"/>
      <c r="L743" s="401"/>
      <c r="M743" s="401"/>
      <c r="N743" s="401"/>
      <c r="O743" s="401"/>
      <c r="P743" s="401"/>
      <c r="Q743" s="401"/>
      <c r="R743" s="401"/>
      <c r="S743" s="401"/>
      <c r="T743" s="401"/>
      <c r="U743" s="401"/>
      <c r="V743" s="401"/>
      <c r="W743" s="401"/>
      <c r="X743" s="401"/>
      <c r="Y743" s="401"/>
      <c r="Z743" s="401"/>
      <c r="AA743" s="401"/>
    </row>
    <row r="744">
      <c r="A744" s="401"/>
      <c r="B744" s="401"/>
      <c r="C744" s="401"/>
      <c r="D744" s="401"/>
      <c r="E744" s="399"/>
      <c r="F744" s="399"/>
      <c r="G744" s="399"/>
      <c r="H744" s="400"/>
      <c r="I744" s="401"/>
      <c r="J744" s="401"/>
      <c r="K744" s="401"/>
      <c r="L744" s="401"/>
      <c r="M744" s="401"/>
      <c r="N744" s="401"/>
      <c r="O744" s="401"/>
      <c r="P744" s="401"/>
      <c r="Q744" s="401"/>
      <c r="R744" s="401"/>
      <c r="S744" s="401"/>
      <c r="T744" s="401"/>
      <c r="U744" s="401"/>
      <c r="V744" s="401"/>
      <c r="W744" s="401"/>
      <c r="X744" s="401"/>
      <c r="Y744" s="401"/>
      <c r="Z744" s="401"/>
      <c r="AA744" s="401"/>
    </row>
    <row r="745">
      <c r="A745" s="401"/>
      <c r="B745" s="401"/>
      <c r="C745" s="401"/>
      <c r="D745" s="401"/>
      <c r="E745" s="399"/>
      <c r="F745" s="399"/>
      <c r="G745" s="399"/>
      <c r="H745" s="400"/>
      <c r="I745" s="401"/>
      <c r="J745" s="401"/>
      <c r="K745" s="401"/>
      <c r="L745" s="401"/>
      <c r="M745" s="401"/>
      <c r="N745" s="401"/>
      <c r="O745" s="401"/>
      <c r="P745" s="401"/>
      <c r="Q745" s="401"/>
      <c r="R745" s="401"/>
      <c r="S745" s="401"/>
      <c r="T745" s="401"/>
      <c r="U745" s="401"/>
      <c r="V745" s="401"/>
      <c r="W745" s="401"/>
      <c r="X745" s="401"/>
      <c r="Y745" s="401"/>
      <c r="Z745" s="401"/>
      <c r="AA745" s="401"/>
    </row>
    <row r="746">
      <c r="A746" s="401"/>
      <c r="B746" s="401"/>
      <c r="C746" s="401"/>
      <c r="D746" s="401"/>
      <c r="E746" s="399"/>
      <c r="F746" s="399"/>
      <c r="G746" s="399"/>
      <c r="H746" s="400"/>
      <c r="I746" s="401"/>
      <c r="J746" s="401"/>
      <c r="K746" s="401"/>
      <c r="L746" s="401"/>
      <c r="M746" s="401"/>
      <c r="N746" s="401"/>
      <c r="O746" s="401"/>
      <c r="P746" s="401"/>
      <c r="Q746" s="401"/>
      <c r="R746" s="401"/>
      <c r="S746" s="401"/>
      <c r="T746" s="401"/>
      <c r="U746" s="401"/>
      <c r="V746" s="401"/>
      <c r="W746" s="401"/>
      <c r="X746" s="401"/>
      <c r="Y746" s="401"/>
      <c r="Z746" s="401"/>
      <c r="AA746" s="401"/>
    </row>
    <row r="747">
      <c r="A747" s="401"/>
      <c r="B747" s="401"/>
      <c r="C747" s="401"/>
      <c r="D747" s="401"/>
      <c r="E747" s="399"/>
      <c r="F747" s="399"/>
      <c r="G747" s="399"/>
      <c r="H747" s="400"/>
      <c r="I747" s="401"/>
      <c r="J747" s="401"/>
      <c r="K747" s="401"/>
      <c r="L747" s="401"/>
      <c r="M747" s="401"/>
      <c r="N747" s="401"/>
      <c r="O747" s="401"/>
      <c r="P747" s="401"/>
      <c r="Q747" s="401"/>
      <c r="R747" s="401"/>
      <c r="S747" s="401"/>
      <c r="T747" s="401"/>
      <c r="U747" s="401"/>
      <c r="V747" s="401"/>
      <c r="W747" s="401"/>
      <c r="X747" s="401"/>
      <c r="Y747" s="401"/>
      <c r="Z747" s="401"/>
      <c r="AA747" s="401"/>
    </row>
    <row r="748">
      <c r="A748" s="401"/>
      <c r="B748" s="401"/>
      <c r="C748" s="401"/>
      <c r="D748" s="401"/>
      <c r="E748" s="399"/>
      <c r="F748" s="399"/>
      <c r="G748" s="399"/>
      <c r="H748" s="400"/>
      <c r="I748" s="401"/>
      <c r="J748" s="401"/>
      <c r="K748" s="401"/>
      <c r="L748" s="401"/>
      <c r="M748" s="401"/>
      <c r="N748" s="401"/>
      <c r="O748" s="401"/>
      <c r="P748" s="401"/>
      <c r="Q748" s="401"/>
      <c r="R748" s="401"/>
      <c r="S748" s="401"/>
      <c r="T748" s="401"/>
      <c r="U748" s="401"/>
      <c r="V748" s="401"/>
      <c r="W748" s="401"/>
      <c r="X748" s="401"/>
      <c r="Y748" s="401"/>
      <c r="Z748" s="401"/>
      <c r="AA748" s="401"/>
    </row>
    <row r="749">
      <c r="A749" s="401"/>
      <c r="B749" s="401"/>
      <c r="C749" s="401"/>
      <c r="D749" s="401"/>
      <c r="E749" s="399"/>
      <c r="F749" s="399"/>
      <c r="G749" s="399"/>
      <c r="H749" s="400"/>
      <c r="I749" s="401"/>
      <c r="J749" s="401"/>
      <c r="K749" s="401"/>
      <c r="L749" s="401"/>
      <c r="M749" s="401"/>
      <c r="N749" s="401"/>
      <c r="O749" s="401"/>
      <c r="P749" s="401"/>
      <c r="Q749" s="401"/>
      <c r="R749" s="401"/>
      <c r="S749" s="401"/>
      <c r="T749" s="401"/>
      <c r="U749" s="401"/>
      <c r="V749" s="401"/>
      <c r="W749" s="401"/>
      <c r="X749" s="401"/>
      <c r="Y749" s="401"/>
      <c r="Z749" s="401"/>
      <c r="AA749" s="401"/>
    </row>
    <row r="750">
      <c r="A750" s="401"/>
      <c r="B750" s="401"/>
      <c r="C750" s="401"/>
      <c r="D750" s="401"/>
      <c r="E750" s="399"/>
      <c r="F750" s="399"/>
      <c r="G750" s="399"/>
      <c r="H750" s="400"/>
      <c r="I750" s="401"/>
      <c r="J750" s="401"/>
      <c r="K750" s="401"/>
      <c r="L750" s="401"/>
      <c r="M750" s="401"/>
      <c r="N750" s="401"/>
      <c r="O750" s="401"/>
      <c r="P750" s="401"/>
      <c r="Q750" s="401"/>
      <c r="R750" s="401"/>
      <c r="S750" s="401"/>
      <c r="T750" s="401"/>
      <c r="U750" s="401"/>
      <c r="V750" s="401"/>
      <c r="W750" s="401"/>
      <c r="X750" s="401"/>
      <c r="Y750" s="401"/>
      <c r="Z750" s="401"/>
      <c r="AA750" s="401"/>
    </row>
    <row r="751">
      <c r="A751" s="401"/>
      <c r="B751" s="401"/>
      <c r="C751" s="401"/>
      <c r="D751" s="401"/>
      <c r="E751" s="399"/>
      <c r="F751" s="399"/>
      <c r="G751" s="399"/>
      <c r="H751" s="400"/>
      <c r="I751" s="401"/>
      <c r="J751" s="401"/>
      <c r="K751" s="401"/>
      <c r="L751" s="401"/>
      <c r="M751" s="401"/>
      <c r="N751" s="401"/>
      <c r="O751" s="401"/>
      <c r="P751" s="401"/>
      <c r="Q751" s="401"/>
      <c r="R751" s="401"/>
      <c r="S751" s="401"/>
      <c r="T751" s="401"/>
      <c r="U751" s="401"/>
      <c r="V751" s="401"/>
      <c r="W751" s="401"/>
      <c r="X751" s="401"/>
      <c r="Y751" s="401"/>
      <c r="Z751" s="401"/>
      <c r="AA751" s="401"/>
    </row>
    <row r="752">
      <c r="A752" s="401"/>
      <c r="B752" s="401"/>
      <c r="C752" s="401"/>
      <c r="D752" s="401"/>
      <c r="E752" s="399"/>
      <c r="F752" s="399"/>
      <c r="G752" s="399"/>
      <c r="H752" s="400"/>
      <c r="I752" s="401"/>
      <c r="J752" s="401"/>
      <c r="K752" s="401"/>
      <c r="L752" s="401"/>
      <c r="M752" s="401"/>
      <c r="N752" s="401"/>
      <c r="O752" s="401"/>
      <c r="P752" s="401"/>
      <c r="Q752" s="401"/>
      <c r="R752" s="401"/>
      <c r="S752" s="401"/>
      <c r="T752" s="401"/>
      <c r="U752" s="401"/>
      <c r="V752" s="401"/>
      <c r="W752" s="401"/>
      <c r="X752" s="401"/>
      <c r="Y752" s="401"/>
      <c r="Z752" s="401"/>
      <c r="AA752" s="401"/>
    </row>
    <row r="753">
      <c r="A753" s="401"/>
      <c r="B753" s="401"/>
      <c r="C753" s="401"/>
      <c r="D753" s="401"/>
      <c r="E753" s="399"/>
      <c r="F753" s="399"/>
      <c r="G753" s="399"/>
      <c r="H753" s="400"/>
      <c r="I753" s="401"/>
      <c r="J753" s="401"/>
      <c r="K753" s="401"/>
      <c r="L753" s="401"/>
      <c r="M753" s="401"/>
      <c r="N753" s="401"/>
      <c r="O753" s="401"/>
      <c r="P753" s="401"/>
      <c r="Q753" s="401"/>
      <c r="R753" s="401"/>
      <c r="S753" s="401"/>
      <c r="T753" s="401"/>
      <c r="U753" s="401"/>
      <c r="V753" s="401"/>
      <c r="W753" s="401"/>
      <c r="X753" s="401"/>
      <c r="Y753" s="401"/>
      <c r="Z753" s="401"/>
      <c r="AA753" s="401"/>
    </row>
    <row r="754">
      <c r="A754" s="401"/>
      <c r="B754" s="401"/>
      <c r="C754" s="401"/>
      <c r="D754" s="401"/>
      <c r="E754" s="399"/>
      <c r="F754" s="399"/>
      <c r="G754" s="399"/>
      <c r="H754" s="400"/>
      <c r="I754" s="401"/>
      <c r="J754" s="401"/>
      <c r="K754" s="401"/>
      <c r="L754" s="401"/>
      <c r="M754" s="401"/>
      <c r="N754" s="401"/>
      <c r="O754" s="401"/>
      <c r="P754" s="401"/>
      <c r="Q754" s="401"/>
      <c r="R754" s="401"/>
      <c r="S754" s="401"/>
      <c r="T754" s="401"/>
      <c r="U754" s="401"/>
      <c r="V754" s="401"/>
      <c r="W754" s="401"/>
      <c r="X754" s="401"/>
      <c r="Y754" s="401"/>
      <c r="Z754" s="401"/>
      <c r="AA754" s="401"/>
    </row>
    <row r="755">
      <c r="A755" s="401"/>
      <c r="B755" s="401"/>
      <c r="C755" s="401"/>
      <c r="D755" s="401"/>
      <c r="E755" s="399"/>
      <c r="F755" s="399"/>
      <c r="G755" s="399"/>
      <c r="H755" s="400"/>
      <c r="I755" s="401"/>
      <c r="J755" s="401"/>
      <c r="K755" s="401"/>
      <c r="L755" s="401"/>
      <c r="M755" s="401"/>
      <c r="N755" s="401"/>
      <c r="O755" s="401"/>
      <c r="P755" s="401"/>
      <c r="Q755" s="401"/>
      <c r="R755" s="401"/>
      <c r="S755" s="401"/>
      <c r="T755" s="401"/>
      <c r="U755" s="401"/>
      <c r="V755" s="401"/>
      <c r="W755" s="401"/>
      <c r="X755" s="401"/>
      <c r="Y755" s="401"/>
      <c r="Z755" s="401"/>
      <c r="AA755" s="401"/>
    </row>
    <row r="756">
      <c r="A756" s="401"/>
      <c r="B756" s="401"/>
      <c r="C756" s="401"/>
      <c r="D756" s="401"/>
      <c r="E756" s="399"/>
      <c r="F756" s="399"/>
      <c r="G756" s="399"/>
      <c r="H756" s="400"/>
      <c r="I756" s="401"/>
      <c r="J756" s="401"/>
      <c r="K756" s="401"/>
      <c r="L756" s="401"/>
      <c r="M756" s="401"/>
      <c r="N756" s="401"/>
      <c r="O756" s="401"/>
      <c r="P756" s="401"/>
      <c r="Q756" s="401"/>
      <c r="R756" s="401"/>
      <c r="S756" s="401"/>
      <c r="T756" s="401"/>
      <c r="U756" s="401"/>
      <c r="V756" s="401"/>
      <c r="W756" s="401"/>
      <c r="X756" s="401"/>
      <c r="Y756" s="401"/>
      <c r="Z756" s="401"/>
      <c r="AA756" s="401"/>
    </row>
    <row r="757">
      <c r="A757" s="401"/>
      <c r="B757" s="401"/>
      <c r="C757" s="401"/>
      <c r="D757" s="401"/>
      <c r="E757" s="399"/>
      <c r="F757" s="399"/>
      <c r="G757" s="399"/>
      <c r="H757" s="400"/>
      <c r="I757" s="401"/>
      <c r="J757" s="401"/>
      <c r="K757" s="401"/>
      <c r="L757" s="401"/>
      <c r="M757" s="401"/>
      <c r="N757" s="401"/>
      <c r="O757" s="401"/>
      <c r="P757" s="401"/>
      <c r="Q757" s="401"/>
      <c r="R757" s="401"/>
      <c r="S757" s="401"/>
      <c r="T757" s="401"/>
      <c r="U757" s="401"/>
      <c r="V757" s="401"/>
      <c r="W757" s="401"/>
      <c r="X757" s="401"/>
      <c r="Y757" s="401"/>
      <c r="Z757" s="401"/>
      <c r="AA757" s="401"/>
    </row>
    <row r="758">
      <c r="A758" s="401"/>
      <c r="B758" s="401"/>
      <c r="C758" s="401"/>
      <c r="D758" s="401"/>
      <c r="E758" s="399"/>
      <c r="F758" s="399"/>
      <c r="G758" s="399"/>
      <c r="H758" s="400"/>
      <c r="I758" s="401"/>
      <c r="J758" s="401"/>
      <c r="K758" s="401"/>
      <c r="L758" s="401"/>
      <c r="M758" s="401"/>
      <c r="N758" s="401"/>
      <c r="O758" s="401"/>
      <c r="P758" s="401"/>
      <c r="Q758" s="401"/>
      <c r="R758" s="401"/>
      <c r="S758" s="401"/>
      <c r="T758" s="401"/>
      <c r="U758" s="401"/>
      <c r="V758" s="401"/>
      <c r="W758" s="401"/>
      <c r="X758" s="401"/>
      <c r="Y758" s="401"/>
      <c r="Z758" s="401"/>
      <c r="AA758" s="401"/>
    </row>
    <row r="759">
      <c r="A759" s="401"/>
      <c r="B759" s="401"/>
      <c r="C759" s="401"/>
      <c r="D759" s="401"/>
      <c r="E759" s="399"/>
      <c r="F759" s="399"/>
      <c r="G759" s="399"/>
      <c r="H759" s="400"/>
      <c r="I759" s="401"/>
      <c r="J759" s="401"/>
      <c r="K759" s="401"/>
      <c r="L759" s="401"/>
      <c r="M759" s="401"/>
      <c r="N759" s="401"/>
      <c r="O759" s="401"/>
      <c r="P759" s="401"/>
      <c r="Q759" s="401"/>
      <c r="R759" s="401"/>
      <c r="S759" s="401"/>
      <c r="T759" s="401"/>
      <c r="U759" s="401"/>
      <c r="V759" s="401"/>
      <c r="W759" s="401"/>
      <c r="X759" s="401"/>
      <c r="Y759" s="401"/>
      <c r="Z759" s="401"/>
      <c r="AA759" s="401"/>
    </row>
    <row r="760">
      <c r="A760" s="401"/>
      <c r="B760" s="401"/>
      <c r="C760" s="401"/>
      <c r="D760" s="401"/>
      <c r="E760" s="399"/>
      <c r="F760" s="399"/>
      <c r="G760" s="399"/>
      <c r="H760" s="400"/>
      <c r="I760" s="401"/>
      <c r="J760" s="401"/>
      <c r="K760" s="401"/>
      <c r="L760" s="401"/>
      <c r="M760" s="401"/>
      <c r="N760" s="401"/>
      <c r="O760" s="401"/>
      <c r="P760" s="401"/>
      <c r="Q760" s="401"/>
      <c r="R760" s="401"/>
      <c r="S760" s="401"/>
      <c r="T760" s="401"/>
      <c r="U760" s="401"/>
      <c r="V760" s="401"/>
      <c r="W760" s="401"/>
      <c r="X760" s="401"/>
      <c r="Y760" s="401"/>
      <c r="Z760" s="401"/>
      <c r="AA760" s="401"/>
    </row>
    <row r="761">
      <c r="A761" s="401"/>
      <c r="B761" s="401"/>
      <c r="C761" s="401"/>
      <c r="D761" s="401"/>
      <c r="E761" s="399"/>
      <c r="F761" s="399"/>
      <c r="G761" s="399"/>
      <c r="H761" s="400"/>
      <c r="I761" s="401"/>
      <c r="J761" s="401"/>
      <c r="K761" s="401"/>
      <c r="L761" s="401"/>
      <c r="M761" s="401"/>
      <c r="N761" s="401"/>
      <c r="O761" s="401"/>
      <c r="P761" s="401"/>
      <c r="Q761" s="401"/>
      <c r="R761" s="401"/>
      <c r="S761" s="401"/>
      <c r="T761" s="401"/>
      <c r="U761" s="401"/>
      <c r="V761" s="401"/>
      <c r="W761" s="401"/>
      <c r="X761" s="401"/>
      <c r="Y761" s="401"/>
      <c r="Z761" s="401"/>
      <c r="AA761" s="401"/>
    </row>
    <row r="762">
      <c r="A762" s="401"/>
      <c r="B762" s="401"/>
      <c r="C762" s="401"/>
      <c r="D762" s="401"/>
      <c r="E762" s="399"/>
      <c r="F762" s="399"/>
      <c r="G762" s="399"/>
      <c r="H762" s="400"/>
      <c r="I762" s="401"/>
      <c r="J762" s="401"/>
      <c r="K762" s="401"/>
      <c r="L762" s="401"/>
      <c r="M762" s="401"/>
      <c r="N762" s="401"/>
      <c r="O762" s="401"/>
      <c r="P762" s="401"/>
      <c r="Q762" s="401"/>
      <c r="R762" s="401"/>
      <c r="S762" s="401"/>
      <c r="T762" s="401"/>
      <c r="U762" s="401"/>
      <c r="V762" s="401"/>
      <c r="W762" s="401"/>
      <c r="X762" s="401"/>
      <c r="Y762" s="401"/>
      <c r="Z762" s="401"/>
      <c r="AA762" s="401"/>
    </row>
    <row r="763">
      <c r="A763" s="401"/>
      <c r="B763" s="401"/>
      <c r="C763" s="401"/>
      <c r="D763" s="401"/>
      <c r="E763" s="399"/>
      <c r="F763" s="399"/>
      <c r="G763" s="399"/>
      <c r="H763" s="400"/>
      <c r="I763" s="401"/>
      <c r="J763" s="401"/>
      <c r="K763" s="401"/>
      <c r="L763" s="401"/>
      <c r="M763" s="401"/>
      <c r="N763" s="401"/>
      <c r="O763" s="401"/>
      <c r="P763" s="401"/>
      <c r="Q763" s="401"/>
      <c r="R763" s="401"/>
      <c r="S763" s="401"/>
      <c r="T763" s="401"/>
      <c r="U763" s="401"/>
      <c r="V763" s="401"/>
      <c r="W763" s="401"/>
      <c r="X763" s="401"/>
      <c r="Y763" s="401"/>
      <c r="Z763" s="401"/>
      <c r="AA763" s="401"/>
    </row>
    <row r="764">
      <c r="A764" s="401"/>
      <c r="B764" s="401"/>
      <c r="C764" s="401"/>
      <c r="D764" s="401"/>
      <c r="E764" s="399"/>
      <c r="F764" s="399"/>
      <c r="G764" s="399"/>
      <c r="H764" s="400"/>
      <c r="I764" s="401"/>
      <c r="J764" s="401"/>
      <c r="K764" s="401"/>
      <c r="L764" s="401"/>
      <c r="M764" s="401"/>
      <c r="N764" s="401"/>
      <c r="O764" s="401"/>
      <c r="P764" s="401"/>
      <c r="Q764" s="401"/>
      <c r="R764" s="401"/>
      <c r="S764" s="401"/>
      <c r="T764" s="401"/>
      <c r="U764" s="401"/>
      <c r="V764" s="401"/>
      <c r="W764" s="401"/>
      <c r="X764" s="401"/>
      <c r="Y764" s="401"/>
      <c r="Z764" s="401"/>
      <c r="AA764" s="401"/>
    </row>
    <row r="765">
      <c r="A765" s="401"/>
      <c r="B765" s="401"/>
      <c r="C765" s="401"/>
      <c r="D765" s="401"/>
      <c r="E765" s="399"/>
      <c r="F765" s="399"/>
      <c r="G765" s="399"/>
      <c r="H765" s="400"/>
      <c r="I765" s="401"/>
      <c r="J765" s="401"/>
      <c r="K765" s="401"/>
      <c r="L765" s="401"/>
      <c r="M765" s="401"/>
      <c r="N765" s="401"/>
      <c r="O765" s="401"/>
      <c r="P765" s="401"/>
      <c r="Q765" s="401"/>
      <c r="R765" s="401"/>
      <c r="S765" s="401"/>
      <c r="T765" s="401"/>
      <c r="U765" s="401"/>
      <c r="V765" s="401"/>
      <c r="W765" s="401"/>
      <c r="X765" s="401"/>
      <c r="Y765" s="401"/>
      <c r="Z765" s="401"/>
      <c r="AA765" s="401"/>
    </row>
    <row r="766">
      <c r="A766" s="401"/>
      <c r="B766" s="401"/>
      <c r="C766" s="401"/>
      <c r="D766" s="401"/>
      <c r="E766" s="399"/>
      <c r="F766" s="399"/>
      <c r="G766" s="399"/>
      <c r="H766" s="400"/>
      <c r="I766" s="401"/>
      <c r="J766" s="401"/>
      <c r="K766" s="401"/>
      <c r="L766" s="401"/>
      <c r="M766" s="401"/>
      <c r="N766" s="401"/>
      <c r="O766" s="401"/>
      <c r="P766" s="401"/>
      <c r="Q766" s="401"/>
      <c r="R766" s="401"/>
      <c r="S766" s="401"/>
      <c r="T766" s="401"/>
      <c r="U766" s="401"/>
      <c r="V766" s="401"/>
      <c r="W766" s="401"/>
      <c r="X766" s="401"/>
      <c r="Y766" s="401"/>
      <c r="Z766" s="401"/>
      <c r="AA766" s="401"/>
    </row>
    <row r="767">
      <c r="A767" s="401"/>
      <c r="B767" s="401"/>
      <c r="C767" s="401"/>
      <c r="D767" s="401"/>
      <c r="E767" s="399"/>
      <c r="F767" s="399"/>
      <c r="G767" s="399"/>
      <c r="H767" s="400"/>
      <c r="I767" s="401"/>
      <c r="J767" s="401"/>
      <c r="K767" s="401"/>
      <c r="L767" s="401"/>
      <c r="M767" s="401"/>
      <c r="N767" s="401"/>
      <c r="O767" s="401"/>
      <c r="P767" s="401"/>
      <c r="Q767" s="401"/>
      <c r="R767" s="401"/>
      <c r="S767" s="401"/>
      <c r="T767" s="401"/>
      <c r="U767" s="401"/>
      <c r="V767" s="401"/>
      <c r="W767" s="401"/>
      <c r="X767" s="401"/>
      <c r="Y767" s="401"/>
      <c r="Z767" s="401"/>
      <c r="AA767" s="401"/>
    </row>
    <row r="768">
      <c r="A768" s="401"/>
      <c r="B768" s="401"/>
      <c r="C768" s="401"/>
      <c r="D768" s="401"/>
      <c r="E768" s="399"/>
      <c r="F768" s="399"/>
      <c r="G768" s="399"/>
      <c r="H768" s="400"/>
      <c r="I768" s="401"/>
      <c r="J768" s="401"/>
      <c r="K768" s="401"/>
      <c r="L768" s="401"/>
      <c r="M768" s="401"/>
      <c r="N768" s="401"/>
      <c r="O768" s="401"/>
      <c r="P768" s="401"/>
      <c r="Q768" s="401"/>
      <c r="R768" s="401"/>
      <c r="S768" s="401"/>
      <c r="T768" s="401"/>
      <c r="U768" s="401"/>
      <c r="V768" s="401"/>
      <c r="W768" s="401"/>
      <c r="X768" s="401"/>
      <c r="Y768" s="401"/>
      <c r="Z768" s="401"/>
      <c r="AA768" s="401"/>
    </row>
    <row r="769">
      <c r="A769" s="401"/>
      <c r="B769" s="401"/>
      <c r="C769" s="401"/>
      <c r="D769" s="401"/>
      <c r="E769" s="399"/>
      <c r="F769" s="399"/>
      <c r="G769" s="399"/>
      <c r="H769" s="400"/>
      <c r="I769" s="401"/>
      <c r="J769" s="401"/>
      <c r="K769" s="401"/>
      <c r="L769" s="401"/>
      <c r="M769" s="401"/>
      <c r="N769" s="401"/>
      <c r="O769" s="401"/>
      <c r="P769" s="401"/>
      <c r="Q769" s="401"/>
      <c r="R769" s="401"/>
      <c r="S769" s="401"/>
      <c r="T769" s="401"/>
      <c r="U769" s="401"/>
      <c r="V769" s="401"/>
      <c r="W769" s="401"/>
      <c r="X769" s="401"/>
      <c r="Y769" s="401"/>
      <c r="Z769" s="401"/>
      <c r="AA769" s="401"/>
    </row>
    <row r="770">
      <c r="A770" s="401"/>
      <c r="B770" s="401"/>
      <c r="C770" s="401"/>
      <c r="D770" s="401"/>
      <c r="E770" s="399"/>
      <c r="F770" s="399"/>
      <c r="G770" s="399"/>
      <c r="H770" s="400"/>
      <c r="I770" s="401"/>
      <c r="J770" s="401"/>
      <c r="K770" s="401"/>
      <c r="L770" s="401"/>
      <c r="M770" s="401"/>
      <c r="N770" s="401"/>
      <c r="O770" s="401"/>
      <c r="P770" s="401"/>
      <c r="Q770" s="401"/>
      <c r="R770" s="401"/>
      <c r="S770" s="401"/>
      <c r="T770" s="401"/>
      <c r="U770" s="401"/>
      <c r="V770" s="401"/>
      <c r="W770" s="401"/>
      <c r="X770" s="401"/>
      <c r="Y770" s="401"/>
      <c r="Z770" s="401"/>
      <c r="AA770" s="401"/>
    </row>
    <row r="771">
      <c r="A771" s="401"/>
      <c r="B771" s="401"/>
      <c r="C771" s="401"/>
      <c r="D771" s="401"/>
      <c r="E771" s="399"/>
      <c r="F771" s="399"/>
      <c r="G771" s="399"/>
      <c r="H771" s="400"/>
      <c r="I771" s="401"/>
      <c r="J771" s="401"/>
      <c r="K771" s="401"/>
      <c r="L771" s="401"/>
      <c r="M771" s="401"/>
      <c r="N771" s="401"/>
      <c r="O771" s="401"/>
      <c r="P771" s="401"/>
      <c r="Q771" s="401"/>
      <c r="R771" s="401"/>
      <c r="S771" s="401"/>
      <c r="T771" s="401"/>
      <c r="U771" s="401"/>
      <c r="V771" s="401"/>
      <c r="W771" s="401"/>
      <c r="X771" s="401"/>
      <c r="Y771" s="401"/>
      <c r="Z771" s="401"/>
      <c r="AA771" s="401"/>
    </row>
    <row r="772">
      <c r="A772" s="401"/>
      <c r="B772" s="401"/>
      <c r="C772" s="401"/>
      <c r="D772" s="401"/>
      <c r="E772" s="399"/>
      <c r="F772" s="399"/>
      <c r="G772" s="399"/>
      <c r="H772" s="400"/>
      <c r="I772" s="401"/>
      <c r="J772" s="401"/>
      <c r="K772" s="401"/>
      <c r="L772" s="401"/>
      <c r="M772" s="401"/>
      <c r="N772" s="401"/>
      <c r="O772" s="401"/>
      <c r="P772" s="401"/>
      <c r="Q772" s="401"/>
      <c r="R772" s="401"/>
      <c r="S772" s="401"/>
      <c r="T772" s="401"/>
      <c r="U772" s="401"/>
      <c r="V772" s="401"/>
      <c r="W772" s="401"/>
      <c r="X772" s="401"/>
      <c r="Y772" s="401"/>
      <c r="Z772" s="401"/>
      <c r="AA772" s="401"/>
    </row>
    <row r="773">
      <c r="A773" s="401"/>
      <c r="B773" s="401"/>
      <c r="C773" s="401"/>
      <c r="D773" s="401"/>
      <c r="E773" s="399"/>
      <c r="F773" s="399"/>
      <c r="G773" s="399"/>
      <c r="H773" s="400"/>
      <c r="I773" s="401"/>
      <c r="J773" s="401"/>
      <c r="K773" s="401"/>
      <c r="L773" s="401"/>
      <c r="M773" s="401"/>
      <c r="N773" s="401"/>
      <c r="O773" s="401"/>
      <c r="P773" s="401"/>
      <c r="Q773" s="401"/>
      <c r="R773" s="401"/>
      <c r="S773" s="401"/>
      <c r="T773" s="401"/>
      <c r="U773" s="401"/>
      <c r="V773" s="401"/>
      <c r="W773" s="401"/>
      <c r="X773" s="401"/>
      <c r="Y773" s="401"/>
      <c r="Z773" s="401"/>
      <c r="AA773" s="401"/>
    </row>
    <row r="774">
      <c r="A774" s="401"/>
      <c r="B774" s="401"/>
      <c r="C774" s="401"/>
      <c r="D774" s="401"/>
      <c r="E774" s="399"/>
      <c r="F774" s="399"/>
      <c r="G774" s="399"/>
      <c r="H774" s="400"/>
      <c r="I774" s="401"/>
      <c r="J774" s="401"/>
      <c r="K774" s="401"/>
      <c r="L774" s="401"/>
      <c r="M774" s="401"/>
      <c r="N774" s="401"/>
      <c r="O774" s="401"/>
      <c r="P774" s="401"/>
      <c r="Q774" s="401"/>
      <c r="R774" s="401"/>
      <c r="S774" s="401"/>
      <c r="T774" s="401"/>
      <c r="U774" s="401"/>
      <c r="V774" s="401"/>
      <c r="W774" s="401"/>
      <c r="X774" s="401"/>
      <c r="Y774" s="401"/>
      <c r="Z774" s="401"/>
      <c r="AA774" s="401"/>
    </row>
    <row r="775">
      <c r="A775" s="401"/>
      <c r="B775" s="401"/>
      <c r="C775" s="401"/>
      <c r="D775" s="401"/>
      <c r="E775" s="399"/>
      <c r="F775" s="399"/>
      <c r="G775" s="399"/>
      <c r="H775" s="400"/>
      <c r="I775" s="401"/>
      <c r="J775" s="401"/>
      <c r="K775" s="401"/>
      <c r="L775" s="401"/>
      <c r="M775" s="401"/>
      <c r="N775" s="401"/>
      <c r="O775" s="401"/>
      <c r="P775" s="401"/>
      <c r="Q775" s="401"/>
      <c r="R775" s="401"/>
      <c r="S775" s="401"/>
      <c r="T775" s="401"/>
      <c r="U775" s="401"/>
      <c r="V775" s="401"/>
      <c r="W775" s="401"/>
      <c r="X775" s="401"/>
      <c r="Y775" s="401"/>
      <c r="Z775" s="401"/>
      <c r="AA775" s="401"/>
    </row>
    <row r="776">
      <c r="A776" s="401"/>
      <c r="B776" s="401"/>
      <c r="C776" s="401"/>
      <c r="D776" s="401"/>
      <c r="E776" s="399"/>
      <c r="F776" s="399"/>
      <c r="G776" s="399"/>
      <c r="H776" s="400"/>
      <c r="I776" s="401"/>
      <c r="J776" s="401"/>
      <c r="K776" s="401"/>
      <c r="L776" s="401"/>
      <c r="M776" s="401"/>
      <c r="N776" s="401"/>
      <c r="O776" s="401"/>
      <c r="P776" s="401"/>
      <c r="Q776" s="401"/>
      <c r="R776" s="401"/>
      <c r="S776" s="401"/>
      <c r="T776" s="401"/>
      <c r="U776" s="401"/>
      <c r="V776" s="401"/>
      <c r="W776" s="401"/>
      <c r="X776" s="401"/>
      <c r="Y776" s="401"/>
      <c r="Z776" s="401"/>
      <c r="AA776" s="401"/>
    </row>
    <row r="777">
      <c r="A777" s="401"/>
      <c r="B777" s="401"/>
      <c r="C777" s="401"/>
      <c r="D777" s="401"/>
      <c r="E777" s="399"/>
      <c r="F777" s="399"/>
      <c r="G777" s="399"/>
      <c r="H777" s="400"/>
      <c r="I777" s="401"/>
      <c r="J777" s="401"/>
      <c r="K777" s="401"/>
      <c r="L777" s="401"/>
      <c r="M777" s="401"/>
      <c r="N777" s="401"/>
      <c r="O777" s="401"/>
      <c r="P777" s="401"/>
      <c r="Q777" s="401"/>
      <c r="R777" s="401"/>
      <c r="S777" s="401"/>
      <c r="T777" s="401"/>
      <c r="U777" s="401"/>
      <c r="V777" s="401"/>
      <c r="W777" s="401"/>
      <c r="X777" s="401"/>
      <c r="Y777" s="401"/>
      <c r="Z777" s="401"/>
      <c r="AA777" s="401"/>
    </row>
    <row r="778">
      <c r="A778" s="401"/>
      <c r="B778" s="401"/>
      <c r="C778" s="401"/>
      <c r="D778" s="401"/>
      <c r="E778" s="399"/>
      <c r="F778" s="399"/>
      <c r="G778" s="399"/>
      <c r="H778" s="400"/>
      <c r="I778" s="401"/>
      <c r="J778" s="401"/>
      <c r="K778" s="401"/>
      <c r="L778" s="401"/>
      <c r="M778" s="401"/>
      <c r="N778" s="401"/>
      <c r="O778" s="401"/>
      <c r="P778" s="401"/>
      <c r="Q778" s="401"/>
      <c r="R778" s="401"/>
      <c r="S778" s="401"/>
      <c r="T778" s="401"/>
      <c r="U778" s="401"/>
      <c r="V778" s="401"/>
      <c r="W778" s="401"/>
      <c r="X778" s="401"/>
      <c r="Y778" s="401"/>
      <c r="Z778" s="401"/>
      <c r="AA778" s="401"/>
    </row>
    <row r="779">
      <c r="A779" s="401"/>
      <c r="B779" s="401"/>
      <c r="C779" s="401"/>
      <c r="D779" s="401"/>
      <c r="E779" s="399"/>
      <c r="F779" s="399"/>
      <c r="G779" s="399"/>
      <c r="H779" s="400"/>
      <c r="I779" s="401"/>
      <c r="J779" s="401"/>
      <c r="K779" s="401"/>
      <c r="L779" s="401"/>
      <c r="M779" s="401"/>
      <c r="N779" s="401"/>
      <c r="O779" s="401"/>
      <c r="P779" s="401"/>
      <c r="Q779" s="401"/>
      <c r="R779" s="401"/>
      <c r="S779" s="401"/>
      <c r="T779" s="401"/>
      <c r="U779" s="401"/>
      <c r="V779" s="401"/>
      <c r="W779" s="401"/>
      <c r="X779" s="401"/>
      <c r="Y779" s="401"/>
      <c r="Z779" s="401"/>
      <c r="AA779" s="401"/>
    </row>
    <row r="780">
      <c r="A780" s="401"/>
      <c r="B780" s="401"/>
      <c r="C780" s="401"/>
      <c r="D780" s="401"/>
      <c r="E780" s="399"/>
      <c r="F780" s="399"/>
      <c r="G780" s="399"/>
      <c r="H780" s="400"/>
      <c r="I780" s="401"/>
      <c r="J780" s="401"/>
      <c r="K780" s="401"/>
      <c r="L780" s="401"/>
      <c r="M780" s="401"/>
      <c r="N780" s="401"/>
      <c r="O780" s="401"/>
      <c r="P780" s="401"/>
      <c r="Q780" s="401"/>
      <c r="R780" s="401"/>
      <c r="S780" s="401"/>
      <c r="T780" s="401"/>
      <c r="U780" s="401"/>
      <c r="V780" s="401"/>
      <c r="W780" s="401"/>
      <c r="X780" s="401"/>
      <c r="Y780" s="401"/>
      <c r="Z780" s="401"/>
      <c r="AA780" s="401"/>
    </row>
    <row r="781">
      <c r="A781" s="401"/>
      <c r="B781" s="401"/>
      <c r="C781" s="401"/>
      <c r="D781" s="401"/>
      <c r="E781" s="399"/>
      <c r="F781" s="399"/>
      <c r="G781" s="399"/>
      <c r="H781" s="400"/>
      <c r="I781" s="401"/>
      <c r="J781" s="401"/>
      <c r="K781" s="401"/>
      <c r="L781" s="401"/>
      <c r="M781" s="401"/>
      <c r="N781" s="401"/>
      <c r="O781" s="401"/>
      <c r="P781" s="401"/>
      <c r="Q781" s="401"/>
      <c r="R781" s="401"/>
      <c r="S781" s="401"/>
      <c r="T781" s="401"/>
      <c r="U781" s="401"/>
      <c r="V781" s="401"/>
      <c r="W781" s="401"/>
      <c r="X781" s="401"/>
      <c r="Y781" s="401"/>
      <c r="Z781" s="401"/>
      <c r="AA781" s="401"/>
    </row>
    <row r="782">
      <c r="A782" s="401"/>
      <c r="B782" s="401"/>
      <c r="C782" s="401"/>
      <c r="D782" s="401"/>
      <c r="E782" s="399"/>
      <c r="F782" s="399"/>
      <c r="G782" s="399"/>
      <c r="H782" s="400"/>
      <c r="I782" s="401"/>
      <c r="J782" s="401"/>
      <c r="K782" s="401"/>
      <c r="L782" s="401"/>
      <c r="M782" s="401"/>
      <c r="N782" s="401"/>
      <c r="O782" s="401"/>
      <c r="P782" s="401"/>
      <c r="Q782" s="401"/>
      <c r="R782" s="401"/>
      <c r="S782" s="401"/>
      <c r="T782" s="401"/>
      <c r="U782" s="401"/>
      <c r="V782" s="401"/>
      <c r="W782" s="401"/>
      <c r="X782" s="401"/>
      <c r="Y782" s="401"/>
      <c r="Z782" s="401"/>
      <c r="AA782" s="401"/>
    </row>
    <row r="783">
      <c r="A783" s="401"/>
      <c r="B783" s="401"/>
      <c r="C783" s="401"/>
      <c r="D783" s="401"/>
      <c r="E783" s="399"/>
      <c r="F783" s="399"/>
      <c r="G783" s="399"/>
      <c r="H783" s="400"/>
      <c r="I783" s="401"/>
      <c r="J783" s="401"/>
      <c r="K783" s="401"/>
      <c r="L783" s="401"/>
      <c r="M783" s="401"/>
      <c r="N783" s="401"/>
      <c r="O783" s="401"/>
      <c r="P783" s="401"/>
      <c r="Q783" s="401"/>
      <c r="R783" s="401"/>
      <c r="S783" s="401"/>
      <c r="T783" s="401"/>
      <c r="U783" s="401"/>
      <c r="V783" s="401"/>
      <c r="W783" s="401"/>
      <c r="X783" s="401"/>
      <c r="Y783" s="401"/>
      <c r="Z783" s="401"/>
      <c r="AA783" s="401"/>
    </row>
    <row r="784">
      <c r="A784" s="401"/>
      <c r="B784" s="401"/>
      <c r="C784" s="401"/>
      <c r="D784" s="401"/>
      <c r="E784" s="399"/>
      <c r="F784" s="399"/>
      <c r="G784" s="399"/>
      <c r="H784" s="400"/>
      <c r="I784" s="401"/>
      <c r="J784" s="401"/>
      <c r="K784" s="401"/>
      <c r="L784" s="401"/>
      <c r="M784" s="401"/>
      <c r="N784" s="401"/>
      <c r="O784" s="401"/>
      <c r="P784" s="401"/>
      <c r="Q784" s="401"/>
      <c r="R784" s="401"/>
      <c r="S784" s="401"/>
      <c r="T784" s="401"/>
      <c r="U784" s="401"/>
      <c r="V784" s="401"/>
      <c r="W784" s="401"/>
      <c r="X784" s="401"/>
      <c r="Y784" s="401"/>
      <c r="Z784" s="401"/>
      <c r="AA784" s="401"/>
    </row>
    <row r="785">
      <c r="A785" s="401"/>
      <c r="B785" s="401"/>
      <c r="C785" s="401"/>
      <c r="D785" s="401"/>
      <c r="E785" s="399"/>
      <c r="F785" s="399"/>
      <c r="G785" s="399"/>
      <c r="H785" s="400"/>
      <c r="I785" s="401"/>
      <c r="J785" s="401"/>
      <c r="K785" s="401"/>
      <c r="L785" s="401"/>
      <c r="M785" s="401"/>
      <c r="N785" s="401"/>
      <c r="O785" s="401"/>
      <c r="P785" s="401"/>
      <c r="Q785" s="401"/>
      <c r="R785" s="401"/>
      <c r="S785" s="401"/>
      <c r="T785" s="401"/>
      <c r="U785" s="401"/>
      <c r="V785" s="401"/>
      <c r="W785" s="401"/>
      <c r="X785" s="401"/>
      <c r="Y785" s="401"/>
      <c r="Z785" s="401"/>
      <c r="AA785" s="401"/>
    </row>
    <row r="786">
      <c r="A786" s="401"/>
      <c r="B786" s="401"/>
      <c r="C786" s="401"/>
      <c r="D786" s="401"/>
      <c r="E786" s="399"/>
      <c r="F786" s="399"/>
      <c r="G786" s="399"/>
      <c r="H786" s="400"/>
      <c r="I786" s="401"/>
      <c r="J786" s="401"/>
      <c r="K786" s="401"/>
      <c r="L786" s="401"/>
      <c r="M786" s="401"/>
      <c r="N786" s="401"/>
      <c r="O786" s="401"/>
      <c r="P786" s="401"/>
      <c r="Q786" s="401"/>
      <c r="R786" s="401"/>
      <c r="S786" s="401"/>
      <c r="T786" s="401"/>
      <c r="U786" s="401"/>
      <c r="V786" s="401"/>
      <c r="W786" s="401"/>
      <c r="X786" s="401"/>
      <c r="Y786" s="401"/>
      <c r="Z786" s="401"/>
      <c r="AA786" s="401"/>
    </row>
    <row r="787">
      <c r="A787" s="401"/>
      <c r="B787" s="401"/>
      <c r="C787" s="401"/>
      <c r="D787" s="401"/>
      <c r="E787" s="399"/>
      <c r="F787" s="399"/>
      <c r="G787" s="399"/>
      <c r="H787" s="400"/>
      <c r="I787" s="401"/>
      <c r="J787" s="401"/>
      <c r="K787" s="401"/>
      <c r="L787" s="401"/>
      <c r="M787" s="401"/>
      <c r="N787" s="401"/>
      <c r="O787" s="401"/>
      <c r="P787" s="401"/>
      <c r="Q787" s="401"/>
      <c r="R787" s="401"/>
      <c r="S787" s="401"/>
      <c r="T787" s="401"/>
      <c r="U787" s="401"/>
      <c r="V787" s="401"/>
      <c r="W787" s="401"/>
      <c r="X787" s="401"/>
      <c r="Y787" s="401"/>
      <c r="Z787" s="401"/>
      <c r="AA787" s="401"/>
    </row>
    <row r="788">
      <c r="A788" s="401"/>
      <c r="B788" s="401"/>
      <c r="C788" s="401"/>
      <c r="D788" s="401"/>
      <c r="E788" s="399"/>
      <c r="F788" s="399"/>
      <c r="G788" s="399"/>
      <c r="H788" s="400"/>
      <c r="I788" s="401"/>
      <c r="J788" s="401"/>
      <c r="K788" s="401"/>
      <c r="L788" s="401"/>
      <c r="M788" s="401"/>
      <c r="N788" s="401"/>
      <c r="O788" s="401"/>
      <c r="P788" s="401"/>
      <c r="Q788" s="401"/>
      <c r="R788" s="401"/>
      <c r="S788" s="401"/>
      <c r="T788" s="401"/>
      <c r="U788" s="401"/>
      <c r="V788" s="401"/>
      <c r="W788" s="401"/>
      <c r="X788" s="401"/>
      <c r="Y788" s="401"/>
      <c r="Z788" s="401"/>
      <c r="AA788" s="401"/>
    </row>
    <row r="789">
      <c r="A789" s="401"/>
      <c r="B789" s="401"/>
      <c r="C789" s="401"/>
      <c r="D789" s="401"/>
      <c r="E789" s="399"/>
      <c r="F789" s="399"/>
      <c r="G789" s="399"/>
      <c r="H789" s="400"/>
      <c r="I789" s="401"/>
      <c r="J789" s="401"/>
      <c r="K789" s="401"/>
      <c r="L789" s="401"/>
      <c r="M789" s="401"/>
      <c r="N789" s="401"/>
      <c r="O789" s="401"/>
      <c r="P789" s="401"/>
      <c r="Q789" s="401"/>
      <c r="R789" s="401"/>
      <c r="S789" s="401"/>
      <c r="T789" s="401"/>
      <c r="U789" s="401"/>
      <c r="V789" s="401"/>
      <c r="W789" s="401"/>
      <c r="X789" s="401"/>
      <c r="Y789" s="401"/>
      <c r="Z789" s="401"/>
      <c r="AA789" s="401"/>
    </row>
    <row r="790">
      <c r="A790" s="401"/>
      <c r="B790" s="401"/>
      <c r="C790" s="401"/>
      <c r="D790" s="401"/>
      <c r="E790" s="399"/>
      <c r="F790" s="399"/>
      <c r="G790" s="399"/>
      <c r="H790" s="400"/>
      <c r="I790" s="401"/>
      <c r="J790" s="401"/>
      <c r="K790" s="401"/>
      <c r="L790" s="401"/>
      <c r="M790" s="401"/>
      <c r="N790" s="401"/>
      <c r="O790" s="401"/>
      <c r="P790" s="401"/>
      <c r="Q790" s="401"/>
      <c r="R790" s="401"/>
      <c r="S790" s="401"/>
      <c r="T790" s="401"/>
      <c r="U790" s="401"/>
      <c r="V790" s="401"/>
      <c r="W790" s="401"/>
      <c r="X790" s="401"/>
      <c r="Y790" s="401"/>
      <c r="Z790" s="401"/>
      <c r="AA790" s="401"/>
    </row>
    <row r="791">
      <c r="A791" s="401"/>
      <c r="B791" s="401"/>
      <c r="C791" s="401"/>
      <c r="D791" s="401"/>
      <c r="E791" s="399"/>
      <c r="F791" s="399"/>
      <c r="G791" s="399"/>
      <c r="H791" s="400"/>
      <c r="I791" s="401"/>
      <c r="J791" s="401"/>
      <c r="K791" s="401"/>
      <c r="L791" s="401"/>
      <c r="M791" s="401"/>
      <c r="N791" s="401"/>
      <c r="O791" s="401"/>
      <c r="P791" s="401"/>
      <c r="Q791" s="401"/>
      <c r="R791" s="401"/>
      <c r="S791" s="401"/>
      <c r="T791" s="401"/>
      <c r="U791" s="401"/>
      <c r="V791" s="401"/>
      <c r="W791" s="401"/>
      <c r="X791" s="401"/>
      <c r="Y791" s="401"/>
      <c r="Z791" s="401"/>
      <c r="AA791" s="401"/>
    </row>
    <row r="792">
      <c r="A792" s="401"/>
      <c r="B792" s="401"/>
      <c r="C792" s="401"/>
      <c r="D792" s="401"/>
      <c r="E792" s="399"/>
      <c r="F792" s="399"/>
      <c r="G792" s="399"/>
      <c r="H792" s="400"/>
      <c r="I792" s="401"/>
      <c r="J792" s="401"/>
      <c r="K792" s="401"/>
      <c r="L792" s="401"/>
      <c r="M792" s="401"/>
      <c r="N792" s="401"/>
      <c r="O792" s="401"/>
      <c r="P792" s="401"/>
      <c r="Q792" s="401"/>
      <c r="R792" s="401"/>
      <c r="S792" s="401"/>
      <c r="T792" s="401"/>
      <c r="U792" s="401"/>
      <c r="V792" s="401"/>
      <c r="W792" s="401"/>
      <c r="X792" s="401"/>
      <c r="Y792" s="401"/>
      <c r="Z792" s="401"/>
      <c r="AA792" s="401"/>
    </row>
    <row r="793">
      <c r="A793" s="401"/>
      <c r="B793" s="401"/>
      <c r="C793" s="401"/>
      <c r="D793" s="401"/>
      <c r="E793" s="399"/>
      <c r="F793" s="399"/>
      <c r="G793" s="399"/>
      <c r="H793" s="400"/>
      <c r="I793" s="401"/>
      <c r="J793" s="401"/>
      <c r="K793" s="401"/>
      <c r="L793" s="401"/>
      <c r="M793" s="401"/>
      <c r="N793" s="401"/>
      <c r="O793" s="401"/>
      <c r="P793" s="401"/>
      <c r="Q793" s="401"/>
      <c r="R793" s="401"/>
      <c r="S793" s="401"/>
      <c r="T793" s="401"/>
      <c r="U793" s="401"/>
      <c r="V793" s="401"/>
      <c r="W793" s="401"/>
      <c r="X793" s="401"/>
      <c r="Y793" s="401"/>
      <c r="Z793" s="401"/>
      <c r="AA793" s="401"/>
    </row>
    <row r="794">
      <c r="A794" s="401"/>
      <c r="B794" s="401"/>
      <c r="C794" s="401"/>
      <c r="D794" s="401"/>
      <c r="E794" s="399"/>
      <c r="F794" s="399"/>
      <c r="G794" s="399"/>
      <c r="H794" s="400"/>
      <c r="I794" s="401"/>
      <c r="J794" s="401"/>
      <c r="K794" s="401"/>
      <c r="L794" s="401"/>
      <c r="M794" s="401"/>
      <c r="N794" s="401"/>
      <c r="O794" s="401"/>
      <c r="P794" s="401"/>
      <c r="Q794" s="401"/>
      <c r="R794" s="401"/>
      <c r="S794" s="401"/>
      <c r="T794" s="401"/>
      <c r="U794" s="401"/>
      <c r="V794" s="401"/>
      <c r="W794" s="401"/>
      <c r="X794" s="401"/>
      <c r="Y794" s="401"/>
      <c r="Z794" s="401"/>
      <c r="AA794" s="401"/>
    </row>
    <row r="795">
      <c r="A795" s="401"/>
      <c r="B795" s="401"/>
      <c r="C795" s="401"/>
      <c r="D795" s="401"/>
      <c r="E795" s="399"/>
      <c r="F795" s="399"/>
      <c r="G795" s="399"/>
      <c r="H795" s="400"/>
      <c r="I795" s="401"/>
      <c r="J795" s="401"/>
      <c r="K795" s="401"/>
      <c r="L795" s="401"/>
      <c r="M795" s="401"/>
      <c r="N795" s="401"/>
      <c r="O795" s="401"/>
      <c r="P795" s="401"/>
      <c r="Q795" s="401"/>
      <c r="R795" s="401"/>
      <c r="S795" s="401"/>
      <c r="T795" s="401"/>
      <c r="U795" s="401"/>
      <c r="V795" s="401"/>
      <c r="W795" s="401"/>
      <c r="X795" s="401"/>
      <c r="Y795" s="401"/>
      <c r="Z795" s="401"/>
      <c r="AA795" s="401"/>
    </row>
    <row r="796">
      <c r="A796" s="401"/>
      <c r="B796" s="401"/>
      <c r="C796" s="401"/>
      <c r="D796" s="401"/>
      <c r="E796" s="399"/>
      <c r="F796" s="399"/>
      <c r="G796" s="399"/>
      <c r="H796" s="400"/>
      <c r="I796" s="401"/>
      <c r="J796" s="401"/>
      <c r="K796" s="401"/>
      <c r="L796" s="401"/>
      <c r="M796" s="401"/>
      <c r="N796" s="401"/>
      <c r="O796" s="401"/>
      <c r="P796" s="401"/>
      <c r="Q796" s="401"/>
      <c r="R796" s="401"/>
      <c r="S796" s="401"/>
      <c r="T796" s="401"/>
      <c r="U796" s="401"/>
      <c r="V796" s="401"/>
      <c r="W796" s="401"/>
      <c r="X796" s="401"/>
      <c r="Y796" s="401"/>
      <c r="Z796" s="401"/>
      <c r="AA796" s="401"/>
    </row>
    <row r="797">
      <c r="A797" s="401"/>
      <c r="B797" s="401"/>
      <c r="C797" s="401"/>
      <c r="D797" s="401"/>
      <c r="E797" s="399"/>
      <c r="F797" s="399"/>
      <c r="G797" s="399"/>
      <c r="H797" s="400"/>
      <c r="I797" s="401"/>
      <c r="J797" s="401"/>
      <c r="K797" s="401"/>
      <c r="L797" s="401"/>
      <c r="M797" s="401"/>
      <c r="N797" s="401"/>
      <c r="O797" s="401"/>
      <c r="P797" s="401"/>
      <c r="Q797" s="401"/>
      <c r="R797" s="401"/>
      <c r="S797" s="401"/>
      <c r="T797" s="401"/>
      <c r="U797" s="401"/>
      <c r="V797" s="401"/>
      <c r="W797" s="401"/>
      <c r="X797" s="401"/>
      <c r="Y797" s="401"/>
      <c r="Z797" s="401"/>
      <c r="AA797" s="401"/>
    </row>
    <row r="798">
      <c r="A798" s="401"/>
      <c r="B798" s="401"/>
      <c r="C798" s="401"/>
      <c r="D798" s="401"/>
      <c r="E798" s="399"/>
      <c r="F798" s="399"/>
      <c r="G798" s="399"/>
      <c r="H798" s="400"/>
      <c r="I798" s="401"/>
      <c r="J798" s="401"/>
      <c r="K798" s="401"/>
      <c r="L798" s="401"/>
      <c r="M798" s="401"/>
      <c r="N798" s="401"/>
      <c r="O798" s="401"/>
      <c r="P798" s="401"/>
      <c r="Q798" s="401"/>
      <c r="R798" s="401"/>
      <c r="S798" s="401"/>
      <c r="T798" s="401"/>
      <c r="U798" s="401"/>
      <c r="V798" s="401"/>
      <c r="W798" s="401"/>
      <c r="X798" s="401"/>
      <c r="Y798" s="401"/>
      <c r="Z798" s="401"/>
      <c r="AA798" s="401"/>
    </row>
    <row r="799">
      <c r="A799" s="401"/>
      <c r="B799" s="401"/>
      <c r="C799" s="401"/>
      <c r="D799" s="401"/>
      <c r="E799" s="399"/>
      <c r="F799" s="399"/>
      <c r="G799" s="399"/>
      <c r="H799" s="400"/>
      <c r="I799" s="401"/>
      <c r="J799" s="401"/>
      <c r="K799" s="401"/>
      <c r="L799" s="401"/>
      <c r="M799" s="401"/>
      <c r="N799" s="401"/>
      <c r="O799" s="401"/>
      <c r="P799" s="401"/>
      <c r="Q799" s="401"/>
      <c r="R799" s="401"/>
      <c r="S799" s="401"/>
      <c r="T799" s="401"/>
      <c r="U799" s="401"/>
      <c r="V799" s="401"/>
      <c r="W799" s="401"/>
      <c r="X799" s="401"/>
      <c r="Y799" s="401"/>
      <c r="Z799" s="401"/>
      <c r="AA799" s="401"/>
    </row>
    <row r="800">
      <c r="A800" s="401"/>
      <c r="B800" s="401"/>
      <c r="C800" s="401"/>
      <c r="D800" s="401"/>
      <c r="E800" s="399"/>
      <c r="F800" s="399"/>
      <c r="G800" s="399"/>
      <c r="H800" s="400"/>
      <c r="I800" s="401"/>
      <c r="J800" s="401"/>
      <c r="K800" s="401"/>
      <c r="L800" s="401"/>
      <c r="M800" s="401"/>
      <c r="N800" s="401"/>
      <c r="O800" s="401"/>
      <c r="P800" s="401"/>
      <c r="Q800" s="401"/>
      <c r="R800" s="401"/>
      <c r="S800" s="401"/>
      <c r="T800" s="401"/>
      <c r="U800" s="401"/>
      <c r="V800" s="401"/>
      <c r="W800" s="401"/>
      <c r="X800" s="401"/>
      <c r="Y800" s="401"/>
      <c r="Z800" s="401"/>
      <c r="AA800" s="401"/>
    </row>
    <row r="801">
      <c r="A801" s="401"/>
      <c r="B801" s="401"/>
      <c r="C801" s="401"/>
      <c r="D801" s="401"/>
      <c r="E801" s="399"/>
      <c r="F801" s="399"/>
      <c r="G801" s="399"/>
      <c r="H801" s="400"/>
      <c r="I801" s="401"/>
      <c r="J801" s="401"/>
      <c r="K801" s="401"/>
      <c r="L801" s="401"/>
      <c r="M801" s="401"/>
      <c r="N801" s="401"/>
      <c r="O801" s="401"/>
      <c r="P801" s="401"/>
      <c r="Q801" s="401"/>
      <c r="R801" s="401"/>
      <c r="S801" s="401"/>
      <c r="T801" s="401"/>
      <c r="U801" s="401"/>
      <c r="V801" s="401"/>
      <c r="W801" s="401"/>
      <c r="X801" s="401"/>
      <c r="Y801" s="401"/>
      <c r="Z801" s="401"/>
      <c r="AA801" s="401"/>
    </row>
    <row r="802">
      <c r="A802" s="401"/>
      <c r="B802" s="401"/>
      <c r="C802" s="401"/>
      <c r="D802" s="401"/>
      <c r="E802" s="399"/>
      <c r="F802" s="399"/>
      <c r="G802" s="399"/>
      <c r="H802" s="400"/>
      <c r="I802" s="401"/>
      <c r="J802" s="401"/>
      <c r="K802" s="401"/>
      <c r="L802" s="401"/>
      <c r="M802" s="401"/>
      <c r="N802" s="401"/>
      <c r="O802" s="401"/>
      <c r="P802" s="401"/>
      <c r="Q802" s="401"/>
      <c r="R802" s="401"/>
      <c r="S802" s="401"/>
      <c r="T802" s="401"/>
      <c r="U802" s="401"/>
      <c r="V802" s="401"/>
      <c r="W802" s="401"/>
      <c r="X802" s="401"/>
      <c r="Y802" s="401"/>
      <c r="Z802" s="401"/>
      <c r="AA802" s="401"/>
    </row>
    <row r="803">
      <c r="A803" s="401"/>
      <c r="B803" s="401"/>
      <c r="C803" s="401"/>
      <c r="D803" s="401"/>
      <c r="E803" s="399"/>
      <c r="F803" s="399"/>
      <c r="G803" s="399"/>
      <c r="H803" s="400"/>
      <c r="I803" s="401"/>
      <c r="J803" s="401"/>
      <c r="K803" s="401"/>
      <c r="L803" s="401"/>
      <c r="M803" s="401"/>
      <c r="N803" s="401"/>
      <c r="O803" s="401"/>
      <c r="P803" s="401"/>
      <c r="Q803" s="401"/>
      <c r="R803" s="401"/>
      <c r="S803" s="401"/>
      <c r="T803" s="401"/>
      <c r="U803" s="401"/>
      <c r="V803" s="401"/>
      <c r="W803" s="401"/>
      <c r="X803" s="401"/>
      <c r="Y803" s="401"/>
      <c r="Z803" s="401"/>
      <c r="AA803" s="401"/>
    </row>
    <row r="804">
      <c r="A804" s="401"/>
      <c r="B804" s="401"/>
      <c r="C804" s="401"/>
      <c r="D804" s="401"/>
      <c r="E804" s="399"/>
      <c r="F804" s="399"/>
      <c r="G804" s="399"/>
      <c r="H804" s="400"/>
      <c r="I804" s="401"/>
      <c r="J804" s="401"/>
      <c r="K804" s="401"/>
      <c r="L804" s="401"/>
      <c r="M804" s="401"/>
      <c r="N804" s="401"/>
      <c r="O804" s="401"/>
      <c r="P804" s="401"/>
      <c r="Q804" s="401"/>
      <c r="R804" s="401"/>
      <c r="S804" s="401"/>
      <c r="T804" s="401"/>
      <c r="U804" s="401"/>
      <c r="V804" s="401"/>
      <c r="W804" s="401"/>
      <c r="X804" s="401"/>
      <c r="Y804" s="401"/>
      <c r="Z804" s="401"/>
      <c r="AA804" s="401"/>
    </row>
    <row r="805">
      <c r="A805" s="401"/>
      <c r="B805" s="401"/>
      <c r="C805" s="401"/>
      <c r="D805" s="401"/>
      <c r="E805" s="399"/>
      <c r="F805" s="399"/>
      <c r="G805" s="399"/>
      <c r="H805" s="400"/>
      <c r="I805" s="401"/>
      <c r="J805" s="401"/>
      <c r="K805" s="401"/>
      <c r="L805" s="401"/>
      <c r="M805" s="401"/>
      <c r="N805" s="401"/>
      <c r="O805" s="401"/>
      <c r="P805" s="401"/>
      <c r="Q805" s="401"/>
      <c r="R805" s="401"/>
      <c r="S805" s="401"/>
      <c r="T805" s="401"/>
      <c r="U805" s="401"/>
      <c r="V805" s="401"/>
      <c r="W805" s="401"/>
      <c r="X805" s="401"/>
      <c r="Y805" s="401"/>
      <c r="Z805" s="401"/>
      <c r="AA805" s="401"/>
    </row>
    <row r="806">
      <c r="A806" s="401"/>
      <c r="B806" s="401"/>
      <c r="C806" s="401"/>
      <c r="D806" s="401"/>
      <c r="E806" s="399"/>
      <c r="F806" s="399"/>
      <c r="G806" s="399"/>
      <c r="H806" s="400"/>
      <c r="I806" s="401"/>
      <c r="J806" s="401"/>
      <c r="K806" s="401"/>
      <c r="L806" s="401"/>
      <c r="M806" s="401"/>
      <c r="N806" s="401"/>
      <c r="O806" s="401"/>
      <c r="P806" s="401"/>
      <c r="Q806" s="401"/>
      <c r="R806" s="401"/>
      <c r="S806" s="401"/>
      <c r="T806" s="401"/>
      <c r="U806" s="401"/>
      <c r="V806" s="401"/>
      <c r="W806" s="401"/>
      <c r="X806" s="401"/>
      <c r="Y806" s="401"/>
      <c r="Z806" s="401"/>
      <c r="AA806" s="401"/>
    </row>
    <row r="807">
      <c r="A807" s="401"/>
      <c r="B807" s="401"/>
      <c r="C807" s="401"/>
      <c r="D807" s="401"/>
      <c r="E807" s="399"/>
      <c r="F807" s="399"/>
      <c r="G807" s="399"/>
      <c r="H807" s="400"/>
      <c r="I807" s="401"/>
      <c r="J807" s="401"/>
      <c r="K807" s="401"/>
      <c r="L807" s="401"/>
      <c r="M807" s="401"/>
      <c r="N807" s="401"/>
      <c r="O807" s="401"/>
      <c r="P807" s="401"/>
      <c r="Q807" s="401"/>
      <c r="R807" s="401"/>
      <c r="S807" s="401"/>
      <c r="T807" s="401"/>
      <c r="U807" s="401"/>
      <c r="V807" s="401"/>
      <c r="W807" s="401"/>
      <c r="X807" s="401"/>
      <c r="Y807" s="401"/>
      <c r="Z807" s="401"/>
      <c r="AA807" s="401"/>
    </row>
    <row r="808">
      <c r="A808" s="401"/>
      <c r="B808" s="401"/>
      <c r="C808" s="401"/>
      <c r="D808" s="401"/>
      <c r="E808" s="399"/>
      <c r="F808" s="399"/>
      <c r="G808" s="399"/>
      <c r="H808" s="400"/>
      <c r="I808" s="401"/>
      <c r="J808" s="401"/>
      <c r="K808" s="401"/>
      <c r="L808" s="401"/>
      <c r="M808" s="401"/>
      <c r="N808" s="401"/>
      <c r="O808" s="401"/>
      <c r="P808" s="401"/>
      <c r="Q808" s="401"/>
      <c r="R808" s="401"/>
      <c r="S808" s="401"/>
      <c r="T808" s="401"/>
      <c r="U808" s="401"/>
      <c r="V808" s="401"/>
      <c r="W808" s="401"/>
      <c r="X808" s="401"/>
      <c r="Y808" s="401"/>
      <c r="Z808" s="401"/>
      <c r="AA808" s="401"/>
    </row>
    <row r="809">
      <c r="A809" s="401"/>
      <c r="B809" s="401"/>
      <c r="C809" s="401"/>
      <c r="D809" s="401"/>
      <c r="E809" s="399"/>
      <c r="F809" s="399"/>
      <c r="G809" s="399"/>
      <c r="H809" s="400"/>
      <c r="I809" s="401"/>
      <c r="J809" s="401"/>
      <c r="K809" s="401"/>
      <c r="L809" s="401"/>
      <c r="M809" s="401"/>
      <c r="N809" s="401"/>
      <c r="O809" s="401"/>
      <c r="P809" s="401"/>
      <c r="Q809" s="401"/>
      <c r="R809" s="401"/>
      <c r="S809" s="401"/>
      <c r="T809" s="401"/>
      <c r="U809" s="401"/>
      <c r="V809" s="401"/>
      <c r="W809" s="401"/>
      <c r="X809" s="401"/>
      <c r="Y809" s="401"/>
      <c r="Z809" s="401"/>
      <c r="AA809" s="401"/>
    </row>
    <row r="810">
      <c r="A810" s="401"/>
      <c r="B810" s="401"/>
      <c r="C810" s="401"/>
      <c r="D810" s="401"/>
      <c r="E810" s="399"/>
      <c r="F810" s="399"/>
      <c r="G810" s="399"/>
      <c r="H810" s="400"/>
      <c r="I810" s="401"/>
      <c r="J810" s="401"/>
      <c r="K810" s="401"/>
      <c r="L810" s="401"/>
      <c r="M810" s="401"/>
      <c r="N810" s="401"/>
      <c r="O810" s="401"/>
      <c r="P810" s="401"/>
      <c r="Q810" s="401"/>
      <c r="R810" s="401"/>
      <c r="S810" s="401"/>
      <c r="T810" s="401"/>
      <c r="U810" s="401"/>
      <c r="V810" s="401"/>
      <c r="W810" s="401"/>
      <c r="X810" s="401"/>
      <c r="Y810" s="401"/>
      <c r="Z810" s="401"/>
      <c r="AA810" s="401"/>
    </row>
    <row r="811">
      <c r="A811" s="401"/>
      <c r="B811" s="401"/>
      <c r="C811" s="401"/>
      <c r="D811" s="401"/>
      <c r="E811" s="399"/>
      <c r="F811" s="399"/>
      <c r="G811" s="399"/>
      <c r="H811" s="400"/>
      <c r="I811" s="401"/>
      <c r="J811" s="401"/>
      <c r="K811" s="401"/>
      <c r="L811" s="401"/>
      <c r="M811" s="401"/>
      <c r="N811" s="401"/>
      <c r="O811" s="401"/>
      <c r="P811" s="401"/>
      <c r="Q811" s="401"/>
      <c r="R811" s="401"/>
      <c r="S811" s="401"/>
      <c r="T811" s="401"/>
      <c r="U811" s="401"/>
      <c r="V811" s="401"/>
      <c r="W811" s="401"/>
      <c r="X811" s="401"/>
      <c r="Y811" s="401"/>
      <c r="Z811" s="401"/>
      <c r="AA811" s="401"/>
    </row>
    <row r="812">
      <c r="A812" s="401"/>
      <c r="B812" s="401"/>
      <c r="C812" s="401"/>
      <c r="D812" s="401"/>
      <c r="E812" s="399"/>
      <c r="F812" s="399"/>
      <c r="G812" s="399"/>
      <c r="H812" s="400"/>
      <c r="I812" s="401"/>
      <c r="J812" s="401"/>
      <c r="K812" s="401"/>
      <c r="L812" s="401"/>
      <c r="M812" s="401"/>
      <c r="N812" s="401"/>
      <c r="O812" s="401"/>
      <c r="P812" s="401"/>
      <c r="Q812" s="401"/>
      <c r="R812" s="401"/>
      <c r="S812" s="401"/>
      <c r="T812" s="401"/>
      <c r="U812" s="401"/>
      <c r="V812" s="401"/>
      <c r="W812" s="401"/>
      <c r="X812" s="401"/>
      <c r="Y812" s="401"/>
      <c r="Z812" s="401"/>
      <c r="AA812" s="401"/>
    </row>
    <row r="813">
      <c r="A813" s="401"/>
      <c r="B813" s="401"/>
      <c r="C813" s="401"/>
      <c r="D813" s="401"/>
      <c r="E813" s="399"/>
      <c r="F813" s="399"/>
      <c r="G813" s="399"/>
      <c r="H813" s="400"/>
      <c r="I813" s="401"/>
      <c r="J813" s="401"/>
      <c r="K813" s="401"/>
      <c r="L813" s="401"/>
      <c r="M813" s="401"/>
      <c r="N813" s="401"/>
      <c r="O813" s="401"/>
      <c r="P813" s="401"/>
      <c r="Q813" s="401"/>
      <c r="R813" s="401"/>
      <c r="S813" s="401"/>
      <c r="T813" s="401"/>
      <c r="U813" s="401"/>
      <c r="V813" s="401"/>
      <c r="W813" s="401"/>
      <c r="X813" s="401"/>
      <c r="Y813" s="401"/>
      <c r="Z813" s="401"/>
      <c r="AA813" s="401"/>
    </row>
    <row r="814">
      <c r="A814" s="401"/>
      <c r="B814" s="401"/>
      <c r="C814" s="401"/>
      <c r="D814" s="401"/>
      <c r="E814" s="399"/>
      <c r="F814" s="399"/>
      <c r="G814" s="399"/>
      <c r="H814" s="400"/>
      <c r="I814" s="401"/>
      <c r="J814" s="401"/>
      <c r="K814" s="401"/>
      <c r="L814" s="401"/>
      <c r="M814" s="401"/>
      <c r="N814" s="401"/>
      <c r="O814" s="401"/>
      <c r="P814" s="401"/>
      <c r="Q814" s="401"/>
      <c r="R814" s="401"/>
      <c r="S814" s="401"/>
      <c r="T814" s="401"/>
      <c r="U814" s="401"/>
      <c r="V814" s="401"/>
      <c r="W814" s="401"/>
      <c r="X814" s="401"/>
      <c r="Y814" s="401"/>
      <c r="Z814" s="401"/>
      <c r="AA814" s="401"/>
    </row>
    <row r="815">
      <c r="A815" s="401"/>
      <c r="B815" s="401"/>
      <c r="C815" s="401"/>
      <c r="D815" s="401"/>
      <c r="E815" s="399"/>
      <c r="F815" s="399"/>
      <c r="G815" s="399"/>
      <c r="H815" s="400"/>
      <c r="I815" s="401"/>
      <c r="J815" s="401"/>
      <c r="K815" s="401"/>
      <c r="L815" s="401"/>
      <c r="M815" s="401"/>
      <c r="N815" s="401"/>
      <c r="O815" s="401"/>
      <c r="P815" s="401"/>
      <c r="Q815" s="401"/>
      <c r="R815" s="401"/>
      <c r="S815" s="401"/>
      <c r="T815" s="401"/>
      <c r="U815" s="401"/>
      <c r="V815" s="401"/>
      <c r="W815" s="401"/>
      <c r="X815" s="401"/>
      <c r="Y815" s="401"/>
      <c r="Z815" s="401"/>
      <c r="AA815" s="401"/>
    </row>
    <row r="816">
      <c r="A816" s="401"/>
      <c r="B816" s="401"/>
      <c r="C816" s="401"/>
      <c r="D816" s="401"/>
      <c r="E816" s="399"/>
      <c r="F816" s="399"/>
      <c r="G816" s="399"/>
      <c r="H816" s="400"/>
      <c r="I816" s="401"/>
      <c r="J816" s="401"/>
      <c r="K816" s="401"/>
      <c r="L816" s="401"/>
      <c r="M816" s="401"/>
      <c r="N816" s="401"/>
      <c r="O816" s="401"/>
      <c r="P816" s="401"/>
      <c r="Q816" s="401"/>
      <c r="R816" s="401"/>
      <c r="S816" s="401"/>
      <c r="T816" s="401"/>
      <c r="U816" s="401"/>
      <c r="V816" s="401"/>
      <c r="W816" s="401"/>
      <c r="X816" s="401"/>
      <c r="Y816" s="401"/>
      <c r="Z816" s="401"/>
      <c r="AA816" s="401"/>
    </row>
    <row r="817">
      <c r="A817" s="401"/>
      <c r="B817" s="401"/>
      <c r="C817" s="401"/>
      <c r="D817" s="401"/>
      <c r="E817" s="399"/>
      <c r="F817" s="399"/>
      <c r="G817" s="399"/>
      <c r="H817" s="400"/>
      <c r="I817" s="401"/>
      <c r="J817" s="401"/>
      <c r="K817" s="401"/>
      <c r="L817" s="401"/>
      <c r="M817" s="401"/>
      <c r="N817" s="401"/>
      <c r="O817" s="401"/>
      <c r="P817" s="401"/>
      <c r="Q817" s="401"/>
      <c r="R817" s="401"/>
      <c r="S817" s="401"/>
      <c r="T817" s="401"/>
      <c r="U817" s="401"/>
      <c r="V817" s="401"/>
      <c r="W817" s="401"/>
      <c r="X817" s="401"/>
      <c r="Y817" s="401"/>
      <c r="Z817" s="401"/>
      <c r="AA817" s="401"/>
    </row>
    <row r="818">
      <c r="A818" s="401"/>
      <c r="B818" s="401"/>
      <c r="C818" s="401"/>
      <c r="D818" s="401"/>
      <c r="E818" s="399"/>
      <c r="F818" s="399"/>
      <c r="G818" s="399"/>
      <c r="H818" s="400"/>
      <c r="I818" s="401"/>
      <c r="J818" s="401"/>
      <c r="K818" s="401"/>
      <c r="L818" s="401"/>
      <c r="M818" s="401"/>
      <c r="N818" s="401"/>
      <c r="O818" s="401"/>
      <c r="P818" s="401"/>
      <c r="Q818" s="401"/>
      <c r="R818" s="401"/>
      <c r="S818" s="401"/>
      <c r="T818" s="401"/>
      <c r="U818" s="401"/>
      <c r="V818" s="401"/>
      <c r="W818" s="401"/>
      <c r="X818" s="401"/>
      <c r="Y818" s="401"/>
      <c r="Z818" s="401"/>
      <c r="AA818" s="401"/>
    </row>
    <row r="819">
      <c r="A819" s="401"/>
      <c r="B819" s="401"/>
      <c r="C819" s="401"/>
      <c r="D819" s="401"/>
      <c r="E819" s="399"/>
      <c r="F819" s="399"/>
      <c r="G819" s="399"/>
      <c r="H819" s="400"/>
      <c r="I819" s="401"/>
      <c r="J819" s="401"/>
      <c r="K819" s="401"/>
      <c r="L819" s="401"/>
      <c r="M819" s="401"/>
      <c r="N819" s="401"/>
      <c r="O819" s="401"/>
      <c r="P819" s="401"/>
      <c r="Q819" s="401"/>
      <c r="R819" s="401"/>
      <c r="S819" s="401"/>
      <c r="T819" s="401"/>
      <c r="U819" s="401"/>
      <c r="V819" s="401"/>
      <c r="W819" s="401"/>
      <c r="X819" s="401"/>
      <c r="Y819" s="401"/>
      <c r="Z819" s="401"/>
      <c r="AA819" s="401"/>
    </row>
    <row r="820">
      <c r="A820" s="401"/>
      <c r="B820" s="401"/>
      <c r="C820" s="401"/>
      <c r="D820" s="401"/>
      <c r="E820" s="399"/>
      <c r="F820" s="399"/>
      <c r="G820" s="399"/>
      <c r="H820" s="400"/>
      <c r="I820" s="401"/>
      <c r="J820" s="401"/>
      <c r="K820" s="401"/>
      <c r="L820" s="401"/>
      <c r="M820" s="401"/>
      <c r="N820" s="401"/>
      <c r="O820" s="401"/>
      <c r="P820" s="401"/>
      <c r="Q820" s="401"/>
      <c r="R820" s="401"/>
      <c r="S820" s="401"/>
      <c r="T820" s="401"/>
      <c r="U820" s="401"/>
      <c r="V820" s="401"/>
      <c r="W820" s="401"/>
      <c r="X820" s="401"/>
      <c r="Y820" s="401"/>
      <c r="Z820" s="401"/>
      <c r="AA820" s="401"/>
    </row>
    <row r="821">
      <c r="A821" s="401"/>
      <c r="B821" s="401"/>
      <c r="C821" s="401"/>
      <c r="D821" s="401"/>
      <c r="E821" s="399"/>
      <c r="F821" s="399"/>
      <c r="G821" s="399"/>
      <c r="H821" s="400"/>
      <c r="I821" s="401"/>
      <c r="J821" s="401"/>
      <c r="K821" s="401"/>
      <c r="L821" s="401"/>
      <c r="M821" s="401"/>
      <c r="N821" s="401"/>
      <c r="O821" s="401"/>
      <c r="P821" s="401"/>
      <c r="Q821" s="401"/>
      <c r="R821" s="401"/>
      <c r="S821" s="401"/>
      <c r="T821" s="401"/>
      <c r="U821" s="401"/>
      <c r="V821" s="401"/>
      <c r="W821" s="401"/>
      <c r="X821" s="401"/>
      <c r="Y821" s="401"/>
      <c r="Z821" s="401"/>
      <c r="AA821" s="401"/>
    </row>
    <row r="822">
      <c r="A822" s="401"/>
      <c r="B822" s="401"/>
      <c r="C822" s="401"/>
      <c r="D822" s="401"/>
      <c r="E822" s="399"/>
      <c r="F822" s="399"/>
      <c r="G822" s="399"/>
      <c r="H822" s="400"/>
      <c r="I822" s="401"/>
      <c r="J822" s="401"/>
      <c r="K822" s="401"/>
      <c r="L822" s="401"/>
      <c r="M822" s="401"/>
      <c r="N822" s="401"/>
      <c r="O822" s="401"/>
      <c r="P822" s="401"/>
      <c r="Q822" s="401"/>
      <c r="R822" s="401"/>
      <c r="S822" s="401"/>
      <c r="T822" s="401"/>
      <c r="U822" s="401"/>
      <c r="V822" s="401"/>
      <c r="W822" s="401"/>
      <c r="X822" s="401"/>
      <c r="Y822" s="401"/>
      <c r="Z822" s="401"/>
      <c r="AA822" s="401"/>
    </row>
    <row r="823">
      <c r="A823" s="401"/>
      <c r="B823" s="401"/>
      <c r="C823" s="401"/>
      <c r="D823" s="401"/>
      <c r="E823" s="399"/>
      <c r="F823" s="399"/>
      <c r="G823" s="399"/>
      <c r="H823" s="400"/>
      <c r="I823" s="401"/>
      <c r="J823" s="401"/>
      <c r="K823" s="401"/>
      <c r="L823" s="401"/>
      <c r="M823" s="401"/>
      <c r="N823" s="401"/>
      <c r="O823" s="401"/>
      <c r="P823" s="401"/>
      <c r="Q823" s="401"/>
      <c r="R823" s="401"/>
      <c r="S823" s="401"/>
      <c r="T823" s="401"/>
      <c r="U823" s="401"/>
      <c r="V823" s="401"/>
      <c r="W823" s="401"/>
      <c r="X823" s="401"/>
      <c r="Y823" s="401"/>
      <c r="Z823" s="401"/>
      <c r="AA823" s="401"/>
    </row>
    <row r="824">
      <c r="A824" s="401"/>
      <c r="B824" s="401"/>
      <c r="C824" s="401"/>
      <c r="D824" s="401"/>
      <c r="E824" s="399"/>
      <c r="F824" s="399"/>
      <c r="G824" s="399"/>
      <c r="H824" s="400"/>
      <c r="I824" s="401"/>
      <c r="J824" s="401"/>
      <c r="K824" s="401"/>
      <c r="L824" s="401"/>
      <c r="M824" s="401"/>
      <c r="N824" s="401"/>
      <c r="O824" s="401"/>
      <c r="P824" s="401"/>
      <c r="Q824" s="401"/>
      <c r="R824" s="401"/>
      <c r="S824" s="401"/>
      <c r="T824" s="401"/>
      <c r="U824" s="401"/>
      <c r="V824" s="401"/>
      <c r="W824" s="401"/>
      <c r="X824" s="401"/>
      <c r="Y824" s="401"/>
      <c r="Z824" s="401"/>
      <c r="AA824" s="401"/>
    </row>
    <row r="825">
      <c r="A825" s="401"/>
      <c r="B825" s="401"/>
      <c r="C825" s="401"/>
      <c r="D825" s="401"/>
      <c r="E825" s="399"/>
      <c r="F825" s="399"/>
      <c r="G825" s="399"/>
      <c r="H825" s="400"/>
      <c r="I825" s="401"/>
      <c r="J825" s="401"/>
      <c r="K825" s="401"/>
      <c r="L825" s="401"/>
      <c r="M825" s="401"/>
      <c r="N825" s="401"/>
      <c r="O825" s="401"/>
      <c r="P825" s="401"/>
      <c r="Q825" s="401"/>
      <c r="R825" s="401"/>
      <c r="S825" s="401"/>
      <c r="T825" s="401"/>
      <c r="U825" s="401"/>
      <c r="V825" s="401"/>
      <c r="W825" s="401"/>
      <c r="X825" s="401"/>
      <c r="Y825" s="401"/>
      <c r="Z825" s="401"/>
      <c r="AA825" s="401"/>
    </row>
    <row r="826">
      <c r="A826" s="401"/>
      <c r="B826" s="401"/>
      <c r="C826" s="401"/>
      <c r="D826" s="401"/>
      <c r="E826" s="399"/>
      <c r="F826" s="399"/>
      <c r="G826" s="399"/>
      <c r="H826" s="400"/>
      <c r="I826" s="401"/>
      <c r="J826" s="401"/>
      <c r="K826" s="401"/>
      <c r="L826" s="401"/>
      <c r="M826" s="401"/>
      <c r="N826" s="401"/>
      <c r="O826" s="401"/>
      <c r="P826" s="401"/>
      <c r="Q826" s="401"/>
      <c r="R826" s="401"/>
      <c r="S826" s="401"/>
      <c r="T826" s="401"/>
      <c r="U826" s="401"/>
      <c r="V826" s="401"/>
      <c r="W826" s="401"/>
      <c r="X826" s="401"/>
      <c r="Y826" s="401"/>
      <c r="Z826" s="401"/>
      <c r="AA826" s="401"/>
    </row>
    <row r="827">
      <c r="A827" s="401"/>
      <c r="B827" s="401"/>
      <c r="C827" s="401"/>
      <c r="D827" s="401"/>
      <c r="E827" s="399"/>
      <c r="F827" s="399"/>
      <c r="G827" s="399"/>
      <c r="H827" s="400"/>
      <c r="I827" s="401"/>
      <c r="J827" s="401"/>
      <c r="K827" s="401"/>
      <c r="L827" s="401"/>
      <c r="M827" s="401"/>
      <c r="N827" s="401"/>
      <c r="O827" s="401"/>
      <c r="P827" s="401"/>
      <c r="Q827" s="401"/>
      <c r="R827" s="401"/>
      <c r="S827" s="401"/>
      <c r="T827" s="401"/>
      <c r="U827" s="401"/>
      <c r="V827" s="401"/>
      <c r="W827" s="401"/>
      <c r="X827" s="401"/>
      <c r="Y827" s="401"/>
      <c r="Z827" s="401"/>
      <c r="AA827" s="401"/>
    </row>
    <row r="828">
      <c r="A828" s="401"/>
      <c r="B828" s="401"/>
      <c r="C828" s="401"/>
      <c r="D828" s="401"/>
      <c r="E828" s="399"/>
      <c r="F828" s="399"/>
      <c r="G828" s="399"/>
      <c r="H828" s="400"/>
      <c r="I828" s="401"/>
      <c r="J828" s="401"/>
      <c r="K828" s="401"/>
      <c r="L828" s="401"/>
      <c r="M828" s="401"/>
      <c r="N828" s="401"/>
      <c r="O828" s="401"/>
      <c r="P828" s="401"/>
      <c r="Q828" s="401"/>
      <c r="R828" s="401"/>
      <c r="S828" s="401"/>
      <c r="T828" s="401"/>
      <c r="U828" s="401"/>
      <c r="V828" s="401"/>
      <c r="W828" s="401"/>
      <c r="X828" s="401"/>
      <c r="Y828" s="401"/>
      <c r="Z828" s="401"/>
      <c r="AA828" s="401"/>
    </row>
    <row r="829">
      <c r="A829" s="401"/>
      <c r="B829" s="401"/>
      <c r="C829" s="401"/>
      <c r="D829" s="401"/>
      <c r="E829" s="399"/>
      <c r="F829" s="399"/>
      <c r="G829" s="399"/>
      <c r="H829" s="400"/>
      <c r="I829" s="401"/>
      <c r="J829" s="401"/>
      <c r="K829" s="401"/>
      <c r="L829" s="401"/>
      <c r="M829" s="401"/>
      <c r="N829" s="401"/>
      <c r="O829" s="401"/>
      <c r="P829" s="401"/>
      <c r="Q829" s="401"/>
      <c r="R829" s="401"/>
      <c r="S829" s="401"/>
      <c r="T829" s="401"/>
      <c r="U829" s="401"/>
      <c r="V829" s="401"/>
      <c r="W829" s="401"/>
      <c r="X829" s="401"/>
      <c r="Y829" s="401"/>
      <c r="Z829" s="401"/>
      <c r="AA829" s="401"/>
    </row>
    <row r="830">
      <c r="A830" s="401"/>
      <c r="B830" s="401"/>
      <c r="C830" s="401"/>
      <c r="D830" s="401"/>
      <c r="E830" s="399"/>
      <c r="F830" s="399"/>
      <c r="G830" s="399"/>
      <c r="H830" s="400"/>
      <c r="I830" s="401"/>
      <c r="J830" s="401"/>
      <c r="K830" s="401"/>
      <c r="L830" s="401"/>
      <c r="M830" s="401"/>
      <c r="N830" s="401"/>
      <c r="O830" s="401"/>
      <c r="P830" s="401"/>
      <c r="Q830" s="401"/>
      <c r="R830" s="401"/>
      <c r="S830" s="401"/>
      <c r="T830" s="401"/>
      <c r="U830" s="401"/>
      <c r="V830" s="401"/>
      <c r="W830" s="401"/>
      <c r="X830" s="401"/>
      <c r="Y830" s="401"/>
      <c r="Z830" s="401"/>
      <c r="AA830" s="401"/>
    </row>
    <row r="831">
      <c r="A831" s="401"/>
      <c r="B831" s="401"/>
      <c r="C831" s="401"/>
      <c r="D831" s="401"/>
      <c r="E831" s="399"/>
      <c r="F831" s="399"/>
      <c r="G831" s="399"/>
      <c r="H831" s="400"/>
      <c r="I831" s="401"/>
      <c r="J831" s="401"/>
      <c r="K831" s="401"/>
      <c r="L831" s="401"/>
      <c r="M831" s="401"/>
      <c r="N831" s="401"/>
      <c r="O831" s="401"/>
      <c r="P831" s="401"/>
      <c r="Q831" s="401"/>
      <c r="R831" s="401"/>
      <c r="S831" s="401"/>
      <c r="T831" s="401"/>
      <c r="U831" s="401"/>
      <c r="V831" s="401"/>
      <c r="W831" s="401"/>
      <c r="X831" s="401"/>
      <c r="Y831" s="401"/>
      <c r="Z831" s="401"/>
      <c r="AA831" s="401"/>
    </row>
    <row r="832">
      <c r="A832" s="401"/>
      <c r="B832" s="401"/>
      <c r="C832" s="401"/>
      <c r="D832" s="401"/>
      <c r="E832" s="399"/>
      <c r="F832" s="399"/>
      <c r="G832" s="399"/>
      <c r="H832" s="400"/>
      <c r="I832" s="401"/>
      <c r="J832" s="401"/>
      <c r="K832" s="401"/>
      <c r="L832" s="401"/>
      <c r="M832" s="401"/>
      <c r="N832" s="401"/>
      <c r="O832" s="401"/>
      <c r="P832" s="401"/>
      <c r="Q832" s="401"/>
      <c r="R832" s="401"/>
      <c r="S832" s="401"/>
      <c r="T832" s="401"/>
      <c r="U832" s="401"/>
      <c r="V832" s="401"/>
      <c r="W832" s="401"/>
      <c r="X832" s="401"/>
      <c r="Y832" s="401"/>
      <c r="Z832" s="401"/>
      <c r="AA832" s="401"/>
    </row>
    <row r="833">
      <c r="A833" s="401"/>
      <c r="B833" s="401"/>
      <c r="C833" s="401"/>
      <c r="D833" s="401"/>
      <c r="E833" s="399"/>
      <c r="F833" s="399"/>
      <c r="G833" s="399"/>
      <c r="H833" s="400"/>
      <c r="I833" s="401"/>
      <c r="J833" s="401"/>
      <c r="K833" s="401"/>
      <c r="L833" s="401"/>
      <c r="M833" s="401"/>
      <c r="N833" s="401"/>
      <c r="O833" s="401"/>
      <c r="P833" s="401"/>
      <c r="Q833" s="401"/>
      <c r="R833" s="401"/>
      <c r="S833" s="401"/>
      <c r="T833" s="401"/>
      <c r="U833" s="401"/>
      <c r="V833" s="401"/>
      <c r="W833" s="401"/>
      <c r="X833" s="401"/>
      <c r="Y833" s="401"/>
      <c r="Z833" s="401"/>
      <c r="AA833" s="401"/>
    </row>
    <row r="834">
      <c r="A834" s="401"/>
      <c r="B834" s="401"/>
      <c r="C834" s="401"/>
      <c r="D834" s="401"/>
      <c r="E834" s="399"/>
      <c r="F834" s="399"/>
      <c r="G834" s="399"/>
      <c r="H834" s="400"/>
      <c r="I834" s="401"/>
      <c r="J834" s="401"/>
      <c r="K834" s="401"/>
      <c r="L834" s="401"/>
      <c r="M834" s="401"/>
      <c r="N834" s="401"/>
      <c r="O834" s="401"/>
      <c r="P834" s="401"/>
      <c r="Q834" s="401"/>
      <c r="R834" s="401"/>
      <c r="S834" s="401"/>
      <c r="T834" s="401"/>
      <c r="U834" s="401"/>
      <c r="V834" s="401"/>
      <c r="W834" s="401"/>
      <c r="X834" s="401"/>
      <c r="Y834" s="401"/>
      <c r="Z834" s="401"/>
      <c r="AA834" s="401"/>
    </row>
    <row r="835">
      <c r="A835" s="401"/>
      <c r="B835" s="401"/>
      <c r="C835" s="401"/>
      <c r="D835" s="401"/>
      <c r="E835" s="399"/>
      <c r="F835" s="399"/>
      <c r="G835" s="399"/>
      <c r="H835" s="400"/>
      <c r="I835" s="401"/>
      <c r="J835" s="401"/>
      <c r="K835" s="401"/>
      <c r="L835" s="401"/>
      <c r="M835" s="401"/>
      <c r="N835" s="401"/>
      <c r="O835" s="401"/>
      <c r="P835" s="401"/>
      <c r="Q835" s="401"/>
      <c r="R835" s="401"/>
      <c r="S835" s="401"/>
      <c r="T835" s="401"/>
      <c r="U835" s="401"/>
      <c r="V835" s="401"/>
      <c r="W835" s="401"/>
      <c r="X835" s="401"/>
      <c r="Y835" s="401"/>
      <c r="Z835" s="401"/>
      <c r="AA835" s="401"/>
    </row>
    <row r="836">
      <c r="A836" s="401"/>
      <c r="B836" s="401"/>
      <c r="C836" s="401"/>
      <c r="D836" s="401"/>
      <c r="E836" s="399"/>
      <c r="F836" s="399"/>
      <c r="G836" s="399"/>
      <c r="H836" s="400"/>
      <c r="I836" s="401"/>
      <c r="J836" s="401"/>
      <c r="K836" s="401"/>
      <c r="L836" s="401"/>
      <c r="M836" s="401"/>
      <c r="N836" s="401"/>
      <c r="O836" s="401"/>
      <c r="P836" s="401"/>
      <c r="Q836" s="401"/>
      <c r="R836" s="401"/>
      <c r="S836" s="401"/>
      <c r="T836" s="401"/>
      <c r="U836" s="401"/>
      <c r="V836" s="401"/>
      <c r="W836" s="401"/>
      <c r="X836" s="401"/>
      <c r="Y836" s="401"/>
      <c r="Z836" s="401"/>
      <c r="AA836" s="401"/>
    </row>
    <row r="837">
      <c r="A837" s="401"/>
      <c r="B837" s="401"/>
      <c r="C837" s="401"/>
      <c r="D837" s="401"/>
      <c r="E837" s="399"/>
      <c r="F837" s="399"/>
      <c r="G837" s="399"/>
      <c r="H837" s="400"/>
      <c r="I837" s="401"/>
      <c r="J837" s="401"/>
      <c r="K837" s="401"/>
      <c r="L837" s="401"/>
      <c r="M837" s="401"/>
      <c r="N837" s="401"/>
      <c r="O837" s="401"/>
      <c r="P837" s="401"/>
      <c r="Q837" s="401"/>
      <c r="R837" s="401"/>
      <c r="S837" s="401"/>
      <c r="T837" s="401"/>
      <c r="U837" s="401"/>
      <c r="V837" s="401"/>
      <c r="W837" s="401"/>
      <c r="X837" s="401"/>
      <c r="Y837" s="401"/>
      <c r="Z837" s="401"/>
      <c r="AA837" s="401"/>
    </row>
    <row r="838">
      <c r="A838" s="401"/>
      <c r="B838" s="401"/>
      <c r="C838" s="401"/>
      <c r="D838" s="401"/>
      <c r="E838" s="399"/>
      <c r="F838" s="399"/>
      <c r="G838" s="399"/>
      <c r="H838" s="400"/>
      <c r="I838" s="401"/>
      <c r="J838" s="401"/>
      <c r="K838" s="401"/>
      <c r="L838" s="401"/>
      <c r="M838" s="401"/>
      <c r="N838" s="401"/>
      <c r="O838" s="401"/>
      <c r="P838" s="401"/>
      <c r="Q838" s="401"/>
      <c r="R838" s="401"/>
      <c r="S838" s="401"/>
      <c r="T838" s="401"/>
      <c r="U838" s="401"/>
      <c r="V838" s="401"/>
      <c r="W838" s="401"/>
      <c r="X838" s="401"/>
      <c r="Y838" s="401"/>
      <c r="Z838" s="401"/>
      <c r="AA838" s="401"/>
    </row>
    <row r="839">
      <c r="A839" s="401"/>
      <c r="B839" s="401"/>
      <c r="C839" s="401"/>
      <c r="D839" s="401"/>
      <c r="E839" s="399"/>
      <c r="F839" s="399"/>
      <c r="G839" s="399"/>
      <c r="H839" s="400"/>
      <c r="I839" s="401"/>
      <c r="J839" s="401"/>
      <c r="K839" s="401"/>
      <c r="L839" s="401"/>
      <c r="M839" s="401"/>
      <c r="N839" s="401"/>
      <c r="O839" s="401"/>
      <c r="P839" s="401"/>
      <c r="Q839" s="401"/>
      <c r="R839" s="401"/>
      <c r="S839" s="401"/>
      <c r="T839" s="401"/>
      <c r="U839" s="401"/>
      <c r="V839" s="401"/>
      <c r="W839" s="401"/>
      <c r="X839" s="401"/>
      <c r="Y839" s="401"/>
      <c r="Z839" s="401"/>
      <c r="AA839" s="401"/>
    </row>
    <row r="840">
      <c r="A840" s="401"/>
      <c r="B840" s="401"/>
      <c r="C840" s="401"/>
      <c r="D840" s="401"/>
      <c r="E840" s="399"/>
      <c r="F840" s="399"/>
      <c r="G840" s="399"/>
      <c r="H840" s="400"/>
      <c r="I840" s="401"/>
      <c r="J840" s="401"/>
      <c r="K840" s="401"/>
      <c r="L840" s="401"/>
      <c r="M840" s="401"/>
      <c r="N840" s="401"/>
      <c r="O840" s="401"/>
      <c r="P840" s="401"/>
      <c r="Q840" s="401"/>
      <c r="R840" s="401"/>
      <c r="S840" s="401"/>
      <c r="T840" s="401"/>
      <c r="U840" s="401"/>
      <c r="V840" s="401"/>
      <c r="W840" s="401"/>
      <c r="X840" s="401"/>
      <c r="Y840" s="401"/>
      <c r="Z840" s="401"/>
      <c r="AA840" s="401"/>
    </row>
    <row r="841">
      <c r="A841" s="401"/>
      <c r="B841" s="401"/>
      <c r="C841" s="401"/>
      <c r="D841" s="401"/>
      <c r="E841" s="399"/>
      <c r="F841" s="399"/>
      <c r="G841" s="399"/>
      <c r="H841" s="400"/>
      <c r="I841" s="401"/>
      <c r="J841" s="401"/>
      <c r="K841" s="401"/>
      <c r="L841" s="401"/>
      <c r="M841" s="401"/>
      <c r="N841" s="401"/>
      <c r="O841" s="401"/>
      <c r="P841" s="401"/>
      <c r="Q841" s="401"/>
      <c r="R841" s="401"/>
      <c r="S841" s="401"/>
      <c r="T841" s="401"/>
      <c r="U841" s="401"/>
      <c r="V841" s="401"/>
      <c r="W841" s="401"/>
      <c r="X841" s="401"/>
      <c r="Y841" s="401"/>
      <c r="Z841" s="401"/>
      <c r="AA841" s="401"/>
    </row>
    <row r="842">
      <c r="A842" s="401"/>
      <c r="B842" s="401"/>
      <c r="C842" s="401"/>
      <c r="D842" s="401"/>
      <c r="E842" s="399"/>
      <c r="F842" s="399"/>
      <c r="G842" s="399"/>
      <c r="H842" s="400"/>
      <c r="I842" s="401"/>
      <c r="J842" s="401"/>
      <c r="K842" s="401"/>
      <c r="L842" s="401"/>
      <c r="M842" s="401"/>
      <c r="N842" s="401"/>
      <c r="O842" s="401"/>
      <c r="P842" s="401"/>
      <c r="Q842" s="401"/>
      <c r="R842" s="401"/>
      <c r="S842" s="401"/>
      <c r="T842" s="401"/>
      <c r="U842" s="401"/>
      <c r="V842" s="401"/>
      <c r="W842" s="401"/>
      <c r="X842" s="401"/>
      <c r="Y842" s="401"/>
      <c r="Z842" s="401"/>
      <c r="AA842" s="401"/>
    </row>
    <row r="843">
      <c r="A843" s="401"/>
      <c r="B843" s="401"/>
      <c r="C843" s="401"/>
      <c r="D843" s="401"/>
      <c r="E843" s="399"/>
      <c r="F843" s="399"/>
      <c r="G843" s="399"/>
      <c r="H843" s="400"/>
      <c r="I843" s="401"/>
      <c r="J843" s="401"/>
      <c r="K843" s="401"/>
      <c r="L843" s="401"/>
      <c r="M843" s="401"/>
      <c r="N843" s="401"/>
      <c r="O843" s="401"/>
      <c r="P843" s="401"/>
      <c r="Q843" s="401"/>
      <c r="R843" s="401"/>
      <c r="S843" s="401"/>
      <c r="T843" s="401"/>
      <c r="U843" s="401"/>
      <c r="V843" s="401"/>
      <c r="W843" s="401"/>
      <c r="X843" s="401"/>
      <c r="Y843" s="401"/>
      <c r="Z843" s="401"/>
      <c r="AA843" s="401"/>
    </row>
    <row r="844">
      <c r="A844" s="401"/>
      <c r="B844" s="401"/>
      <c r="C844" s="401"/>
      <c r="D844" s="401"/>
      <c r="E844" s="399"/>
      <c r="F844" s="399"/>
      <c r="G844" s="399"/>
      <c r="H844" s="400"/>
      <c r="I844" s="401"/>
      <c r="J844" s="401"/>
      <c r="K844" s="401"/>
      <c r="L844" s="401"/>
      <c r="M844" s="401"/>
      <c r="N844" s="401"/>
      <c r="O844" s="401"/>
      <c r="P844" s="401"/>
      <c r="Q844" s="401"/>
      <c r="R844" s="401"/>
      <c r="S844" s="401"/>
      <c r="T844" s="401"/>
      <c r="U844" s="401"/>
      <c r="V844" s="401"/>
      <c r="W844" s="401"/>
      <c r="X844" s="401"/>
      <c r="Y844" s="401"/>
      <c r="Z844" s="401"/>
      <c r="AA844" s="401"/>
    </row>
    <row r="845">
      <c r="A845" s="401"/>
      <c r="B845" s="401"/>
      <c r="C845" s="401"/>
      <c r="D845" s="401"/>
      <c r="E845" s="399"/>
      <c r="F845" s="399"/>
      <c r="G845" s="399"/>
      <c r="H845" s="400"/>
      <c r="I845" s="401"/>
      <c r="J845" s="401"/>
      <c r="K845" s="401"/>
      <c r="L845" s="401"/>
      <c r="M845" s="401"/>
      <c r="N845" s="401"/>
      <c r="O845" s="401"/>
      <c r="P845" s="401"/>
      <c r="Q845" s="401"/>
      <c r="R845" s="401"/>
      <c r="S845" s="401"/>
      <c r="T845" s="401"/>
      <c r="U845" s="401"/>
      <c r="V845" s="401"/>
      <c r="W845" s="401"/>
      <c r="X845" s="401"/>
      <c r="Y845" s="401"/>
      <c r="Z845" s="401"/>
      <c r="AA845" s="401"/>
    </row>
    <row r="846">
      <c r="A846" s="401"/>
      <c r="B846" s="401"/>
      <c r="C846" s="401"/>
      <c r="D846" s="401"/>
      <c r="E846" s="399"/>
      <c r="F846" s="399"/>
      <c r="G846" s="399"/>
      <c r="H846" s="400"/>
      <c r="I846" s="401"/>
      <c r="J846" s="401"/>
      <c r="K846" s="401"/>
      <c r="L846" s="401"/>
      <c r="M846" s="401"/>
      <c r="N846" s="401"/>
      <c r="O846" s="401"/>
      <c r="P846" s="401"/>
      <c r="Q846" s="401"/>
      <c r="R846" s="401"/>
      <c r="S846" s="401"/>
      <c r="T846" s="401"/>
      <c r="U846" s="401"/>
      <c r="V846" s="401"/>
      <c r="W846" s="401"/>
      <c r="X846" s="401"/>
      <c r="Y846" s="401"/>
      <c r="Z846" s="401"/>
      <c r="AA846" s="401"/>
    </row>
    <row r="847">
      <c r="A847" s="401"/>
      <c r="B847" s="401"/>
      <c r="C847" s="401"/>
      <c r="D847" s="401"/>
      <c r="E847" s="399"/>
      <c r="F847" s="399"/>
      <c r="G847" s="399"/>
      <c r="H847" s="400"/>
      <c r="I847" s="401"/>
      <c r="J847" s="401"/>
      <c r="K847" s="401"/>
      <c r="L847" s="401"/>
      <c r="M847" s="401"/>
      <c r="N847" s="401"/>
      <c r="O847" s="401"/>
      <c r="P847" s="401"/>
      <c r="Q847" s="401"/>
      <c r="R847" s="401"/>
      <c r="S847" s="401"/>
      <c r="T847" s="401"/>
      <c r="U847" s="401"/>
      <c r="V847" s="401"/>
      <c r="W847" s="401"/>
      <c r="X847" s="401"/>
      <c r="Y847" s="401"/>
      <c r="Z847" s="401"/>
      <c r="AA847" s="401"/>
    </row>
    <row r="848">
      <c r="A848" s="401"/>
      <c r="B848" s="401"/>
      <c r="C848" s="401"/>
      <c r="D848" s="401"/>
      <c r="E848" s="399"/>
      <c r="F848" s="399"/>
      <c r="G848" s="399"/>
      <c r="H848" s="400"/>
      <c r="I848" s="401"/>
      <c r="J848" s="401"/>
      <c r="K848" s="401"/>
      <c r="L848" s="401"/>
      <c r="M848" s="401"/>
      <c r="N848" s="401"/>
      <c r="O848" s="401"/>
      <c r="P848" s="401"/>
      <c r="Q848" s="401"/>
      <c r="R848" s="401"/>
      <c r="S848" s="401"/>
      <c r="T848" s="401"/>
      <c r="U848" s="401"/>
      <c r="V848" s="401"/>
      <c r="W848" s="401"/>
      <c r="X848" s="401"/>
      <c r="Y848" s="401"/>
      <c r="Z848" s="401"/>
      <c r="AA848" s="401"/>
    </row>
    <row r="849">
      <c r="A849" s="401"/>
      <c r="B849" s="401"/>
      <c r="C849" s="401"/>
      <c r="D849" s="401"/>
      <c r="E849" s="399"/>
      <c r="F849" s="399"/>
      <c r="G849" s="399"/>
      <c r="H849" s="400"/>
      <c r="I849" s="401"/>
      <c r="J849" s="401"/>
      <c r="K849" s="401"/>
      <c r="L849" s="401"/>
      <c r="M849" s="401"/>
      <c r="N849" s="401"/>
      <c r="O849" s="401"/>
      <c r="P849" s="401"/>
      <c r="Q849" s="401"/>
      <c r="R849" s="401"/>
      <c r="S849" s="401"/>
      <c r="T849" s="401"/>
      <c r="U849" s="401"/>
      <c r="V849" s="401"/>
      <c r="W849" s="401"/>
      <c r="X849" s="401"/>
      <c r="Y849" s="401"/>
      <c r="Z849" s="401"/>
      <c r="AA849" s="401"/>
    </row>
    <row r="850">
      <c r="A850" s="401"/>
      <c r="B850" s="401"/>
      <c r="C850" s="401"/>
      <c r="D850" s="401"/>
      <c r="E850" s="399"/>
      <c r="F850" s="399"/>
      <c r="G850" s="399"/>
      <c r="H850" s="400"/>
      <c r="I850" s="401"/>
      <c r="J850" s="401"/>
      <c r="K850" s="401"/>
      <c r="L850" s="401"/>
      <c r="M850" s="401"/>
      <c r="N850" s="401"/>
      <c r="O850" s="401"/>
      <c r="P850" s="401"/>
      <c r="Q850" s="401"/>
      <c r="R850" s="401"/>
      <c r="S850" s="401"/>
      <c r="T850" s="401"/>
      <c r="U850" s="401"/>
      <c r="V850" s="401"/>
      <c r="W850" s="401"/>
      <c r="X850" s="401"/>
      <c r="Y850" s="401"/>
      <c r="Z850" s="401"/>
      <c r="AA850" s="401"/>
    </row>
    <row r="851">
      <c r="A851" s="401"/>
      <c r="B851" s="401"/>
      <c r="C851" s="401"/>
      <c r="D851" s="401"/>
      <c r="E851" s="399"/>
      <c r="F851" s="399"/>
      <c r="G851" s="399"/>
      <c r="H851" s="400"/>
      <c r="I851" s="401"/>
      <c r="J851" s="401"/>
      <c r="K851" s="401"/>
      <c r="L851" s="401"/>
      <c r="M851" s="401"/>
      <c r="N851" s="401"/>
      <c r="O851" s="401"/>
      <c r="P851" s="401"/>
      <c r="Q851" s="401"/>
      <c r="R851" s="401"/>
      <c r="S851" s="401"/>
      <c r="T851" s="401"/>
      <c r="U851" s="401"/>
      <c r="V851" s="401"/>
      <c r="W851" s="401"/>
      <c r="X851" s="401"/>
      <c r="Y851" s="401"/>
      <c r="Z851" s="401"/>
      <c r="AA851" s="401"/>
    </row>
    <row r="852">
      <c r="A852" s="401"/>
      <c r="B852" s="401"/>
      <c r="C852" s="401"/>
      <c r="D852" s="401"/>
      <c r="E852" s="399"/>
      <c r="F852" s="399"/>
      <c r="G852" s="399"/>
      <c r="H852" s="400"/>
      <c r="I852" s="401"/>
      <c r="J852" s="401"/>
      <c r="K852" s="401"/>
      <c r="L852" s="401"/>
      <c r="M852" s="401"/>
      <c r="N852" s="401"/>
      <c r="O852" s="401"/>
      <c r="P852" s="401"/>
      <c r="Q852" s="401"/>
      <c r="R852" s="401"/>
      <c r="S852" s="401"/>
      <c r="T852" s="401"/>
      <c r="U852" s="401"/>
      <c r="V852" s="401"/>
      <c r="W852" s="401"/>
      <c r="X852" s="401"/>
      <c r="Y852" s="401"/>
      <c r="Z852" s="401"/>
      <c r="AA852" s="401"/>
    </row>
    <row r="853">
      <c r="A853" s="401"/>
      <c r="B853" s="401"/>
      <c r="C853" s="401"/>
      <c r="D853" s="401"/>
      <c r="E853" s="399"/>
      <c r="F853" s="399"/>
      <c r="G853" s="399"/>
      <c r="H853" s="400"/>
      <c r="I853" s="401"/>
      <c r="J853" s="401"/>
      <c r="K853" s="401"/>
      <c r="L853" s="401"/>
      <c r="M853" s="401"/>
      <c r="N853" s="401"/>
      <c r="O853" s="401"/>
      <c r="P853" s="401"/>
      <c r="Q853" s="401"/>
      <c r="R853" s="401"/>
      <c r="S853" s="401"/>
      <c r="T853" s="401"/>
      <c r="U853" s="401"/>
      <c r="V853" s="401"/>
      <c r="W853" s="401"/>
      <c r="X853" s="401"/>
      <c r="Y853" s="401"/>
      <c r="Z853" s="401"/>
      <c r="AA853" s="401"/>
    </row>
    <row r="854">
      <c r="A854" s="401"/>
      <c r="B854" s="401"/>
      <c r="C854" s="401"/>
      <c r="D854" s="401"/>
      <c r="E854" s="399"/>
      <c r="F854" s="399"/>
      <c r="G854" s="399"/>
      <c r="H854" s="400"/>
      <c r="I854" s="401"/>
      <c r="J854" s="401"/>
      <c r="K854" s="401"/>
      <c r="L854" s="401"/>
      <c r="M854" s="401"/>
      <c r="N854" s="401"/>
      <c r="O854" s="401"/>
      <c r="P854" s="401"/>
      <c r="Q854" s="401"/>
      <c r="R854" s="401"/>
      <c r="S854" s="401"/>
      <c r="T854" s="401"/>
      <c r="U854" s="401"/>
      <c r="V854" s="401"/>
      <c r="W854" s="401"/>
      <c r="X854" s="401"/>
      <c r="Y854" s="401"/>
      <c r="Z854" s="401"/>
      <c r="AA854" s="401"/>
    </row>
    <row r="855">
      <c r="A855" s="401"/>
      <c r="B855" s="401"/>
      <c r="C855" s="401"/>
      <c r="D855" s="401"/>
      <c r="E855" s="399"/>
      <c r="F855" s="399"/>
      <c r="G855" s="399"/>
      <c r="H855" s="400"/>
      <c r="I855" s="401"/>
      <c r="J855" s="401"/>
      <c r="K855" s="401"/>
      <c r="L855" s="401"/>
      <c r="M855" s="401"/>
      <c r="N855" s="401"/>
      <c r="O855" s="401"/>
      <c r="P855" s="401"/>
      <c r="Q855" s="401"/>
      <c r="R855" s="401"/>
      <c r="S855" s="401"/>
      <c r="T855" s="401"/>
      <c r="U855" s="401"/>
      <c r="V855" s="401"/>
      <c r="W855" s="401"/>
      <c r="X855" s="401"/>
      <c r="Y855" s="401"/>
      <c r="Z855" s="401"/>
      <c r="AA855" s="401"/>
    </row>
    <row r="856">
      <c r="A856" s="401"/>
      <c r="B856" s="401"/>
      <c r="C856" s="401"/>
      <c r="D856" s="401"/>
      <c r="E856" s="399"/>
      <c r="F856" s="399"/>
      <c r="G856" s="399"/>
      <c r="H856" s="400"/>
      <c r="I856" s="401"/>
      <c r="J856" s="401"/>
      <c r="K856" s="401"/>
      <c r="L856" s="401"/>
      <c r="M856" s="401"/>
      <c r="N856" s="401"/>
      <c r="O856" s="401"/>
      <c r="P856" s="401"/>
      <c r="Q856" s="401"/>
      <c r="R856" s="401"/>
      <c r="S856" s="401"/>
      <c r="T856" s="401"/>
      <c r="U856" s="401"/>
      <c r="V856" s="401"/>
      <c r="W856" s="401"/>
      <c r="X856" s="401"/>
      <c r="Y856" s="401"/>
      <c r="Z856" s="401"/>
      <c r="AA856" s="401"/>
    </row>
    <row r="857">
      <c r="A857" s="401"/>
      <c r="B857" s="401"/>
      <c r="C857" s="401"/>
      <c r="D857" s="401"/>
      <c r="E857" s="399"/>
      <c r="F857" s="399"/>
      <c r="G857" s="399"/>
      <c r="H857" s="400"/>
      <c r="I857" s="401"/>
      <c r="J857" s="401"/>
      <c r="K857" s="401"/>
      <c r="L857" s="401"/>
      <c r="M857" s="401"/>
      <c r="N857" s="401"/>
      <c r="O857" s="401"/>
      <c r="P857" s="401"/>
      <c r="Q857" s="401"/>
      <c r="R857" s="401"/>
      <c r="S857" s="401"/>
      <c r="T857" s="401"/>
      <c r="U857" s="401"/>
      <c r="V857" s="401"/>
      <c r="W857" s="401"/>
      <c r="X857" s="401"/>
      <c r="Y857" s="401"/>
      <c r="Z857" s="401"/>
      <c r="AA857" s="401"/>
    </row>
    <row r="858">
      <c r="A858" s="401"/>
      <c r="B858" s="401"/>
      <c r="C858" s="401"/>
      <c r="D858" s="401"/>
      <c r="E858" s="399"/>
      <c r="F858" s="399"/>
      <c r="G858" s="399"/>
      <c r="H858" s="400"/>
      <c r="I858" s="401"/>
      <c r="J858" s="401"/>
      <c r="K858" s="401"/>
      <c r="L858" s="401"/>
      <c r="M858" s="401"/>
      <c r="N858" s="401"/>
      <c r="O858" s="401"/>
      <c r="P858" s="401"/>
      <c r="Q858" s="401"/>
      <c r="R858" s="401"/>
      <c r="S858" s="401"/>
      <c r="T858" s="401"/>
      <c r="U858" s="401"/>
      <c r="V858" s="401"/>
      <c r="W858" s="401"/>
      <c r="X858" s="401"/>
      <c r="Y858" s="401"/>
      <c r="Z858" s="401"/>
      <c r="AA858" s="401"/>
    </row>
    <row r="859">
      <c r="A859" s="401"/>
      <c r="B859" s="401"/>
      <c r="C859" s="401"/>
      <c r="D859" s="401"/>
      <c r="E859" s="399"/>
      <c r="F859" s="399"/>
      <c r="G859" s="399"/>
      <c r="H859" s="400"/>
      <c r="I859" s="401"/>
      <c r="J859" s="401"/>
      <c r="K859" s="401"/>
      <c r="L859" s="401"/>
      <c r="M859" s="401"/>
      <c r="N859" s="401"/>
      <c r="O859" s="401"/>
      <c r="P859" s="401"/>
      <c r="Q859" s="401"/>
      <c r="R859" s="401"/>
      <c r="S859" s="401"/>
      <c r="T859" s="401"/>
      <c r="U859" s="401"/>
      <c r="V859" s="401"/>
      <c r="W859" s="401"/>
      <c r="X859" s="401"/>
      <c r="Y859" s="401"/>
      <c r="Z859" s="401"/>
      <c r="AA859" s="401"/>
    </row>
    <row r="860">
      <c r="A860" s="401"/>
      <c r="B860" s="401"/>
      <c r="C860" s="401"/>
      <c r="D860" s="401"/>
      <c r="E860" s="399"/>
      <c r="F860" s="399"/>
      <c r="G860" s="399"/>
      <c r="H860" s="400"/>
      <c r="I860" s="401"/>
      <c r="J860" s="401"/>
      <c r="K860" s="401"/>
      <c r="L860" s="401"/>
      <c r="M860" s="401"/>
      <c r="N860" s="401"/>
      <c r="O860" s="401"/>
      <c r="P860" s="401"/>
      <c r="Q860" s="401"/>
      <c r="R860" s="401"/>
      <c r="S860" s="401"/>
      <c r="T860" s="401"/>
      <c r="U860" s="401"/>
      <c r="V860" s="401"/>
      <c r="W860" s="401"/>
      <c r="X860" s="401"/>
      <c r="Y860" s="401"/>
      <c r="Z860" s="401"/>
      <c r="AA860" s="401"/>
    </row>
    <row r="861">
      <c r="A861" s="401"/>
      <c r="B861" s="401"/>
      <c r="C861" s="401"/>
      <c r="D861" s="401"/>
      <c r="E861" s="399"/>
      <c r="F861" s="399"/>
      <c r="G861" s="399"/>
      <c r="H861" s="400"/>
      <c r="I861" s="401"/>
      <c r="J861" s="401"/>
      <c r="K861" s="401"/>
      <c r="L861" s="401"/>
      <c r="M861" s="401"/>
      <c r="N861" s="401"/>
      <c r="O861" s="401"/>
      <c r="P861" s="401"/>
      <c r="Q861" s="401"/>
      <c r="R861" s="401"/>
      <c r="S861" s="401"/>
      <c r="T861" s="401"/>
      <c r="U861" s="401"/>
      <c r="V861" s="401"/>
      <c r="W861" s="401"/>
      <c r="X861" s="401"/>
      <c r="Y861" s="401"/>
      <c r="Z861" s="401"/>
      <c r="AA861" s="401"/>
    </row>
    <row r="862">
      <c r="A862" s="401"/>
      <c r="B862" s="401"/>
      <c r="C862" s="401"/>
      <c r="D862" s="401"/>
      <c r="E862" s="399"/>
      <c r="F862" s="399"/>
      <c r="G862" s="399"/>
      <c r="H862" s="400"/>
      <c r="I862" s="401"/>
      <c r="J862" s="401"/>
      <c r="K862" s="401"/>
      <c r="L862" s="401"/>
      <c r="M862" s="401"/>
      <c r="N862" s="401"/>
      <c r="O862" s="401"/>
      <c r="P862" s="401"/>
      <c r="Q862" s="401"/>
      <c r="R862" s="401"/>
      <c r="S862" s="401"/>
      <c r="T862" s="401"/>
      <c r="U862" s="401"/>
      <c r="V862" s="401"/>
      <c r="W862" s="401"/>
      <c r="X862" s="401"/>
      <c r="Y862" s="401"/>
      <c r="Z862" s="401"/>
      <c r="AA862" s="401"/>
    </row>
    <row r="863">
      <c r="A863" s="401"/>
      <c r="B863" s="401"/>
      <c r="C863" s="401"/>
      <c r="D863" s="401"/>
      <c r="E863" s="399"/>
      <c r="F863" s="399"/>
      <c r="G863" s="399"/>
      <c r="H863" s="400"/>
      <c r="I863" s="401"/>
      <c r="J863" s="401"/>
      <c r="K863" s="401"/>
      <c r="L863" s="401"/>
      <c r="M863" s="401"/>
      <c r="N863" s="401"/>
      <c r="O863" s="401"/>
      <c r="P863" s="401"/>
      <c r="Q863" s="401"/>
      <c r="R863" s="401"/>
      <c r="S863" s="401"/>
      <c r="T863" s="401"/>
      <c r="U863" s="401"/>
      <c r="V863" s="401"/>
      <c r="W863" s="401"/>
      <c r="X863" s="401"/>
      <c r="Y863" s="401"/>
      <c r="Z863" s="401"/>
      <c r="AA863" s="401"/>
    </row>
    <row r="864">
      <c r="A864" s="401"/>
      <c r="B864" s="401"/>
      <c r="C864" s="401"/>
      <c r="D864" s="401"/>
      <c r="E864" s="399"/>
      <c r="F864" s="399"/>
      <c r="G864" s="399"/>
      <c r="H864" s="400"/>
      <c r="I864" s="401"/>
      <c r="J864" s="401"/>
      <c r="K864" s="401"/>
      <c r="L864" s="401"/>
      <c r="M864" s="401"/>
      <c r="N864" s="401"/>
      <c r="O864" s="401"/>
      <c r="P864" s="401"/>
      <c r="Q864" s="401"/>
      <c r="R864" s="401"/>
      <c r="S864" s="401"/>
      <c r="T864" s="401"/>
      <c r="U864" s="401"/>
      <c r="V864" s="401"/>
      <c r="W864" s="401"/>
      <c r="X864" s="401"/>
      <c r="Y864" s="401"/>
      <c r="Z864" s="401"/>
      <c r="AA864" s="401"/>
    </row>
    <row r="865">
      <c r="A865" s="401"/>
      <c r="B865" s="401"/>
      <c r="C865" s="401"/>
      <c r="D865" s="401"/>
      <c r="E865" s="399"/>
      <c r="F865" s="399"/>
      <c r="G865" s="399"/>
      <c r="H865" s="400"/>
      <c r="I865" s="401"/>
      <c r="J865" s="401"/>
      <c r="K865" s="401"/>
      <c r="L865" s="401"/>
      <c r="M865" s="401"/>
      <c r="N865" s="401"/>
      <c r="O865" s="401"/>
      <c r="P865" s="401"/>
      <c r="Q865" s="401"/>
      <c r="R865" s="401"/>
      <c r="S865" s="401"/>
      <c r="T865" s="401"/>
      <c r="U865" s="401"/>
      <c r="V865" s="401"/>
      <c r="W865" s="401"/>
      <c r="X865" s="401"/>
      <c r="Y865" s="401"/>
      <c r="Z865" s="401"/>
      <c r="AA865" s="401"/>
    </row>
    <row r="866">
      <c r="A866" s="401"/>
      <c r="B866" s="401"/>
      <c r="C866" s="401"/>
      <c r="D866" s="401"/>
      <c r="E866" s="399"/>
      <c r="F866" s="399"/>
      <c r="G866" s="399"/>
      <c r="H866" s="400"/>
      <c r="I866" s="401"/>
      <c r="J866" s="401"/>
      <c r="K866" s="401"/>
      <c r="L866" s="401"/>
      <c r="M866" s="401"/>
      <c r="N866" s="401"/>
      <c r="O866" s="401"/>
      <c r="P866" s="401"/>
      <c r="Q866" s="401"/>
      <c r="R866" s="401"/>
      <c r="S866" s="401"/>
      <c r="T866" s="401"/>
      <c r="U866" s="401"/>
      <c r="V866" s="401"/>
      <c r="W866" s="401"/>
      <c r="X866" s="401"/>
      <c r="Y866" s="401"/>
      <c r="Z866" s="401"/>
      <c r="AA866" s="401"/>
    </row>
    <row r="867">
      <c r="A867" s="401"/>
      <c r="B867" s="401"/>
      <c r="C867" s="401"/>
      <c r="D867" s="401"/>
      <c r="E867" s="399"/>
      <c r="F867" s="399"/>
      <c r="G867" s="399"/>
      <c r="H867" s="400"/>
      <c r="I867" s="401"/>
      <c r="J867" s="401"/>
      <c r="K867" s="401"/>
      <c r="L867" s="401"/>
      <c r="M867" s="401"/>
      <c r="N867" s="401"/>
      <c r="O867" s="401"/>
      <c r="P867" s="401"/>
      <c r="Q867" s="401"/>
      <c r="R867" s="401"/>
      <c r="S867" s="401"/>
      <c r="T867" s="401"/>
      <c r="U867" s="401"/>
      <c r="V867" s="401"/>
      <c r="W867" s="401"/>
      <c r="X867" s="401"/>
      <c r="Y867" s="401"/>
      <c r="Z867" s="401"/>
      <c r="AA867" s="401"/>
    </row>
    <row r="868">
      <c r="A868" s="401"/>
      <c r="B868" s="401"/>
      <c r="C868" s="401"/>
      <c r="D868" s="401"/>
      <c r="E868" s="399"/>
      <c r="F868" s="399"/>
      <c r="G868" s="399"/>
      <c r="H868" s="400"/>
      <c r="I868" s="401"/>
      <c r="J868" s="401"/>
      <c r="K868" s="401"/>
      <c r="L868" s="401"/>
      <c r="M868" s="401"/>
      <c r="N868" s="401"/>
      <c r="O868" s="401"/>
      <c r="P868" s="401"/>
      <c r="Q868" s="401"/>
      <c r="R868" s="401"/>
      <c r="S868" s="401"/>
      <c r="T868" s="401"/>
      <c r="U868" s="401"/>
      <c r="V868" s="401"/>
      <c r="W868" s="401"/>
      <c r="X868" s="401"/>
      <c r="Y868" s="401"/>
      <c r="Z868" s="401"/>
      <c r="AA868" s="401"/>
    </row>
    <row r="869">
      <c r="A869" s="401"/>
      <c r="B869" s="401"/>
      <c r="C869" s="401"/>
      <c r="D869" s="401"/>
      <c r="E869" s="399"/>
      <c r="F869" s="399"/>
      <c r="G869" s="399"/>
      <c r="H869" s="400"/>
      <c r="I869" s="401"/>
      <c r="J869" s="401"/>
      <c r="K869" s="401"/>
      <c r="L869" s="401"/>
      <c r="M869" s="401"/>
      <c r="N869" s="401"/>
      <c r="O869" s="401"/>
      <c r="P869" s="401"/>
      <c r="Q869" s="401"/>
      <c r="R869" s="401"/>
      <c r="S869" s="401"/>
      <c r="T869" s="401"/>
      <c r="U869" s="401"/>
      <c r="V869" s="401"/>
      <c r="W869" s="401"/>
      <c r="X869" s="401"/>
      <c r="Y869" s="401"/>
      <c r="Z869" s="401"/>
      <c r="AA869" s="401"/>
    </row>
    <row r="870">
      <c r="A870" s="401"/>
      <c r="B870" s="401"/>
      <c r="C870" s="401"/>
      <c r="D870" s="401"/>
      <c r="E870" s="399"/>
      <c r="F870" s="399"/>
      <c r="G870" s="399"/>
      <c r="H870" s="400"/>
      <c r="I870" s="401"/>
      <c r="J870" s="401"/>
      <c r="K870" s="401"/>
      <c r="L870" s="401"/>
      <c r="M870" s="401"/>
      <c r="N870" s="401"/>
      <c r="O870" s="401"/>
      <c r="P870" s="401"/>
      <c r="Q870" s="401"/>
      <c r="R870" s="401"/>
      <c r="S870" s="401"/>
      <c r="T870" s="401"/>
      <c r="U870" s="401"/>
      <c r="V870" s="401"/>
      <c r="W870" s="401"/>
      <c r="X870" s="401"/>
      <c r="Y870" s="401"/>
      <c r="Z870" s="401"/>
      <c r="AA870" s="401"/>
    </row>
    <row r="871">
      <c r="A871" s="401"/>
      <c r="B871" s="401"/>
      <c r="C871" s="401"/>
      <c r="D871" s="401"/>
      <c r="E871" s="399"/>
      <c r="F871" s="399"/>
      <c r="G871" s="399"/>
      <c r="H871" s="400"/>
      <c r="I871" s="401"/>
      <c r="J871" s="401"/>
      <c r="K871" s="401"/>
      <c r="L871" s="401"/>
      <c r="M871" s="401"/>
      <c r="N871" s="401"/>
      <c r="O871" s="401"/>
      <c r="P871" s="401"/>
      <c r="Q871" s="401"/>
      <c r="R871" s="401"/>
      <c r="S871" s="401"/>
      <c r="T871" s="401"/>
      <c r="U871" s="401"/>
      <c r="V871" s="401"/>
      <c r="W871" s="401"/>
      <c r="X871" s="401"/>
      <c r="Y871" s="401"/>
      <c r="Z871" s="401"/>
      <c r="AA871" s="401"/>
    </row>
    <row r="872">
      <c r="A872" s="401"/>
      <c r="B872" s="401"/>
      <c r="C872" s="401"/>
      <c r="D872" s="401"/>
      <c r="E872" s="399"/>
      <c r="F872" s="399"/>
      <c r="G872" s="399"/>
      <c r="H872" s="400"/>
      <c r="I872" s="401"/>
      <c r="J872" s="401"/>
      <c r="K872" s="401"/>
      <c r="L872" s="401"/>
      <c r="M872" s="401"/>
      <c r="N872" s="401"/>
      <c r="O872" s="401"/>
      <c r="P872" s="401"/>
      <c r="Q872" s="401"/>
      <c r="R872" s="401"/>
      <c r="S872" s="401"/>
      <c r="T872" s="401"/>
      <c r="U872" s="401"/>
      <c r="V872" s="401"/>
      <c r="W872" s="401"/>
      <c r="X872" s="401"/>
      <c r="Y872" s="401"/>
      <c r="Z872" s="401"/>
      <c r="AA872" s="401"/>
    </row>
    <row r="873">
      <c r="A873" s="401"/>
      <c r="B873" s="401"/>
      <c r="C873" s="401"/>
      <c r="D873" s="401"/>
      <c r="E873" s="399"/>
      <c r="F873" s="399"/>
      <c r="G873" s="399"/>
      <c r="H873" s="400"/>
      <c r="I873" s="401"/>
      <c r="J873" s="401"/>
      <c r="K873" s="401"/>
      <c r="L873" s="401"/>
      <c r="M873" s="401"/>
      <c r="N873" s="401"/>
      <c r="O873" s="401"/>
      <c r="P873" s="401"/>
      <c r="Q873" s="401"/>
      <c r="R873" s="401"/>
      <c r="S873" s="401"/>
      <c r="T873" s="401"/>
      <c r="U873" s="401"/>
      <c r="V873" s="401"/>
      <c r="W873" s="401"/>
      <c r="X873" s="401"/>
      <c r="Y873" s="401"/>
      <c r="Z873" s="401"/>
      <c r="AA873" s="401"/>
    </row>
    <row r="874">
      <c r="A874" s="401"/>
      <c r="B874" s="401"/>
      <c r="C874" s="401"/>
      <c r="D874" s="401"/>
      <c r="E874" s="399"/>
      <c r="F874" s="399"/>
      <c r="G874" s="399"/>
      <c r="H874" s="400"/>
      <c r="I874" s="401"/>
      <c r="J874" s="401"/>
      <c r="K874" s="401"/>
      <c r="L874" s="401"/>
      <c r="M874" s="401"/>
      <c r="N874" s="401"/>
      <c r="O874" s="401"/>
      <c r="P874" s="401"/>
      <c r="Q874" s="401"/>
      <c r="R874" s="401"/>
      <c r="S874" s="401"/>
      <c r="T874" s="401"/>
      <c r="U874" s="401"/>
      <c r="V874" s="401"/>
      <c r="W874" s="401"/>
      <c r="X874" s="401"/>
      <c r="Y874" s="401"/>
      <c r="Z874" s="401"/>
      <c r="AA874" s="401"/>
    </row>
    <row r="875">
      <c r="A875" s="401"/>
      <c r="B875" s="401"/>
      <c r="C875" s="401"/>
      <c r="D875" s="401"/>
      <c r="E875" s="399"/>
      <c r="F875" s="399"/>
      <c r="G875" s="399"/>
      <c r="H875" s="400"/>
      <c r="I875" s="401"/>
      <c r="J875" s="401"/>
      <c r="K875" s="401"/>
      <c r="L875" s="401"/>
      <c r="M875" s="401"/>
      <c r="N875" s="401"/>
      <c r="O875" s="401"/>
      <c r="P875" s="401"/>
      <c r="Q875" s="401"/>
      <c r="R875" s="401"/>
      <c r="S875" s="401"/>
      <c r="T875" s="401"/>
      <c r="U875" s="401"/>
      <c r="V875" s="401"/>
      <c r="W875" s="401"/>
      <c r="X875" s="401"/>
      <c r="Y875" s="401"/>
      <c r="Z875" s="401"/>
      <c r="AA875" s="401"/>
    </row>
    <row r="876">
      <c r="A876" s="401"/>
      <c r="B876" s="401"/>
      <c r="C876" s="401"/>
      <c r="D876" s="401"/>
      <c r="E876" s="399"/>
      <c r="F876" s="399"/>
      <c r="G876" s="399"/>
      <c r="H876" s="400"/>
      <c r="I876" s="401"/>
      <c r="J876" s="401"/>
      <c r="K876" s="401"/>
      <c r="L876" s="401"/>
      <c r="M876" s="401"/>
      <c r="N876" s="401"/>
      <c r="O876" s="401"/>
      <c r="P876" s="401"/>
      <c r="Q876" s="401"/>
      <c r="R876" s="401"/>
      <c r="S876" s="401"/>
      <c r="T876" s="401"/>
      <c r="U876" s="401"/>
      <c r="V876" s="401"/>
      <c r="W876" s="401"/>
      <c r="X876" s="401"/>
      <c r="Y876" s="401"/>
      <c r="Z876" s="401"/>
      <c r="AA876" s="401"/>
    </row>
    <row r="877">
      <c r="A877" s="401"/>
      <c r="B877" s="401"/>
      <c r="C877" s="401"/>
      <c r="D877" s="401"/>
      <c r="E877" s="399"/>
      <c r="F877" s="399"/>
      <c r="G877" s="399"/>
      <c r="H877" s="400"/>
      <c r="I877" s="401"/>
      <c r="J877" s="401"/>
      <c r="K877" s="401"/>
      <c r="L877" s="401"/>
      <c r="M877" s="401"/>
      <c r="N877" s="401"/>
      <c r="O877" s="401"/>
      <c r="P877" s="401"/>
      <c r="Q877" s="401"/>
      <c r="R877" s="401"/>
      <c r="S877" s="401"/>
      <c r="T877" s="401"/>
      <c r="U877" s="401"/>
      <c r="V877" s="401"/>
      <c r="W877" s="401"/>
      <c r="X877" s="401"/>
      <c r="Y877" s="401"/>
      <c r="Z877" s="401"/>
      <c r="AA877" s="401"/>
    </row>
    <row r="878">
      <c r="A878" s="401"/>
      <c r="B878" s="401"/>
      <c r="C878" s="401"/>
      <c r="D878" s="401"/>
      <c r="E878" s="399"/>
      <c r="F878" s="399"/>
      <c r="G878" s="399"/>
      <c r="H878" s="400"/>
      <c r="I878" s="401"/>
      <c r="J878" s="401"/>
      <c r="K878" s="401"/>
      <c r="L878" s="401"/>
      <c r="M878" s="401"/>
      <c r="N878" s="401"/>
      <c r="O878" s="401"/>
      <c r="P878" s="401"/>
      <c r="Q878" s="401"/>
      <c r="R878" s="401"/>
      <c r="S878" s="401"/>
      <c r="T878" s="401"/>
      <c r="U878" s="401"/>
      <c r="V878" s="401"/>
      <c r="W878" s="401"/>
      <c r="X878" s="401"/>
      <c r="Y878" s="401"/>
      <c r="Z878" s="401"/>
      <c r="AA878" s="401"/>
    </row>
    <row r="879">
      <c r="A879" s="401"/>
      <c r="B879" s="401"/>
      <c r="C879" s="401"/>
      <c r="D879" s="401"/>
      <c r="E879" s="399"/>
      <c r="F879" s="399"/>
      <c r="G879" s="399"/>
      <c r="H879" s="400"/>
      <c r="I879" s="401"/>
      <c r="J879" s="401"/>
      <c r="K879" s="401"/>
      <c r="L879" s="401"/>
      <c r="M879" s="401"/>
      <c r="N879" s="401"/>
      <c r="O879" s="401"/>
      <c r="P879" s="401"/>
      <c r="Q879" s="401"/>
      <c r="R879" s="401"/>
      <c r="S879" s="401"/>
      <c r="T879" s="401"/>
      <c r="U879" s="401"/>
      <c r="V879" s="401"/>
      <c r="W879" s="401"/>
      <c r="X879" s="401"/>
      <c r="Y879" s="401"/>
      <c r="Z879" s="401"/>
      <c r="AA879" s="401"/>
    </row>
    <row r="880">
      <c r="A880" s="401"/>
      <c r="B880" s="401"/>
      <c r="C880" s="401"/>
      <c r="D880" s="401"/>
      <c r="E880" s="399"/>
      <c r="F880" s="399"/>
      <c r="G880" s="399"/>
      <c r="H880" s="400"/>
      <c r="I880" s="401"/>
      <c r="J880" s="401"/>
      <c r="K880" s="401"/>
      <c r="L880" s="401"/>
      <c r="M880" s="401"/>
      <c r="N880" s="401"/>
      <c r="O880" s="401"/>
      <c r="P880" s="401"/>
      <c r="Q880" s="401"/>
      <c r="R880" s="401"/>
      <c r="S880" s="401"/>
      <c r="T880" s="401"/>
      <c r="U880" s="401"/>
      <c r="V880" s="401"/>
      <c r="W880" s="401"/>
      <c r="X880" s="401"/>
      <c r="Y880" s="401"/>
      <c r="Z880" s="401"/>
      <c r="AA880" s="401"/>
    </row>
    <row r="881">
      <c r="A881" s="401"/>
      <c r="B881" s="401"/>
      <c r="C881" s="401"/>
      <c r="D881" s="401"/>
      <c r="E881" s="399"/>
      <c r="F881" s="399"/>
      <c r="G881" s="399"/>
      <c r="H881" s="400"/>
      <c r="I881" s="401"/>
      <c r="J881" s="401"/>
      <c r="K881" s="401"/>
      <c r="L881" s="401"/>
      <c r="M881" s="401"/>
      <c r="N881" s="401"/>
      <c r="O881" s="401"/>
      <c r="P881" s="401"/>
      <c r="Q881" s="401"/>
      <c r="R881" s="401"/>
      <c r="S881" s="401"/>
      <c r="T881" s="401"/>
      <c r="U881" s="401"/>
      <c r="V881" s="401"/>
      <c r="W881" s="401"/>
      <c r="X881" s="401"/>
      <c r="Y881" s="401"/>
      <c r="Z881" s="401"/>
      <c r="AA881" s="401"/>
    </row>
    <row r="882">
      <c r="A882" s="401"/>
      <c r="B882" s="401"/>
      <c r="C882" s="401"/>
      <c r="D882" s="401"/>
      <c r="E882" s="399"/>
      <c r="F882" s="399"/>
      <c r="G882" s="399"/>
      <c r="H882" s="400"/>
      <c r="I882" s="401"/>
      <c r="J882" s="401"/>
      <c r="K882" s="401"/>
      <c r="L882" s="401"/>
      <c r="M882" s="401"/>
      <c r="N882" s="401"/>
      <c r="O882" s="401"/>
      <c r="P882" s="401"/>
      <c r="Q882" s="401"/>
      <c r="R882" s="401"/>
      <c r="S882" s="401"/>
      <c r="T882" s="401"/>
      <c r="U882" s="401"/>
      <c r="V882" s="401"/>
      <c r="W882" s="401"/>
      <c r="X882" s="401"/>
      <c r="Y882" s="401"/>
      <c r="Z882" s="401"/>
      <c r="AA882" s="401"/>
    </row>
    <row r="883">
      <c r="A883" s="401"/>
      <c r="B883" s="401"/>
      <c r="C883" s="401"/>
      <c r="D883" s="401"/>
      <c r="E883" s="399"/>
      <c r="F883" s="399"/>
      <c r="G883" s="399"/>
      <c r="H883" s="400"/>
      <c r="I883" s="401"/>
      <c r="J883" s="401"/>
      <c r="K883" s="401"/>
      <c r="L883" s="401"/>
      <c r="M883" s="401"/>
      <c r="N883" s="401"/>
      <c r="O883" s="401"/>
      <c r="P883" s="401"/>
      <c r="Q883" s="401"/>
      <c r="R883" s="401"/>
      <c r="S883" s="401"/>
      <c r="T883" s="401"/>
      <c r="U883" s="401"/>
      <c r="V883" s="401"/>
      <c r="W883" s="401"/>
      <c r="X883" s="401"/>
      <c r="Y883" s="401"/>
      <c r="Z883" s="401"/>
      <c r="AA883" s="401"/>
    </row>
    <row r="884">
      <c r="A884" s="401"/>
      <c r="B884" s="401"/>
      <c r="C884" s="401"/>
      <c r="D884" s="401"/>
      <c r="E884" s="399"/>
      <c r="F884" s="399"/>
      <c r="G884" s="399"/>
      <c r="H884" s="400"/>
      <c r="I884" s="401"/>
      <c r="J884" s="401"/>
      <c r="K884" s="401"/>
      <c r="L884" s="401"/>
      <c r="M884" s="401"/>
      <c r="N884" s="401"/>
      <c r="O884" s="401"/>
      <c r="P884" s="401"/>
      <c r="Q884" s="401"/>
      <c r="R884" s="401"/>
      <c r="S884" s="401"/>
      <c r="T884" s="401"/>
      <c r="U884" s="401"/>
      <c r="V884" s="401"/>
      <c r="W884" s="401"/>
      <c r="X884" s="401"/>
      <c r="Y884" s="401"/>
      <c r="Z884" s="401"/>
      <c r="AA884" s="401"/>
    </row>
    <row r="885">
      <c r="A885" s="401"/>
      <c r="B885" s="401"/>
      <c r="C885" s="401"/>
      <c r="D885" s="401"/>
      <c r="E885" s="399"/>
      <c r="F885" s="399"/>
      <c r="G885" s="399"/>
      <c r="H885" s="400"/>
      <c r="I885" s="401"/>
      <c r="J885" s="401"/>
      <c r="K885" s="401"/>
      <c r="L885" s="401"/>
      <c r="M885" s="401"/>
      <c r="N885" s="401"/>
      <c r="O885" s="401"/>
      <c r="P885" s="401"/>
      <c r="Q885" s="401"/>
      <c r="R885" s="401"/>
      <c r="S885" s="401"/>
      <c r="T885" s="401"/>
      <c r="U885" s="401"/>
      <c r="V885" s="401"/>
      <c r="W885" s="401"/>
      <c r="X885" s="401"/>
      <c r="Y885" s="401"/>
      <c r="Z885" s="401"/>
      <c r="AA885" s="401"/>
    </row>
    <row r="886">
      <c r="A886" s="401"/>
      <c r="B886" s="401"/>
      <c r="C886" s="401"/>
      <c r="D886" s="401"/>
      <c r="E886" s="399"/>
      <c r="F886" s="399"/>
      <c r="G886" s="399"/>
      <c r="H886" s="400"/>
      <c r="I886" s="401"/>
      <c r="J886" s="401"/>
      <c r="K886" s="401"/>
      <c r="L886" s="401"/>
      <c r="M886" s="401"/>
      <c r="N886" s="401"/>
      <c r="O886" s="401"/>
      <c r="P886" s="401"/>
      <c r="Q886" s="401"/>
      <c r="R886" s="401"/>
      <c r="S886" s="401"/>
      <c r="T886" s="401"/>
      <c r="U886" s="401"/>
      <c r="V886" s="401"/>
      <c r="W886" s="401"/>
      <c r="X886" s="401"/>
      <c r="Y886" s="401"/>
      <c r="Z886" s="401"/>
      <c r="AA886" s="401"/>
    </row>
    <row r="887">
      <c r="A887" s="401"/>
      <c r="B887" s="401"/>
      <c r="C887" s="401"/>
      <c r="D887" s="401"/>
      <c r="E887" s="399"/>
      <c r="F887" s="399"/>
      <c r="G887" s="399"/>
      <c r="H887" s="400"/>
      <c r="I887" s="401"/>
      <c r="J887" s="401"/>
      <c r="K887" s="401"/>
      <c r="L887" s="401"/>
      <c r="M887" s="401"/>
      <c r="N887" s="401"/>
      <c r="O887" s="401"/>
      <c r="P887" s="401"/>
      <c r="Q887" s="401"/>
      <c r="R887" s="401"/>
      <c r="S887" s="401"/>
      <c r="T887" s="401"/>
      <c r="U887" s="401"/>
      <c r="V887" s="401"/>
      <c r="W887" s="401"/>
      <c r="X887" s="401"/>
      <c r="Y887" s="401"/>
      <c r="Z887" s="401"/>
      <c r="AA887" s="401"/>
    </row>
    <row r="888">
      <c r="A888" s="401"/>
      <c r="B888" s="401"/>
      <c r="C888" s="401"/>
      <c r="D888" s="401"/>
      <c r="E888" s="399"/>
      <c r="F888" s="399"/>
      <c r="G888" s="399"/>
      <c r="H888" s="400"/>
      <c r="I888" s="401"/>
      <c r="J888" s="401"/>
      <c r="K888" s="401"/>
      <c r="L888" s="401"/>
      <c r="M888" s="401"/>
      <c r="N888" s="401"/>
      <c r="O888" s="401"/>
      <c r="P888" s="401"/>
      <c r="Q888" s="401"/>
      <c r="R888" s="401"/>
      <c r="S888" s="401"/>
      <c r="T888" s="401"/>
      <c r="U888" s="401"/>
      <c r="V888" s="401"/>
      <c r="W888" s="401"/>
      <c r="X888" s="401"/>
      <c r="Y888" s="401"/>
      <c r="Z888" s="401"/>
      <c r="AA888" s="401"/>
    </row>
    <row r="889">
      <c r="A889" s="401"/>
      <c r="B889" s="401"/>
      <c r="C889" s="401"/>
      <c r="D889" s="401"/>
      <c r="E889" s="399"/>
      <c r="F889" s="399"/>
      <c r="G889" s="399"/>
      <c r="H889" s="400"/>
      <c r="I889" s="401"/>
      <c r="J889" s="401"/>
      <c r="K889" s="401"/>
      <c r="L889" s="401"/>
      <c r="M889" s="401"/>
      <c r="N889" s="401"/>
      <c r="O889" s="401"/>
      <c r="P889" s="401"/>
      <c r="Q889" s="401"/>
      <c r="R889" s="401"/>
      <c r="S889" s="401"/>
      <c r="T889" s="401"/>
      <c r="U889" s="401"/>
      <c r="V889" s="401"/>
      <c r="W889" s="401"/>
      <c r="X889" s="401"/>
      <c r="Y889" s="401"/>
      <c r="Z889" s="401"/>
      <c r="AA889" s="401"/>
    </row>
    <row r="890">
      <c r="A890" s="401"/>
      <c r="B890" s="401"/>
      <c r="C890" s="401"/>
      <c r="D890" s="401"/>
      <c r="E890" s="399"/>
      <c r="F890" s="399"/>
      <c r="G890" s="399"/>
      <c r="H890" s="400"/>
      <c r="I890" s="401"/>
      <c r="J890" s="401"/>
      <c r="K890" s="401"/>
      <c r="L890" s="401"/>
      <c r="M890" s="401"/>
      <c r="N890" s="401"/>
      <c r="O890" s="401"/>
      <c r="P890" s="401"/>
      <c r="Q890" s="401"/>
      <c r="R890" s="401"/>
      <c r="S890" s="401"/>
      <c r="T890" s="401"/>
      <c r="U890" s="401"/>
      <c r="V890" s="401"/>
      <c r="W890" s="401"/>
      <c r="X890" s="401"/>
      <c r="Y890" s="401"/>
      <c r="Z890" s="401"/>
      <c r="AA890" s="401"/>
    </row>
    <row r="891">
      <c r="A891" s="401"/>
      <c r="B891" s="401"/>
      <c r="C891" s="401"/>
      <c r="D891" s="401"/>
      <c r="E891" s="399"/>
      <c r="F891" s="399"/>
      <c r="G891" s="399"/>
      <c r="H891" s="400"/>
      <c r="I891" s="401"/>
      <c r="J891" s="401"/>
      <c r="K891" s="401"/>
      <c r="L891" s="401"/>
      <c r="M891" s="401"/>
      <c r="N891" s="401"/>
      <c r="O891" s="401"/>
      <c r="P891" s="401"/>
      <c r="Q891" s="401"/>
      <c r="R891" s="401"/>
      <c r="S891" s="401"/>
      <c r="T891" s="401"/>
      <c r="U891" s="401"/>
      <c r="V891" s="401"/>
      <c r="W891" s="401"/>
      <c r="X891" s="401"/>
      <c r="Y891" s="401"/>
      <c r="Z891" s="401"/>
      <c r="AA891" s="401"/>
    </row>
    <row r="892">
      <c r="A892" s="401"/>
      <c r="B892" s="401"/>
      <c r="C892" s="401"/>
      <c r="D892" s="401"/>
      <c r="E892" s="399"/>
      <c r="F892" s="399"/>
      <c r="G892" s="399"/>
      <c r="H892" s="400"/>
      <c r="I892" s="401"/>
      <c r="J892" s="401"/>
      <c r="K892" s="401"/>
      <c r="L892" s="401"/>
      <c r="M892" s="401"/>
      <c r="N892" s="401"/>
      <c r="O892" s="401"/>
      <c r="P892" s="401"/>
      <c r="Q892" s="401"/>
      <c r="R892" s="401"/>
      <c r="S892" s="401"/>
      <c r="T892" s="401"/>
      <c r="U892" s="401"/>
      <c r="V892" s="401"/>
      <c r="W892" s="401"/>
      <c r="X892" s="401"/>
      <c r="Y892" s="401"/>
      <c r="Z892" s="401"/>
      <c r="AA892" s="401"/>
    </row>
    <row r="893">
      <c r="A893" s="401"/>
      <c r="B893" s="401"/>
      <c r="C893" s="401"/>
      <c r="D893" s="401"/>
      <c r="E893" s="399"/>
      <c r="F893" s="399"/>
      <c r="G893" s="399"/>
      <c r="H893" s="400"/>
      <c r="I893" s="401"/>
      <c r="J893" s="401"/>
      <c r="K893" s="401"/>
      <c r="L893" s="401"/>
      <c r="M893" s="401"/>
      <c r="N893" s="401"/>
      <c r="O893" s="401"/>
      <c r="P893" s="401"/>
      <c r="Q893" s="401"/>
      <c r="R893" s="401"/>
      <c r="S893" s="401"/>
      <c r="T893" s="401"/>
      <c r="U893" s="401"/>
      <c r="V893" s="401"/>
      <c r="W893" s="401"/>
      <c r="X893" s="401"/>
      <c r="Y893" s="401"/>
      <c r="Z893" s="401"/>
      <c r="AA893" s="401"/>
    </row>
    <row r="894">
      <c r="A894" s="401"/>
      <c r="B894" s="401"/>
      <c r="C894" s="401"/>
      <c r="D894" s="401"/>
      <c r="E894" s="399"/>
      <c r="F894" s="399"/>
      <c r="G894" s="399"/>
      <c r="H894" s="400"/>
      <c r="I894" s="401"/>
      <c r="J894" s="401"/>
      <c r="K894" s="401"/>
      <c r="L894" s="401"/>
      <c r="M894" s="401"/>
      <c r="N894" s="401"/>
      <c r="O894" s="401"/>
      <c r="P894" s="401"/>
      <c r="Q894" s="401"/>
      <c r="R894" s="401"/>
      <c r="S894" s="401"/>
      <c r="T894" s="401"/>
      <c r="U894" s="401"/>
      <c r="V894" s="401"/>
      <c r="W894" s="401"/>
      <c r="X894" s="401"/>
      <c r="Y894" s="401"/>
      <c r="Z894" s="401"/>
      <c r="AA894" s="401"/>
    </row>
    <row r="895">
      <c r="A895" s="401"/>
      <c r="B895" s="401"/>
      <c r="C895" s="401"/>
      <c r="D895" s="401"/>
      <c r="E895" s="399"/>
      <c r="F895" s="399"/>
      <c r="G895" s="399"/>
      <c r="H895" s="400"/>
      <c r="I895" s="401"/>
      <c r="J895" s="401"/>
      <c r="K895" s="401"/>
      <c r="L895" s="401"/>
      <c r="M895" s="401"/>
      <c r="N895" s="401"/>
      <c r="O895" s="401"/>
      <c r="P895" s="401"/>
      <c r="Q895" s="401"/>
      <c r="R895" s="401"/>
      <c r="S895" s="401"/>
      <c r="T895" s="401"/>
      <c r="U895" s="401"/>
      <c r="V895" s="401"/>
      <c r="W895" s="401"/>
      <c r="X895" s="401"/>
      <c r="Y895" s="401"/>
      <c r="Z895" s="401"/>
      <c r="AA895" s="401"/>
    </row>
    <row r="896">
      <c r="A896" s="401"/>
      <c r="B896" s="401"/>
      <c r="C896" s="401"/>
      <c r="D896" s="401"/>
      <c r="E896" s="399"/>
      <c r="F896" s="399"/>
      <c r="G896" s="399"/>
      <c r="H896" s="400"/>
      <c r="I896" s="401"/>
      <c r="J896" s="401"/>
      <c r="K896" s="401"/>
      <c r="L896" s="401"/>
      <c r="M896" s="401"/>
      <c r="N896" s="401"/>
      <c r="O896" s="401"/>
      <c r="P896" s="401"/>
      <c r="Q896" s="401"/>
      <c r="R896" s="401"/>
      <c r="S896" s="401"/>
      <c r="T896" s="401"/>
      <c r="U896" s="401"/>
      <c r="V896" s="401"/>
      <c r="W896" s="401"/>
      <c r="X896" s="401"/>
      <c r="Y896" s="401"/>
      <c r="Z896" s="401"/>
      <c r="AA896" s="401"/>
    </row>
    <row r="897">
      <c r="A897" s="401"/>
      <c r="B897" s="401"/>
      <c r="C897" s="401"/>
      <c r="D897" s="401"/>
      <c r="E897" s="399"/>
      <c r="F897" s="399"/>
      <c r="G897" s="399"/>
      <c r="H897" s="400"/>
      <c r="I897" s="401"/>
      <c r="J897" s="401"/>
      <c r="K897" s="401"/>
      <c r="L897" s="401"/>
      <c r="M897" s="401"/>
      <c r="N897" s="401"/>
      <c r="O897" s="401"/>
      <c r="P897" s="401"/>
      <c r="Q897" s="401"/>
      <c r="R897" s="401"/>
      <c r="S897" s="401"/>
      <c r="T897" s="401"/>
      <c r="U897" s="401"/>
      <c r="V897" s="401"/>
      <c r="W897" s="401"/>
      <c r="X897" s="401"/>
      <c r="Y897" s="401"/>
      <c r="Z897" s="401"/>
      <c r="AA897" s="401"/>
    </row>
    <row r="898">
      <c r="A898" s="401"/>
      <c r="B898" s="401"/>
      <c r="C898" s="401"/>
      <c r="D898" s="401"/>
      <c r="E898" s="399"/>
      <c r="F898" s="399"/>
      <c r="G898" s="399"/>
      <c r="H898" s="400"/>
      <c r="I898" s="401"/>
      <c r="J898" s="401"/>
      <c r="K898" s="401"/>
      <c r="L898" s="401"/>
      <c r="M898" s="401"/>
      <c r="N898" s="401"/>
      <c r="O898" s="401"/>
      <c r="P898" s="401"/>
      <c r="Q898" s="401"/>
      <c r="R898" s="401"/>
      <c r="S898" s="401"/>
      <c r="T898" s="401"/>
      <c r="U898" s="401"/>
      <c r="V898" s="401"/>
      <c r="W898" s="401"/>
      <c r="X898" s="401"/>
      <c r="Y898" s="401"/>
      <c r="Z898" s="401"/>
      <c r="AA898" s="401"/>
    </row>
    <row r="899">
      <c r="A899" s="401"/>
      <c r="B899" s="401"/>
      <c r="C899" s="401"/>
      <c r="D899" s="401"/>
      <c r="E899" s="399"/>
      <c r="F899" s="399"/>
      <c r="G899" s="399"/>
      <c r="H899" s="400"/>
      <c r="I899" s="401"/>
      <c r="J899" s="401"/>
      <c r="K899" s="401"/>
      <c r="L899" s="401"/>
      <c r="M899" s="401"/>
      <c r="N899" s="401"/>
      <c r="O899" s="401"/>
      <c r="P899" s="401"/>
      <c r="Q899" s="401"/>
      <c r="R899" s="401"/>
      <c r="S899" s="401"/>
      <c r="T899" s="401"/>
      <c r="U899" s="401"/>
      <c r="V899" s="401"/>
      <c r="W899" s="401"/>
      <c r="X899" s="401"/>
      <c r="Y899" s="401"/>
      <c r="Z899" s="401"/>
      <c r="AA899" s="401"/>
    </row>
    <row r="900">
      <c r="A900" s="401"/>
      <c r="B900" s="401"/>
      <c r="C900" s="401"/>
      <c r="D900" s="401"/>
      <c r="E900" s="399"/>
      <c r="F900" s="399"/>
      <c r="G900" s="399"/>
      <c r="H900" s="400"/>
      <c r="I900" s="401"/>
      <c r="J900" s="401"/>
      <c r="K900" s="401"/>
      <c r="L900" s="401"/>
      <c r="M900" s="401"/>
      <c r="N900" s="401"/>
      <c r="O900" s="401"/>
      <c r="P900" s="401"/>
      <c r="Q900" s="401"/>
      <c r="R900" s="401"/>
      <c r="S900" s="401"/>
      <c r="T900" s="401"/>
      <c r="U900" s="401"/>
      <c r="V900" s="401"/>
      <c r="W900" s="401"/>
      <c r="X900" s="401"/>
      <c r="Y900" s="401"/>
      <c r="Z900" s="401"/>
      <c r="AA900" s="401"/>
    </row>
    <row r="901">
      <c r="A901" s="401"/>
      <c r="B901" s="401"/>
      <c r="C901" s="401"/>
      <c r="D901" s="401"/>
      <c r="E901" s="399"/>
      <c r="F901" s="399"/>
      <c r="G901" s="399"/>
      <c r="H901" s="400"/>
      <c r="I901" s="401"/>
      <c r="J901" s="401"/>
      <c r="K901" s="401"/>
      <c r="L901" s="401"/>
      <c r="M901" s="401"/>
      <c r="N901" s="401"/>
      <c r="O901" s="401"/>
      <c r="P901" s="401"/>
      <c r="Q901" s="401"/>
      <c r="R901" s="401"/>
      <c r="S901" s="401"/>
      <c r="T901" s="401"/>
      <c r="U901" s="401"/>
      <c r="V901" s="401"/>
      <c r="W901" s="401"/>
      <c r="X901" s="401"/>
      <c r="Y901" s="401"/>
      <c r="Z901" s="401"/>
      <c r="AA901" s="401"/>
    </row>
    <row r="902">
      <c r="A902" s="401"/>
      <c r="B902" s="401"/>
      <c r="C902" s="401"/>
      <c r="D902" s="401"/>
      <c r="E902" s="399"/>
      <c r="F902" s="399"/>
      <c r="G902" s="399"/>
      <c r="H902" s="400"/>
      <c r="I902" s="401"/>
      <c r="J902" s="401"/>
      <c r="K902" s="401"/>
      <c r="L902" s="401"/>
      <c r="M902" s="401"/>
      <c r="N902" s="401"/>
      <c r="O902" s="401"/>
      <c r="P902" s="401"/>
      <c r="Q902" s="401"/>
      <c r="R902" s="401"/>
      <c r="S902" s="401"/>
      <c r="T902" s="401"/>
      <c r="U902" s="401"/>
      <c r="V902" s="401"/>
      <c r="W902" s="401"/>
      <c r="X902" s="401"/>
      <c r="Y902" s="401"/>
      <c r="Z902" s="401"/>
      <c r="AA902" s="401"/>
    </row>
    <row r="903">
      <c r="A903" s="401"/>
      <c r="B903" s="401"/>
      <c r="C903" s="401"/>
      <c r="D903" s="401"/>
      <c r="E903" s="399"/>
      <c r="F903" s="399"/>
      <c r="G903" s="399"/>
      <c r="H903" s="400"/>
      <c r="I903" s="401"/>
      <c r="J903" s="401"/>
      <c r="K903" s="401"/>
      <c r="L903" s="401"/>
      <c r="M903" s="401"/>
      <c r="N903" s="401"/>
      <c r="O903" s="401"/>
      <c r="P903" s="401"/>
      <c r="Q903" s="401"/>
      <c r="R903" s="401"/>
      <c r="S903" s="401"/>
      <c r="T903" s="401"/>
      <c r="U903" s="401"/>
      <c r="V903" s="401"/>
      <c r="W903" s="401"/>
      <c r="X903" s="401"/>
      <c r="Y903" s="401"/>
      <c r="Z903" s="401"/>
      <c r="AA903" s="401"/>
    </row>
    <row r="904">
      <c r="A904" s="401"/>
      <c r="B904" s="401"/>
      <c r="C904" s="401"/>
      <c r="D904" s="401"/>
      <c r="E904" s="399"/>
      <c r="F904" s="399"/>
      <c r="G904" s="399"/>
      <c r="H904" s="400"/>
      <c r="I904" s="401"/>
      <c r="J904" s="401"/>
      <c r="K904" s="401"/>
      <c r="L904" s="401"/>
      <c r="M904" s="401"/>
      <c r="N904" s="401"/>
      <c r="O904" s="401"/>
      <c r="P904" s="401"/>
      <c r="Q904" s="401"/>
      <c r="R904" s="401"/>
      <c r="S904" s="401"/>
      <c r="T904" s="401"/>
      <c r="U904" s="401"/>
      <c r="V904" s="401"/>
      <c r="W904" s="401"/>
      <c r="X904" s="401"/>
      <c r="Y904" s="401"/>
      <c r="Z904" s="401"/>
      <c r="AA904" s="401"/>
    </row>
    <row r="905">
      <c r="A905" s="401"/>
      <c r="B905" s="401"/>
      <c r="C905" s="401"/>
      <c r="D905" s="401"/>
      <c r="E905" s="399"/>
      <c r="F905" s="399"/>
      <c r="G905" s="399"/>
      <c r="H905" s="400"/>
      <c r="I905" s="401"/>
      <c r="J905" s="401"/>
      <c r="K905" s="401"/>
      <c r="L905" s="401"/>
      <c r="M905" s="401"/>
      <c r="N905" s="401"/>
      <c r="O905" s="401"/>
      <c r="P905" s="401"/>
      <c r="Q905" s="401"/>
      <c r="R905" s="401"/>
      <c r="S905" s="401"/>
      <c r="T905" s="401"/>
      <c r="U905" s="401"/>
      <c r="V905" s="401"/>
      <c r="W905" s="401"/>
      <c r="X905" s="401"/>
      <c r="Y905" s="401"/>
      <c r="Z905" s="401"/>
      <c r="AA905" s="401"/>
    </row>
    <row r="906">
      <c r="A906" s="401"/>
      <c r="B906" s="401"/>
      <c r="C906" s="401"/>
      <c r="D906" s="401"/>
      <c r="E906" s="399"/>
      <c r="F906" s="399"/>
      <c r="G906" s="399"/>
      <c r="H906" s="400"/>
      <c r="I906" s="401"/>
      <c r="J906" s="401"/>
      <c r="K906" s="401"/>
      <c r="L906" s="401"/>
      <c r="M906" s="401"/>
      <c r="N906" s="401"/>
      <c r="O906" s="401"/>
      <c r="P906" s="401"/>
      <c r="Q906" s="401"/>
      <c r="R906" s="401"/>
      <c r="S906" s="401"/>
      <c r="T906" s="401"/>
      <c r="U906" s="401"/>
      <c r="V906" s="401"/>
      <c r="W906" s="401"/>
      <c r="X906" s="401"/>
      <c r="Y906" s="401"/>
      <c r="Z906" s="401"/>
      <c r="AA906" s="401"/>
    </row>
    <row r="907">
      <c r="A907" s="401"/>
      <c r="B907" s="401"/>
      <c r="C907" s="401"/>
      <c r="D907" s="401"/>
      <c r="E907" s="399"/>
      <c r="F907" s="399"/>
      <c r="G907" s="399"/>
      <c r="H907" s="400"/>
      <c r="I907" s="401"/>
      <c r="J907" s="401"/>
      <c r="K907" s="401"/>
      <c r="L907" s="401"/>
      <c r="M907" s="401"/>
      <c r="N907" s="401"/>
      <c r="O907" s="401"/>
      <c r="P907" s="401"/>
      <c r="Q907" s="401"/>
      <c r="R907" s="401"/>
      <c r="S907" s="401"/>
      <c r="T907" s="401"/>
      <c r="U907" s="401"/>
      <c r="V907" s="401"/>
      <c r="W907" s="401"/>
      <c r="X907" s="401"/>
      <c r="Y907" s="401"/>
      <c r="Z907" s="401"/>
      <c r="AA907" s="401"/>
    </row>
    <row r="908">
      <c r="A908" s="401"/>
      <c r="B908" s="401"/>
      <c r="C908" s="401"/>
      <c r="D908" s="401"/>
      <c r="E908" s="399"/>
      <c r="F908" s="399"/>
      <c r="G908" s="399"/>
      <c r="H908" s="400"/>
      <c r="I908" s="401"/>
      <c r="J908" s="401"/>
      <c r="K908" s="401"/>
      <c r="L908" s="401"/>
      <c r="M908" s="401"/>
      <c r="N908" s="401"/>
      <c r="O908" s="401"/>
      <c r="P908" s="401"/>
      <c r="Q908" s="401"/>
      <c r="R908" s="401"/>
      <c r="S908" s="401"/>
      <c r="T908" s="401"/>
      <c r="U908" s="401"/>
      <c r="V908" s="401"/>
      <c r="W908" s="401"/>
      <c r="X908" s="401"/>
      <c r="Y908" s="401"/>
      <c r="Z908" s="401"/>
      <c r="AA908" s="401"/>
    </row>
    <row r="909">
      <c r="A909" s="401"/>
      <c r="B909" s="401"/>
      <c r="C909" s="401"/>
      <c r="D909" s="401"/>
      <c r="E909" s="399"/>
      <c r="F909" s="399"/>
      <c r="G909" s="399"/>
      <c r="H909" s="400"/>
      <c r="I909" s="401"/>
      <c r="J909" s="401"/>
      <c r="K909" s="401"/>
      <c r="L909" s="401"/>
      <c r="M909" s="401"/>
      <c r="N909" s="401"/>
      <c r="O909" s="401"/>
      <c r="P909" s="401"/>
      <c r="Q909" s="401"/>
      <c r="R909" s="401"/>
      <c r="S909" s="401"/>
      <c r="T909" s="401"/>
      <c r="U909" s="401"/>
      <c r="V909" s="401"/>
      <c r="W909" s="401"/>
      <c r="X909" s="401"/>
      <c r="Y909" s="401"/>
      <c r="Z909" s="401"/>
      <c r="AA909" s="401"/>
    </row>
    <row r="910">
      <c r="A910" s="401"/>
      <c r="B910" s="401"/>
      <c r="C910" s="401"/>
      <c r="D910" s="401"/>
      <c r="E910" s="399"/>
      <c r="F910" s="399"/>
      <c r="G910" s="399"/>
      <c r="H910" s="400"/>
      <c r="I910" s="401"/>
      <c r="J910" s="401"/>
      <c r="K910" s="401"/>
      <c r="L910" s="401"/>
      <c r="M910" s="401"/>
      <c r="N910" s="401"/>
      <c r="O910" s="401"/>
      <c r="P910" s="401"/>
      <c r="Q910" s="401"/>
      <c r="R910" s="401"/>
      <c r="S910" s="401"/>
      <c r="T910" s="401"/>
      <c r="U910" s="401"/>
      <c r="V910" s="401"/>
      <c r="W910" s="401"/>
      <c r="X910" s="401"/>
      <c r="Y910" s="401"/>
      <c r="Z910" s="401"/>
      <c r="AA910" s="401"/>
    </row>
    <row r="911">
      <c r="A911" s="401"/>
      <c r="B911" s="401"/>
      <c r="C911" s="401"/>
      <c r="D911" s="401"/>
      <c r="E911" s="399"/>
      <c r="F911" s="399"/>
      <c r="G911" s="399"/>
      <c r="H911" s="400"/>
      <c r="I911" s="401"/>
      <c r="J911" s="401"/>
      <c r="K911" s="401"/>
      <c r="L911" s="401"/>
      <c r="M911" s="401"/>
      <c r="N911" s="401"/>
      <c r="O911" s="401"/>
      <c r="P911" s="401"/>
      <c r="Q911" s="401"/>
      <c r="R911" s="401"/>
      <c r="S911" s="401"/>
      <c r="T911" s="401"/>
      <c r="U911" s="401"/>
      <c r="V911" s="401"/>
      <c r="W911" s="401"/>
      <c r="X911" s="401"/>
      <c r="Y911" s="401"/>
      <c r="Z911" s="401"/>
      <c r="AA911" s="401"/>
    </row>
    <row r="912">
      <c r="A912" s="401"/>
      <c r="B912" s="401"/>
      <c r="C912" s="401"/>
      <c r="D912" s="401"/>
      <c r="E912" s="399"/>
      <c r="F912" s="399"/>
      <c r="G912" s="399"/>
      <c r="H912" s="400"/>
      <c r="I912" s="401"/>
      <c r="J912" s="401"/>
      <c r="K912" s="401"/>
      <c r="L912" s="401"/>
      <c r="M912" s="401"/>
      <c r="N912" s="401"/>
      <c r="O912" s="401"/>
      <c r="P912" s="401"/>
      <c r="Q912" s="401"/>
      <c r="R912" s="401"/>
      <c r="S912" s="401"/>
      <c r="T912" s="401"/>
      <c r="U912" s="401"/>
      <c r="V912" s="401"/>
      <c r="W912" s="401"/>
      <c r="X912" s="401"/>
      <c r="Y912" s="401"/>
      <c r="Z912" s="401"/>
      <c r="AA912" s="401"/>
    </row>
    <row r="913">
      <c r="A913" s="401"/>
      <c r="B913" s="401"/>
      <c r="C913" s="401"/>
      <c r="D913" s="401"/>
      <c r="E913" s="399"/>
      <c r="F913" s="399"/>
      <c r="G913" s="399"/>
      <c r="H913" s="400"/>
      <c r="I913" s="401"/>
      <c r="J913" s="401"/>
      <c r="K913" s="401"/>
      <c r="L913" s="401"/>
      <c r="M913" s="401"/>
      <c r="N913" s="401"/>
      <c r="O913" s="401"/>
      <c r="P913" s="401"/>
      <c r="Q913" s="401"/>
      <c r="R913" s="401"/>
      <c r="S913" s="401"/>
      <c r="T913" s="401"/>
      <c r="U913" s="401"/>
      <c r="V913" s="401"/>
      <c r="W913" s="401"/>
      <c r="X913" s="401"/>
      <c r="Y913" s="401"/>
      <c r="Z913" s="401"/>
      <c r="AA913" s="401"/>
    </row>
    <row r="914">
      <c r="A914" s="401"/>
      <c r="B914" s="401"/>
      <c r="C914" s="401"/>
      <c r="D914" s="401"/>
      <c r="E914" s="399"/>
      <c r="F914" s="399"/>
      <c r="G914" s="399"/>
      <c r="H914" s="400"/>
      <c r="I914" s="401"/>
      <c r="J914" s="401"/>
      <c r="K914" s="401"/>
      <c r="L914" s="401"/>
      <c r="M914" s="401"/>
      <c r="N914" s="401"/>
      <c r="O914" s="401"/>
      <c r="P914" s="401"/>
      <c r="Q914" s="401"/>
      <c r="R914" s="401"/>
      <c r="S914" s="401"/>
      <c r="T914" s="401"/>
      <c r="U914" s="401"/>
      <c r="V914" s="401"/>
      <c r="W914" s="401"/>
      <c r="X914" s="401"/>
      <c r="Y914" s="401"/>
      <c r="Z914" s="401"/>
      <c r="AA914" s="401"/>
    </row>
    <row r="915">
      <c r="A915" s="401"/>
      <c r="B915" s="401"/>
      <c r="C915" s="401"/>
      <c r="D915" s="401"/>
      <c r="E915" s="399"/>
      <c r="F915" s="399"/>
      <c r="G915" s="399"/>
      <c r="H915" s="400"/>
      <c r="I915" s="401"/>
      <c r="J915" s="401"/>
      <c r="K915" s="401"/>
      <c r="L915" s="401"/>
      <c r="M915" s="401"/>
      <c r="N915" s="401"/>
      <c r="O915" s="401"/>
      <c r="P915" s="401"/>
      <c r="Q915" s="401"/>
      <c r="R915" s="401"/>
      <c r="S915" s="401"/>
      <c r="T915" s="401"/>
      <c r="U915" s="401"/>
      <c r="V915" s="401"/>
      <c r="W915" s="401"/>
      <c r="X915" s="401"/>
      <c r="Y915" s="401"/>
      <c r="Z915" s="401"/>
      <c r="AA915" s="401"/>
    </row>
    <row r="916">
      <c r="A916" s="401"/>
      <c r="B916" s="401"/>
      <c r="C916" s="401"/>
      <c r="D916" s="401"/>
      <c r="E916" s="399"/>
      <c r="F916" s="399"/>
      <c r="G916" s="399"/>
      <c r="H916" s="400"/>
      <c r="I916" s="401"/>
      <c r="J916" s="401"/>
      <c r="K916" s="401"/>
      <c r="L916" s="401"/>
      <c r="M916" s="401"/>
      <c r="N916" s="401"/>
      <c r="O916" s="401"/>
      <c r="P916" s="401"/>
      <c r="Q916" s="401"/>
      <c r="R916" s="401"/>
      <c r="S916" s="401"/>
      <c r="T916" s="401"/>
      <c r="U916" s="401"/>
      <c r="V916" s="401"/>
      <c r="W916" s="401"/>
      <c r="X916" s="401"/>
      <c r="Y916" s="401"/>
      <c r="Z916" s="401"/>
      <c r="AA916" s="401"/>
    </row>
    <row r="917">
      <c r="A917" s="401"/>
      <c r="B917" s="401"/>
      <c r="C917" s="401"/>
      <c r="D917" s="401"/>
      <c r="E917" s="399"/>
      <c r="F917" s="399"/>
      <c r="G917" s="399"/>
      <c r="H917" s="400"/>
      <c r="I917" s="401"/>
      <c r="J917" s="401"/>
      <c r="K917" s="401"/>
      <c r="L917" s="401"/>
      <c r="M917" s="401"/>
      <c r="N917" s="401"/>
      <c r="O917" s="401"/>
      <c r="P917" s="401"/>
      <c r="Q917" s="401"/>
      <c r="R917" s="401"/>
      <c r="S917" s="401"/>
      <c r="T917" s="401"/>
      <c r="U917" s="401"/>
      <c r="V917" s="401"/>
      <c r="W917" s="401"/>
      <c r="X917" s="401"/>
      <c r="Y917" s="401"/>
      <c r="Z917" s="401"/>
      <c r="AA917" s="401"/>
    </row>
    <row r="918">
      <c r="A918" s="401"/>
      <c r="B918" s="401"/>
      <c r="C918" s="401"/>
      <c r="D918" s="401"/>
      <c r="E918" s="399"/>
      <c r="F918" s="399"/>
      <c r="G918" s="399"/>
      <c r="H918" s="400"/>
      <c r="I918" s="401"/>
      <c r="J918" s="401"/>
      <c r="K918" s="401"/>
      <c r="L918" s="401"/>
      <c r="M918" s="401"/>
      <c r="N918" s="401"/>
      <c r="O918" s="401"/>
      <c r="P918" s="401"/>
      <c r="Q918" s="401"/>
      <c r="R918" s="401"/>
      <c r="S918" s="401"/>
      <c r="T918" s="401"/>
      <c r="U918" s="401"/>
      <c r="V918" s="401"/>
      <c r="W918" s="401"/>
      <c r="X918" s="401"/>
      <c r="Y918" s="401"/>
      <c r="Z918" s="401"/>
      <c r="AA918" s="401"/>
    </row>
    <row r="919">
      <c r="A919" s="401"/>
      <c r="B919" s="401"/>
      <c r="C919" s="401"/>
      <c r="D919" s="401"/>
      <c r="E919" s="399"/>
      <c r="F919" s="399"/>
      <c r="G919" s="399"/>
      <c r="H919" s="400"/>
      <c r="I919" s="401"/>
      <c r="J919" s="401"/>
      <c r="K919" s="401"/>
      <c r="L919" s="401"/>
      <c r="M919" s="401"/>
      <c r="N919" s="401"/>
      <c r="O919" s="401"/>
      <c r="P919" s="401"/>
      <c r="Q919" s="401"/>
      <c r="R919" s="401"/>
      <c r="S919" s="401"/>
      <c r="T919" s="401"/>
      <c r="U919" s="401"/>
      <c r="V919" s="401"/>
      <c r="W919" s="401"/>
      <c r="X919" s="401"/>
      <c r="Y919" s="401"/>
      <c r="Z919" s="401"/>
      <c r="AA919" s="401"/>
    </row>
    <row r="920">
      <c r="A920" s="401"/>
      <c r="B920" s="401"/>
      <c r="C920" s="401"/>
      <c r="D920" s="401"/>
      <c r="E920" s="399"/>
      <c r="F920" s="399"/>
      <c r="G920" s="399"/>
      <c r="H920" s="400"/>
      <c r="I920" s="401"/>
      <c r="J920" s="401"/>
      <c r="K920" s="401"/>
      <c r="L920" s="401"/>
      <c r="M920" s="401"/>
      <c r="N920" s="401"/>
      <c r="O920" s="401"/>
      <c r="P920" s="401"/>
      <c r="Q920" s="401"/>
      <c r="R920" s="401"/>
      <c r="S920" s="401"/>
      <c r="T920" s="401"/>
      <c r="U920" s="401"/>
      <c r="V920" s="401"/>
      <c r="W920" s="401"/>
      <c r="X920" s="401"/>
      <c r="Y920" s="401"/>
      <c r="Z920" s="401"/>
      <c r="AA920" s="401"/>
    </row>
    <row r="921">
      <c r="A921" s="401"/>
      <c r="B921" s="401"/>
      <c r="C921" s="401"/>
      <c r="D921" s="401"/>
      <c r="E921" s="399"/>
      <c r="F921" s="399"/>
      <c r="G921" s="399"/>
      <c r="H921" s="400"/>
      <c r="I921" s="401"/>
      <c r="J921" s="401"/>
      <c r="K921" s="401"/>
      <c r="L921" s="401"/>
      <c r="M921" s="401"/>
      <c r="N921" s="401"/>
      <c r="O921" s="401"/>
      <c r="P921" s="401"/>
      <c r="Q921" s="401"/>
      <c r="R921" s="401"/>
      <c r="S921" s="401"/>
      <c r="T921" s="401"/>
      <c r="U921" s="401"/>
      <c r="V921" s="401"/>
      <c r="W921" s="401"/>
      <c r="X921" s="401"/>
      <c r="Y921" s="401"/>
      <c r="Z921" s="401"/>
      <c r="AA921" s="401"/>
    </row>
    <row r="922">
      <c r="A922" s="401"/>
      <c r="B922" s="401"/>
      <c r="C922" s="401"/>
      <c r="D922" s="401"/>
      <c r="E922" s="399"/>
      <c r="F922" s="399"/>
      <c r="G922" s="399"/>
      <c r="H922" s="400"/>
      <c r="I922" s="401"/>
      <c r="J922" s="401"/>
      <c r="K922" s="401"/>
      <c r="L922" s="401"/>
      <c r="M922" s="401"/>
      <c r="N922" s="401"/>
      <c r="O922" s="401"/>
      <c r="P922" s="401"/>
      <c r="Q922" s="401"/>
      <c r="R922" s="401"/>
      <c r="S922" s="401"/>
      <c r="T922" s="401"/>
      <c r="U922" s="401"/>
      <c r="V922" s="401"/>
      <c r="W922" s="401"/>
      <c r="X922" s="401"/>
      <c r="Y922" s="401"/>
      <c r="Z922" s="401"/>
      <c r="AA922" s="401"/>
    </row>
    <row r="923">
      <c r="A923" s="401"/>
      <c r="B923" s="401"/>
      <c r="C923" s="401"/>
      <c r="D923" s="401"/>
      <c r="E923" s="399"/>
      <c r="F923" s="399"/>
      <c r="G923" s="399"/>
      <c r="H923" s="400"/>
      <c r="I923" s="401"/>
      <c r="J923" s="401"/>
      <c r="K923" s="401"/>
      <c r="L923" s="401"/>
      <c r="M923" s="401"/>
      <c r="N923" s="401"/>
      <c r="O923" s="401"/>
      <c r="P923" s="401"/>
      <c r="Q923" s="401"/>
      <c r="R923" s="401"/>
      <c r="S923" s="401"/>
      <c r="T923" s="401"/>
      <c r="U923" s="401"/>
      <c r="V923" s="401"/>
      <c r="W923" s="401"/>
      <c r="X923" s="401"/>
      <c r="Y923" s="401"/>
      <c r="Z923" s="401"/>
      <c r="AA923" s="401"/>
    </row>
    <row r="924">
      <c r="A924" s="401"/>
      <c r="B924" s="401"/>
      <c r="C924" s="401"/>
      <c r="D924" s="401"/>
      <c r="E924" s="399"/>
      <c r="F924" s="399"/>
      <c r="G924" s="399"/>
      <c r="H924" s="400"/>
      <c r="I924" s="401"/>
      <c r="J924" s="401"/>
      <c r="K924" s="401"/>
      <c r="L924" s="401"/>
      <c r="M924" s="401"/>
      <c r="N924" s="401"/>
      <c r="O924" s="401"/>
      <c r="P924" s="401"/>
      <c r="Q924" s="401"/>
      <c r="R924" s="401"/>
      <c r="S924" s="401"/>
      <c r="T924" s="401"/>
      <c r="U924" s="401"/>
      <c r="V924" s="401"/>
      <c r="W924" s="401"/>
      <c r="X924" s="401"/>
      <c r="Y924" s="401"/>
      <c r="Z924" s="401"/>
      <c r="AA924" s="401"/>
    </row>
    <row r="925">
      <c r="A925" s="401"/>
      <c r="B925" s="401"/>
      <c r="C925" s="401"/>
      <c r="D925" s="401"/>
      <c r="E925" s="399"/>
      <c r="F925" s="399"/>
      <c r="G925" s="399"/>
      <c r="H925" s="400"/>
      <c r="I925" s="401"/>
      <c r="J925" s="401"/>
      <c r="K925" s="401"/>
      <c r="L925" s="401"/>
      <c r="M925" s="401"/>
      <c r="N925" s="401"/>
      <c r="O925" s="401"/>
      <c r="P925" s="401"/>
      <c r="Q925" s="401"/>
      <c r="R925" s="401"/>
      <c r="S925" s="401"/>
      <c r="T925" s="401"/>
      <c r="U925" s="401"/>
      <c r="V925" s="401"/>
      <c r="W925" s="401"/>
      <c r="X925" s="401"/>
      <c r="Y925" s="401"/>
      <c r="Z925" s="401"/>
      <c r="AA925" s="401"/>
    </row>
    <row r="926">
      <c r="A926" s="401"/>
      <c r="B926" s="401"/>
      <c r="C926" s="401"/>
      <c r="D926" s="401"/>
      <c r="E926" s="399"/>
      <c r="F926" s="399"/>
      <c r="G926" s="399"/>
      <c r="H926" s="400"/>
      <c r="I926" s="401"/>
      <c r="J926" s="401"/>
      <c r="K926" s="401"/>
      <c r="L926" s="401"/>
      <c r="M926" s="401"/>
      <c r="N926" s="401"/>
      <c r="O926" s="401"/>
      <c r="P926" s="401"/>
      <c r="Q926" s="401"/>
      <c r="R926" s="401"/>
      <c r="S926" s="401"/>
      <c r="T926" s="401"/>
      <c r="U926" s="401"/>
      <c r="V926" s="401"/>
      <c r="W926" s="401"/>
      <c r="X926" s="401"/>
      <c r="Y926" s="401"/>
      <c r="Z926" s="401"/>
      <c r="AA926" s="401"/>
    </row>
    <row r="927">
      <c r="A927" s="401"/>
      <c r="B927" s="401"/>
      <c r="C927" s="401"/>
      <c r="D927" s="401"/>
      <c r="E927" s="399"/>
      <c r="F927" s="399"/>
      <c r="G927" s="399"/>
      <c r="H927" s="400"/>
      <c r="I927" s="401"/>
      <c r="J927" s="401"/>
      <c r="K927" s="401"/>
      <c r="L927" s="401"/>
      <c r="M927" s="401"/>
      <c r="N927" s="401"/>
      <c r="O927" s="401"/>
      <c r="P927" s="401"/>
      <c r="Q927" s="401"/>
      <c r="R927" s="401"/>
      <c r="S927" s="401"/>
      <c r="T927" s="401"/>
      <c r="U927" s="401"/>
      <c r="V927" s="401"/>
      <c r="W927" s="401"/>
      <c r="X927" s="401"/>
      <c r="Y927" s="401"/>
      <c r="Z927" s="401"/>
      <c r="AA927" s="401"/>
    </row>
    <row r="928">
      <c r="A928" s="401"/>
      <c r="B928" s="401"/>
      <c r="C928" s="401"/>
      <c r="D928" s="401"/>
      <c r="E928" s="399"/>
      <c r="F928" s="399"/>
      <c r="G928" s="399"/>
      <c r="H928" s="400"/>
      <c r="I928" s="401"/>
      <c r="J928" s="401"/>
      <c r="K928" s="401"/>
      <c r="L928" s="401"/>
      <c r="M928" s="401"/>
      <c r="N928" s="401"/>
      <c r="O928" s="401"/>
      <c r="P928" s="401"/>
      <c r="Q928" s="401"/>
      <c r="R928" s="401"/>
      <c r="S928" s="401"/>
      <c r="T928" s="401"/>
      <c r="U928" s="401"/>
      <c r="V928" s="401"/>
      <c r="W928" s="401"/>
      <c r="X928" s="401"/>
      <c r="Y928" s="401"/>
      <c r="Z928" s="401"/>
      <c r="AA928" s="401"/>
    </row>
    <row r="929">
      <c r="A929" s="401"/>
      <c r="B929" s="401"/>
      <c r="C929" s="401"/>
      <c r="D929" s="401"/>
      <c r="E929" s="399"/>
      <c r="F929" s="399"/>
      <c r="G929" s="399"/>
      <c r="H929" s="400"/>
      <c r="I929" s="401"/>
      <c r="J929" s="401"/>
      <c r="K929" s="401"/>
      <c r="L929" s="401"/>
      <c r="M929" s="401"/>
      <c r="N929" s="401"/>
      <c r="O929" s="401"/>
      <c r="P929" s="401"/>
      <c r="Q929" s="401"/>
      <c r="R929" s="401"/>
      <c r="S929" s="401"/>
      <c r="T929" s="401"/>
      <c r="U929" s="401"/>
      <c r="V929" s="401"/>
      <c r="W929" s="401"/>
      <c r="X929" s="401"/>
      <c r="Y929" s="401"/>
      <c r="Z929" s="401"/>
      <c r="AA929" s="401"/>
    </row>
    <row r="930">
      <c r="A930" s="401"/>
      <c r="B930" s="401"/>
      <c r="C930" s="401"/>
      <c r="D930" s="401"/>
      <c r="E930" s="399"/>
      <c r="F930" s="399"/>
      <c r="G930" s="399"/>
      <c r="H930" s="400"/>
      <c r="I930" s="401"/>
      <c r="J930" s="401"/>
      <c r="K930" s="401"/>
      <c r="L930" s="401"/>
      <c r="M930" s="401"/>
      <c r="N930" s="401"/>
      <c r="O930" s="401"/>
      <c r="P930" s="401"/>
      <c r="Q930" s="401"/>
      <c r="R930" s="401"/>
      <c r="S930" s="401"/>
      <c r="T930" s="401"/>
      <c r="U930" s="401"/>
      <c r="V930" s="401"/>
      <c r="W930" s="401"/>
      <c r="X930" s="401"/>
      <c r="Y930" s="401"/>
      <c r="Z930" s="401"/>
      <c r="AA930" s="401"/>
    </row>
    <row r="931">
      <c r="A931" s="401"/>
      <c r="B931" s="401"/>
      <c r="C931" s="401"/>
      <c r="D931" s="401"/>
      <c r="E931" s="399"/>
      <c r="F931" s="399"/>
      <c r="G931" s="399"/>
      <c r="H931" s="400"/>
      <c r="I931" s="401"/>
      <c r="J931" s="401"/>
      <c r="K931" s="401"/>
      <c r="L931" s="401"/>
      <c r="M931" s="401"/>
      <c r="N931" s="401"/>
      <c r="O931" s="401"/>
      <c r="P931" s="401"/>
      <c r="Q931" s="401"/>
      <c r="R931" s="401"/>
      <c r="S931" s="401"/>
      <c r="T931" s="401"/>
      <c r="U931" s="401"/>
      <c r="V931" s="401"/>
      <c r="W931" s="401"/>
      <c r="X931" s="401"/>
      <c r="Y931" s="401"/>
      <c r="Z931" s="401"/>
      <c r="AA931" s="401"/>
    </row>
    <row r="932">
      <c r="A932" s="401"/>
      <c r="B932" s="401"/>
      <c r="C932" s="401"/>
      <c r="D932" s="401"/>
      <c r="E932" s="399"/>
      <c r="F932" s="399"/>
      <c r="G932" s="399"/>
      <c r="H932" s="400"/>
      <c r="I932" s="401"/>
      <c r="J932" s="401"/>
      <c r="K932" s="401"/>
      <c r="L932" s="401"/>
      <c r="M932" s="401"/>
      <c r="N932" s="401"/>
      <c r="O932" s="401"/>
      <c r="P932" s="401"/>
      <c r="Q932" s="401"/>
      <c r="R932" s="401"/>
      <c r="S932" s="401"/>
      <c r="T932" s="401"/>
      <c r="U932" s="401"/>
      <c r="V932" s="401"/>
      <c r="W932" s="401"/>
      <c r="X932" s="401"/>
      <c r="Y932" s="401"/>
      <c r="Z932" s="401"/>
      <c r="AA932" s="401"/>
    </row>
    <row r="933">
      <c r="A933" s="401"/>
      <c r="B933" s="401"/>
      <c r="C933" s="401"/>
      <c r="D933" s="401"/>
      <c r="E933" s="399"/>
      <c r="F933" s="399"/>
      <c r="G933" s="399"/>
      <c r="H933" s="400"/>
      <c r="I933" s="401"/>
      <c r="J933" s="401"/>
      <c r="K933" s="401"/>
      <c r="L933" s="401"/>
      <c r="M933" s="401"/>
      <c r="N933" s="401"/>
      <c r="O933" s="401"/>
      <c r="P933" s="401"/>
      <c r="Q933" s="401"/>
      <c r="R933" s="401"/>
      <c r="S933" s="401"/>
      <c r="T933" s="401"/>
      <c r="U933" s="401"/>
      <c r="V933" s="401"/>
      <c r="W933" s="401"/>
      <c r="X933" s="401"/>
      <c r="Y933" s="401"/>
      <c r="Z933" s="401"/>
      <c r="AA933" s="401"/>
    </row>
    <row r="934">
      <c r="A934" s="401"/>
      <c r="B934" s="401"/>
      <c r="C934" s="401"/>
      <c r="D934" s="401"/>
      <c r="E934" s="399"/>
      <c r="F934" s="399"/>
      <c r="G934" s="399"/>
      <c r="H934" s="400"/>
      <c r="I934" s="401"/>
      <c r="J934" s="401"/>
      <c r="K934" s="401"/>
      <c r="L934" s="401"/>
      <c r="M934" s="401"/>
      <c r="N934" s="401"/>
      <c r="O934" s="401"/>
      <c r="P934" s="401"/>
      <c r="Q934" s="401"/>
      <c r="R934" s="401"/>
      <c r="S934" s="401"/>
      <c r="T934" s="401"/>
      <c r="U934" s="401"/>
      <c r="V934" s="401"/>
      <c r="W934" s="401"/>
      <c r="X934" s="401"/>
      <c r="Y934" s="401"/>
      <c r="Z934" s="401"/>
      <c r="AA934" s="401"/>
    </row>
    <row r="935">
      <c r="A935" s="401"/>
      <c r="B935" s="401"/>
      <c r="C935" s="401"/>
      <c r="D935" s="401"/>
      <c r="E935" s="399"/>
      <c r="F935" s="399"/>
      <c r="G935" s="399"/>
      <c r="H935" s="400"/>
      <c r="I935" s="401"/>
      <c r="J935" s="401"/>
      <c r="K935" s="401"/>
      <c r="L935" s="401"/>
      <c r="M935" s="401"/>
      <c r="N935" s="401"/>
      <c r="O935" s="401"/>
      <c r="P935" s="401"/>
      <c r="Q935" s="401"/>
      <c r="R935" s="401"/>
      <c r="S935" s="401"/>
      <c r="T935" s="401"/>
      <c r="U935" s="401"/>
      <c r="V935" s="401"/>
      <c r="W935" s="401"/>
      <c r="X935" s="401"/>
      <c r="Y935" s="401"/>
      <c r="Z935" s="401"/>
      <c r="AA935" s="401"/>
    </row>
    <row r="936">
      <c r="A936" s="401"/>
      <c r="B936" s="401"/>
      <c r="C936" s="401"/>
      <c r="D936" s="401"/>
      <c r="E936" s="399"/>
      <c r="F936" s="399"/>
      <c r="G936" s="399"/>
      <c r="H936" s="400"/>
      <c r="I936" s="401"/>
      <c r="J936" s="401"/>
      <c r="K936" s="401"/>
      <c r="L936" s="401"/>
      <c r="M936" s="401"/>
      <c r="N936" s="401"/>
      <c r="O936" s="401"/>
      <c r="P936" s="401"/>
      <c r="Q936" s="401"/>
      <c r="R936" s="401"/>
      <c r="S936" s="401"/>
      <c r="T936" s="401"/>
      <c r="U936" s="401"/>
      <c r="V936" s="401"/>
      <c r="W936" s="401"/>
      <c r="X936" s="401"/>
      <c r="Y936" s="401"/>
      <c r="Z936" s="401"/>
      <c r="AA936" s="401"/>
    </row>
    <row r="937">
      <c r="A937" s="401"/>
      <c r="B937" s="401"/>
      <c r="C937" s="401"/>
      <c r="D937" s="401"/>
      <c r="E937" s="399"/>
      <c r="F937" s="399"/>
      <c r="G937" s="399"/>
      <c r="H937" s="400"/>
      <c r="I937" s="401"/>
      <c r="J937" s="401"/>
      <c r="K937" s="401"/>
      <c r="L937" s="401"/>
      <c r="M937" s="401"/>
      <c r="N937" s="401"/>
      <c r="O937" s="401"/>
      <c r="P937" s="401"/>
      <c r="Q937" s="401"/>
      <c r="R937" s="401"/>
      <c r="S937" s="401"/>
      <c r="T937" s="401"/>
      <c r="U937" s="401"/>
      <c r="V937" s="401"/>
      <c r="W937" s="401"/>
      <c r="X937" s="401"/>
      <c r="Y937" s="401"/>
      <c r="Z937" s="401"/>
      <c r="AA937" s="401"/>
    </row>
    <row r="938">
      <c r="A938" s="401"/>
      <c r="B938" s="401"/>
      <c r="C938" s="401"/>
      <c r="D938" s="401"/>
      <c r="E938" s="399"/>
      <c r="F938" s="399"/>
      <c r="G938" s="399"/>
      <c r="H938" s="400"/>
      <c r="I938" s="401"/>
      <c r="J938" s="401"/>
      <c r="K938" s="401"/>
      <c r="L938" s="401"/>
      <c r="M938" s="401"/>
      <c r="N938" s="401"/>
      <c r="O938" s="401"/>
      <c r="P938" s="401"/>
      <c r="Q938" s="401"/>
      <c r="R938" s="401"/>
      <c r="S938" s="401"/>
      <c r="T938" s="401"/>
      <c r="U938" s="401"/>
      <c r="V938" s="401"/>
      <c r="W938" s="401"/>
      <c r="X938" s="401"/>
      <c r="Y938" s="401"/>
      <c r="Z938" s="401"/>
      <c r="AA938" s="401"/>
    </row>
    <row r="939">
      <c r="A939" s="401"/>
      <c r="B939" s="401"/>
      <c r="C939" s="401"/>
      <c r="D939" s="401"/>
      <c r="E939" s="399"/>
      <c r="F939" s="399"/>
      <c r="G939" s="399"/>
      <c r="H939" s="400"/>
      <c r="I939" s="401"/>
      <c r="J939" s="401"/>
      <c r="K939" s="401"/>
      <c r="L939" s="401"/>
      <c r="M939" s="401"/>
      <c r="N939" s="401"/>
      <c r="O939" s="401"/>
      <c r="P939" s="401"/>
      <c r="Q939" s="401"/>
      <c r="R939" s="401"/>
      <c r="S939" s="401"/>
      <c r="T939" s="401"/>
      <c r="U939" s="401"/>
      <c r="V939" s="401"/>
      <c r="W939" s="401"/>
      <c r="X939" s="401"/>
      <c r="Y939" s="401"/>
      <c r="Z939" s="401"/>
      <c r="AA939" s="401"/>
    </row>
    <row r="940">
      <c r="A940" s="401"/>
      <c r="B940" s="401"/>
      <c r="C940" s="401"/>
      <c r="D940" s="401"/>
      <c r="E940" s="399"/>
      <c r="F940" s="399"/>
      <c r="G940" s="399"/>
      <c r="H940" s="400"/>
      <c r="I940" s="401"/>
      <c r="J940" s="401"/>
      <c r="K940" s="401"/>
      <c r="L940" s="401"/>
      <c r="M940" s="401"/>
      <c r="N940" s="401"/>
      <c r="O940" s="401"/>
      <c r="P940" s="401"/>
      <c r="Q940" s="401"/>
      <c r="R940" s="401"/>
      <c r="S940" s="401"/>
      <c r="T940" s="401"/>
      <c r="U940" s="401"/>
      <c r="V940" s="401"/>
      <c r="W940" s="401"/>
      <c r="X940" s="401"/>
      <c r="Y940" s="401"/>
      <c r="Z940" s="401"/>
      <c r="AA940" s="401"/>
    </row>
    <row r="941">
      <c r="A941" s="401"/>
      <c r="B941" s="401"/>
      <c r="C941" s="401"/>
      <c r="D941" s="401"/>
      <c r="E941" s="399"/>
      <c r="F941" s="399"/>
      <c r="G941" s="399"/>
      <c r="H941" s="400"/>
      <c r="I941" s="401"/>
      <c r="J941" s="401"/>
      <c r="K941" s="401"/>
      <c r="L941" s="401"/>
      <c r="M941" s="401"/>
      <c r="N941" s="401"/>
      <c r="O941" s="401"/>
      <c r="P941" s="401"/>
      <c r="Q941" s="401"/>
      <c r="R941" s="401"/>
      <c r="S941" s="401"/>
      <c r="T941" s="401"/>
      <c r="U941" s="401"/>
      <c r="V941" s="401"/>
      <c r="W941" s="401"/>
      <c r="X941" s="401"/>
      <c r="Y941" s="401"/>
      <c r="Z941" s="401"/>
      <c r="AA941" s="401"/>
    </row>
    <row r="942">
      <c r="A942" s="401"/>
      <c r="B942" s="401"/>
      <c r="C942" s="401"/>
      <c r="D942" s="401"/>
      <c r="E942" s="399"/>
      <c r="F942" s="399"/>
      <c r="G942" s="399"/>
      <c r="H942" s="400"/>
      <c r="I942" s="401"/>
      <c r="J942" s="401"/>
      <c r="K942" s="401"/>
      <c r="L942" s="401"/>
      <c r="M942" s="401"/>
      <c r="N942" s="401"/>
      <c r="O942" s="401"/>
      <c r="P942" s="401"/>
      <c r="Q942" s="401"/>
      <c r="R942" s="401"/>
      <c r="S942" s="401"/>
      <c r="T942" s="401"/>
      <c r="U942" s="401"/>
      <c r="V942" s="401"/>
      <c r="W942" s="401"/>
      <c r="X942" s="401"/>
      <c r="Y942" s="401"/>
      <c r="Z942" s="401"/>
      <c r="AA942" s="401"/>
    </row>
    <row r="943">
      <c r="A943" s="401"/>
      <c r="B943" s="401"/>
      <c r="C943" s="401"/>
      <c r="D943" s="401"/>
      <c r="E943" s="399"/>
      <c r="F943" s="399"/>
      <c r="G943" s="399"/>
      <c r="H943" s="400"/>
      <c r="I943" s="401"/>
      <c r="J943" s="401"/>
      <c r="K943" s="401"/>
      <c r="L943" s="401"/>
      <c r="M943" s="401"/>
      <c r="N943" s="401"/>
      <c r="O943" s="401"/>
      <c r="P943" s="401"/>
      <c r="Q943" s="401"/>
      <c r="R943" s="401"/>
      <c r="S943" s="401"/>
      <c r="T943" s="401"/>
      <c r="U943" s="401"/>
      <c r="V943" s="401"/>
      <c r="W943" s="401"/>
      <c r="X943" s="401"/>
      <c r="Y943" s="401"/>
      <c r="Z943" s="401"/>
      <c r="AA943" s="401"/>
    </row>
    <row r="944">
      <c r="A944" s="401"/>
      <c r="B944" s="401"/>
      <c r="C944" s="401"/>
      <c r="D944" s="401"/>
      <c r="E944" s="399"/>
      <c r="F944" s="399"/>
      <c r="G944" s="399"/>
      <c r="H944" s="400"/>
      <c r="I944" s="401"/>
      <c r="J944" s="401"/>
      <c r="K944" s="401"/>
      <c r="L944" s="401"/>
      <c r="M944" s="401"/>
      <c r="N944" s="401"/>
      <c r="O944" s="401"/>
      <c r="P944" s="401"/>
      <c r="Q944" s="401"/>
      <c r="R944" s="401"/>
      <c r="S944" s="401"/>
      <c r="T944" s="401"/>
      <c r="U944" s="401"/>
      <c r="V944" s="401"/>
      <c r="W944" s="401"/>
      <c r="X944" s="401"/>
      <c r="Y944" s="401"/>
      <c r="Z944" s="401"/>
      <c r="AA944" s="401"/>
    </row>
    <row r="945">
      <c r="A945" s="401"/>
      <c r="B945" s="401"/>
      <c r="C945" s="401"/>
      <c r="D945" s="401"/>
      <c r="E945" s="399"/>
      <c r="F945" s="399"/>
      <c r="G945" s="399"/>
      <c r="H945" s="400"/>
      <c r="I945" s="401"/>
      <c r="J945" s="401"/>
      <c r="K945" s="401"/>
      <c r="L945" s="401"/>
      <c r="M945" s="401"/>
      <c r="N945" s="401"/>
      <c r="O945" s="401"/>
      <c r="P945" s="401"/>
      <c r="Q945" s="401"/>
      <c r="R945" s="401"/>
      <c r="S945" s="401"/>
      <c r="T945" s="401"/>
      <c r="U945" s="401"/>
      <c r="V945" s="401"/>
      <c r="W945" s="401"/>
      <c r="X945" s="401"/>
      <c r="Y945" s="401"/>
      <c r="Z945" s="401"/>
      <c r="AA945" s="401"/>
    </row>
    <row r="946">
      <c r="A946" s="401"/>
      <c r="B946" s="401"/>
      <c r="C946" s="401"/>
      <c r="D946" s="401"/>
      <c r="E946" s="399"/>
      <c r="F946" s="399"/>
      <c r="G946" s="399"/>
      <c r="H946" s="400"/>
      <c r="I946" s="401"/>
      <c r="J946" s="401"/>
      <c r="K946" s="401"/>
      <c r="L946" s="401"/>
      <c r="M946" s="401"/>
      <c r="N946" s="401"/>
      <c r="O946" s="401"/>
      <c r="P946" s="401"/>
      <c r="Q946" s="401"/>
      <c r="R946" s="401"/>
      <c r="S946" s="401"/>
      <c r="T946" s="401"/>
      <c r="U946" s="401"/>
      <c r="V946" s="401"/>
      <c r="W946" s="401"/>
      <c r="X946" s="401"/>
      <c r="Y946" s="401"/>
      <c r="Z946" s="401"/>
      <c r="AA946" s="401"/>
    </row>
    <row r="947">
      <c r="A947" s="401"/>
      <c r="B947" s="401"/>
      <c r="C947" s="401"/>
      <c r="D947" s="401"/>
      <c r="E947" s="399"/>
      <c r="F947" s="399"/>
      <c r="G947" s="399"/>
      <c r="H947" s="400"/>
      <c r="I947" s="401"/>
      <c r="J947" s="401"/>
      <c r="K947" s="401"/>
      <c r="L947" s="401"/>
      <c r="M947" s="401"/>
      <c r="N947" s="401"/>
      <c r="O947" s="401"/>
      <c r="P947" s="401"/>
      <c r="Q947" s="401"/>
      <c r="R947" s="401"/>
      <c r="S947" s="401"/>
      <c r="T947" s="401"/>
      <c r="U947" s="401"/>
      <c r="V947" s="401"/>
      <c r="W947" s="401"/>
      <c r="X947" s="401"/>
      <c r="Y947" s="401"/>
      <c r="Z947" s="401"/>
      <c r="AA947" s="401"/>
    </row>
    <row r="948">
      <c r="A948" s="401"/>
      <c r="B948" s="401"/>
      <c r="C948" s="401"/>
      <c r="D948" s="401"/>
      <c r="E948" s="399"/>
      <c r="F948" s="399"/>
      <c r="G948" s="399"/>
      <c r="H948" s="400"/>
      <c r="I948" s="401"/>
      <c r="J948" s="401"/>
      <c r="K948" s="401"/>
      <c r="L948" s="401"/>
      <c r="M948" s="401"/>
      <c r="N948" s="401"/>
      <c r="O948" s="401"/>
      <c r="P948" s="401"/>
      <c r="Q948" s="401"/>
      <c r="R948" s="401"/>
      <c r="S948" s="401"/>
      <c r="T948" s="401"/>
      <c r="U948" s="401"/>
      <c r="V948" s="401"/>
      <c r="W948" s="401"/>
      <c r="X948" s="401"/>
      <c r="Y948" s="401"/>
      <c r="Z948" s="401"/>
      <c r="AA948" s="401"/>
    </row>
    <row r="949">
      <c r="A949" s="401"/>
      <c r="B949" s="401"/>
      <c r="C949" s="401"/>
      <c r="D949" s="401"/>
      <c r="E949" s="399"/>
      <c r="F949" s="399"/>
      <c r="G949" s="399"/>
      <c r="H949" s="400"/>
      <c r="I949" s="401"/>
      <c r="J949" s="401"/>
      <c r="K949" s="401"/>
      <c r="L949" s="401"/>
      <c r="M949" s="401"/>
      <c r="N949" s="401"/>
      <c r="O949" s="401"/>
      <c r="P949" s="401"/>
      <c r="Q949" s="401"/>
      <c r="R949" s="401"/>
      <c r="S949" s="401"/>
      <c r="T949" s="401"/>
      <c r="U949" s="401"/>
      <c r="V949" s="401"/>
      <c r="W949" s="401"/>
      <c r="X949" s="401"/>
      <c r="Y949" s="401"/>
      <c r="Z949" s="401"/>
      <c r="AA949" s="401"/>
    </row>
    <row r="950">
      <c r="A950" s="401"/>
      <c r="B950" s="401"/>
      <c r="C950" s="401"/>
      <c r="D950" s="401"/>
      <c r="E950" s="399"/>
      <c r="F950" s="399"/>
      <c r="G950" s="399"/>
      <c r="H950" s="400"/>
      <c r="I950" s="401"/>
      <c r="J950" s="401"/>
      <c r="K950" s="401"/>
      <c r="L950" s="401"/>
      <c r="M950" s="401"/>
      <c r="N950" s="401"/>
      <c r="O950" s="401"/>
      <c r="P950" s="401"/>
      <c r="Q950" s="401"/>
      <c r="R950" s="401"/>
      <c r="S950" s="401"/>
      <c r="T950" s="401"/>
      <c r="U950" s="401"/>
      <c r="V950" s="401"/>
      <c r="W950" s="401"/>
      <c r="X950" s="401"/>
      <c r="Y950" s="401"/>
      <c r="Z950" s="401"/>
      <c r="AA950" s="401"/>
    </row>
    <row r="951">
      <c r="A951" s="401"/>
      <c r="B951" s="401"/>
      <c r="C951" s="401"/>
      <c r="D951" s="401"/>
      <c r="E951" s="399"/>
      <c r="F951" s="399"/>
      <c r="G951" s="399"/>
      <c r="H951" s="400"/>
      <c r="I951" s="401"/>
      <c r="J951" s="401"/>
      <c r="K951" s="401"/>
      <c r="L951" s="401"/>
      <c r="M951" s="401"/>
      <c r="N951" s="401"/>
      <c r="O951" s="401"/>
      <c r="P951" s="401"/>
      <c r="Q951" s="401"/>
      <c r="R951" s="401"/>
      <c r="S951" s="401"/>
      <c r="T951" s="401"/>
      <c r="U951" s="401"/>
      <c r="V951" s="401"/>
      <c r="W951" s="401"/>
      <c r="X951" s="401"/>
      <c r="Y951" s="401"/>
      <c r="Z951" s="401"/>
      <c r="AA951" s="401"/>
    </row>
    <row r="952">
      <c r="A952" s="401"/>
      <c r="B952" s="401"/>
      <c r="C952" s="401"/>
      <c r="D952" s="401"/>
      <c r="E952" s="399"/>
      <c r="F952" s="399"/>
      <c r="G952" s="399"/>
      <c r="H952" s="400"/>
      <c r="I952" s="401"/>
      <c r="J952" s="401"/>
      <c r="K952" s="401"/>
      <c r="L952" s="401"/>
      <c r="M952" s="401"/>
      <c r="N952" s="401"/>
      <c r="O952" s="401"/>
      <c r="P952" s="401"/>
      <c r="Q952" s="401"/>
      <c r="R952" s="401"/>
      <c r="S952" s="401"/>
      <c r="T952" s="401"/>
      <c r="U952" s="401"/>
      <c r="V952" s="401"/>
      <c r="W952" s="401"/>
      <c r="X952" s="401"/>
      <c r="Y952" s="401"/>
      <c r="Z952" s="401"/>
      <c r="AA952" s="401"/>
    </row>
    <row r="953">
      <c r="A953" s="401"/>
      <c r="B953" s="401"/>
      <c r="C953" s="401"/>
      <c r="D953" s="401"/>
      <c r="E953" s="399"/>
      <c r="F953" s="399"/>
      <c r="G953" s="399"/>
      <c r="H953" s="400"/>
      <c r="I953" s="401"/>
      <c r="J953" s="401"/>
      <c r="K953" s="401"/>
      <c r="L953" s="401"/>
      <c r="M953" s="401"/>
      <c r="N953" s="401"/>
      <c r="O953" s="401"/>
      <c r="P953" s="401"/>
      <c r="Q953" s="401"/>
      <c r="R953" s="401"/>
      <c r="S953" s="401"/>
      <c r="T953" s="401"/>
      <c r="U953" s="401"/>
      <c r="V953" s="401"/>
      <c r="W953" s="401"/>
      <c r="X953" s="401"/>
      <c r="Y953" s="401"/>
      <c r="Z953" s="401"/>
      <c r="AA953" s="401"/>
    </row>
    <row r="954">
      <c r="A954" s="401"/>
      <c r="B954" s="401"/>
      <c r="C954" s="401"/>
      <c r="D954" s="401"/>
      <c r="E954" s="399"/>
      <c r="F954" s="399"/>
      <c r="G954" s="399"/>
      <c r="H954" s="400"/>
      <c r="I954" s="401"/>
      <c r="J954" s="401"/>
      <c r="K954" s="401"/>
      <c r="L954" s="401"/>
      <c r="M954" s="401"/>
      <c r="N954" s="401"/>
      <c r="O954" s="401"/>
      <c r="P954" s="401"/>
      <c r="Q954" s="401"/>
      <c r="R954" s="401"/>
      <c r="S954" s="401"/>
      <c r="T954" s="401"/>
      <c r="U954" s="401"/>
      <c r="V954" s="401"/>
      <c r="W954" s="401"/>
      <c r="X954" s="401"/>
      <c r="Y954" s="401"/>
      <c r="Z954" s="401"/>
      <c r="AA954" s="401"/>
    </row>
    <row r="955">
      <c r="A955" s="401"/>
      <c r="B955" s="401"/>
      <c r="C955" s="401"/>
      <c r="D955" s="401"/>
      <c r="E955" s="399"/>
      <c r="F955" s="399"/>
      <c r="G955" s="399"/>
      <c r="H955" s="400"/>
      <c r="I955" s="401"/>
      <c r="J955" s="401"/>
      <c r="K955" s="401"/>
      <c r="L955" s="401"/>
      <c r="M955" s="401"/>
      <c r="N955" s="401"/>
      <c r="O955" s="401"/>
      <c r="P955" s="401"/>
      <c r="Q955" s="401"/>
      <c r="R955" s="401"/>
      <c r="S955" s="401"/>
      <c r="T955" s="401"/>
      <c r="U955" s="401"/>
      <c r="V955" s="401"/>
      <c r="W955" s="401"/>
      <c r="X955" s="401"/>
      <c r="Y955" s="401"/>
      <c r="Z955" s="401"/>
      <c r="AA955" s="401"/>
    </row>
    <row r="956">
      <c r="A956" s="401"/>
      <c r="B956" s="401"/>
      <c r="C956" s="401"/>
      <c r="D956" s="401"/>
      <c r="E956" s="399"/>
      <c r="F956" s="399"/>
      <c r="G956" s="399"/>
      <c r="H956" s="400"/>
      <c r="I956" s="401"/>
      <c r="J956" s="401"/>
      <c r="K956" s="401"/>
      <c r="L956" s="401"/>
      <c r="M956" s="401"/>
      <c r="N956" s="401"/>
      <c r="O956" s="401"/>
      <c r="P956" s="401"/>
      <c r="Q956" s="401"/>
      <c r="R956" s="401"/>
      <c r="S956" s="401"/>
      <c r="T956" s="401"/>
      <c r="U956" s="401"/>
      <c r="V956" s="401"/>
      <c r="W956" s="401"/>
      <c r="X956" s="401"/>
      <c r="Y956" s="401"/>
      <c r="Z956" s="401"/>
      <c r="AA956" s="401"/>
    </row>
    <row r="957">
      <c r="A957" s="401"/>
      <c r="B957" s="401"/>
      <c r="C957" s="401"/>
      <c r="D957" s="401"/>
      <c r="E957" s="399"/>
      <c r="F957" s="399"/>
      <c r="G957" s="399"/>
      <c r="H957" s="400"/>
      <c r="I957" s="401"/>
      <c r="J957" s="401"/>
      <c r="K957" s="401"/>
      <c r="L957" s="401"/>
      <c r="M957" s="401"/>
      <c r="N957" s="401"/>
      <c r="O957" s="401"/>
      <c r="P957" s="401"/>
      <c r="Q957" s="401"/>
      <c r="R957" s="401"/>
      <c r="S957" s="401"/>
      <c r="T957" s="401"/>
      <c r="U957" s="401"/>
      <c r="V957" s="401"/>
      <c r="W957" s="401"/>
      <c r="X957" s="401"/>
      <c r="Y957" s="401"/>
      <c r="Z957" s="401"/>
      <c r="AA957" s="401"/>
    </row>
    <row r="958">
      <c r="A958" s="401"/>
      <c r="B958" s="401"/>
      <c r="C958" s="401"/>
      <c r="D958" s="401"/>
      <c r="E958" s="399"/>
      <c r="F958" s="399"/>
      <c r="G958" s="399"/>
      <c r="H958" s="400"/>
      <c r="I958" s="401"/>
      <c r="J958" s="401"/>
      <c r="K958" s="401"/>
      <c r="L958" s="401"/>
      <c r="M958" s="401"/>
      <c r="N958" s="401"/>
      <c r="O958" s="401"/>
      <c r="P958" s="401"/>
      <c r="Q958" s="401"/>
      <c r="R958" s="401"/>
      <c r="S958" s="401"/>
      <c r="T958" s="401"/>
      <c r="U958" s="401"/>
      <c r="V958" s="401"/>
      <c r="W958" s="401"/>
      <c r="X958" s="401"/>
      <c r="Y958" s="401"/>
      <c r="Z958" s="401"/>
      <c r="AA958" s="401"/>
    </row>
    <row r="959">
      <c r="A959" s="401"/>
      <c r="B959" s="401"/>
      <c r="C959" s="401"/>
      <c r="D959" s="401"/>
      <c r="E959" s="399"/>
      <c r="F959" s="399"/>
      <c r="G959" s="399"/>
      <c r="H959" s="400"/>
      <c r="I959" s="401"/>
      <c r="J959" s="401"/>
      <c r="K959" s="401"/>
      <c r="L959" s="401"/>
      <c r="M959" s="401"/>
      <c r="N959" s="401"/>
      <c r="O959" s="401"/>
      <c r="P959" s="401"/>
      <c r="Q959" s="401"/>
      <c r="R959" s="401"/>
      <c r="S959" s="401"/>
      <c r="T959" s="401"/>
      <c r="U959" s="401"/>
      <c r="V959" s="401"/>
      <c r="W959" s="401"/>
      <c r="X959" s="401"/>
      <c r="Y959" s="401"/>
      <c r="Z959" s="401"/>
      <c r="AA959" s="401"/>
    </row>
    <row r="960">
      <c r="A960" s="401"/>
      <c r="B960" s="401"/>
      <c r="C960" s="401"/>
      <c r="D960" s="401"/>
      <c r="E960" s="399"/>
      <c r="F960" s="399"/>
      <c r="G960" s="399"/>
      <c r="H960" s="400"/>
      <c r="I960" s="401"/>
      <c r="J960" s="401"/>
      <c r="K960" s="401"/>
      <c r="L960" s="401"/>
      <c r="M960" s="401"/>
      <c r="N960" s="401"/>
      <c r="O960" s="401"/>
      <c r="P960" s="401"/>
      <c r="Q960" s="401"/>
      <c r="R960" s="401"/>
      <c r="S960" s="401"/>
      <c r="T960" s="401"/>
      <c r="U960" s="401"/>
      <c r="V960" s="401"/>
      <c r="W960" s="401"/>
      <c r="X960" s="401"/>
      <c r="Y960" s="401"/>
      <c r="Z960" s="401"/>
      <c r="AA960" s="401"/>
    </row>
    <row r="961">
      <c r="A961" s="401"/>
      <c r="B961" s="401"/>
      <c r="C961" s="401"/>
      <c r="D961" s="401"/>
      <c r="E961" s="399"/>
      <c r="F961" s="399"/>
      <c r="G961" s="399"/>
      <c r="H961" s="400"/>
      <c r="I961" s="401"/>
      <c r="J961" s="401"/>
      <c r="K961" s="401"/>
      <c r="L961" s="401"/>
      <c r="M961" s="401"/>
      <c r="N961" s="401"/>
      <c r="O961" s="401"/>
      <c r="P961" s="401"/>
      <c r="Q961" s="401"/>
      <c r="R961" s="401"/>
      <c r="S961" s="401"/>
      <c r="T961" s="401"/>
      <c r="U961" s="401"/>
      <c r="V961" s="401"/>
      <c r="W961" s="401"/>
      <c r="X961" s="401"/>
      <c r="Y961" s="401"/>
      <c r="Z961" s="401"/>
      <c r="AA961" s="401"/>
    </row>
    <row r="962">
      <c r="A962" s="401"/>
      <c r="B962" s="401"/>
      <c r="C962" s="401"/>
      <c r="D962" s="401"/>
      <c r="E962" s="399"/>
      <c r="F962" s="399"/>
      <c r="G962" s="399"/>
      <c r="H962" s="400"/>
      <c r="I962" s="401"/>
      <c r="J962" s="401"/>
      <c r="K962" s="401"/>
      <c r="L962" s="401"/>
      <c r="M962" s="401"/>
      <c r="N962" s="401"/>
      <c r="O962" s="401"/>
      <c r="P962" s="401"/>
      <c r="Q962" s="401"/>
      <c r="R962" s="401"/>
      <c r="S962" s="401"/>
      <c r="T962" s="401"/>
      <c r="U962" s="401"/>
      <c r="V962" s="401"/>
      <c r="W962" s="401"/>
      <c r="X962" s="401"/>
      <c r="Y962" s="401"/>
      <c r="Z962" s="401"/>
      <c r="AA962" s="401"/>
    </row>
    <row r="963">
      <c r="A963" s="401"/>
      <c r="B963" s="401"/>
      <c r="C963" s="401"/>
      <c r="D963" s="401"/>
      <c r="E963" s="399"/>
      <c r="F963" s="399"/>
      <c r="G963" s="399"/>
      <c r="H963" s="400"/>
      <c r="I963" s="401"/>
      <c r="J963" s="401"/>
      <c r="K963" s="401"/>
      <c r="L963" s="401"/>
      <c r="M963" s="401"/>
      <c r="N963" s="401"/>
      <c r="O963" s="401"/>
      <c r="P963" s="401"/>
      <c r="Q963" s="401"/>
      <c r="R963" s="401"/>
      <c r="S963" s="401"/>
      <c r="T963" s="401"/>
      <c r="U963" s="401"/>
      <c r="V963" s="401"/>
      <c r="W963" s="401"/>
      <c r="X963" s="401"/>
      <c r="Y963" s="401"/>
      <c r="Z963" s="401"/>
      <c r="AA963" s="401"/>
    </row>
    <row r="964">
      <c r="A964" s="401"/>
      <c r="B964" s="401"/>
      <c r="C964" s="401"/>
      <c r="D964" s="401"/>
      <c r="E964" s="399"/>
      <c r="F964" s="399"/>
      <c r="G964" s="399"/>
      <c r="H964" s="400"/>
      <c r="I964" s="401"/>
      <c r="J964" s="401"/>
      <c r="K964" s="401"/>
      <c r="L964" s="401"/>
      <c r="M964" s="401"/>
      <c r="N964" s="401"/>
      <c r="O964" s="401"/>
      <c r="P964" s="401"/>
      <c r="Q964" s="401"/>
      <c r="R964" s="401"/>
      <c r="S964" s="401"/>
      <c r="T964" s="401"/>
      <c r="U964" s="401"/>
      <c r="V964" s="401"/>
      <c r="W964" s="401"/>
      <c r="X964" s="401"/>
      <c r="Y964" s="401"/>
      <c r="Z964" s="401"/>
      <c r="AA964" s="401"/>
    </row>
    <row r="965">
      <c r="A965" s="401"/>
      <c r="B965" s="401"/>
      <c r="C965" s="401"/>
      <c r="D965" s="401"/>
      <c r="E965" s="399"/>
      <c r="F965" s="399"/>
      <c r="G965" s="399"/>
      <c r="H965" s="400"/>
      <c r="I965" s="401"/>
      <c r="J965" s="401"/>
      <c r="K965" s="401"/>
      <c r="L965" s="401"/>
      <c r="M965" s="401"/>
      <c r="N965" s="401"/>
      <c r="O965" s="401"/>
      <c r="P965" s="401"/>
      <c r="Q965" s="401"/>
      <c r="R965" s="401"/>
      <c r="S965" s="401"/>
      <c r="T965" s="401"/>
      <c r="U965" s="401"/>
      <c r="V965" s="401"/>
      <c r="W965" s="401"/>
      <c r="X965" s="401"/>
      <c r="Y965" s="401"/>
      <c r="Z965" s="401"/>
      <c r="AA965" s="401"/>
    </row>
    <row r="966">
      <c r="A966" s="401"/>
      <c r="B966" s="401"/>
      <c r="C966" s="401"/>
      <c r="D966" s="401"/>
      <c r="E966" s="399"/>
      <c r="F966" s="399"/>
      <c r="G966" s="399"/>
      <c r="H966" s="400"/>
      <c r="I966" s="401"/>
      <c r="J966" s="401"/>
      <c r="K966" s="401"/>
      <c r="L966" s="401"/>
      <c r="M966" s="401"/>
      <c r="N966" s="401"/>
      <c r="O966" s="401"/>
      <c r="P966" s="401"/>
      <c r="Q966" s="401"/>
      <c r="R966" s="401"/>
      <c r="S966" s="401"/>
      <c r="T966" s="401"/>
      <c r="U966" s="401"/>
      <c r="V966" s="401"/>
      <c r="W966" s="401"/>
      <c r="X966" s="401"/>
      <c r="Y966" s="401"/>
      <c r="Z966" s="401"/>
      <c r="AA966" s="401"/>
    </row>
    <row r="967">
      <c r="A967" s="401"/>
      <c r="B967" s="401"/>
      <c r="C967" s="401"/>
      <c r="D967" s="401"/>
      <c r="E967" s="399"/>
      <c r="F967" s="399"/>
      <c r="G967" s="399"/>
      <c r="H967" s="400"/>
      <c r="I967" s="401"/>
      <c r="J967" s="401"/>
      <c r="K967" s="401"/>
      <c r="L967" s="401"/>
      <c r="M967" s="401"/>
      <c r="N967" s="401"/>
      <c r="O967" s="401"/>
      <c r="P967" s="401"/>
      <c r="Q967" s="401"/>
      <c r="R967" s="401"/>
      <c r="S967" s="401"/>
      <c r="T967" s="401"/>
      <c r="U967" s="401"/>
      <c r="V967" s="401"/>
      <c r="W967" s="401"/>
      <c r="X967" s="401"/>
      <c r="Y967" s="401"/>
      <c r="Z967" s="401"/>
      <c r="AA967" s="401"/>
    </row>
    <row r="968">
      <c r="A968" s="401"/>
      <c r="B968" s="401"/>
      <c r="C968" s="401"/>
      <c r="D968" s="401"/>
      <c r="E968" s="399"/>
      <c r="F968" s="399"/>
      <c r="G968" s="399"/>
      <c r="H968" s="400"/>
      <c r="I968" s="401"/>
      <c r="J968" s="401"/>
      <c r="K968" s="401"/>
      <c r="L968" s="401"/>
      <c r="M968" s="401"/>
      <c r="N968" s="401"/>
      <c r="O968" s="401"/>
      <c r="P968" s="401"/>
      <c r="Q968" s="401"/>
      <c r="R968" s="401"/>
      <c r="S968" s="401"/>
      <c r="T968" s="401"/>
      <c r="U968" s="401"/>
      <c r="V968" s="401"/>
      <c r="W968" s="401"/>
      <c r="X968" s="401"/>
      <c r="Y968" s="401"/>
      <c r="Z968" s="401"/>
      <c r="AA968" s="401"/>
    </row>
    <row r="969">
      <c r="A969" s="401"/>
      <c r="B969" s="401"/>
      <c r="C969" s="401"/>
      <c r="D969" s="401"/>
      <c r="E969" s="399"/>
      <c r="F969" s="399"/>
      <c r="G969" s="399"/>
      <c r="H969" s="400"/>
      <c r="I969" s="401"/>
      <c r="J969" s="401"/>
      <c r="K969" s="401"/>
      <c r="L969" s="401"/>
      <c r="M969" s="401"/>
      <c r="N969" s="401"/>
      <c r="O969" s="401"/>
      <c r="P969" s="401"/>
      <c r="Q969" s="401"/>
      <c r="R969" s="401"/>
      <c r="S969" s="401"/>
      <c r="T969" s="401"/>
      <c r="U969" s="401"/>
      <c r="V969" s="401"/>
      <c r="W969" s="401"/>
      <c r="X969" s="401"/>
      <c r="Y969" s="401"/>
      <c r="Z969" s="401"/>
      <c r="AA969" s="401"/>
    </row>
    <row r="970">
      <c r="A970" s="401"/>
      <c r="B970" s="401"/>
      <c r="C970" s="401"/>
      <c r="D970" s="401"/>
      <c r="E970" s="399"/>
      <c r="F970" s="399"/>
      <c r="G970" s="399"/>
      <c r="H970" s="400"/>
      <c r="I970" s="401"/>
      <c r="J970" s="401"/>
      <c r="K970" s="401"/>
      <c r="L970" s="401"/>
      <c r="M970" s="401"/>
      <c r="N970" s="401"/>
      <c r="O970" s="401"/>
      <c r="P970" s="401"/>
      <c r="Q970" s="401"/>
      <c r="R970" s="401"/>
      <c r="S970" s="401"/>
      <c r="T970" s="401"/>
      <c r="U970" s="401"/>
      <c r="V970" s="401"/>
      <c r="W970" s="401"/>
      <c r="X970" s="401"/>
      <c r="Y970" s="401"/>
      <c r="Z970" s="401"/>
      <c r="AA970" s="401"/>
    </row>
    <row r="971">
      <c r="A971" s="401"/>
      <c r="B971" s="401"/>
      <c r="C971" s="401"/>
      <c r="D971" s="401"/>
      <c r="E971" s="399"/>
      <c r="F971" s="399"/>
      <c r="G971" s="399"/>
      <c r="H971" s="400"/>
      <c r="I971" s="401"/>
      <c r="J971" s="401"/>
      <c r="K971" s="401"/>
      <c r="L971" s="401"/>
      <c r="M971" s="401"/>
      <c r="N971" s="401"/>
      <c r="O971" s="401"/>
      <c r="P971" s="401"/>
      <c r="Q971" s="401"/>
      <c r="R971" s="401"/>
      <c r="S971" s="401"/>
      <c r="T971" s="401"/>
      <c r="U971" s="401"/>
      <c r="V971" s="401"/>
      <c r="W971" s="401"/>
      <c r="X971" s="401"/>
      <c r="Y971" s="401"/>
      <c r="Z971" s="401"/>
      <c r="AA971" s="401"/>
    </row>
    <row r="972">
      <c r="A972" s="401"/>
      <c r="B972" s="401"/>
      <c r="C972" s="401"/>
      <c r="D972" s="401"/>
      <c r="E972" s="399"/>
      <c r="F972" s="399"/>
      <c r="G972" s="399"/>
      <c r="H972" s="400"/>
      <c r="I972" s="401"/>
      <c r="J972" s="401"/>
      <c r="K972" s="401"/>
      <c r="L972" s="401"/>
      <c r="M972" s="401"/>
      <c r="N972" s="401"/>
      <c r="O972" s="401"/>
      <c r="P972" s="401"/>
      <c r="Q972" s="401"/>
      <c r="R972" s="401"/>
      <c r="S972" s="401"/>
      <c r="T972" s="401"/>
      <c r="U972" s="401"/>
      <c r="V972" s="401"/>
      <c r="W972" s="401"/>
      <c r="X972" s="401"/>
      <c r="Y972" s="401"/>
      <c r="Z972" s="401"/>
      <c r="AA972" s="401"/>
    </row>
    <row r="973">
      <c r="A973" s="401"/>
      <c r="B973" s="401"/>
      <c r="C973" s="401"/>
      <c r="D973" s="401"/>
      <c r="E973" s="399"/>
      <c r="F973" s="399"/>
      <c r="G973" s="399"/>
      <c r="H973" s="400"/>
      <c r="I973" s="401"/>
      <c r="J973" s="401"/>
      <c r="K973" s="401"/>
      <c r="L973" s="401"/>
      <c r="M973" s="401"/>
      <c r="N973" s="401"/>
      <c r="O973" s="401"/>
      <c r="P973" s="401"/>
      <c r="Q973" s="401"/>
      <c r="R973" s="401"/>
      <c r="S973" s="401"/>
      <c r="T973" s="401"/>
      <c r="U973" s="401"/>
      <c r="V973" s="401"/>
      <c r="W973" s="401"/>
      <c r="X973" s="401"/>
      <c r="Y973" s="401"/>
      <c r="Z973" s="401"/>
      <c r="AA973" s="401"/>
    </row>
    <row r="974">
      <c r="A974" s="401"/>
      <c r="B974" s="401"/>
      <c r="C974" s="401"/>
      <c r="D974" s="401"/>
      <c r="E974" s="399"/>
      <c r="F974" s="399"/>
      <c r="G974" s="399"/>
      <c r="H974" s="400"/>
      <c r="I974" s="401"/>
      <c r="J974" s="401"/>
      <c r="K974" s="401"/>
      <c r="L974" s="401"/>
      <c r="M974" s="401"/>
      <c r="N974" s="401"/>
      <c r="O974" s="401"/>
      <c r="P974" s="401"/>
      <c r="Q974" s="401"/>
      <c r="R974" s="401"/>
      <c r="S974" s="401"/>
      <c r="T974" s="401"/>
      <c r="U974" s="401"/>
      <c r="V974" s="401"/>
      <c r="W974" s="401"/>
      <c r="X974" s="401"/>
      <c r="Y974" s="401"/>
      <c r="Z974" s="401"/>
      <c r="AA974" s="401"/>
    </row>
    <row r="975">
      <c r="A975" s="401"/>
      <c r="B975" s="401"/>
      <c r="C975" s="401"/>
      <c r="D975" s="401"/>
      <c r="E975" s="399"/>
      <c r="F975" s="399"/>
      <c r="G975" s="399"/>
      <c r="H975" s="400"/>
      <c r="I975" s="401"/>
      <c r="J975" s="401"/>
      <c r="K975" s="401"/>
      <c r="L975" s="401"/>
      <c r="M975" s="401"/>
      <c r="N975" s="401"/>
      <c r="O975" s="401"/>
      <c r="P975" s="401"/>
      <c r="Q975" s="401"/>
      <c r="R975" s="401"/>
      <c r="S975" s="401"/>
      <c r="T975" s="401"/>
      <c r="U975" s="401"/>
      <c r="V975" s="401"/>
      <c r="W975" s="401"/>
      <c r="X975" s="401"/>
      <c r="Y975" s="401"/>
      <c r="Z975" s="401"/>
      <c r="AA975" s="401"/>
    </row>
    <row r="976">
      <c r="A976" s="401"/>
      <c r="B976" s="401"/>
      <c r="C976" s="401"/>
      <c r="D976" s="401"/>
      <c r="E976" s="399"/>
      <c r="F976" s="399"/>
      <c r="G976" s="399"/>
      <c r="H976" s="400"/>
      <c r="I976" s="401"/>
      <c r="J976" s="401"/>
      <c r="K976" s="401"/>
      <c r="L976" s="401"/>
      <c r="M976" s="401"/>
      <c r="N976" s="401"/>
      <c r="O976" s="401"/>
      <c r="P976" s="401"/>
      <c r="Q976" s="401"/>
      <c r="R976" s="401"/>
      <c r="S976" s="401"/>
      <c r="T976" s="401"/>
      <c r="U976" s="401"/>
      <c r="V976" s="401"/>
      <c r="W976" s="401"/>
      <c r="X976" s="401"/>
      <c r="Y976" s="401"/>
      <c r="Z976" s="401"/>
      <c r="AA976" s="401"/>
    </row>
    <row r="977">
      <c r="A977" s="401"/>
      <c r="B977" s="401"/>
      <c r="C977" s="401"/>
      <c r="D977" s="401"/>
      <c r="E977" s="399"/>
      <c r="F977" s="399"/>
      <c r="G977" s="399"/>
      <c r="H977" s="400"/>
      <c r="I977" s="401"/>
      <c r="J977" s="401"/>
      <c r="K977" s="401"/>
      <c r="L977" s="401"/>
      <c r="M977" s="401"/>
      <c r="N977" s="401"/>
      <c r="O977" s="401"/>
      <c r="P977" s="401"/>
      <c r="Q977" s="401"/>
      <c r="R977" s="401"/>
      <c r="S977" s="401"/>
      <c r="T977" s="401"/>
      <c r="U977" s="401"/>
      <c r="V977" s="401"/>
      <c r="W977" s="401"/>
      <c r="X977" s="401"/>
      <c r="Y977" s="401"/>
      <c r="Z977" s="401"/>
      <c r="AA977" s="401"/>
    </row>
    <row r="978">
      <c r="A978" s="401"/>
      <c r="B978" s="401"/>
      <c r="C978" s="401"/>
      <c r="D978" s="401"/>
      <c r="E978" s="399"/>
      <c r="F978" s="399"/>
      <c r="G978" s="399"/>
      <c r="H978" s="400"/>
      <c r="I978" s="401"/>
      <c r="J978" s="401"/>
      <c r="K978" s="401"/>
      <c r="L978" s="401"/>
      <c r="M978" s="401"/>
      <c r="N978" s="401"/>
      <c r="O978" s="401"/>
      <c r="P978" s="401"/>
      <c r="Q978" s="401"/>
      <c r="R978" s="401"/>
      <c r="S978" s="401"/>
      <c r="T978" s="401"/>
      <c r="U978" s="401"/>
      <c r="V978" s="401"/>
      <c r="W978" s="401"/>
      <c r="X978" s="401"/>
      <c r="Y978" s="401"/>
      <c r="Z978" s="401"/>
      <c r="AA978" s="401"/>
    </row>
    <row r="979">
      <c r="A979" s="401"/>
      <c r="B979" s="401"/>
      <c r="C979" s="401"/>
      <c r="D979" s="401"/>
      <c r="E979" s="399"/>
      <c r="F979" s="399"/>
      <c r="G979" s="399"/>
      <c r="H979" s="400"/>
      <c r="I979" s="401"/>
      <c r="J979" s="401"/>
      <c r="K979" s="401"/>
      <c r="L979" s="401"/>
      <c r="M979" s="401"/>
      <c r="N979" s="401"/>
      <c r="O979" s="401"/>
      <c r="P979" s="401"/>
      <c r="Q979" s="401"/>
      <c r="R979" s="401"/>
      <c r="S979" s="401"/>
      <c r="T979" s="401"/>
      <c r="U979" s="401"/>
      <c r="V979" s="401"/>
      <c r="W979" s="401"/>
      <c r="X979" s="401"/>
      <c r="Y979" s="401"/>
      <c r="Z979" s="401"/>
      <c r="AA979" s="401"/>
    </row>
    <row r="980">
      <c r="A980" s="401"/>
      <c r="B980" s="401"/>
      <c r="C980" s="401"/>
      <c r="D980" s="401"/>
      <c r="E980" s="399"/>
      <c r="F980" s="399"/>
      <c r="G980" s="399"/>
      <c r="H980" s="400"/>
      <c r="I980" s="401"/>
      <c r="J980" s="401"/>
      <c r="K980" s="401"/>
      <c r="L980" s="401"/>
      <c r="M980" s="401"/>
      <c r="N980" s="401"/>
      <c r="O980" s="401"/>
      <c r="P980" s="401"/>
      <c r="Q980" s="401"/>
      <c r="R980" s="401"/>
      <c r="S980" s="401"/>
      <c r="T980" s="401"/>
      <c r="U980" s="401"/>
      <c r="V980" s="401"/>
      <c r="W980" s="401"/>
      <c r="X980" s="401"/>
      <c r="Y980" s="401"/>
      <c r="Z980" s="401"/>
      <c r="AA980" s="401"/>
    </row>
    <row r="981">
      <c r="A981" s="401"/>
      <c r="B981" s="401"/>
      <c r="C981" s="401"/>
      <c r="D981" s="401"/>
      <c r="E981" s="399"/>
      <c r="F981" s="399"/>
      <c r="G981" s="399"/>
      <c r="H981" s="400"/>
      <c r="I981" s="401"/>
      <c r="J981" s="401"/>
      <c r="K981" s="401"/>
      <c r="L981" s="401"/>
      <c r="M981" s="401"/>
      <c r="N981" s="401"/>
      <c r="O981" s="401"/>
      <c r="P981" s="401"/>
      <c r="Q981" s="401"/>
      <c r="R981" s="401"/>
      <c r="S981" s="401"/>
      <c r="T981" s="401"/>
      <c r="U981" s="401"/>
      <c r="V981" s="401"/>
      <c r="W981" s="401"/>
      <c r="X981" s="401"/>
      <c r="Y981" s="401"/>
      <c r="Z981" s="401"/>
      <c r="AA981" s="401"/>
    </row>
    <row r="982">
      <c r="A982" s="401"/>
      <c r="B982" s="401"/>
      <c r="C982" s="401"/>
      <c r="D982" s="401"/>
      <c r="E982" s="399"/>
      <c r="F982" s="399"/>
      <c r="G982" s="399"/>
      <c r="H982" s="400"/>
      <c r="I982" s="401"/>
      <c r="J982" s="401"/>
      <c r="K982" s="401"/>
      <c r="L982" s="401"/>
      <c r="M982" s="401"/>
      <c r="N982" s="401"/>
      <c r="O982" s="401"/>
      <c r="P982" s="401"/>
      <c r="Q982" s="401"/>
      <c r="R982" s="401"/>
      <c r="S982" s="401"/>
      <c r="T982" s="401"/>
      <c r="U982" s="401"/>
      <c r="V982" s="401"/>
      <c r="W982" s="401"/>
      <c r="X982" s="401"/>
      <c r="Y982" s="401"/>
      <c r="Z982" s="401"/>
      <c r="AA982" s="401"/>
    </row>
    <row r="983">
      <c r="A983" s="401"/>
      <c r="B983" s="401"/>
      <c r="C983" s="401"/>
      <c r="D983" s="401"/>
      <c r="E983" s="399"/>
      <c r="F983" s="399"/>
      <c r="G983" s="399"/>
      <c r="H983" s="400"/>
      <c r="I983" s="401"/>
      <c r="J983" s="401"/>
      <c r="K983" s="401"/>
      <c r="L983" s="401"/>
      <c r="M983" s="401"/>
      <c r="N983" s="401"/>
      <c r="O983" s="401"/>
      <c r="P983" s="401"/>
      <c r="Q983" s="401"/>
      <c r="R983" s="401"/>
      <c r="S983" s="401"/>
      <c r="T983" s="401"/>
      <c r="U983" s="401"/>
      <c r="V983" s="401"/>
      <c r="W983" s="401"/>
      <c r="X983" s="401"/>
      <c r="Y983" s="401"/>
      <c r="Z983" s="401"/>
      <c r="AA983" s="401"/>
    </row>
    <row r="984">
      <c r="A984" s="401"/>
      <c r="B984" s="401"/>
      <c r="C984" s="401"/>
      <c r="D984" s="401"/>
      <c r="E984" s="399"/>
      <c r="F984" s="399"/>
      <c r="G984" s="399"/>
      <c r="H984" s="400"/>
      <c r="I984" s="401"/>
      <c r="J984" s="401"/>
      <c r="K984" s="401"/>
      <c r="L984" s="401"/>
      <c r="M984" s="401"/>
      <c r="N984" s="401"/>
      <c r="O984" s="401"/>
      <c r="P984" s="401"/>
      <c r="Q984" s="401"/>
      <c r="R984" s="401"/>
      <c r="S984" s="401"/>
      <c r="T984" s="401"/>
      <c r="U984" s="401"/>
      <c r="V984" s="401"/>
      <c r="W984" s="401"/>
      <c r="X984" s="401"/>
      <c r="Y984" s="401"/>
      <c r="Z984" s="401"/>
      <c r="AA984" s="401"/>
    </row>
    <row r="985">
      <c r="A985" s="401"/>
      <c r="B985" s="401"/>
      <c r="C985" s="401"/>
      <c r="D985" s="401"/>
      <c r="E985" s="399"/>
      <c r="F985" s="399"/>
      <c r="G985" s="399"/>
      <c r="H985" s="400"/>
      <c r="I985" s="401"/>
      <c r="J985" s="401"/>
      <c r="K985" s="401"/>
      <c r="L985" s="401"/>
      <c r="M985" s="401"/>
      <c r="N985" s="401"/>
      <c r="O985" s="401"/>
      <c r="P985" s="401"/>
      <c r="Q985" s="401"/>
      <c r="R985" s="401"/>
      <c r="S985" s="401"/>
      <c r="T985" s="401"/>
      <c r="U985" s="401"/>
      <c r="V985" s="401"/>
      <c r="W985" s="401"/>
      <c r="X985" s="401"/>
      <c r="Y985" s="401"/>
      <c r="Z985" s="401"/>
      <c r="AA985" s="401"/>
    </row>
    <row r="986">
      <c r="A986" s="401"/>
      <c r="B986" s="401"/>
      <c r="C986" s="401"/>
      <c r="D986" s="401"/>
      <c r="E986" s="399"/>
      <c r="F986" s="399"/>
      <c r="G986" s="399"/>
      <c r="H986" s="400"/>
      <c r="I986" s="401"/>
      <c r="J986" s="401"/>
      <c r="K986" s="401"/>
      <c r="L986" s="401"/>
      <c r="M986" s="401"/>
      <c r="N986" s="401"/>
      <c r="O986" s="401"/>
      <c r="P986" s="401"/>
      <c r="Q986" s="401"/>
      <c r="R986" s="401"/>
      <c r="S986" s="401"/>
      <c r="T986" s="401"/>
      <c r="U986" s="401"/>
      <c r="V986" s="401"/>
      <c r="W986" s="401"/>
      <c r="X986" s="401"/>
      <c r="Y986" s="401"/>
      <c r="Z986" s="401"/>
      <c r="AA986" s="401"/>
    </row>
    <row r="987">
      <c r="A987" s="401"/>
      <c r="B987" s="401"/>
      <c r="C987" s="401"/>
      <c r="D987" s="401"/>
      <c r="E987" s="399"/>
      <c r="F987" s="399"/>
      <c r="G987" s="399"/>
      <c r="H987" s="400"/>
      <c r="I987" s="401"/>
      <c r="J987" s="401"/>
      <c r="K987" s="401"/>
      <c r="L987" s="401"/>
      <c r="M987" s="401"/>
      <c r="N987" s="401"/>
      <c r="O987" s="401"/>
      <c r="P987" s="401"/>
      <c r="Q987" s="401"/>
      <c r="R987" s="401"/>
      <c r="S987" s="401"/>
      <c r="T987" s="401"/>
      <c r="U987" s="401"/>
      <c r="V987" s="401"/>
      <c r="W987" s="401"/>
      <c r="X987" s="401"/>
      <c r="Y987" s="401"/>
      <c r="Z987" s="401"/>
      <c r="AA987" s="401"/>
    </row>
    <row r="988">
      <c r="A988" s="401"/>
      <c r="B988" s="401"/>
      <c r="C988" s="401"/>
      <c r="D988" s="401"/>
      <c r="E988" s="399"/>
      <c r="F988" s="399"/>
      <c r="G988" s="399"/>
      <c r="H988" s="400"/>
      <c r="I988" s="401"/>
      <c r="J988" s="401"/>
      <c r="K988" s="401"/>
      <c r="L988" s="401"/>
      <c r="M988" s="401"/>
      <c r="N988" s="401"/>
      <c r="O988" s="401"/>
      <c r="P988" s="401"/>
      <c r="Q988" s="401"/>
      <c r="R988" s="401"/>
      <c r="S988" s="401"/>
      <c r="T988" s="401"/>
      <c r="U988" s="401"/>
      <c r="V988" s="401"/>
      <c r="W988" s="401"/>
      <c r="X988" s="401"/>
      <c r="Y988" s="401"/>
      <c r="Z988" s="401"/>
      <c r="AA988" s="401"/>
    </row>
    <row r="989">
      <c r="A989" s="401"/>
      <c r="B989" s="401"/>
      <c r="C989" s="401"/>
      <c r="D989" s="401"/>
      <c r="E989" s="399"/>
      <c r="F989" s="399"/>
      <c r="G989" s="399"/>
      <c r="H989" s="400"/>
      <c r="I989" s="401"/>
      <c r="J989" s="401"/>
      <c r="K989" s="401"/>
      <c r="L989" s="401"/>
      <c r="M989" s="401"/>
      <c r="N989" s="401"/>
      <c r="O989" s="401"/>
      <c r="P989" s="401"/>
      <c r="Q989" s="401"/>
      <c r="R989" s="401"/>
      <c r="S989" s="401"/>
      <c r="T989" s="401"/>
      <c r="U989" s="401"/>
      <c r="V989" s="401"/>
      <c r="W989" s="401"/>
      <c r="X989" s="401"/>
      <c r="Y989" s="401"/>
      <c r="Z989" s="401"/>
      <c r="AA989" s="401"/>
    </row>
    <row r="990">
      <c r="A990" s="401"/>
      <c r="B990" s="401"/>
      <c r="C990" s="401"/>
      <c r="D990" s="401"/>
      <c r="E990" s="399"/>
      <c r="F990" s="399"/>
      <c r="G990" s="399"/>
      <c r="H990" s="400"/>
      <c r="I990" s="401"/>
      <c r="J990" s="401"/>
      <c r="K990" s="401"/>
      <c r="L990" s="401"/>
      <c r="M990" s="401"/>
      <c r="N990" s="401"/>
      <c r="O990" s="401"/>
      <c r="P990" s="401"/>
      <c r="Q990" s="401"/>
      <c r="R990" s="401"/>
      <c r="S990" s="401"/>
      <c r="T990" s="401"/>
      <c r="U990" s="401"/>
      <c r="V990" s="401"/>
      <c r="W990" s="401"/>
      <c r="X990" s="401"/>
      <c r="Y990" s="401"/>
      <c r="Z990" s="401"/>
      <c r="AA990" s="401"/>
    </row>
    <row r="991">
      <c r="A991" s="401"/>
      <c r="B991" s="401"/>
      <c r="C991" s="401"/>
      <c r="D991" s="401"/>
      <c r="E991" s="399"/>
      <c r="F991" s="399"/>
      <c r="G991" s="399"/>
      <c r="H991" s="400"/>
      <c r="I991" s="401"/>
      <c r="J991" s="401"/>
      <c r="K991" s="401"/>
      <c r="L991" s="401"/>
      <c r="M991" s="401"/>
      <c r="N991" s="401"/>
      <c r="O991" s="401"/>
      <c r="P991" s="401"/>
      <c r="Q991" s="401"/>
      <c r="R991" s="401"/>
      <c r="S991" s="401"/>
      <c r="T991" s="401"/>
      <c r="U991" s="401"/>
      <c r="V991" s="401"/>
      <c r="W991" s="401"/>
      <c r="X991" s="401"/>
      <c r="Y991" s="401"/>
      <c r="Z991" s="401"/>
      <c r="AA991" s="401"/>
    </row>
    <row r="992">
      <c r="A992" s="401"/>
      <c r="B992" s="401"/>
      <c r="C992" s="401"/>
      <c r="D992" s="401"/>
      <c r="E992" s="399"/>
      <c r="F992" s="399"/>
      <c r="G992" s="399"/>
      <c r="H992" s="400"/>
      <c r="I992" s="401"/>
      <c r="J992" s="401"/>
      <c r="K992" s="401"/>
      <c r="L992" s="401"/>
      <c r="M992" s="401"/>
      <c r="N992" s="401"/>
      <c r="O992" s="401"/>
      <c r="P992" s="401"/>
      <c r="Q992" s="401"/>
      <c r="R992" s="401"/>
      <c r="S992" s="401"/>
      <c r="T992" s="401"/>
      <c r="U992" s="401"/>
      <c r="V992" s="401"/>
      <c r="W992" s="401"/>
      <c r="X992" s="401"/>
      <c r="Y992" s="401"/>
      <c r="Z992" s="401"/>
      <c r="AA992" s="401"/>
    </row>
    <row r="993">
      <c r="A993" s="401"/>
      <c r="B993" s="401"/>
      <c r="C993" s="401"/>
      <c r="D993" s="401"/>
      <c r="E993" s="399"/>
      <c r="F993" s="399"/>
      <c r="G993" s="399"/>
      <c r="H993" s="400"/>
      <c r="I993" s="401"/>
      <c r="J993" s="401"/>
      <c r="K993" s="401"/>
      <c r="L993" s="401"/>
      <c r="M993" s="401"/>
      <c r="N993" s="401"/>
      <c r="O993" s="401"/>
      <c r="P993" s="401"/>
      <c r="Q993" s="401"/>
      <c r="R993" s="401"/>
      <c r="S993" s="401"/>
      <c r="T993" s="401"/>
      <c r="U993" s="401"/>
      <c r="V993" s="401"/>
      <c r="W993" s="401"/>
      <c r="X993" s="401"/>
      <c r="Y993" s="401"/>
      <c r="Z993" s="401"/>
      <c r="AA993" s="401"/>
    </row>
    <row r="994">
      <c r="A994" s="401"/>
      <c r="B994" s="401"/>
      <c r="C994" s="401"/>
      <c r="D994" s="401"/>
      <c r="E994" s="399"/>
      <c r="F994" s="399"/>
      <c r="G994" s="399"/>
      <c r="H994" s="400"/>
      <c r="I994" s="401"/>
      <c r="J994" s="401"/>
      <c r="K994" s="401"/>
      <c r="L994" s="401"/>
      <c r="M994" s="401"/>
      <c r="N994" s="401"/>
      <c r="O994" s="401"/>
      <c r="P994" s="401"/>
      <c r="Q994" s="401"/>
      <c r="R994" s="401"/>
      <c r="S994" s="401"/>
      <c r="T994" s="401"/>
      <c r="U994" s="401"/>
      <c r="V994" s="401"/>
      <c r="W994" s="401"/>
      <c r="X994" s="401"/>
      <c r="Y994" s="401"/>
      <c r="Z994" s="401"/>
      <c r="AA994" s="401"/>
    </row>
    <row r="995">
      <c r="A995" s="401"/>
      <c r="B995" s="401"/>
      <c r="C995" s="401"/>
      <c r="D995" s="401"/>
      <c r="E995" s="399"/>
      <c r="F995" s="399"/>
      <c r="G995" s="399"/>
      <c r="H995" s="400"/>
      <c r="I995" s="401"/>
      <c r="J995" s="401"/>
      <c r="K995" s="401"/>
      <c r="L995" s="401"/>
      <c r="M995" s="401"/>
      <c r="N995" s="401"/>
      <c r="O995" s="401"/>
      <c r="P995" s="401"/>
      <c r="Q995" s="401"/>
      <c r="R995" s="401"/>
      <c r="S995" s="401"/>
      <c r="T995" s="401"/>
      <c r="U995" s="401"/>
      <c r="V995" s="401"/>
      <c r="W995" s="401"/>
      <c r="X995" s="401"/>
      <c r="Y995" s="401"/>
      <c r="Z995" s="401"/>
      <c r="AA995" s="401"/>
    </row>
    <row r="996">
      <c r="A996" s="401"/>
      <c r="B996" s="401"/>
      <c r="C996" s="401"/>
      <c r="D996" s="401"/>
      <c r="E996" s="399"/>
      <c r="F996" s="399"/>
      <c r="G996" s="399"/>
      <c r="H996" s="400"/>
      <c r="I996" s="401"/>
      <c r="J996" s="401"/>
      <c r="K996" s="401"/>
      <c r="L996" s="401"/>
      <c r="M996" s="401"/>
      <c r="N996" s="401"/>
      <c r="O996" s="401"/>
      <c r="P996" s="401"/>
      <c r="Q996" s="401"/>
      <c r="R996" s="401"/>
      <c r="S996" s="401"/>
      <c r="T996" s="401"/>
      <c r="U996" s="401"/>
      <c r="V996" s="401"/>
      <c r="W996" s="401"/>
      <c r="X996" s="401"/>
      <c r="Y996" s="401"/>
      <c r="Z996" s="401"/>
      <c r="AA996" s="401"/>
    </row>
    <row r="997">
      <c r="A997" s="401"/>
      <c r="B997" s="401"/>
      <c r="C997" s="401"/>
      <c r="D997" s="401"/>
      <c r="E997" s="399"/>
      <c r="F997" s="399"/>
      <c r="G997" s="399"/>
      <c r="H997" s="400"/>
      <c r="I997" s="401"/>
      <c r="J997" s="401"/>
      <c r="K997" s="401"/>
      <c r="L997" s="401"/>
      <c r="M997" s="401"/>
      <c r="N997" s="401"/>
      <c r="O997" s="401"/>
      <c r="P997" s="401"/>
      <c r="Q997" s="401"/>
      <c r="R997" s="401"/>
      <c r="S997" s="401"/>
      <c r="T997" s="401"/>
      <c r="U997" s="401"/>
      <c r="V997" s="401"/>
      <c r="W997" s="401"/>
      <c r="X997" s="401"/>
      <c r="Y997" s="401"/>
      <c r="Z997" s="401"/>
      <c r="AA997" s="401"/>
    </row>
    <row r="998">
      <c r="A998" s="401"/>
      <c r="B998" s="401"/>
      <c r="C998" s="401"/>
      <c r="D998" s="401"/>
      <c r="E998" s="399"/>
      <c r="F998" s="399"/>
      <c r="G998" s="399"/>
      <c r="H998" s="400"/>
      <c r="I998" s="401"/>
      <c r="J998" s="401"/>
      <c r="K998" s="401"/>
      <c r="L998" s="401"/>
      <c r="M998" s="401"/>
      <c r="N998" s="401"/>
      <c r="O998" s="401"/>
      <c r="P998" s="401"/>
      <c r="Q998" s="401"/>
      <c r="R998" s="401"/>
      <c r="S998" s="401"/>
      <c r="T998" s="401"/>
      <c r="U998" s="401"/>
      <c r="V998" s="401"/>
      <c r="W998" s="401"/>
      <c r="X998" s="401"/>
      <c r="Y998" s="401"/>
      <c r="Z998" s="401"/>
      <c r="AA998" s="401"/>
    </row>
    <row r="999">
      <c r="A999" s="401"/>
      <c r="B999" s="401"/>
      <c r="C999" s="401"/>
      <c r="D999" s="401"/>
      <c r="E999" s="399"/>
      <c r="F999" s="399"/>
      <c r="G999" s="399"/>
      <c r="H999" s="400"/>
      <c r="I999" s="401"/>
      <c r="J999" s="401"/>
      <c r="K999" s="401"/>
      <c r="L999" s="401"/>
      <c r="M999" s="401"/>
      <c r="N999" s="401"/>
      <c r="O999" s="401"/>
      <c r="P999" s="401"/>
      <c r="Q999" s="401"/>
      <c r="R999" s="401"/>
      <c r="S999" s="401"/>
      <c r="T999" s="401"/>
      <c r="U999" s="401"/>
      <c r="V999" s="401"/>
      <c r="W999" s="401"/>
      <c r="X999" s="401"/>
      <c r="Y999" s="401"/>
      <c r="Z999" s="401"/>
      <c r="AA999" s="401"/>
    </row>
    <row r="1000">
      <c r="A1000" s="401"/>
      <c r="B1000" s="401"/>
      <c r="C1000" s="401"/>
      <c r="D1000" s="401"/>
      <c r="E1000" s="399"/>
      <c r="F1000" s="399"/>
      <c r="G1000" s="399"/>
      <c r="H1000" s="400"/>
      <c r="I1000" s="401"/>
      <c r="J1000" s="401"/>
      <c r="K1000" s="401"/>
      <c r="L1000" s="401"/>
      <c r="M1000" s="401"/>
      <c r="N1000" s="401"/>
      <c r="O1000" s="401"/>
      <c r="P1000" s="401"/>
      <c r="Q1000" s="401"/>
      <c r="R1000" s="401"/>
      <c r="S1000" s="401"/>
      <c r="T1000" s="401"/>
      <c r="U1000" s="401"/>
      <c r="V1000" s="401"/>
      <c r="W1000" s="401"/>
      <c r="X1000" s="401"/>
      <c r="Y1000" s="401"/>
      <c r="Z1000" s="401"/>
      <c r="AA1000" s="401"/>
    </row>
    <row r="1001">
      <c r="A1001" s="401"/>
      <c r="B1001" s="401"/>
      <c r="C1001" s="401"/>
      <c r="D1001" s="401"/>
      <c r="E1001" s="399"/>
      <c r="F1001" s="399"/>
      <c r="G1001" s="399"/>
      <c r="H1001" s="400"/>
      <c r="I1001" s="401"/>
      <c r="J1001" s="401"/>
      <c r="K1001" s="401"/>
      <c r="L1001" s="401"/>
      <c r="M1001" s="401"/>
      <c r="N1001" s="401"/>
      <c r="O1001" s="401"/>
      <c r="P1001" s="401"/>
      <c r="Q1001" s="401"/>
      <c r="R1001" s="401"/>
      <c r="S1001" s="401"/>
      <c r="T1001" s="401"/>
      <c r="U1001" s="401"/>
      <c r="V1001" s="401"/>
      <c r="W1001" s="401"/>
      <c r="X1001" s="401"/>
      <c r="Y1001" s="401"/>
      <c r="Z1001" s="401"/>
      <c r="AA1001" s="401"/>
    </row>
    <row r="1002">
      <c r="A1002" s="401"/>
      <c r="B1002" s="401"/>
      <c r="C1002" s="401"/>
      <c r="D1002" s="401"/>
      <c r="E1002" s="399"/>
      <c r="F1002" s="399"/>
      <c r="G1002" s="399"/>
      <c r="H1002" s="400"/>
      <c r="I1002" s="401"/>
      <c r="J1002" s="401"/>
      <c r="K1002" s="401"/>
      <c r="L1002" s="401"/>
      <c r="M1002" s="401"/>
      <c r="N1002" s="401"/>
      <c r="O1002" s="401"/>
      <c r="P1002" s="401"/>
      <c r="Q1002" s="401"/>
      <c r="R1002" s="401"/>
      <c r="S1002" s="401"/>
      <c r="T1002" s="401"/>
      <c r="U1002" s="401"/>
      <c r="V1002" s="401"/>
      <c r="W1002" s="401"/>
      <c r="X1002" s="401"/>
      <c r="Y1002" s="401"/>
      <c r="Z1002" s="401"/>
      <c r="AA1002" s="401"/>
    </row>
    <row r="1003">
      <c r="A1003" s="401"/>
      <c r="B1003" s="401"/>
      <c r="C1003" s="401"/>
      <c r="D1003" s="401"/>
      <c r="E1003" s="399"/>
      <c r="F1003" s="399"/>
      <c r="G1003" s="399"/>
      <c r="H1003" s="400"/>
      <c r="I1003" s="401"/>
      <c r="J1003" s="401"/>
      <c r="K1003" s="401"/>
      <c r="L1003" s="401"/>
      <c r="M1003" s="401"/>
      <c r="N1003" s="401"/>
      <c r="O1003" s="401"/>
      <c r="P1003" s="401"/>
      <c r="Q1003" s="401"/>
      <c r="R1003" s="401"/>
      <c r="S1003" s="401"/>
      <c r="T1003" s="401"/>
      <c r="U1003" s="401"/>
      <c r="V1003" s="401"/>
      <c r="W1003" s="401"/>
      <c r="X1003" s="401"/>
      <c r="Y1003" s="401"/>
      <c r="Z1003" s="401"/>
      <c r="AA1003" s="401"/>
    </row>
    <row r="1004">
      <c r="A1004" s="401"/>
      <c r="B1004" s="401"/>
      <c r="C1004" s="401"/>
      <c r="D1004" s="401"/>
      <c r="E1004" s="399"/>
      <c r="F1004" s="399"/>
      <c r="G1004" s="399"/>
      <c r="H1004" s="400"/>
      <c r="I1004" s="401"/>
      <c r="J1004" s="401"/>
      <c r="K1004" s="401"/>
      <c r="L1004" s="401"/>
      <c r="M1004" s="401"/>
      <c r="N1004" s="401"/>
      <c r="O1004" s="401"/>
      <c r="P1004" s="401"/>
      <c r="Q1004" s="401"/>
      <c r="R1004" s="401"/>
      <c r="S1004" s="401"/>
      <c r="T1004" s="401"/>
      <c r="U1004" s="401"/>
      <c r="V1004" s="401"/>
      <c r="W1004" s="401"/>
      <c r="X1004" s="401"/>
      <c r="Y1004" s="401"/>
      <c r="Z1004" s="401"/>
      <c r="AA1004" s="401"/>
    </row>
    <row r="1005">
      <c r="A1005" s="401"/>
      <c r="B1005" s="401"/>
      <c r="C1005" s="401"/>
      <c r="D1005" s="401"/>
      <c r="E1005" s="399"/>
      <c r="F1005" s="399"/>
      <c r="G1005" s="399"/>
      <c r="H1005" s="400"/>
      <c r="I1005" s="401"/>
      <c r="J1005" s="401"/>
      <c r="K1005" s="401"/>
      <c r="L1005" s="401"/>
      <c r="M1005" s="401"/>
      <c r="N1005" s="401"/>
      <c r="O1005" s="401"/>
      <c r="P1005" s="401"/>
      <c r="Q1005" s="401"/>
      <c r="R1005" s="401"/>
      <c r="S1005" s="401"/>
      <c r="T1005" s="401"/>
      <c r="U1005" s="401"/>
      <c r="V1005" s="401"/>
      <c r="W1005" s="401"/>
      <c r="X1005" s="401"/>
      <c r="Y1005" s="401"/>
      <c r="Z1005" s="401"/>
      <c r="AA1005" s="401"/>
    </row>
    <row r="1006">
      <c r="A1006" s="401"/>
      <c r="B1006" s="401"/>
      <c r="C1006" s="401"/>
      <c r="D1006" s="401"/>
      <c r="E1006" s="399"/>
      <c r="F1006" s="399"/>
      <c r="G1006" s="399"/>
      <c r="H1006" s="400"/>
      <c r="I1006" s="401"/>
      <c r="J1006" s="401"/>
      <c r="K1006" s="401"/>
      <c r="L1006" s="401"/>
      <c r="M1006" s="401"/>
      <c r="N1006" s="401"/>
      <c r="O1006" s="401"/>
      <c r="P1006" s="401"/>
      <c r="Q1006" s="401"/>
      <c r="R1006" s="401"/>
      <c r="S1006" s="401"/>
      <c r="T1006" s="401"/>
      <c r="U1006" s="401"/>
      <c r="V1006" s="401"/>
      <c r="W1006" s="401"/>
      <c r="X1006" s="401"/>
      <c r="Y1006" s="401"/>
      <c r="Z1006" s="401"/>
      <c r="AA1006" s="401"/>
    </row>
    <row r="1007">
      <c r="A1007" s="401"/>
      <c r="B1007" s="401"/>
      <c r="C1007" s="401"/>
      <c r="D1007" s="401"/>
      <c r="E1007" s="399"/>
      <c r="F1007" s="399"/>
      <c r="G1007" s="399"/>
      <c r="H1007" s="400"/>
      <c r="I1007" s="401"/>
      <c r="J1007" s="401"/>
      <c r="K1007" s="401"/>
      <c r="L1007" s="401"/>
      <c r="M1007" s="401"/>
      <c r="N1007" s="401"/>
      <c r="O1007" s="401"/>
      <c r="P1007" s="401"/>
      <c r="Q1007" s="401"/>
      <c r="R1007" s="401"/>
      <c r="S1007" s="401"/>
      <c r="T1007" s="401"/>
      <c r="U1007" s="401"/>
      <c r="V1007" s="401"/>
      <c r="W1007" s="401"/>
      <c r="X1007" s="401"/>
      <c r="Y1007" s="401"/>
      <c r="Z1007" s="401"/>
      <c r="AA1007" s="401"/>
    </row>
    <row r="1008">
      <c r="A1008" s="401"/>
      <c r="B1008" s="401"/>
      <c r="C1008" s="401"/>
      <c r="D1008" s="401"/>
      <c r="E1008" s="399"/>
      <c r="F1008" s="399"/>
      <c r="G1008" s="399"/>
      <c r="H1008" s="400"/>
      <c r="I1008" s="401"/>
      <c r="J1008" s="401"/>
      <c r="K1008" s="401"/>
      <c r="L1008" s="401"/>
      <c r="M1008" s="401"/>
      <c r="N1008" s="401"/>
      <c r="O1008" s="401"/>
      <c r="P1008" s="401"/>
      <c r="Q1008" s="401"/>
      <c r="R1008" s="401"/>
      <c r="S1008" s="401"/>
      <c r="T1008" s="401"/>
      <c r="U1008" s="401"/>
      <c r="V1008" s="401"/>
      <c r="W1008" s="401"/>
      <c r="X1008" s="401"/>
      <c r="Y1008" s="401"/>
      <c r="Z1008" s="401"/>
      <c r="AA1008" s="401"/>
    </row>
    <row r="1009">
      <c r="A1009" s="401"/>
      <c r="B1009" s="401"/>
      <c r="C1009" s="401"/>
      <c r="D1009" s="401"/>
      <c r="E1009" s="399"/>
      <c r="F1009" s="399"/>
      <c r="G1009" s="399"/>
      <c r="H1009" s="400"/>
      <c r="I1009" s="401"/>
      <c r="J1009" s="401"/>
      <c r="K1009" s="401"/>
      <c r="L1009" s="401"/>
      <c r="M1009" s="401"/>
      <c r="N1009" s="401"/>
      <c r="O1009" s="401"/>
      <c r="P1009" s="401"/>
      <c r="Q1009" s="401"/>
      <c r="R1009" s="401"/>
      <c r="S1009" s="401"/>
      <c r="T1009" s="401"/>
      <c r="U1009" s="401"/>
      <c r="V1009" s="401"/>
      <c r="W1009" s="401"/>
      <c r="X1009" s="401"/>
      <c r="Y1009" s="401"/>
      <c r="Z1009" s="401"/>
      <c r="AA1009" s="401"/>
    </row>
    <row r="1010">
      <c r="A1010" s="401"/>
      <c r="B1010" s="401"/>
      <c r="C1010" s="401"/>
      <c r="D1010" s="401"/>
      <c r="E1010" s="399"/>
      <c r="F1010" s="399"/>
      <c r="G1010" s="399"/>
      <c r="H1010" s="400"/>
      <c r="I1010" s="401"/>
      <c r="J1010" s="401"/>
      <c r="K1010" s="401"/>
      <c r="L1010" s="401"/>
      <c r="M1010" s="401"/>
      <c r="N1010" s="401"/>
      <c r="O1010" s="401"/>
      <c r="P1010" s="401"/>
      <c r="Q1010" s="401"/>
      <c r="R1010" s="401"/>
      <c r="S1010" s="401"/>
      <c r="T1010" s="401"/>
      <c r="U1010" s="401"/>
      <c r="V1010" s="401"/>
      <c r="W1010" s="401"/>
      <c r="X1010" s="401"/>
      <c r="Y1010" s="401"/>
      <c r="Z1010" s="401"/>
      <c r="AA1010" s="401"/>
    </row>
    <row r="1011">
      <c r="A1011" s="401"/>
      <c r="B1011" s="401"/>
      <c r="C1011" s="401"/>
      <c r="D1011" s="401"/>
      <c r="E1011" s="399"/>
      <c r="F1011" s="399"/>
      <c r="G1011" s="399"/>
      <c r="H1011" s="400"/>
      <c r="I1011" s="401"/>
      <c r="J1011" s="401"/>
      <c r="K1011" s="401"/>
      <c r="L1011" s="401"/>
      <c r="M1011" s="401"/>
      <c r="N1011" s="401"/>
      <c r="O1011" s="401"/>
      <c r="P1011" s="401"/>
      <c r="Q1011" s="401"/>
      <c r="R1011" s="401"/>
      <c r="S1011" s="401"/>
      <c r="T1011" s="401"/>
      <c r="U1011" s="401"/>
      <c r="V1011" s="401"/>
      <c r="W1011" s="401"/>
      <c r="X1011" s="401"/>
      <c r="Y1011" s="401"/>
      <c r="Z1011" s="401"/>
      <c r="AA1011" s="401"/>
    </row>
    <row r="1012">
      <c r="A1012" s="401"/>
      <c r="B1012" s="401"/>
      <c r="C1012" s="401"/>
      <c r="D1012" s="401"/>
      <c r="E1012" s="399"/>
      <c r="F1012" s="399"/>
      <c r="G1012" s="399"/>
      <c r="H1012" s="400"/>
      <c r="I1012" s="401"/>
      <c r="J1012" s="401"/>
      <c r="K1012" s="401"/>
      <c r="L1012" s="401"/>
      <c r="M1012" s="401"/>
      <c r="N1012" s="401"/>
      <c r="O1012" s="401"/>
      <c r="P1012" s="401"/>
      <c r="Q1012" s="401"/>
      <c r="R1012" s="401"/>
      <c r="S1012" s="401"/>
      <c r="T1012" s="401"/>
      <c r="U1012" s="401"/>
      <c r="V1012" s="401"/>
      <c r="W1012" s="401"/>
      <c r="X1012" s="401"/>
      <c r="Y1012" s="401"/>
      <c r="Z1012" s="401"/>
      <c r="AA1012" s="401"/>
    </row>
    <row r="1013">
      <c r="A1013" s="401"/>
      <c r="B1013" s="401"/>
      <c r="C1013" s="401"/>
      <c r="D1013" s="401"/>
      <c r="E1013" s="399"/>
      <c r="F1013" s="399"/>
      <c r="G1013" s="399"/>
      <c r="H1013" s="400"/>
      <c r="I1013" s="401"/>
      <c r="J1013" s="401"/>
      <c r="K1013" s="401"/>
      <c r="L1013" s="401"/>
      <c r="M1013" s="401"/>
      <c r="N1013" s="401"/>
      <c r="O1013" s="401"/>
      <c r="P1013" s="401"/>
      <c r="Q1013" s="401"/>
      <c r="R1013" s="401"/>
      <c r="S1013" s="401"/>
      <c r="T1013" s="401"/>
      <c r="U1013" s="401"/>
      <c r="V1013" s="401"/>
      <c r="W1013" s="401"/>
      <c r="X1013" s="401"/>
      <c r="Y1013" s="401"/>
      <c r="Z1013" s="401"/>
      <c r="AA1013" s="401"/>
    </row>
    <row r="1014">
      <c r="A1014" s="401"/>
      <c r="B1014" s="401"/>
      <c r="C1014" s="401"/>
      <c r="D1014" s="401"/>
      <c r="E1014" s="399"/>
      <c r="F1014" s="399"/>
      <c r="G1014" s="399"/>
      <c r="H1014" s="400"/>
      <c r="I1014" s="401"/>
      <c r="J1014" s="401"/>
      <c r="K1014" s="401"/>
      <c r="L1014" s="401"/>
      <c r="M1014" s="401"/>
      <c r="N1014" s="401"/>
      <c r="O1014" s="401"/>
      <c r="P1014" s="401"/>
      <c r="Q1014" s="401"/>
      <c r="R1014" s="401"/>
      <c r="S1014" s="401"/>
      <c r="T1014" s="401"/>
      <c r="U1014" s="401"/>
      <c r="V1014" s="401"/>
      <c r="W1014" s="401"/>
      <c r="X1014" s="401"/>
      <c r="Y1014" s="401"/>
      <c r="Z1014" s="401"/>
      <c r="AA1014" s="401"/>
    </row>
    <row r="1015">
      <c r="A1015" s="401"/>
      <c r="B1015" s="401"/>
      <c r="C1015" s="401"/>
      <c r="D1015" s="401"/>
      <c r="E1015" s="399"/>
      <c r="F1015" s="399"/>
      <c r="G1015" s="399"/>
      <c r="H1015" s="400"/>
      <c r="I1015" s="401"/>
      <c r="J1015" s="401"/>
      <c r="K1015" s="401"/>
      <c r="L1015" s="401"/>
      <c r="M1015" s="401"/>
      <c r="N1015" s="401"/>
      <c r="O1015" s="401"/>
      <c r="P1015" s="401"/>
      <c r="Q1015" s="401"/>
      <c r="R1015" s="401"/>
      <c r="S1015" s="401"/>
      <c r="T1015" s="401"/>
      <c r="U1015" s="401"/>
      <c r="V1015" s="401"/>
      <c r="W1015" s="401"/>
      <c r="X1015" s="401"/>
      <c r="Y1015" s="401"/>
      <c r="Z1015" s="401"/>
      <c r="AA1015" s="401"/>
    </row>
    <row r="1016">
      <c r="A1016" s="401"/>
      <c r="B1016" s="401"/>
      <c r="C1016" s="401"/>
      <c r="D1016" s="401"/>
      <c r="E1016" s="399"/>
      <c r="F1016" s="399"/>
      <c r="G1016" s="399"/>
      <c r="H1016" s="400"/>
      <c r="I1016" s="401"/>
      <c r="J1016" s="401"/>
      <c r="K1016" s="401"/>
      <c r="L1016" s="401"/>
      <c r="M1016" s="401"/>
      <c r="N1016" s="401"/>
      <c r="O1016" s="401"/>
      <c r="P1016" s="401"/>
      <c r="Q1016" s="401"/>
      <c r="R1016" s="401"/>
      <c r="S1016" s="401"/>
      <c r="T1016" s="401"/>
      <c r="U1016" s="401"/>
      <c r="V1016" s="401"/>
      <c r="W1016" s="401"/>
      <c r="X1016" s="401"/>
      <c r="Y1016" s="401"/>
      <c r="Z1016" s="401"/>
      <c r="AA1016" s="401"/>
    </row>
    <row r="1017">
      <c r="A1017" s="401"/>
      <c r="B1017" s="401"/>
      <c r="C1017" s="401"/>
      <c r="D1017" s="401"/>
      <c r="E1017" s="399"/>
      <c r="F1017" s="399"/>
      <c r="G1017" s="399"/>
      <c r="H1017" s="400"/>
      <c r="I1017" s="401"/>
      <c r="J1017" s="401"/>
      <c r="K1017" s="401"/>
      <c r="L1017" s="401"/>
      <c r="M1017" s="401"/>
      <c r="N1017" s="401"/>
      <c r="O1017" s="401"/>
      <c r="P1017" s="401"/>
      <c r="Q1017" s="401"/>
      <c r="R1017" s="401"/>
      <c r="S1017" s="401"/>
      <c r="T1017" s="401"/>
      <c r="U1017" s="401"/>
      <c r="V1017" s="401"/>
      <c r="W1017" s="401"/>
      <c r="X1017" s="401"/>
      <c r="Y1017" s="401"/>
      <c r="Z1017" s="401"/>
      <c r="AA1017" s="401"/>
    </row>
    <row r="1018">
      <c r="A1018" s="401"/>
      <c r="B1018" s="401"/>
      <c r="C1018" s="401"/>
      <c r="D1018" s="401"/>
      <c r="E1018" s="399"/>
      <c r="F1018" s="399"/>
      <c r="G1018" s="399"/>
      <c r="H1018" s="400"/>
      <c r="I1018" s="401"/>
      <c r="J1018" s="401"/>
      <c r="K1018" s="401"/>
      <c r="L1018" s="401"/>
      <c r="M1018" s="401"/>
      <c r="N1018" s="401"/>
      <c r="O1018" s="401"/>
      <c r="P1018" s="401"/>
      <c r="Q1018" s="401"/>
      <c r="R1018" s="401"/>
      <c r="S1018" s="401"/>
      <c r="T1018" s="401"/>
      <c r="U1018" s="401"/>
      <c r="V1018" s="401"/>
      <c r="W1018" s="401"/>
      <c r="X1018" s="401"/>
      <c r="Y1018" s="401"/>
      <c r="Z1018" s="401"/>
      <c r="AA1018" s="401"/>
    </row>
    <row r="1019">
      <c r="A1019" s="401"/>
      <c r="B1019" s="401"/>
      <c r="C1019" s="401"/>
      <c r="D1019" s="401"/>
      <c r="E1019" s="399"/>
      <c r="F1019" s="399"/>
      <c r="G1019" s="399"/>
      <c r="H1019" s="400"/>
      <c r="I1019" s="401"/>
      <c r="J1019" s="401"/>
      <c r="K1019" s="401"/>
      <c r="L1019" s="401"/>
      <c r="M1019" s="401"/>
      <c r="N1019" s="401"/>
      <c r="O1019" s="401"/>
      <c r="P1019" s="401"/>
      <c r="Q1019" s="401"/>
      <c r="R1019" s="401"/>
      <c r="S1019" s="401"/>
      <c r="T1019" s="401"/>
      <c r="U1019" s="401"/>
      <c r="V1019" s="401"/>
      <c r="W1019" s="401"/>
      <c r="X1019" s="401"/>
      <c r="Y1019" s="401"/>
      <c r="Z1019" s="401"/>
      <c r="AA1019" s="401"/>
    </row>
    <row r="1020">
      <c r="A1020" s="401"/>
      <c r="B1020" s="401"/>
      <c r="C1020" s="401"/>
      <c r="D1020" s="401"/>
      <c r="E1020" s="399"/>
      <c r="F1020" s="399"/>
      <c r="G1020" s="399"/>
      <c r="H1020" s="400"/>
      <c r="I1020" s="401"/>
      <c r="J1020" s="401"/>
      <c r="K1020" s="401"/>
      <c r="L1020" s="401"/>
      <c r="M1020" s="401"/>
      <c r="N1020" s="401"/>
      <c r="O1020" s="401"/>
      <c r="P1020" s="401"/>
      <c r="Q1020" s="401"/>
      <c r="R1020" s="401"/>
      <c r="S1020" s="401"/>
      <c r="T1020" s="401"/>
      <c r="U1020" s="401"/>
      <c r="V1020" s="401"/>
      <c r="W1020" s="401"/>
      <c r="X1020" s="401"/>
      <c r="Y1020" s="401"/>
      <c r="Z1020" s="401"/>
      <c r="AA1020" s="401"/>
    </row>
    <row r="1021">
      <c r="A1021" s="401"/>
      <c r="B1021" s="401"/>
      <c r="C1021" s="401"/>
      <c r="D1021" s="401"/>
      <c r="E1021" s="399"/>
      <c r="F1021" s="399"/>
      <c r="G1021" s="399"/>
      <c r="H1021" s="400"/>
      <c r="I1021" s="401"/>
      <c r="J1021" s="401"/>
      <c r="K1021" s="401"/>
      <c r="L1021" s="401"/>
      <c r="M1021" s="401"/>
      <c r="N1021" s="401"/>
      <c r="O1021" s="401"/>
      <c r="P1021" s="401"/>
      <c r="Q1021" s="401"/>
      <c r="R1021" s="401"/>
      <c r="S1021" s="401"/>
      <c r="T1021" s="401"/>
      <c r="U1021" s="401"/>
      <c r="V1021" s="401"/>
      <c r="W1021" s="401"/>
      <c r="X1021" s="401"/>
      <c r="Y1021" s="401"/>
      <c r="Z1021" s="401"/>
      <c r="AA1021" s="401"/>
    </row>
    <row r="1022">
      <c r="A1022" s="401"/>
      <c r="B1022" s="401"/>
      <c r="C1022" s="401"/>
      <c r="D1022" s="401"/>
      <c r="E1022" s="399"/>
      <c r="F1022" s="399"/>
      <c r="G1022" s="399"/>
      <c r="H1022" s="400"/>
      <c r="I1022" s="401"/>
      <c r="J1022" s="401"/>
      <c r="K1022" s="401"/>
      <c r="L1022" s="401"/>
      <c r="M1022" s="401"/>
      <c r="N1022" s="401"/>
      <c r="O1022" s="401"/>
      <c r="P1022" s="401"/>
      <c r="Q1022" s="401"/>
      <c r="R1022" s="401"/>
      <c r="S1022" s="401"/>
      <c r="T1022" s="401"/>
      <c r="U1022" s="401"/>
      <c r="V1022" s="401"/>
      <c r="W1022" s="401"/>
      <c r="X1022" s="401"/>
      <c r="Y1022" s="401"/>
      <c r="Z1022" s="401"/>
      <c r="AA1022" s="401"/>
    </row>
    <row r="1023">
      <c r="A1023" s="401"/>
      <c r="B1023" s="401"/>
      <c r="C1023" s="401"/>
      <c r="D1023" s="401"/>
      <c r="E1023" s="399"/>
      <c r="F1023" s="399"/>
      <c r="G1023" s="399"/>
      <c r="H1023" s="400"/>
      <c r="I1023" s="401"/>
      <c r="J1023" s="401"/>
      <c r="K1023" s="401"/>
      <c r="L1023" s="401"/>
      <c r="M1023" s="401"/>
      <c r="N1023" s="401"/>
      <c r="O1023" s="401"/>
      <c r="P1023" s="401"/>
      <c r="Q1023" s="401"/>
      <c r="R1023" s="401"/>
      <c r="S1023" s="401"/>
      <c r="T1023" s="401"/>
      <c r="U1023" s="401"/>
      <c r="V1023" s="401"/>
      <c r="W1023" s="401"/>
      <c r="X1023" s="401"/>
      <c r="Y1023" s="401"/>
      <c r="Z1023" s="401"/>
      <c r="AA1023" s="401"/>
    </row>
    <row r="1024">
      <c r="A1024" s="401"/>
      <c r="B1024" s="401"/>
      <c r="C1024" s="401"/>
      <c r="D1024" s="401"/>
      <c r="E1024" s="399"/>
      <c r="F1024" s="399"/>
      <c r="G1024" s="399"/>
      <c r="H1024" s="400"/>
      <c r="I1024" s="401"/>
      <c r="J1024" s="401"/>
      <c r="K1024" s="401"/>
      <c r="L1024" s="401"/>
      <c r="M1024" s="401"/>
      <c r="N1024" s="401"/>
      <c r="O1024" s="401"/>
      <c r="P1024" s="401"/>
      <c r="Q1024" s="401"/>
      <c r="R1024" s="401"/>
      <c r="S1024" s="401"/>
      <c r="T1024" s="401"/>
      <c r="U1024" s="401"/>
      <c r="V1024" s="401"/>
      <c r="W1024" s="401"/>
      <c r="X1024" s="401"/>
      <c r="Y1024" s="401"/>
      <c r="Z1024" s="401"/>
      <c r="AA1024" s="401"/>
    </row>
    <row r="1025">
      <c r="A1025" s="401"/>
      <c r="B1025" s="401"/>
      <c r="C1025" s="401"/>
      <c r="D1025" s="401"/>
      <c r="E1025" s="399"/>
      <c r="F1025" s="399"/>
      <c r="G1025" s="399"/>
      <c r="H1025" s="400"/>
      <c r="I1025" s="401"/>
      <c r="J1025" s="401"/>
      <c r="K1025" s="401"/>
      <c r="L1025" s="401"/>
      <c r="M1025" s="401"/>
      <c r="N1025" s="401"/>
      <c r="O1025" s="401"/>
      <c r="P1025" s="401"/>
      <c r="Q1025" s="401"/>
      <c r="R1025" s="401"/>
      <c r="S1025" s="401"/>
      <c r="T1025" s="401"/>
      <c r="U1025" s="401"/>
      <c r="V1025" s="401"/>
      <c r="W1025" s="401"/>
      <c r="X1025" s="401"/>
      <c r="Y1025" s="401"/>
      <c r="Z1025" s="401"/>
      <c r="AA1025" s="401"/>
    </row>
    <row r="1026">
      <c r="A1026" s="401"/>
      <c r="B1026" s="401"/>
      <c r="C1026" s="401"/>
      <c r="D1026" s="401"/>
      <c r="E1026" s="399"/>
      <c r="F1026" s="399"/>
      <c r="G1026" s="399"/>
      <c r="H1026" s="400"/>
      <c r="I1026" s="401"/>
      <c r="J1026" s="401"/>
      <c r="K1026" s="401"/>
      <c r="L1026" s="401"/>
      <c r="M1026" s="401"/>
      <c r="N1026" s="401"/>
      <c r="O1026" s="401"/>
      <c r="P1026" s="401"/>
      <c r="Q1026" s="401"/>
      <c r="R1026" s="401"/>
      <c r="S1026" s="401"/>
      <c r="T1026" s="401"/>
      <c r="U1026" s="401"/>
      <c r="V1026" s="401"/>
      <c r="W1026" s="401"/>
      <c r="X1026" s="401"/>
      <c r="Y1026" s="401"/>
      <c r="Z1026" s="401"/>
      <c r="AA1026" s="401"/>
    </row>
    <row r="1027">
      <c r="A1027" s="401"/>
      <c r="B1027" s="401"/>
      <c r="C1027" s="401"/>
      <c r="D1027" s="401"/>
      <c r="E1027" s="399"/>
      <c r="F1027" s="399"/>
      <c r="G1027" s="399"/>
      <c r="H1027" s="400"/>
      <c r="I1027" s="401"/>
      <c r="J1027" s="401"/>
      <c r="K1027" s="401"/>
      <c r="L1027" s="401"/>
      <c r="M1027" s="401"/>
      <c r="N1027" s="401"/>
      <c r="O1027" s="401"/>
      <c r="P1027" s="401"/>
      <c r="Q1027" s="401"/>
      <c r="R1027" s="401"/>
      <c r="S1027" s="401"/>
      <c r="T1027" s="401"/>
      <c r="U1027" s="401"/>
      <c r="V1027" s="401"/>
      <c r="W1027" s="401"/>
      <c r="X1027" s="401"/>
      <c r="Y1027" s="401"/>
      <c r="Z1027" s="401"/>
      <c r="AA1027" s="401"/>
    </row>
    <row r="1028">
      <c r="A1028" s="401"/>
      <c r="B1028" s="401"/>
      <c r="C1028" s="401"/>
      <c r="D1028" s="401"/>
      <c r="E1028" s="399"/>
      <c r="F1028" s="399"/>
      <c r="G1028" s="399"/>
      <c r="H1028" s="400"/>
      <c r="I1028" s="401"/>
      <c r="J1028" s="401"/>
      <c r="K1028" s="401"/>
      <c r="L1028" s="401"/>
      <c r="M1028" s="401"/>
      <c r="N1028" s="401"/>
      <c r="O1028" s="401"/>
      <c r="P1028" s="401"/>
      <c r="Q1028" s="401"/>
      <c r="R1028" s="401"/>
      <c r="S1028" s="401"/>
      <c r="T1028" s="401"/>
      <c r="U1028" s="401"/>
      <c r="V1028" s="401"/>
      <c r="W1028" s="401"/>
      <c r="X1028" s="401"/>
      <c r="Y1028" s="401"/>
      <c r="Z1028" s="401"/>
      <c r="AA1028" s="401"/>
    </row>
    <row r="1029">
      <c r="A1029" s="401"/>
      <c r="B1029" s="401"/>
      <c r="C1029" s="401"/>
      <c r="D1029" s="401"/>
      <c r="E1029" s="399"/>
      <c r="F1029" s="399"/>
      <c r="G1029" s="399"/>
      <c r="H1029" s="400"/>
      <c r="I1029" s="401"/>
      <c r="J1029" s="401"/>
      <c r="K1029" s="401"/>
      <c r="L1029" s="401"/>
      <c r="M1029" s="401"/>
      <c r="N1029" s="401"/>
      <c r="O1029" s="401"/>
      <c r="P1029" s="401"/>
      <c r="Q1029" s="401"/>
      <c r="R1029" s="401"/>
      <c r="S1029" s="401"/>
      <c r="T1029" s="401"/>
      <c r="U1029" s="401"/>
      <c r="V1029" s="401"/>
      <c r="W1029" s="401"/>
      <c r="X1029" s="401"/>
      <c r="Y1029" s="401"/>
      <c r="Z1029" s="401"/>
      <c r="AA1029" s="401"/>
    </row>
    <row r="1030">
      <c r="A1030" s="401"/>
      <c r="B1030" s="401"/>
      <c r="C1030" s="401"/>
      <c r="D1030" s="401"/>
      <c r="E1030" s="399"/>
      <c r="F1030" s="399"/>
      <c r="G1030" s="399"/>
      <c r="H1030" s="400"/>
      <c r="I1030" s="401"/>
      <c r="J1030" s="401"/>
      <c r="K1030" s="401"/>
      <c r="L1030" s="401"/>
      <c r="M1030" s="401"/>
      <c r="N1030" s="401"/>
      <c r="O1030" s="401"/>
      <c r="P1030" s="401"/>
      <c r="Q1030" s="401"/>
      <c r="R1030" s="401"/>
      <c r="S1030" s="401"/>
      <c r="T1030" s="401"/>
      <c r="U1030" s="401"/>
      <c r="V1030" s="401"/>
      <c r="W1030" s="401"/>
      <c r="X1030" s="401"/>
      <c r="Y1030" s="401"/>
      <c r="Z1030" s="401"/>
      <c r="AA1030" s="401"/>
    </row>
    <row r="1031">
      <c r="A1031" s="401"/>
      <c r="B1031" s="401"/>
      <c r="C1031" s="401"/>
      <c r="D1031" s="401"/>
      <c r="E1031" s="399"/>
      <c r="F1031" s="399"/>
      <c r="G1031" s="399"/>
      <c r="H1031" s="400"/>
      <c r="I1031" s="401"/>
      <c r="J1031" s="401"/>
      <c r="K1031" s="401"/>
      <c r="L1031" s="401"/>
      <c r="M1031" s="401"/>
      <c r="N1031" s="401"/>
      <c r="O1031" s="401"/>
      <c r="P1031" s="401"/>
      <c r="Q1031" s="401"/>
      <c r="R1031" s="401"/>
      <c r="S1031" s="401"/>
      <c r="T1031" s="401"/>
      <c r="U1031" s="401"/>
      <c r="V1031" s="401"/>
      <c r="W1031" s="401"/>
      <c r="X1031" s="401"/>
      <c r="Y1031" s="401"/>
      <c r="Z1031" s="401"/>
      <c r="AA1031" s="401"/>
    </row>
    <row r="1032">
      <c r="A1032" s="401"/>
      <c r="B1032" s="401"/>
      <c r="C1032" s="401"/>
      <c r="D1032" s="401"/>
      <c r="E1032" s="399"/>
      <c r="F1032" s="399"/>
      <c r="G1032" s="399"/>
      <c r="H1032" s="400"/>
      <c r="I1032" s="401"/>
      <c r="J1032" s="401"/>
      <c r="K1032" s="401"/>
      <c r="L1032" s="401"/>
      <c r="M1032" s="401"/>
      <c r="N1032" s="401"/>
      <c r="O1032" s="401"/>
      <c r="P1032" s="401"/>
      <c r="Q1032" s="401"/>
      <c r="R1032" s="401"/>
      <c r="S1032" s="401"/>
      <c r="T1032" s="401"/>
      <c r="U1032" s="401"/>
      <c r="V1032" s="401"/>
      <c r="W1032" s="401"/>
      <c r="X1032" s="401"/>
      <c r="Y1032" s="401"/>
      <c r="Z1032" s="401"/>
      <c r="AA1032" s="401"/>
    </row>
    <row r="1033">
      <c r="A1033" s="401"/>
      <c r="B1033" s="401"/>
      <c r="C1033" s="401"/>
      <c r="D1033" s="401"/>
      <c r="E1033" s="399"/>
      <c r="F1033" s="399"/>
      <c r="G1033" s="399"/>
      <c r="H1033" s="400"/>
      <c r="I1033" s="401"/>
      <c r="J1033" s="401"/>
      <c r="K1033" s="401"/>
      <c r="L1033" s="401"/>
      <c r="M1033" s="401"/>
      <c r="N1033" s="401"/>
      <c r="O1033" s="401"/>
      <c r="P1033" s="401"/>
      <c r="Q1033" s="401"/>
      <c r="R1033" s="401"/>
      <c r="S1033" s="401"/>
      <c r="T1033" s="401"/>
      <c r="U1033" s="401"/>
      <c r="V1033" s="401"/>
      <c r="W1033" s="401"/>
      <c r="X1033" s="401"/>
      <c r="Y1033" s="401"/>
      <c r="Z1033" s="401"/>
      <c r="AA1033" s="401"/>
    </row>
    <row r="1034">
      <c r="A1034" s="401"/>
      <c r="B1034" s="401"/>
      <c r="C1034" s="401"/>
      <c r="D1034" s="401"/>
      <c r="E1034" s="399"/>
      <c r="F1034" s="399"/>
      <c r="G1034" s="399"/>
      <c r="H1034" s="400"/>
      <c r="I1034" s="401"/>
      <c r="J1034" s="401"/>
      <c r="K1034" s="401"/>
      <c r="L1034" s="401"/>
      <c r="M1034" s="401"/>
      <c r="N1034" s="401"/>
      <c r="O1034" s="401"/>
      <c r="P1034" s="401"/>
      <c r="Q1034" s="401"/>
      <c r="R1034" s="401"/>
      <c r="S1034" s="401"/>
      <c r="T1034" s="401"/>
      <c r="U1034" s="401"/>
      <c r="V1034" s="401"/>
      <c r="W1034" s="401"/>
      <c r="X1034" s="401"/>
      <c r="Y1034" s="401"/>
      <c r="Z1034" s="401"/>
      <c r="AA1034" s="401"/>
    </row>
    <row r="1035">
      <c r="A1035" s="401"/>
      <c r="B1035" s="401"/>
      <c r="C1035" s="401"/>
      <c r="D1035" s="401"/>
      <c r="E1035" s="399"/>
      <c r="F1035" s="399"/>
      <c r="G1035" s="399"/>
      <c r="H1035" s="400"/>
      <c r="I1035" s="401"/>
      <c r="J1035" s="401"/>
      <c r="K1035" s="401"/>
      <c r="L1035" s="401"/>
      <c r="M1035" s="401"/>
      <c r="N1035" s="401"/>
      <c r="O1035" s="401"/>
      <c r="P1035" s="401"/>
      <c r="Q1035" s="401"/>
      <c r="R1035" s="401"/>
      <c r="S1035" s="401"/>
      <c r="T1035" s="401"/>
      <c r="U1035" s="401"/>
      <c r="V1035" s="401"/>
      <c r="W1035" s="401"/>
      <c r="X1035" s="401"/>
      <c r="Y1035" s="401"/>
      <c r="Z1035" s="401"/>
      <c r="AA1035" s="401"/>
    </row>
    <row r="1036">
      <c r="A1036" s="401"/>
      <c r="B1036" s="401"/>
      <c r="C1036" s="401"/>
      <c r="D1036" s="401"/>
      <c r="E1036" s="399"/>
      <c r="F1036" s="399"/>
      <c r="G1036" s="399"/>
      <c r="H1036" s="400"/>
      <c r="I1036" s="401"/>
      <c r="J1036" s="401"/>
      <c r="K1036" s="401"/>
      <c r="L1036" s="401"/>
      <c r="M1036" s="401"/>
      <c r="N1036" s="401"/>
      <c r="O1036" s="401"/>
      <c r="P1036" s="401"/>
      <c r="Q1036" s="401"/>
      <c r="R1036" s="401"/>
      <c r="S1036" s="401"/>
      <c r="T1036" s="401"/>
      <c r="U1036" s="401"/>
      <c r="V1036" s="401"/>
      <c r="W1036" s="401"/>
      <c r="X1036" s="401"/>
      <c r="Y1036" s="401"/>
      <c r="Z1036" s="401"/>
      <c r="AA1036" s="401"/>
    </row>
    <row r="1037">
      <c r="A1037" s="401"/>
      <c r="B1037" s="401"/>
      <c r="C1037" s="401"/>
      <c r="D1037" s="401"/>
      <c r="E1037" s="399"/>
      <c r="F1037" s="399"/>
      <c r="G1037" s="399"/>
      <c r="H1037" s="400"/>
      <c r="I1037" s="401"/>
      <c r="J1037" s="401"/>
      <c r="K1037" s="401"/>
      <c r="L1037" s="401"/>
      <c r="M1037" s="401"/>
      <c r="N1037" s="401"/>
      <c r="O1037" s="401"/>
      <c r="P1037" s="401"/>
      <c r="Q1037" s="401"/>
      <c r="R1037" s="401"/>
      <c r="S1037" s="401"/>
      <c r="T1037" s="401"/>
      <c r="U1037" s="401"/>
      <c r="V1037" s="401"/>
      <c r="W1037" s="401"/>
      <c r="X1037" s="401"/>
      <c r="Y1037" s="401"/>
      <c r="Z1037" s="401"/>
      <c r="AA1037" s="401"/>
    </row>
    <row r="1038">
      <c r="A1038" s="401"/>
      <c r="B1038" s="401"/>
      <c r="C1038" s="401"/>
      <c r="D1038" s="401"/>
      <c r="E1038" s="399"/>
      <c r="F1038" s="399"/>
      <c r="G1038" s="399"/>
      <c r="H1038" s="400"/>
      <c r="I1038" s="401"/>
      <c r="J1038" s="401"/>
      <c r="K1038" s="401"/>
      <c r="L1038" s="401"/>
      <c r="M1038" s="401"/>
      <c r="N1038" s="401"/>
      <c r="O1038" s="401"/>
      <c r="P1038" s="401"/>
      <c r="Q1038" s="401"/>
      <c r="R1038" s="401"/>
      <c r="S1038" s="401"/>
      <c r="T1038" s="401"/>
      <c r="U1038" s="401"/>
      <c r="V1038" s="401"/>
      <c r="W1038" s="401"/>
      <c r="X1038" s="401"/>
      <c r="Y1038" s="401"/>
      <c r="Z1038" s="401"/>
      <c r="AA1038" s="401"/>
    </row>
    <row r="1039">
      <c r="A1039" s="401"/>
      <c r="B1039" s="401"/>
      <c r="C1039" s="401"/>
      <c r="D1039" s="401"/>
      <c r="E1039" s="399"/>
      <c r="F1039" s="399"/>
      <c r="G1039" s="399"/>
      <c r="H1039" s="400"/>
      <c r="I1039" s="401"/>
      <c r="J1039" s="401"/>
      <c r="K1039" s="401"/>
      <c r="L1039" s="401"/>
      <c r="M1039" s="401"/>
      <c r="N1039" s="401"/>
      <c r="O1039" s="401"/>
      <c r="P1039" s="401"/>
      <c r="Q1039" s="401"/>
      <c r="R1039" s="401"/>
      <c r="S1039" s="401"/>
      <c r="T1039" s="401"/>
      <c r="U1039" s="401"/>
      <c r="V1039" s="401"/>
      <c r="W1039" s="401"/>
      <c r="X1039" s="401"/>
      <c r="Y1039" s="401"/>
      <c r="Z1039" s="401"/>
      <c r="AA1039" s="401"/>
    </row>
  </sheetData>
  <autoFilter ref="$A$1:$K$151"/>
  <drawing r:id="rId2"/>
  <legacy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sheetViews>
  <sheetFormatPr customHeight="1" defaultColWidth="17.29" defaultRowHeight="15.0"/>
  <cols>
    <col customWidth="1" min="1" max="1" width="30.14"/>
  </cols>
  <sheetData>
    <row r="1">
      <c r="A1" s="404" t="s">
        <v>1429</v>
      </c>
      <c r="B1" s="405"/>
      <c r="C1" s="405"/>
      <c r="D1" s="401"/>
      <c r="E1" s="401"/>
      <c r="F1" s="401"/>
      <c r="G1" s="401"/>
      <c r="H1" s="401"/>
      <c r="I1" s="401"/>
      <c r="J1" s="401"/>
      <c r="K1" s="401"/>
      <c r="L1" s="401"/>
      <c r="M1" s="401"/>
      <c r="N1" s="401"/>
      <c r="O1" s="401"/>
      <c r="P1" s="401"/>
      <c r="Q1" s="401"/>
      <c r="R1" s="401"/>
      <c r="S1" s="401"/>
      <c r="T1" s="401"/>
      <c r="U1" s="401"/>
      <c r="V1" s="401"/>
      <c r="W1" s="401"/>
      <c r="X1" s="401"/>
      <c r="Y1" s="401"/>
      <c r="Z1" s="401"/>
    </row>
    <row r="2">
      <c r="A2" s="404" t="s">
        <v>1430</v>
      </c>
      <c r="B2" s="405"/>
      <c r="C2" s="405"/>
      <c r="D2" s="401"/>
      <c r="E2" s="401"/>
      <c r="F2" s="401"/>
      <c r="G2" s="401"/>
      <c r="H2" s="401"/>
      <c r="I2" s="401"/>
      <c r="J2" s="401"/>
      <c r="K2" s="401"/>
      <c r="L2" s="401"/>
      <c r="M2" s="401"/>
      <c r="N2" s="401"/>
      <c r="O2" s="401"/>
      <c r="P2" s="401"/>
      <c r="Q2" s="401"/>
      <c r="R2" s="401"/>
      <c r="S2" s="401"/>
      <c r="T2" s="401"/>
      <c r="U2" s="401"/>
      <c r="V2" s="401"/>
      <c r="W2" s="401"/>
      <c r="X2" s="401"/>
      <c r="Y2" s="401"/>
      <c r="Z2" s="401"/>
    </row>
    <row r="3">
      <c r="A3" s="404" t="s">
        <v>1431</v>
      </c>
      <c r="B3" s="406" t="s">
        <v>1432</v>
      </c>
      <c r="C3" s="407" t="s">
        <v>1433</v>
      </c>
      <c r="D3" s="401"/>
      <c r="E3" s="401"/>
      <c r="F3" s="401"/>
      <c r="G3" s="401"/>
      <c r="H3" s="401"/>
      <c r="I3" s="401"/>
      <c r="J3" s="401"/>
      <c r="K3" s="401"/>
      <c r="L3" s="401"/>
      <c r="M3" s="401"/>
      <c r="N3" s="401"/>
      <c r="O3" s="401"/>
      <c r="P3" s="401"/>
      <c r="Q3" s="401"/>
      <c r="R3" s="401"/>
      <c r="S3" s="401"/>
      <c r="T3" s="401"/>
      <c r="U3" s="401"/>
      <c r="V3" s="401"/>
      <c r="W3" s="401"/>
      <c r="X3" s="401"/>
      <c r="Y3" s="401"/>
      <c r="Z3" s="401"/>
    </row>
    <row r="4">
      <c r="A4" s="408" t="s">
        <v>1434</v>
      </c>
      <c r="B4" s="409">
        <v>1.3014878E7</v>
      </c>
      <c r="C4" s="410">
        <f>B4/sum(B4:B5,B7,B8,B13)</f>
        <v>0.30206188</v>
      </c>
      <c r="D4" s="401"/>
      <c r="E4" s="401"/>
      <c r="F4" s="401"/>
      <c r="G4" s="401"/>
      <c r="H4" s="401"/>
      <c r="I4" s="401"/>
      <c r="J4" s="401"/>
      <c r="K4" s="401"/>
      <c r="L4" s="401"/>
      <c r="M4" s="401"/>
      <c r="N4" s="401"/>
      <c r="O4" s="401"/>
      <c r="P4" s="401"/>
      <c r="Q4" s="401"/>
      <c r="R4" s="401"/>
      <c r="S4" s="401"/>
      <c r="T4" s="401"/>
      <c r="U4" s="401"/>
      <c r="V4" s="401"/>
      <c r="W4" s="401"/>
      <c r="X4" s="401"/>
      <c r="Y4" s="401"/>
      <c r="Z4" s="401"/>
    </row>
    <row r="5">
      <c r="A5" s="408" t="s">
        <v>1435</v>
      </c>
      <c r="B5" s="409">
        <v>1.4327686E7</v>
      </c>
      <c r="C5" s="410">
        <f>B5/sum(B4:B5,B7,B8,B13)</f>
        <v>0.3325307982</v>
      </c>
      <c r="D5" s="401"/>
      <c r="E5" s="401"/>
      <c r="F5" s="401"/>
      <c r="G5" s="401"/>
      <c r="H5" s="401"/>
      <c r="I5" s="401"/>
      <c r="J5" s="401"/>
      <c r="K5" s="401"/>
      <c r="L5" s="401"/>
      <c r="M5" s="401"/>
      <c r="N5" s="401"/>
      <c r="O5" s="401"/>
      <c r="P5" s="401"/>
      <c r="Q5" s="401"/>
      <c r="R5" s="401"/>
      <c r="S5" s="401"/>
      <c r="T5" s="401"/>
      <c r="U5" s="401"/>
      <c r="V5" s="401"/>
      <c r="W5" s="401"/>
      <c r="X5" s="401"/>
      <c r="Y5" s="401"/>
      <c r="Z5" s="401"/>
    </row>
    <row r="6">
      <c r="A6" s="408" t="s">
        <v>1436</v>
      </c>
      <c r="B6" s="409">
        <v>8649386.0</v>
      </c>
      <c r="C6" s="411"/>
      <c r="D6" s="401"/>
      <c r="E6" s="401"/>
      <c r="F6" s="401"/>
      <c r="G6" s="401"/>
      <c r="H6" s="401"/>
      <c r="I6" s="401"/>
      <c r="J6" s="401"/>
      <c r="K6" s="401"/>
      <c r="L6" s="401"/>
      <c r="M6" s="401"/>
      <c r="N6" s="401"/>
      <c r="O6" s="401"/>
      <c r="P6" s="401"/>
      <c r="Q6" s="401"/>
      <c r="R6" s="401"/>
      <c r="S6" s="401"/>
      <c r="T6" s="401"/>
      <c r="U6" s="401"/>
      <c r="V6" s="401"/>
      <c r="W6" s="401"/>
      <c r="X6" s="401"/>
      <c r="Y6" s="401"/>
      <c r="Z6" s="401"/>
    </row>
    <row r="7">
      <c r="A7" s="408" t="s">
        <v>1437</v>
      </c>
      <c r="B7" s="409">
        <v>7801000.0</v>
      </c>
      <c r="C7" s="410">
        <f>B7/sum(B4:B5,B7,B8,B13)</f>
        <v>0.1810531552</v>
      </c>
      <c r="D7" s="401"/>
      <c r="E7" s="401"/>
      <c r="F7" s="401"/>
      <c r="G7" s="401"/>
      <c r="H7" s="401"/>
      <c r="I7" s="401"/>
      <c r="J7" s="401"/>
      <c r="K7" s="401"/>
      <c r="L7" s="401"/>
      <c r="M7" s="401"/>
      <c r="N7" s="401"/>
      <c r="O7" s="401"/>
      <c r="P7" s="401"/>
      <c r="Q7" s="401"/>
      <c r="R7" s="401"/>
      <c r="S7" s="401"/>
      <c r="T7" s="401"/>
      <c r="U7" s="401"/>
      <c r="V7" s="401"/>
      <c r="W7" s="401"/>
      <c r="X7" s="401"/>
      <c r="Y7" s="401"/>
      <c r="Z7" s="401"/>
    </row>
    <row r="8">
      <c r="A8" s="408" t="s">
        <v>1438</v>
      </c>
      <c r="B8" s="409">
        <v>7000000.0</v>
      </c>
      <c r="C8" s="410">
        <f>B8/sum(B4:B5,B7,B8,B13)</f>
        <v>0.1624627722</v>
      </c>
      <c r="D8" s="401"/>
      <c r="E8" s="401"/>
      <c r="F8" s="401"/>
      <c r="G8" s="401"/>
      <c r="H8" s="401"/>
      <c r="I8" s="401"/>
      <c r="J8" s="401"/>
      <c r="K8" s="401"/>
      <c r="L8" s="401"/>
      <c r="M8" s="401"/>
      <c r="N8" s="401"/>
      <c r="O8" s="401"/>
      <c r="P8" s="401"/>
      <c r="Q8" s="401"/>
      <c r="R8" s="401"/>
      <c r="S8" s="401"/>
      <c r="T8" s="401"/>
      <c r="U8" s="401"/>
      <c r="V8" s="401"/>
      <c r="W8" s="401"/>
      <c r="X8" s="401"/>
      <c r="Y8" s="401"/>
      <c r="Z8" s="401"/>
    </row>
    <row r="9">
      <c r="A9" s="408" t="s">
        <v>1439</v>
      </c>
      <c r="B9" s="409">
        <v>2634523.0</v>
      </c>
      <c r="C9" s="411"/>
      <c r="D9" s="401"/>
      <c r="E9" s="401"/>
      <c r="F9" s="401"/>
      <c r="G9" s="401"/>
      <c r="H9" s="401"/>
      <c r="I9" s="401"/>
      <c r="J9" s="401"/>
      <c r="K9" s="401"/>
      <c r="L9" s="401"/>
      <c r="M9" s="401"/>
      <c r="N9" s="401"/>
      <c r="O9" s="401"/>
      <c r="P9" s="401"/>
      <c r="Q9" s="401"/>
      <c r="R9" s="401"/>
      <c r="S9" s="401"/>
      <c r="T9" s="401"/>
      <c r="U9" s="401"/>
      <c r="V9" s="401"/>
      <c r="W9" s="401"/>
      <c r="X9" s="401"/>
      <c r="Y9" s="401"/>
      <c r="Z9" s="401"/>
    </row>
    <row r="10">
      <c r="A10" s="412" t="s">
        <v>1440</v>
      </c>
      <c r="B10" s="409">
        <v>2149875.0</v>
      </c>
      <c r="C10" s="411"/>
      <c r="D10" s="401"/>
      <c r="E10" s="401"/>
      <c r="F10" s="401"/>
      <c r="G10" s="401"/>
      <c r="H10" s="401"/>
      <c r="I10" s="401"/>
      <c r="J10" s="401"/>
      <c r="K10" s="401"/>
      <c r="L10" s="401"/>
      <c r="M10" s="401"/>
      <c r="N10" s="401"/>
      <c r="O10" s="401"/>
      <c r="P10" s="401"/>
      <c r="Q10" s="401"/>
      <c r="R10" s="401"/>
      <c r="S10" s="401"/>
      <c r="T10" s="401"/>
      <c r="U10" s="401"/>
      <c r="V10" s="401"/>
      <c r="W10" s="401"/>
      <c r="X10" s="401"/>
      <c r="Y10" s="401"/>
      <c r="Z10" s="401"/>
    </row>
    <row r="11">
      <c r="A11" s="412" t="s">
        <v>1441</v>
      </c>
      <c r="B11" s="409">
        <v>1000000.0</v>
      </c>
      <c r="C11" s="411"/>
      <c r="D11" s="401"/>
      <c r="E11" s="401"/>
      <c r="F11" s="401"/>
      <c r="G11" s="401"/>
      <c r="H11" s="401"/>
      <c r="I11" s="401"/>
      <c r="J11" s="401"/>
      <c r="K11" s="401"/>
      <c r="L11" s="401"/>
      <c r="M11" s="401"/>
      <c r="N11" s="401"/>
      <c r="O11" s="401"/>
      <c r="P11" s="401"/>
      <c r="Q11" s="401"/>
      <c r="R11" s="401"/>
      <c r="S11" s="401"/>
      <c r="T11" s="401"/>
      <c r="U11" s="401"/>
      <c r="V11" s="401"/>
      <c r="W11" s="401"/>
      <c r="X11" s="401"/>
      <c r="Y11" s="401"/>
      <c r="Z11" s="401"/>
    </row>
    <row r="12">
      <c r="A12" s="412" t="s">
        <v>1442</v>
      </c>
      <c r="B12" s="409">
        <v>1466311.0</v>
      </c>
      <c r="C12" s="411"/>
      <c r="D12" s="401"/>
      <c r="E12" s="401"/>
      <c r="F12" s="401"/>
      <c r="G12" s="401"/>
      <c r="H12" s="401"/>
      <c r="I12" s="401"/>
      <c r="J12" s="401"/>
      <c r="K12" s="401"/>
      <c r="L12" s="401"/>
      <c r="M12" s="401"/>
      <c r="N12" s="401"/>
      <c r="O12" s="401"/>
      <c r="P12" s="401"/>
      <c r="Q12" s="401"/>
      <c r="R12" s="401"/>
      <c r="S12" s="401"/>
      <c r="T12" s="401"/>
      <c r="U12" s="401"/>
      <c r="V12" s="401"/>
      <c r="W12" s="401"/>
      <c r="X12" s="401"/>
      <c r="Y12" s="401"/>
      <c r="Z12" s="401"/>
    </row>
    <row r="13">
      <c r="A13" s="408" t="s">
        <v>1443</v>
      </c>
      <c r="B13" s="409">
        <v>943230.0</v>
      </c>
      <c r="C13" s="410">
        <f>B13/sum(B4:B5,B7,B8,B13)</f>
        <v>0.02189139438</v>
      </c>
      <c r="D13" s="401"/>
      <c r="E13" s="401"/>
      <c r="F13" s="401"/>
      <c r="G13" s="401"/>
      <c r="H13" s="401"/>
      <c r="I13" s="401"/>
      <c r="J13" s="401"/>
      <c r="K13" s="401"/>
      <c r="L13" s="401"/>
      <c r="M13" s="401"/>
      <c r="N13" s="401"/>
      <c r="O13" s="401"/>
      <c r="P13" s="401"/>
      <c r="Q13" s="401"/>
      <c r="R13" s="401"/>
      <c r="S13" s="401"/>
      <c r="T13" s="401"/>
      <c r="U13" s="401"/>
      <c r="V13" s="401"/>
      <c r="W13" s="401"/>
      <c r="X13" s="401"/>
      <c r="Y13" s="401"/>
      <c r="Z13" s="401"/>
    </row>
    <row r="14">
      <c r="A14" s="412" t="s">
        <v>1444</v>
      </c>
      <c r="B14" s="409">
        <v>621874.0</v>
      </c>
      <c r="C14" s="411"/>
      <c r="D14" s="401"/>
      <c r="E14" s="401"/>
      <c r="F14" s="401"/>
      <c r="G14" s="401"/>
      <c r="H14" s="401"/>
      <c r="I14" s="401"/>
      <c r="J14" s="401"/>
      <c r="K14" s="401"/>
      <c r="L14" s="401"/>
      <c r="M14" s="401"/>
      <c r="N14" s="401"/>
      <c r="O14" s="401"/>
      <c r="P14" s="401"/>
      <c r="Q14" s="401"/>
      <c r="R14" s="401"/>
      <c r="S14" s="401"/>
      <c r="T14" s="401"/>
      <c r="U14" s="401"/>
      <c r="V14" s="401"/>
      <c r="W14" s="401"/>
      <c r="X14" s="401"/>
      <c r="Y14" s="401"/>
      <c r="Z14" s="401"/>
    </row>
    <row r="15">
      <c r="A15" s="412" t="s">
        <v>1445</v>
      </c>
      <c r="B15" s="409">
        <v>449541.0</v>
      </c>
      <c r="C15" s="411"/>
      <c r="D15" s="401"/>
      <c r="E15" s="401"/>
      <c r="F15" s="401"/>
      <c r="G15" s="401"/>
      <c r="H15" s="401"/>
      <c r="I15" s="401"/>
      <c r="J15" s="401"/>
      <c r="K15" s="401"/>
      <c r="L15" s="401"/>
      <c r="M15" s="401"/>
      <c r="N15" s="401"/>
      <c r="O15" s="401"/>
      <c r="P15" s="401"/>
      <c r="Q15" s="401"/>
      <c r="R15" s="401"/>
      <c r="S15" s="401"/>
      <c r="T15" s="401"/>
      <c r="U15" s="401"/>
      <c r="V15" s="401"/>
      <c r="W15" s="401"/>
      <c r="X15" s="401"/>
      <c r="Y15" s="401"/>
      <c r="Z15" s="401"/>
    </row>
    <row r="16">
      <c r="A16" s="412" t="s">
        <v>1446</v>
      </c>
      <c r="B16" s="409">
        <v>496804.0</v>
      </c>
      <c r="C16" s="411"/>
      <c r="D16" s="401"/>
      <c r="E16" s="401"/>
      <c r="F16" s="401"/>
      <c r="G16" s="401"/>
      <c r="H16" s="401"/>
      <c r="I16" s="401"/>
      <c r="J16" s="401"/>
      <c r="K16" s="401"/>
      <c r="L16" s="401"/>
      <c r="M16" s="401"/>
      <c r="N16" s="401"/>
      <c r="O16" s="401"/>
      <c r="P16" s="401"/>
      <c r="Q16" s="401"/>
      <c r="R16" s="401"/>
      <c r="S16" s="401"/>
      <c r="T16" s="401"/>
      <c r="U16" s="401"/>
      <c r="V16" s="401"/>
      <c r="W16" s="401"/>
      <c r="X16" s="401"/>
      <c r="Y16" s="401"/>
      <c r="Z16" s="401"/>
    </row>
    <row r="17">
      <c r="A17" s="412" t="s">
        <v>1447</v>
      </c>
      <c r="B17" s="409">
        <v>694969.0</v>
      </c>
      <c r="C17" s="411"/>
      <c r="D17" s="401"/>
      <c r="E17" s="401"/>
      <c r="F17" s="401"/>
      <c r="G17" s="401"/>
      <c r="H17" s="401"/>
      <c r="I17" s="401"/>
      <c r="J17" s="401"/>
      <c r="K17" s="401"/>
      <c r="L17" s="401"/>
      <c r="M17" s="401"/>
      <c r="N17" s="401"/>
      <c r="O17" s="401"/>
      <c r="P17" s="401"/>
      <c r="Q17" s="401"/>
      <c r="R17" s="401"/>
      <c r="S17" s="401"/>
      <c r="T17" s="401"/>
      <c r="U17" s="401"/>
      <c r="V17" s="401"/>
      <c r="W17" s="401"/>
      <c r="X17" s="401"/>
      <c r="Y17" s="401"/>
      <c r="Z17" s="401"/>
    </row>
    <row r="18">
      <c r="A18" s="412" t="s">
        <v>1448</v>
      </c>
      <c r="B18" s="409">
        <v>437863.0</v>
      </c>
      <c r="C18" s="411"/>
      <c r="D18" s="401"/>
      <c r="E18" s="401"/>
      <c r="F18" s="401"/>
      <c r="G18" s="401"/>
      <c r="H18" s="401"/>
      <c r="I18" s="401"/>
      <c r="J18" s="401"/>
      <c r="K18" s="401"/>
      <c r="L18" s="401"/>
      <c r="M18" s="401"/>
      <c r="N18" s="401"/>
      <c r="O18" s="401"/>
      <c r="P18" s="401"/>
      <c r="Q18" s="401"/>
      <c r="R18" s="401"/>
      <c r="S18" s="401"/>
      <c r="T18" s="401"/>
      <c r="U18" s="401"/>
      <c r="V18" s="401"/>
      <c r="W18" s="401"/>
      <c r="X18" s="401"/>
      <c r="Y18" s="401"/>
      <c r="Z18" s="401"/>
    </row>
    <row r="19">
      <c r="A19" s="412" t="s">
        <v>1449</v>
      </c>
      <c r="B19" s="409">
        <v>700000.0</v>
      </c>
      <c r="C19" s="411"/>
      <c r="D19" s="401"/>
      <c r="E19" s="401"/>
      <c r="F19" s="401"/>
      <c r="G19" s="401"/>
      <c r="H19" s="401"/>
      <c r="I19" s="401"/>
      <c r="J19" s="401"/>
      <c r="K19" s="401"/>
      <c r="L19" s="401"/>
      <c r="M19" s="401"/>
      <c r="N19" s="401"/>
      <c r="O19" s="401"/>
      <c r="P19" s="401"/>
      <c r="Q19" s="401"/>
      <c r="R19" s="401"/>
      <c r="S19" s="401"/>
      <c r="T19" s="401"/>
      <c r="U19" s="401"/>
      <c r="V19" s="401"/>
      <c r="W19" s="401"/>
      <c r="X19" s="401"/>
      <c r="Y19" s="401"/>
      <c r="Z19" s="401"/>
    </row>
    <row r="20">
      <c r="A20" s="401"/>
      <c r="B20" s="401"/>
      <c r="C20" s="401"/>
      <c r="D20" s="401"/>
      <c r="E20" s="401"/>
      <c r="F20" s="401"/>
      <c r="G20" s="401"/>
      <c r="H20" s="401"/>
      <c r="I20" s="401"/>
      <c r="J20" s="401"/>
      <c r="K20" s="401"/>
      <c r="L20" s="401"/>
      <c r="M20" s="401"/>
      <c r="N20" s="401"/>
      <c r="O20" s="401"/>
      <c r="P20" s="401"/>
      <c r="Q20" s="401"/>
      <c r="R20" s="401"/>
      <c r="S20" s="401"/>
      <c r="T20" s="401"/>
      <c r="U20" s="401"/>
      <c r="V20" s="401"/>
      <c r="W20" s="401"/>
      <c r="X20" s="401"/>
      <c r="Y20" s="401"/>
      <c r="Z20" s="401"/>
    </row>
    <row r="21">
      <c r="A21" s="401"/>
      <c r="B21" s="401"/>
      <c r="C21" s="401"/>
      <c r="D21" s="401"/>
      <c r="E21" s="401"/>
      <c r="F21" s="401"/>
      <c r="G21" s="401"/>
      <c r="H21" s="401"/>
      <c r="I21" s="401"/>
      <c r="J21" s="401"/>
      <c r="K21" s="401"/>
      <c r="L21" s="401"/>
      <c r="M21" s="401"/>
      <c r="N21" s="401"/>
      <c r="O21" s="401"/>
      <c r="P21" s="401"/>
      <c r="Q21" s="401"/>
      <c r="R21" s="401"/>
      <c r="S21" s="401"/>
      <c r="T21" s="401"/>
      <c r="U21" s="401"/>
      <c r="V21" s="401"/>
      <c r="W21" s="401"/>
      <c r="X21" s="401"/>
      <c r="Y21" s="401"/>
      <c r="Z21" s="401"/>
    </row>
    <row r="22">
      <c r="A22" s="401"/>
      <c r="B22" s="401"/>
      <c r="C22" s="401"/>
      <c r="D22" s="401"/>
      <c r="E22" s="401"/>
      <c r="F22" s="401"/>
      <c r="G22" s="401"/>
      <c r="H22" s="401"/>
      <c r="I22" s="401"/>
      <c r="J22" s="401"/>
      <c r="K22" s="401"/>
      <c r="L22" s="401"/>
      <c r="M22" s="401"/>
      <c r="N22" s="401"/>
      <c r="O22" s="401"/>
      <c r="P22" s="401"/>
      <c r="Q22" s="401"/>
      <c r="R22" s="401"/>
      <c r="S22" s="401"/>
      <c r="T22" s="401"/>
      <c r="U22" s="401"/>
      <c r="V22" s="401"/>
      <c r="W22" s="401"/>
      <c r="X22" s="401"/>
      <c r="Y22" s="401"/>
      <c r="Z22" s="401"/>
    </row>
    <row r="23">
      <c r="A23" s="401"/>
      <c r="B23" s="401"/>
      <c r="C23" s="401"/>
      <c r="D23" s="401"/>
      <c r="E23" s="401"/>
      <c r="F23" s="401"/>
      <c r="G23" s="401"/>
      <c r="H23" s="401"/>
      <c r="I23" s="401"/>
      <c r="J23" s="401"/>
      <c r="K23" s="401"/>
      <c r="L23" s="401"/>
      <c r="M23" s="401"/>
      <c r="N23" s="401"/>
      <c r="O23" s="401"/>
      <c r="P23" s="401"/>
      <c r="Q23" s="401"/>
      <c r="R23" s="401"/>
      <c r="S23" s="401"/>
      <c r="T23" s="401"/>
      <c r="U23" s="401"/>
      <c r="V23" s="401"/>
      <c r="W23" s="401"/>
      <c r="X23" s="401"/>
      <c r="Y23" s="401"/>
      <c r="Z23" s="401"/>
    </row>
    <row r="24">
      <c r="A24" s="401"/>
      <c r="B24" s="401"/>
      <c r="C24" s="401"/>
      <c r="D24" s="401"/>
      <c r="E24" s="401"/>
      <c r="F24" s="401"/>
      <c r="G24" s="401"/>
      <c r="H24" s="401"/>
      <c r="I24" s="401"/>
      <c r="J24" s="401"/>
      <c r="K24" s="401"/>
      <c r="L24" s="401"/>
      <c r="M24" s="401"/>
      <c r="N24" s="401"/>
      <c r="O24" s="401"/>
      <c r="P24" s="401"/>
      <c r="Q24" s="401"/>
      <c r="R24" s="401"/>
      <c r="S24" s="401"/>
      <c r="T24" s="401"/>
      <c r="U24" s="401"/>
      <c r="V24" s="401"/>
      <c r="W24" s="401"/>
      <c r="X24" s="401"/>
      <c r="Y24" s="401"/>
      <c r="Z24" s="401"/>
    </row>
    <row r="25">
      <c r="A25" s="401"/>
      <c r="B25" s="401"/>
      <c r="C25" s="401"/>
      <c r="D25" s="401"/>
      <c r="E25" s="401"/>
      <c r="F25" s="401"/>
      <c r="G25" s="401"/>
      <c r="H25" s="401"/>
      <c r="I25" s="401"/>
      <c r="J25" s="401"/>
      <c r="K25" s="401"/>
      <c r="L25" s="401"/>
      <c r="M25" s="401"/>
      <c r="N25" s="401"/>
      <c r="O25" s="401"/>
      <c r="P25" s="401"/>
      <c r="Q25" s="401"/>
      <c r="R25" s="401"/>
      <c r="S25" s="401"/>
      <c r="T25" s="401"/>
      <c r="U25" s="401"/>
      <c r="V25" s="401"/>
      <c r="W25" s="401"/>
      <c r="X25" s="401"/>
      <c r="Y25" s="401"/>
      <c r="Z25" s="401"/>
    </row>
    <row r="26">
      <c r="A26" s="401"/>
      <c r="B26" s="401"/>
      <c r="C26" s="401"/>
      <c r="D26" s="401"/>
      <c r="E26" s="401"/>
      <c r="F26" s="401"/>
      <c r="G26" s="401"/>
      <c r="H26" s="401"/>
      <c r="I26" s="401"/>
      <c r="J26" s="401"/>
      <c r="K26" s="401"/>
      <c r="L26" s="401"/>
      <c r="M26" s="401"/>
      <c r="N26" s="401"/>
      <c r="O26" s="401"/>
      <c r="P26" s="401"/>
      <c r="Q26" s="401"/>
      <c r="R26" s="401"/>
      <c r="S26" s="401"/>
      <c r="T26" s="401"/>
      <c r="U26" s="401"/>
      <c r="V26" s="401"/>
      <c r="W26" s="401"/>
      <c r="X26" s="401"/>
      <c r="Y26" s="401"/>
      <c r="Z26" s="401"/>
    </row>
    <row r="27">
      <c r="A27" s="401"/>
      <c r="B27" s="401"/>
      <c r="C27" s="401"/>
      <c r="D27" s="401"/>
      <c r="E27" s="401"/>
      <c r="F27" s="401"/>
      <c r="G27" s="401"/>
      <c r="H27" s="401"/>
      <c r="I27" s="401"/>
      <c r="J27" s="401"/>
      <c r="K27" s="401"/>
      <c r="L27" s="401"/>
      <c r="M27" s="401"/>
      <c r="N27" s="401"/>
      <c r="O27" s="401"/>
      <c r="P27" s="401"/>
      <c r="Q27" s="401"/>
      <c r="R27" s="401"/>
      <c r="S27" s="401"/>
      <c r="T27" s="401"/>
      <c r="U27" s="401"/>
      <c r="V27" s="401"/>
      <c r="W27" s="401"/>
      <c r="X27" s="401"/>
      <c r="Y27" s="401"/>
      <c r="Z27" s="401"/>
    </row>
    <row r="28">
      <c r="A28" s="401"/>
      <c r="B28" s="401"/>
      <c r="C28" s="401"/>
      <c r="D28" s="401"/>
      <c r="E28" s="401"/>
      <c r="F28" s="401"/>
      <c r="G28" s="401"/>
      <c r="H28" s="401"/>
      <c r="I28" s="401"/>
      <c r="J28" s="401"/>
      <c r="K28" s="401"/>
      <c r="L28" s="401"/>
      <c r="M28" s="401"/>
      <c r="N28" s="401"/>
      <c r="O28" s="401"/>
      <c r="P28" s="401"/>
      <c r="Q28" s="401"/>
      <c r="R28" s="401"/>
      <c r="S28" s="401"/>
      <c r="T28" s="401"/>
      <c r="U28" s="401"/>
      <c r="V28" s="401"/>
      <c r="W28" s="401"/>
      <c r="X28" s="401"/>
      <c r="Y28" s="401"/>
      <c r="Z28" s="401"/>
    </row>
    <row r="29">
      <c r="A29" s="401"/>
      <c r="B29" s="401"/>
      <c r="C29" s="401"/>
      <c r="D29" s="401"/>
      <c r="E29" s="401"/>
      <c r="F29" s="401"/>
      <c r="G29" s="401"/>
      <c r="H29" s="401"/>
      <c r="I29" s="401"/>
      <c r="J29" s="401"/>
      <c r="K29" s="401"/>
      <c r="L29" s="401"/>
      <c r="M29" s="401"/>
      <c r="N29" s="401"/>
      <c r="O29" s="401"/>
      <c r="P29" s="401"/>
      <c r="Q29" s="401"/>
      <c r="R29" s="401"/>
      <c r="S29" s="401"/>
      <c r="T29" s="401"/>
      <c r="U29" s="401"/>
      <c r="V29" s="401"/>
      <c r="W29" s="401"/>
      <c r="X29" s="401"/>
      <c r="Y29" s="401"/>
      <c r="Z29" s="401"/>
    </row>
    <row r="30">
      <c r="A30" s="401"/>
      <c r="B30" s="401"/>
      <c r="C30" s="401"/>
      <c r="D30" s="401"/>
      <c r="E30" s="401"/>
      <c r="F30" s="401"/>
      <c r="G30" s="401"/>
      <c r="H30" s="401"/>
      <c r="I30" s="401"/>
      <c r="J30" s="401"/>
      <c r="K30" s="401"/>
      <c r="L30" s="401"/>
      <c r="M30" s="401"/>
      <c r="N30" s="401"/>
      <c r="O30" s="401"/>
      <c r="P30" s="401"/>
      <c r="Q30" s="401"/>
      <c r="R30" s="401"/>
      <c r="S30" s="401"/>
      <c r="T30" s="401"/>
      <c r="U30" s="401"/>
      <c r="V30" s="401"/>
      <c r="W30" s="401"/>
      <c r="X30" s="401"/>
      <c r="Y30" s="401"/>
      <c r="Z30" s="401"/>
    </row>
    <row r="31">
      <c r="A31" s="401"/>
      <c r="B31" s="401"/>
      <c r="C31" s="401"/>
      <c r="D31" s="401"/>
      <c r="E31" s="401"/>
      <c r="F31" s="401"/>
      <c r="G31" s="401"/>
      <c r="H31" s="401"/>
      <c r="I31" s="401"/>
      <c r="J31" s="401"/>
      <c r="K31" s="401"/>
      <c r="L31" s="401"/>
      <c r="M31" s="401"/>
      <c r="N31" s="401"/>
      <c r="O31" s="401"/>
      <c r="P31" s="401"/>
      <c r="Q31" s="401"/>
      <c r="R31" s="401"/>
      <c r="S31" s="401"/>
      <c r="T31" s="401"/>
      <c r="U31" s="401"/>
      <c r="V31" s="401"/>
      <c r="W31" s="401"/>
      <c r="X31" s="401"/>
      <c r="Y31" s="401"/>
      <c r="Z31" s="401"/>
    </row>
    <row r="32">
      <c r="A32" s="401"/>
      <c r="B32" s="401"/>
      <c r="C32" s="401"/>
      <c r="D32" s="401"/>
      <c r="E32" s="401"/>
      <c r="F32" s="401"/>
      <c r="G32" s="401"/>
      <c r="H32" s="401"/>
      <c r="I32" s="401"/>
      <c r="J32" s="401"/>
      <c r="K32" s="401"/>
      <c r="L32" s="401"/>
      <c r="M32" s="401"/>
      <c r="N32" s="401"/>
      <c r="O32" s="401"/>
      <c r="P32" s="401"/>
      <c r="Q32" s="401"/>
      <c r="R32" s="401"/>
      <c r="S32" s="401"/>
      <c r="T32" s="401"/>
      <c r="U32" s="401"/>
      <c r="V32" s="401"/>
      <c r="W32" s="401"/>
      <c r="X32" s="401"/>
      <c r="Y32" s="401"/>
      <c r="Z32" s="401"/>
    </row>
    <row r="33">
      <c r="A33" s="401"/>
      <c r="B33" s="401"/>
      <c r="C33" s="401"/>
      <c r="D33" s="401"/>
      <c r="E33" s="401"/>
      <c r="F33" s="401"/>
      <c r="G33" s="401"/>
      <c r="H33" s="401"/>
      <c r="I33" s="401"/>
      <c r="J33" s="401"/>
      <c r="K33" s="401"/>
      <c r="L33" s="401"/>
      <c r="M33" s="401"/>
      <c r="N33" s="401"/>
      <c r="O33" s="401"/>
      <c r="P33" s="401"/>
      <c r="Q33" s="401"/>
      <c r="R33" s="401"/>
      <c r="S33" s="401"/>
      <c r="T33" s="401"/>
      <c r="U33" s="401"/>
      <c r="V33" s="401"/>
      <c r="W33" s="401"/>
      <c r="X33" s="401"/>
      <c r="Y33" s="401"/>
      <c r="Z33" s="401"/>
    </row>
    <row r="34">
      <c r="A34" s="401"/>
      <c r="B34" s="401"/>
      <c r="C34" s="401"/>
      <c r="D34" s="401"/>
      <c r="E34" s="401"/>
      <c r="F34" s="401"/>
      <c r="G34" s="401"/>
      <c r="H34" s="401"/>
      <c r="I34" s="401"/>
      <c r="J34" s="401"/>
      <c r="K34" s="401"/>
      <c r="L34" s="401"/>
      <c r="M34" s="401"/>
      <c r="N34" s="401"/>
      <c r="O34" s="401"/>
      <c r="P34" s="401"/>
      <c r="Q34" s="401"/>
      <c r="R34" s="401"/>
      <c r="S34" s="401"/>
      <c r="T34" s="401"/>
      <c r="U34" s="401"/>
      <c r="V34" s="401"/>
      <c r="W34" s="401"/>
      <c r="X34" s="401"/>
      <c r="Y34" s="401"/>
      <c r="Z34" s="401"/>
    </row>
    <row r="35">
      <c r="A35" s="401"/>
      <c r="B35" s="401"/>
      <c r="C35" s="401"/>
      <c r="D35" s="401"/>
      <c r="E35" s="401"/>
      <c r="F35" s="401"/>
      <c r="G35" s="401"/>
      <c r="H35" s="401"/>
      <c r="I35" s="401"/>
      <c r="J35" s="401"/>
      <c r="K35" s="401"/>
      <c r="L35" s="401"/>
      <c r="M35" s="401"/>
      <c r="N35" s="401"/>
      <c r="O35" s="401"/>
      <c r="P35" s="401"/>
      <c r="Q35" s="401"/>
      <c r="R35" s="401"/>
      <c r="S35" s="401"/>
      <c r="T35" s="401"/>
      <c r="U35" s="401"/>
      <c r="V35" s="401"/>
      <c r="W35" s="401"/>
      <c r="X35" s="401"/>
      <c r="Y35" s="401"/>
      <c r="Z35" s="401"/>
    </row>
    <row r="36">
      <c r="A36" s="401"/>
      <c r="B36" s="401"/>
      <c r="C36" s="401"/>
      <c r="D36" s="401"/>
      <c r="E36" s="401"/>
      <c r="F36" s="401"/>
      <c r="G36" s="401"/>
      <c r="H36" s="401"/>
      <c r="I36" s="401"/>
      <c r="J36" s="401"/>
      <c r="K36" s="401"/>
      <c r="L36" s="401"/>
      <c r="M36" s="401"/>
      <c r="N36" s="401"/>
      <c r="O36" s="401"/>
      <c r="P36" s="401"/>
      <c r="Q36" s="401"/>
      <c r="R36" s="401"/>
      <c r="S36" s="401"/>
      <c r="T36" s="401"/>
      <c r="U36" s="401"/>
      <c r="V36" s="401"/>
      <c r="W36" s="401"/>
      <c r="X36" s="401"/>
      <c r="Y36" s="401"/>
      <c r="Z36" s="401"/>
    </row>
    <row r="37">
      <c r="A37" s="401"/>
      <c r="B37" s="401"/>
      <c r="C37" s="401"/>
      <c r="D37" s="401"/>
      <c r="E37" s="401"/>
      <c r="F37" s="401"/>
      <c r="G37" s="401"/>
      <c r="H37" s="401"/>
      <c r="I37" s="401"/>
      <c r="J37" s="401"/>
      <c r="K37" s="401"/>
      <c r="L37" s="401"/>
      <c r="M37" s="401"/>
      <c r="N37" s="401"/>
      <c r="O37" s="401"/>
      <c r="P37" s="401"/>
      <c r="Q37" s="401"/>
      <c r="R37" s="401"/>
      <c r="S37" s="401"/>
      <c r="T37" s="401"/>
      <c r="U37" s="401"/>
      <c r="V37" s="401"/>
      <c r="W37" s="401"/>
      <c r="X37" s="401"/>
      <c r="Y37" s="401"/>
      <c r="Z37" s="401"/>
    </row>
    <row r="38">
      <c r="A38" s="401"/>
      <c r="B38" s="401"/>
      <c r="C38" s="401"/>
      <c r="D38" s="401"/>
      <c r="E38" s="401"/>
      <c r="F38" s="401"/>
      <c r="G38" s="401"/>
      <c r="H38" s="401"/>
      <c r="I38" s="401"/>
      <c r="J38" s="401"/>
      <c r="K38" s="401"/>
      <c r="L38" s="401"/>
      <c r="M38" s="401"/>
      <c r="N38" s="401"/>
      <c r="O38" s="401"/>
      <c r="P38" s="401"/>
      <c r="Q38" s="401"/>
      <c r="R38" s="401"/>
      <c r="S38" s="401"/>
      <c r="T38" s="401"/>
      <c r="U38" s="401"/>
      <c r="V38" s="401"/>
      <c r="W38" s="401"/>
      <c r="X38" s="401"/>
      <c r="Y38" s="401"/>
      <c r="Z38" s="401"/>
    </row>
    <row r="39">
      <c r="A39" s="401"/>
      <c r="B39" s="401"/>
      <c r="C39" s="401"/>
      <c r="D39" s="401"/>
      <c r="E39" s="401"/>
      <c r="F39" s="401"/>
      <c r="G39" s="401"/>
      <c r="H39" s="401"/>
      <c r="I39" s="401"/>
      <c r="J39" s="401"/>
      <c r="K39" s="401"/>
      <c r="L39" s="401"/>
      <c r="M39" s="401"/>
      <c r="N39" s="401"/>
      <c r="O39" s="401"/>
      <c r="P39" s="401"/>
      <c r="Q39" s="401"/>
      <c r="R39" s="401"/>
      <c r="S39" s="401"/>
      <c r="T39" s="401"/>
      <c r="U39" s="401"/>
      <c r="V39" s="401"/>
      <c r="W39" s="401"/>
      <c r="X39" s="401"/>
      <c r="Y39" s="401"/>
      <c r="Z39" s="401"/>
    </row>
    <row r="40">
      <c r="A40" s="401"/>
      <c r="B40" s="401"/>
      <c r="C40" s="401"/>
      <c r="D40" s="401"/>
      <c r="E40" s="401"/>
      <c r="F40" s="401"/>
      <c r="G40" s="401"/>
      <c r="H40" s="401"/>
      <c r="I40" s="401"/>
      <c r="J40" s="401"/>
      <c r="K40" s="401"/>
      <c r="L40" s="401"/>
      <c r="M40" s="401"/>
      <c r="N40" s="401"/>
      <c r="O40" s="401"/>
      <c r="P40" s="401"/>
      <c r="Q40" s="401"/>
      <c r="R40" s="401"/>
      <c r="S40" s="401"/>
      <c r="T40" s="401"/>
      <c r="U40" s="401"/>
      <c r="V40" s="401"/>
      <c r="W40" s="401"/>
      <c r="X40" s="401"/>
      <c r="Y40" s="401"/>
      <c r="Z40" s="401"/>
    </row>
    <row r="41">
      <c r="A41" s="401"/>
      <c r="B41" s="401"/>
      <c r="C41" s="401"/>
      <c r="D41" s="401"/>
      <c r="E41" s="401"/>
      <c r="F41" s="401"/>
      <c r="G41" s="401"/>
      <c r="H41" s="401"/>
      <c r="I41" s="401"/>
      <c r="J41" s="401"/>
      <c r="K41" s="401"/>
      <c r="L41" s="401"/>
      <c r="M41" s="401"/>
      <c r="N41" s="401"/>
      <c r="O41" s="401"/>
      <c r="P41" s="401"/>
      <c r="Q41" s="401"/>
      <c r="R41" s="401"/>
      <c r="S41" s="401"/>
      <c r="T41" s="401"/>
      <c r="U41" s="401"/>
      <c r="V41" s="401"/>
      <c r="W41" s="401"/>
      <c r="X41" s="401"/>
      <c r="Y41" s="401"/>
      <c r="Z41" s="401"/>
    </row>
    <row r="42">
      <c r="A42" s="401"/>
      <c r="B42" s="401"/>
      <c r="C42" s="401"/>
      <c r="D42" s="401"/>
      <c r="E42" s="401"/>
      <c r="F42" s="401"/>
      <c r="G42" s="401"/>
      <c r="H42" s="401"/>
      <c r="I42" s="401"/>
      <c r="J42" s="401"/>
      <c r="K42" s="401"/>
      <c r="L42" s="401"/>
      <c r="M42" s="401"/>
      <c r="N42" s="401"/>
      <c r="O42" s="401"/>
      <c r="P42" s="401"/>
      <c r="Q42" s="401"/>
      <c r="R42" s="401"/>
      <c r="S42" s="401"/>
      <c r="T42" s="401"/>
      <c r="U42" s="401"/>
      <c r="V42" s="401"/>
      <c r="W42" s="401"/>
      <c r="X42" s="401"/>
      <c r="Y42" s="401"/>
      <c r="Z42" s="401"/>
    </row>
    <row r="43">
      <c r="A43" s="401"/>
      <c r="B43" s="401"/>
      <c r="C43" s="401"/>
      <c r="D43" s="401"/>
      <c r="E43" s="401"/>
      <c r="F43" s="401"/>
      <c r="G43" s="401"/>
      <c r="H43" s="401"/>
      <c r="I43" s="401"/>
      <c r="J43" s="401"/>
      <c r="K43" s="401"/>
      <c r="L43" s="401"/>
      <c r="M43" s="401"/>
      <c r="N43" s="401"/>
      <c r="O43" s="401"/>
      <c r="P43" s="401"/>
      <c r="Q43" s="401"/>
      <c r="R43" s="401"/>
      <c r="S43" s="401"/>
      <c r="T43" s="401"/>
      <c r="U43" s="401"/>
      <c r="V43" s="401"/>
      <c r="W43" s="401"/>
      <c r="X43" s="401"/>
      <c r="Y43" s="401"/>
      <c r="Z43" s="401"/>
    </row>
    <row r="44">
      <c r="A44" s="401"/>
      <c r="B44" s="401"/>
      <c r="C44" s="401"/>
      <c r="D44" s="401"/>
      <c r="E44" s="401"/>
      <c r="F44" s="401"/>
      <c r="G44" s="401"/>
      <c r="H44" s="401"/>
      <c r="I44" s="401"/>
      <c r="J44" s="401"/>
      <c r="K44" s="401"/>
      <c r="L44" s="401"/>
      <c r="M44" s="401"/>
      <c r="N44" s="401"/>
      <c r="O44" s="401"/>
      <c r="P44" s="401"/>
      <c r="Q44" s="401"/>
      <c r="R44" s="401"/>
      <c r="S44" s="401"/>
      <c r="T44" s="401"/>
      <c r="U44" s="401"/>
      <c r="V44" s="401"/>
      <c r="W44" s="401"/>
      <c r="X44" s="401"/>
      <c r="Y44" s="401"/>
      <c r="Z44" s="401"/>
    </row>
    <row r="45">
      <c r="A45" s="401"/>
      <c r="B45" s="401"/>
      <c r="C45" s="401"/>
      <c r="D45" s="401"/>
      <c r="E45" s="401"/>
      <c r="F45" s="401"/>
      <c r="G45" s="401"/>
      <c r="H45" s="401"/>
      <c r="I45" s="401"/>
      <c r="J45" s="401"/>
      <c r="K45" s="401"/>
      <c r="L45" s="401"/>
      <c r="M45" s="401"/>
      <c r="N45" s="401"/>
      <c r="O45" s="401"/>
      <c r="P45" s="401"/>
      <c r="Q45" s="401"/>
      <c r="R45" s="401"/>
      <c r="S45" s="401"/>
      <c r="T45" s="401"/>
      <c r="U45" s="401"/>
      <c r="V45" s="401"/>
      <c r="W45" s="401"/>
      <c r="X45" s="401"/>
      <c r="Y45" s="401"/>
      <c r="Z45" s="401"/>
    </row>
    <row r="46">
      <c r="A46" s="401"/>
      <c r="B46" s="401"/>
      <c r="C46" s="401"/>
      <c r="D46" s="401"/>
      <c r="E46" s="401"/>
      <c r="F46" s="401"/>
      <c r="G46" s="401"/>
      <c r="H46" s="401"/>
      <c r="I46" s="401"/>
      <c r="J46" s="401"/>
      <c r="K46" s="401"/>
      <c r="L46" s="401"/>
      <c r="M46" s="401"/>
      <c r="N46" s="401"/>
      <c r="O46" s="401"/>
      <c r="P46" s="401"/>
      <c r="Q46" s="401"/>
      <c r="R46" s="401"/>
      <c r="S46" s="401"/>
      <c r="T46" s="401"/>
      <c r="U46" s="401"/>
      <c r="V46" s="401"/>
      <c r="W46" s="401"/>
      <c r="X46" s="401"/>
      <c r="Y46" s="401"/>
      <c r="Z46" s="401"/>
    </row>
    <row r="47">
      <c r="A47" s="401"/>
      <c r="B47" s="401"/>
      <c r="C47" s="401"/>
      <c r="D47" s="401"/>
      <c r="E47" s="401"/>
      <c r="F47" s="401"/>
      <c r="G47" s="401"/>
      <c r="H47" s="401"/>
      <c r="I47" s="401"/>
      <c r="J47" s="401"/>
      <c r="K47" s="401"/>
      <c r="L47" s="401"/>
      <c r="M47" s="401"/>
      <c r="N47" s="401"/>
      <c r="O47" s="401"/>
      <c r="P47" s="401"/>
      <c r="Q47" s="401"/>
      <c r="R47" s="401"/>
      <c r="S47" s="401"/>
      <c r="T47" s="401"/>
      <c r="U47" s="401"/>
      <c r="V47" s="401"/>
      <c r="W47" s="401"/>
      <c r="X47" s="401"/>
      <c r="Y47" s="401"/>
      <c r="Z47" s="401"/>
    </row>
    <row r="48">
      <c r="A48" s="401"/>
      <c r="B48" s="401"/>
      <c r="C48" s="401"/>
      <c r="D48" s="401"/>
      <c r="E48" s="401"/>
      <c r="F48" s="401"/>
      <c r="G48" s="401"/>
      <c r="H48" s="401"/>
      <c r="I48" s="401"/>
      <c r="J48" s="401"/>
      <c r="K48" s="401"/>
      <c r="L48" s="401"/>
      <c r="M48" s="401"/>
      <c r="N48" s="401"/>
      <c r="O48" s="401"/>
      <c r="P48" s="401"/>
      <c r="Q48" s="401"/>
      <c r="R48" s="401"/>
      <c r="S48" s="401"/>
      <c r="T48" s="401"/>
      <c r="U48" s="401"/>
      <c r="V48" s="401"/>
      <c r="W48" s="401"/>
      <c r="X48" s="401"/>
      <c r="Y48" s="401"/>
      <c r="Z48" s="401"/>
    </row>
    <row r="49">
      <c r="A49" s="401"/>
      <c r="B49" s="401"/>
      <c r="C49" s="401"/>
      <c r="D49" s="401"/>
      <c r="E49" s="401"/>
      <c r="F49" s="401"/>
      <c r="G49" s="401"/>
      <c r="H49" s="401"/>
      <c r="I49" s="401"/>
      <c r="J49" s="401"/>
      <c r="K49" s="401"/>
      <c r="L49" s="401"/>
      <c r="M49" s="401"/>
      <c r="N49" s="401"/>
      <c r="O49" s="401"/>
      <c r="P49" s="401"/>
      <c r="Q49" s="401"/>
      <c r="R49" s="401"/>
      <c r="S49" s="401"/>
      <c r="T49" s="401"/>
      <c r="U49" s="401"/>
      <c r="V49" s="401"/>
      <c r="W49" s="401"/>
      <c r="X49" s="401"/>
      <c r="Y49" s="401"/>
      <c r="Z49" s="401"/>
    </row>
    <row r="50">
      <c r="A50" s="401"/>
      <c r="B50" s="401"/>
      <c r="C50" s="401"/>
      <c r="D50" s="401"/>
      <c r="E50" s="401"/>
      <c r="F50" s="401"/>
      <c r="G50" s="401"/>
      <c r="H50" s="401"/>
      <c r="I50" s="401"/>
      <c r="J50" s="401"/>
      <c r="K50" s="401"/>
      <c r="L50" s="401"/>
      <c r="M50" s="401"/>
      <c r="N50" s="401"/>
      <c r="O50" s="401"/>
      <c r="P50" s="401"/>
      <c r="Q50" s="401"/>
      <c r="R50" s="401"/>
      <c r="S50" s="401"/>
      <c r="T50" s="401"/>
      <c r="U50" s="401"/>
      <c r="V50" s="401"/>
      <c r="W50" s="401"/>
      <c r="X50" s="401"/>
      <c r="Y50" s="401"/>
      <c r="Z50" s="401"/>
    </row>
    <row r="51">
      <c r="A51" s="401"/>
      <c r="B51" s="401"/>
      <c r="C51" s="401"/>
      <c r="D51" s="401"/>
      <c r="E51" s="401"/>
      <c r="F51" s="401"/>
      <c r="G51" s="401"/>
      <c r="H51" s="401"/>
      <c r="I51" s="401"/>
      <c r="J51" s="401"/>
      <c r="K51" s="401"/>
      <c r="L51" s="401"/>
      <c r="M51" s="401"/>
      <c r="N51" s="401"/>
      <c r="O51" s="401"/>
      <c r="P51" s="401"/>
      <c r="Q51" s="401"/>
      <c r="R51" s="401"/>
      <c r="S51" s="401"/>
      <c r="T51" s="401"/>
      <c r="U51" s="401"/>
      <c r="V51" s="401"/>
      <c r="W51" s="401"/>
      <c r="X51" s="401"/>
      <c r="Y51" s="401"/>
      <c r="Z51" s="401"/>
    </row>
    <row r="52">
      <c r="A52" s="401"/>
      <c r="B52" s="401"/>
      <c r="C52" s="401"/>
      <c r="D52" s="401"/>
      <c r="E52" s="401"/>
      <c r="F52" s="401"/>
      <c r="G52" s="401"/>
      <c r="H52" s="401"/>
      <c r="I52" s="401"/>
      <c r="J52" s="401"/>
      <c r="K52" s="401"/>
      <c r="L52" s="401"/>
      <c r="M52" s="401"/>
      <c r="N52" s="401"/>
      <c r="O52" s="401"/>
      <c r="P52" s="401"/>
      <c r="Q52" s="401"/>
      <c r="R52" s="401"/>
      <c r="S52" s="401"/>
      <c r="T52" s="401"/>
      <c r="U52" s="401"/>
      <c r="V52" s="401"/>
      <c r="W52" s="401"/>
      <c r="X52" s="401"/>
      <c r="Y52" s="401"/>
      <c r="Z52" s="401"/>
    </row>
    <row r="53">
      <c r="A53" s="401"/>
      <c r="B53" s="401"/>
      <c r="C53" s="401"/>
      <c r="D53" s="401"/>
      <c r="E53" s="401"/>
      <c r="F53" s="401"/>
      <c r="G53" s="401"/>
      <c r="H53" s="401"/>
      <c r="I53" s="401"/>
      <c r="J53" s="401"/>
      <c r="K53" s="401"/>
      <c r="L53" s="401"/>
      <c r="M53" s="401"/>
      <c r="N53" s="401"/>
      <c r="O53" s="401"/>
      <c r="P53" s="401"/>
      <c r="Q53" s="401"/>
      <c r="R53" s="401"/>
      <c r="S53" s="401"/>
      <c r="T53" s="401"/>
      <c r="U53" s="401"/>
      <c r="V53" s="401"/>
      <c r="W53" s="401"/>
      <c r="X53" s="401"/>
      <c r="Y53" s="401"/>
      <c r="Z53" s="401"/>
    </row>
    <row r="54">
      <c r="A54" s="401"/>
      <c r="B54" s="401"/>
      <c r="C54" s="401"/>
      <c r="D54" s="401"/>
      <c r="E54" s="401"/>
      <c r="F54" s="401"/>
      <c r="G54" s="401"/>
      <c r="H54" s="401"/>
      <c r="I54" s="401"/>
      <c r="J54" s="401"/>
      <c r="K54" s="401"/>
      <c r="L54" s="401"/>
      <c r="M54" s="401"/>
      <c r="N54" s="401"/>
      <c r="O54" s="401"/>
      <c r="P54" s="401"/>
      <c r="Q54" s="401"/>
      <c r="R54" s="401"/>
      <c r="S54" s="401"/>
      <c r="T54" s="401"/>
      <c r="U54" s="401"/>
      <c r="V54" s="401"/>
      <c r="W54" s="401"/>
      <c r="X54" s="401"/>
      <c r="Y54" s="401"/>
      <c r="Z54" s="401"/>
    </row>
    <row r="55">
      <c r="A55" s="401"/>
      <c r="B55" s="401"/>
      <c r="C55" s="401"/>
      <c r="D55" s="401"/>
      <c r="E55" s="401"/>
      <c r="F55" s="401"/>
      <c r="G55" s="401"/>
      <c r="H55" s="401"/>
      <c r="I55" s="401"/>
      <c r="J55" s="401"/>
      <c r="K55" s="401"/>
      <c r="L55" s="401"/>
      <c r="M55" s="401"/>
      <c r="N55" s="401"/>
      <c r="O55" s="401"/>
      <c r="P55" s="401"/>
      <c r="Q55" s="401"/>
      <c r="R55" s="401"/>
      <c r="S55" s="401"/>
      <c r="T55" s="401"/>
      <c r="U55" s="401"/>
      <c r="V55" s="401"/>
      <c r="W55" s="401"/>
      <c r="X55" s="401"/>
      <c r="Y55" s="401"/>
      <c r="Z55" s="401"/>
    </row>
    <row r="56">
      <c r="A56" s="401"/>
      <c r="B56" s="401"/>
      <c r="C56" s="401"/>
      <c r="D56" s="401"/>
      <c r="E56" s="401"/>
      <c r="F56" s="401"/>
      <c r="G56" s="401"/>
      <c r="H56" s="401"/>
      <c r="I56" s="401"/>
      <c r="J56" s="401"/>
      <c r="K56" s="401"/>
      <c r="L56" s="401"/>
      <c r="M56" s="401"/>
      <c r="N56" s="401"/>
      <c r="O56" s="401"/>
      <c r="P56" s="401"/>
      <c r="Q56" s="401"/>
      <c r="R56" s="401"/>
      <c r="S56" s="401"/>
      <c r="T56" s="401"/>
      <c r="U56" s="401"/>
      <c r="V56" s="401"/>
      <c r="W56" s="401"/>
      <c r="X56" s="401"/>
      <c r="Y56" s="401"/>
      <c r="Z56" s="401"/>
    </row>
    <row r="57">
      <c r="A57" s="401"/>
      <c r="B57" s="401"/>
      <c r="C57" s="401"/>
      <c r="D57" s="401"/>
      <c r="E57" s="401"/>
      <c r="F57" s="401"/>
      <c r="G57" s="401"/>
      <c r="H57" s="401"/>
      <c r="I57" s="401"/>
      <c r="J57" s="401"/>
      <c r="K57" s="401"/>
      <c r="L57" s="401"/>
      <c r="M57" s="401"/>
      <c r="N57" s="401"/>
      <c r="O57" s="401"/>
      <c r="P57" s="401"/>
      <c r="Q57" s="401"/>
      <c r="R57" s="401"/>
      <c r="S57" s="401"/>
      <c r="T57" s="401"/>
      <c r="U57" s="401"/>
      <c r="V57" s="401"/>
      <c r="W57" s="401"/>
      <c r="X57" s="401"/>
      <c r="Y57" s="401"/>
      <c r="Z57" s="401"/>
    </row>
    <row r="58">
      <c r="A58" s="401"/>
      <c r="B58" s="401"/>
      <c r="C58" s="401"/>
      <c r="D58" s="401"/>
      <c r="E58" s="401"/>
      <c r="F58" s="401"/>
      <c r="G58" s="401"/>
      <c r="H58" s="401"/>
      <c r="I58" s="401"/>
      <c r="J58" s="401"/>
      <c r="K58" s="401"/>
      <c r="L58" s="401"/>
      <c r="M58" s="401"/>
      <c r="N58" s="401"/>
      <c r="O58" s="401"/>
      <c r="P58" s="401"/>
      <c r="Q58" s="401"/>
      <c r="R58" s="401"/>
      <c r="S58" s="401"/>
      <c r="T58" s="401"/>
      <c r="U58" s="401"/>
      <c r="V58" s="401"/>
      <c r="W58" s="401"/>
      <c r="X58" s="401"/>
      <c r="Y58" s="401"/>
      <c r="Z58" s="401"/>
    </row>
    <row r="59">
      <c r="A59" s="401"/>
      <c r="B59" s="401"/>
      <c r="C59" s="401"/>
      <c r="D59" s="401"/>
      <c r="E59" s="401"/>
      <c r="F59" s="401"/>
      <c r="G59" s="401"/>
      <c r="H59" s="401"/>
      <c r="I59" s="401"/>
      <c r="J59" s="401"/>
      <c r="K59" s="401"/>
      <c r="L59" s="401"/>
      <c r="M59" s="401"/>
      <c r="N59" s="401"/>
      <c r="O59" s="401"/>
      <c r="P59" s="401"/>
      <c r="Q59" s="401"/>
      <c r="R59" s="401"/>
      <c r="S59" s="401"/>
      <c r="T59" s="401"/>
      <c r="U59" s="401"/>
      <c r="V59" s="401"/>
      <c r="W59" s="401"/>
      <c r="X59" s="401"/>
      <c r="Y59" s="401"/>
      <c r="Z59" s="401"/>
    </row>
    <row r="60">
      <c r="A60" s="401"/>
      <c r="B60" s="401"/>
      <c r="C60" s="401"/>
      <c r="D60" s="401"/>
      <c r="E60" s="401"/>
      <c r="F60" s="401"/>
      <c r="G60" s="401"/>
      <c r="H60" s="401"/>
      <c r="I60" s="401"/>
      <c r="J60" s="401"/>
      <c r="K60" s="401"/>
      <c r="L60" s="401"/>
      <c r="M60" s="401"/>
      <c r="N60" s="401"/>
      <c r="O60" s="401"/>
      <c r="P60" s="401"/>
      <c r="Q60" s="401"/>
      <c r="R60" s="401"/>
      <c r="S60" s="401"/>
      <c r="T60" s="401"/>
      <c r="U60" s="401"/>
      <c r="V60" s="401"/>
      <c r="W60" s="401"/>
      <c r="X60" s="401"/>
      <c r="Y60" s="401"/>
      <c r="Z60" s="401"/>
    </row>
    <row r="61">
      <c r="A61" s="401"/>
      <c r="B61" s="401"/>
      <c r="C61" s="401"/>
      <c r="D61" s="401"/>
      <c r="E61" s="401"/>
      <c r="F61" s="401"/>
      <c r="G61" s="401"/>
      <c r="H61" s="401"/>
      <c r="I61" s="401"/>
      <c r="J61" s="401"/>
      <c r="K61" s="401"/>
      <c r="L61" s="401"/>
      <c r="M61" s="401"/>
      <c r="N61" s="401"/>
      <c r="O61" s="401"/>
      <c r="P61" s="401"/>
      <c r="Q61" s="401"/>
      <c r="R61" s="401"/>
      <c r="S61" s="401"/>
      <c r="T61" s="401"/>
      <c r="U61" s="401"/>
      <c r="V61" s="401"/>
      <c r="W61" s="401"/>
      <c r="X61" s="401"/>
      <c r="Y61" s="401"/>
      <c r="Z61" s="401"/>
    </row>
    <row r="62">
      <c r="A62" s="401"/>
      <c r="B62" s="401"/>
      <c r="C62" s="401"/>
      <c r="D62" s="401"/>
      <c r="E62" s="401"/>
      <c r="F62" s="401"/>
      <c r="G62" s="401"/>
      <c r="H62" s="401"/>
      <c r="I62" s="401"/>
      <c r="J62" s="401"/>
      <c r="K62" s="401"/>
      <c r="L62" s="401"/>
      <c r="M62" s="401"/>
      <c r="N62" s="401"/>
      <c r="O62" s="401"/>
      <c r="P62" s="401"/>
      <c r="Q62" s="401"/>
      <c r="R62" s="401"/>
      <c r="S62" s="401"/>
      <c r="T62" s="401"/>
      <c r="U62" s="401"/>
      <c r="V62" s="401"/>
      <c r="W62" s="401"/>
      <c r="X62" s="401"/>
      <c r="Y62" s="401"/>
      <c r="Z62" s="401"/>
    </row>
    <row r="63">
      <c r="A63" s="401"/>
      <c r="B63" s="401"/>
      <c r="C63" s="401"/>
      <c r="D63" s="401"/>
      <c r="E63" s="401"/>
      <c r="F63" s="401"/>
      <c r="G63" s="401"/>
      <c r="H63" s="401"/>
      <c r="I63" s="401"/>
      <c r="J63" s="401"/>
      <c r="K63" s="401"/>
      <c r="L63" s="401"/>
      <c r="M63" s="401"/>
      <c r="N63" s="401"/>
      <c r="O63" s="401"/>
      <c r="P63" s="401"/>
      <c r="Q63" s="401"/>
      <c r="R63" s="401"/>
      <c r="S63" s="401"/>
      <c r="T63" s="401"/>
      <c r="U63" s="401"/>
      <c r="V63" s="401"/>
      <c r="W63" s="401"/>
      <c r="X63" s="401"/>
      <c r="Y63" s="401"/>
      <c r="Z63" s="401"/>
    </row>
    <row r="64">
      <c r="A64" s="401"/>
      <c r="B64" s="401"/>
      <c r="C64" s="401"/>
      <c r="D64" s="401"/>
      <c r="E64" s="401"/>
      <c r="F64" s="401"/>
      <c r="G64" s="401"/>
      <c r="H64" s="401"/>
      <c r="I64" s="401"/>
      <c r="J64" s="401"/>
      <c r="K64" s="401"/>
      <c r="L64" s="401"/>
      <c r="M64" s="401"/>
      <c r="N64" s="401"/>
      <c r="O64" s="401"/>
      <c r="P64" s="401"/>
      <c r="Q64" s="401"/>
      <c r="R64" s="401"/>
      <c r="S64" s="401"/>
      <c r="T64" s="401"/>
      <c r="U64" s="401"/>
      <c r="V64" s="401"/>
      <c r="W64" s="401"/>
      <c r="X64" s="401"/>
      <c r="Y64" s="401"/>
      <c r="Z64" s="401"/>
    </row>
    <row r="65">
      <c r="A65" s="401"/>
      <c r="B65" s="401"/>
      <c r="C65" s="401"/>
      <c r="D65" s="401"/>
      <c r="E65" s="401"/>
      <c r="F65" s="401"/>
      <c r="G65" s="401"/>
      <c r="H65" s="401"/>
      <c r="I65" s="401"/>
      <c r="J65" s="401"/>
      <c r="K65" s="401"/>
      <c r="L65" s="401"/>
      <c r="M65" s="401"/>
      <c r="N65" s="401"/>
      <c r="O65" s="401"/>
      <c r="P65" s="401"/>
      <c r="Q65" s="401"/>
      <c r="R65" s="401"/>
      <c r="S65" s="401"/>
      <c r="T65" s="401"/>
      <c r="U65" s="401"/>
      <c r="V65" s="401"/>
      <c r="W65" s="401"/>
      <c r="X65" s="401"/>
      <c r="Y65" s="401"/>
      <c r="Z65" s="401"/>
    </row>
    <row r="66">
      <c r="A66" s="401"/>
      <c r="B66" s="401"/>
      <c r="C66" s="401"/>
      <c r="D66" s="401"/>
      <c r="E66" s="401"/>
      <c r="F66" s="401"/>
      <c r="G66" s="401"/>
      <c r="H66" s="401"/>
      <c r="I66" s="401"/>
      <c r="J66" s="401"/>
      <c r="K66" s="401"/>
      <c r="L66" s="401"/>
      <c r="M66" s="401"/>
      <c r="N66" s="401"/>
      <c r="O66" s="401"/>
      <c r="P66" s="401"/>
      <c r="Q66" s="401"/>
      <c r="R66" s="401"/>
      <c r="S66" s="401"/>
      <c r="T66" s="401"/>
      <c r="U66" s="401"/>
      <c r="V66" s="401"/>
      <c r="W66" s="401"/>
      <c r="X66" s="401"/>
      <c r="Y66" s="401"/>
      <c r="Z66" s="401"/>
    </row>
    <row r="67">
      <c r="A67" s="401"/>
      <c r="B67" s="401"/>
      <c r="C67" s="401"/>
      <c r="D67" s="401"/>
      <c r="E67" s="401"/>
      <c r="F67" s="401"/>
      <c r="G67" s="401"/>
      <c r="H67" s="401"/>
      <c r="I67" s="401"/>
      <c r="J67" s="401"/>
      <c r="K67" s="401"/>
      <c r="L67" s="401"/>
      <c r="M67" s="401"/>
      <c r="N67" s="401"/>
      <c r="O67" s="401"/>
      <c r="P67" s="401"/>
      <c r="Q67" s="401"/>
      <c r="R67" s="401"/>
      <c r="S67" s="401"/>
      <c r="T67" s="401"/>
      <c r="U67" s="401"/>
      <c r="V67" s="401"/>
      <c r="W67" s="401"/>
      <c r="X67" s="401"/>
      <c r="Y67" s="401"/>
      <c r="Z67" s="401"/>
    </row>
    <row r="68">
      <c r="A68" s="401"/>
      <c r="B68" s="401"/>
      <c r="C68" s="401"/>
      <c r="D68" s="401"/>
      <c r="E68" s="401"/>
      <c r="F68" s="401"/>
      <c r="G68" s="401"/>
      <c r="H68" s="401"/>
      <c r="I68" s="401"/>
      <c r="J68" s="401"/>
      <c r="K68" s="401"/>
      <c r="L68" s="401"/>
      <c r="M68" s="401"/>
      <c r="N68" s="401"/>
      <c r="O68" s="401"/>
      <c r="P68" s="401"/>
      <c r="Q68" s="401"/>
      <c r="R68" s="401"/>
      <c r="S68" s="401"/>
      <c r="T68" s="401"/>
      <c r="U68" s="401"/>
      <c r="V68" s="401"/>
      <c r="W68" s="401"/>
      <c r="X68" s="401"/>
      <c r="Y68" s="401"/>
      <c r="Z68" s="401"/>
    </row>
    <row r="69">
      <c r="A69" s="401"/>
      <c r="B69" s="401"/>
      <c r="C69" s="401"/>
      <c r="D69" s="401"/>
      <c r="E69" s="401"/>
      <c r="F69" s="401"/>
      <c r="G69" s="401"/>
      <c r="H69" s="401"/>
      <c r="I69" s="401"/>
      <c r="J69" s="401"/>
      <c r="K69" s="401"/>
      <c r="L69" s="401"/>
      <c r="M69" s="401"/>
      <c r="N69" s="401"/>
      <c r="O69" s="401"/>
      <c r="P69" s="401"/>
      <c r="Q69" s="401"/>
      <c r="R69" s="401"/>
      <c r="S69" s="401"/>
      <c r="T69" s="401"/>
      <c r="U69" s="401"/>
      <c r="V69" s="401"/>
      <c r="W69" s="401"/>
      <c r="X69" s="401"/>
      <c r="Y69" s="401"/>
      <c r="Z69" s="401"/>
    </row>
    <row r="70">
      <c r="A70" s="401"/>
      <c r="B70" s="401"/>
      <c r="C70" s="401"/>
      <c r="D70" s="401"/>
      <c r="E70" s="401"/>
      <c r="F70" s="401"/>
      <c r="G70" s="401"/>
      <c r="H70" s="401"/>
      <c r="I70" s="401"/>
      <c r="J70" s="401"/>
      <c r="K70" s="401"/>
      <c r="L70" s="401"/>
      <c r="M70" s="401"/>
      <c r="N70" s="401"/>
      <c r="O70" s="401"/>
      <c r="P70" s="401"/>
      <c r="Q70" s="401"/>
      <c r="R70" s="401"/>
      <c r="S70" s="401"/>
      <c r="T70" s="401"/>
      <c r="U70" s="401"/>
      <c r="V70" s="401"/>
      <c r="W70" s="401"/>
      <c r="X70" s="401"/>
      <c r="Y70" s="401"/>
      <c r="Z70" s="401"/>
    </row>
    <row r="71">
      <c r="A71" s="401"/>
      <c r="B71" s="401"/>
      <c r="C71" s="401"/>
      <c r="D71" s="401"/>
      <c r="E71" s="401"/>
      <c r="F71" s="401"/>
      <c r="G71" s="401"/>
      <c r="H71" s="401"/>
      <c r="I71" s="401"/>
      <c r="J71" s="401"/>
      <c r="K71" s="401"/>
      <c r="L71" s="401"/>
      <c r="M71" s="401"/>
      <c r="N71" s="401"/>
      <c r="O71" s="401"/>
      <c r="P71" s="401"/>
      <c r="Q71" s="401"/>
      <c r="R71" s="401"/>
      <c r="S71" s="401"/>
      <c r="T71" s="401"/>
      <c r="U71" s="401"/>
      <c r="V71" s="401"/>
      <c r="W71" s="401"/>
      <c r="X71" s="401"/>
      <c r="Y71" s="401"/>
      <c r="Z71" s="401"/>
    </row>
    <row r="72">
      <c r="A72" s="401"/>
      <c r="B72" s="401"/>
      <c r="C72" s="401"/>
      <c r="D72" s="401"/>
      <c r="E72" s="401"/>
      <c r="F72" s="401"/>
      <c r="G72" s="401"/>
      <c r="H72" s="401"/>
      <c r="I72" s="401"/>
      <c r="J72" s="401"/>
      <c r="K72" s="401"/>
      <c r="L72" s="401"/>
      <c r="M72" s="401"/>
      <c r="N72" s="401"/>
      <c r="O72" s="401"/>
      <c r="P72" s="401"/>
      <c r="Q72" s="401"/>
      <c r="R72" s="401"/>
      <c r="S72" s="401"/>
      <c r="T72" s="401"/>
      <c r="U72" s="401"/>
      <c r="V72" s="401"/>
      <c r="W72" s="401"/>
      <c r="X72" s="401"/>
      <c r="Y72" s="401"/>
      <c r="Z72" s="401"/>
    </row>
    <row r="73">
      <c r="A73" s="401"/>
      <c r="B73" s="401"/>
      <c r="C73" s="401"/>
      <c r="D73" s="401"/>
      <c r="E73" s="401"/>
      <c r="F73" s="401"/>
      <c r="G73" s="401"/>
      <c r="H73" s="401"/>
      <c r="I73" s="401"/>
      <c r="J73" s="401"/>
      <c r="K73" s="401"/>
      <c r="L73" s="401"/>
      <c r="M73" s="401"/>
      <c r="N73" s="401"/>
      <c r="O73" s="401"/>
      <c r="P73" s="401"/>
      <c r="Q73" s="401"/>
      <c r="R73" s="401"/>
      <c r="S73" s="401"/>
      <c r="T73" s="401"/>
      <c r="U73" s="401"/>
      <c r="V73" s="401"/>
      <c r="W73" s="401"/>
      <c r="X73" s="401"/>
      <c r="Y73" s="401"/>
      <c r="Z73" s="401"/>
    </row>
    <row r="74">
      <c r="A74" s="401"/>
      <c r="B74" s="401"/>
      <c r="C74" s="401"/>
      <c r="D74" s="401"/>
      <c r="E74" s="401"/>
      <c r="F74" s="401"/>
      <c r="G74" s="401"/>
      <c r="H74" s="401"/>
      <c r="I74" s="401"/>
      <c r="J74" s="401"/>
      <c r="K74" s="401"/>
      <c r="L74" s="401"/>
      <c r="M74" s="401"/>
      <c r="N74" s="401"/>
      <c r="O74" s="401"/>
      <c r="P74" s="401"/>
      <c r="Q74" s="401"/>
      <c r="R74" s="401"/>
      <c r="S74" s="401"/>
      <c r="T74" s="401"/>
      <c r="U74" s="401"/>
      <c r="V74" s="401"/>
      <c r="W74" s="401"/>
      <c r="X74" s="401"/>
      <c r="Y74" s="401"/>
      <c r="Z74" s="401"/>
    </row>
    <row r="75">
      <c r="A75" s="401"/>
      <c r="B75" s="401"/>
      <c r="C75" s="401"/>
      <c r="D75" s="401"/>
      <c r="E75" s="401"/>
      <c r="F75" s="401"/>
      <c r="G75" s="401"/>
      <c r="H75" s="401"/>
      <c r="I75" s="401"/>
      <c r="J75" s="401"/>
      <c r="K75" s="401"/>
      <c r="L75" s="401"/>
      <c r="M75" s="401"/>
      <c r="N75" s="401"/>
      <c r="O75" s="401"/>
      <c r="P75" s="401"/>
      <c r="Q75" s="401"/>
      <c r="R75" s="401"/>
      <c r="S75" s="401"/>
      <c r="T75" s="401"/>
      <c r="U75" s="401"/>
      <c r="V75" s="401"/>
      <c r="W75" s="401"/>
      <c r="X75" s="401"/>
      <c r="Y75" s="401"/>
      <c r="Z75" s="401"/>
    </row>
    <row r="76">
      <c r="A76" s="401"/>
      <c r="B76" s="401"/>
      <c r="C76" s="401"/>
      <c r="D76" s="401"/>
      <c r="E76" s="401"/>
      <c r="F76" s="401"/>
      <c r="G76" s="401"/>
      <c r="H76" s="401"/>
      <c r="I76" s="401"/>
      <c r="J76" s="401"/>
      <c r="K76" s="401"/>
      <c r="L76" s="401"/>
      <c r="M76" s="401"/>
      <c r="N76" s="401"/>
      <c r="O76" s="401"/>
      <c r="P76" s="401"/>
      <c r="Q76" s="401"/>
      <c r="R76" s="401"/>
      <c r="S76" s="401"/>
      <c r="T76" s="401"/>
      <c r="U76" s="401"/>
      <c r="V76" s="401"/>
      <c r="W76" s="401"/>
      <c r="X76" s="401"/>
      <c r="Y76" s="401"/>
      <c r="Z76" s="401"/>
    </row>
    <row r="77">
      <c r="A77" s="401"/>
      <c r="B77" s="401"/>
      <c r="C77" s="401"/>
      <c r="D77" s="401"/>
      <c r="E77" s="401"/>
      <c r="F77" s="401"/>
      <c r="G77" s="401"/>
      <c r="H77" s="401"/>
      <c r="I77" s="401"/>
      <c r="J77" s="401"/>
      <c r="K77" s="401"/>
      <c r="L77" s="401"/>
      <c r="M77" s="401"/>
      <c r="N77" s="401"/>
      <c r="O77" s="401"/>
      <c r="P77" s="401"/>
      <c r="Q77" s="401"/>
      <c r="R77" s="401"/>
      <c r="S77" s="401"/>
      <c r="T77" s="401"/>
      <c r="U77" s="401"/>
      <c r="V77" s="401"/>
      <c r="W77" s="401"/>
      <c r="X77" s="401"/>
      <c r="Y77" s="401"/>
      <c r="Z77" s="401"/>
    </row>
    <row r="78">
      <c r="A78" s="401"/>
      <c r="B78" s="401"/>
      <c r="C78" s="401"/>
      <c r="D78" s="401"/>
      <c r="E78" s="401"/>
      <c r="F78" s="401"/>
      <c r="G78" s="401"/>
      <c r="H78" s="401"/>
      <c r="I78" s="401"/>
      <c r="J78" s="401"/>
      <c r="K78" s="401"/>
      <c r="L78" s="401"/>
      <c r="M78" s="401"/>
      <c r="N78" s="401"/>
      <c r="O78" s="401"/>
      <c r="P78" s="401"/>
      <c r="Q78" s="401"/>
      <c r="R78" s="401"/>
      <c r="S78" s="401"/>
      <c r="T78" s="401"/>
      <c r="U78" s="401"/>
      <c r="V78" s="401"/>
      <c r="W78" s="401"/>
      <c r="X78" s="401"/>
      <c r="Y78" s="401"/>
      <c r="Z78" s="401"/>
    </row>
    <row r="79">
      <c r="A79" s="401"/>
      <c r="B79" s="401"/>
      <c r="C79" s="401"/>
      <c r="D79" s="401"/>
      <c r="E79" s="401"/>
      <c r="F79" s="401"/>
      <c r="G79" s="401"/>
      <c r="H79" s="401"/>
      <c r="I79" s="401"/>
      <c r="J79" s="401"/>
      <c r="K79" s="401"/>
      <c r="L79" s="401"/>
      <c r="M79" s="401"/>
      <c r="N79" s="401"/>
      <c r="O79" s="401"/>
      <c r="P79" s="401"/>
      <c r="Q79" s="401"/>
      <c r="R79" s="401"/>
      <c r="S79" s="401"/>
      <c r="T79" s="401"/>
      <c r="U79" s="401"/>
      <c r="V79" s="401"/>
      <c r="W79" s="401"/>
      <c r="X79" s="401"/>
      <c r="Y79" s="401"/>
      <c r="Z79" s="401"/>
    </row>
    <row r="80">
      <c r="A80" s="401"/>
      <c r="B80" s="401"/>
      <c r="C80" s="401"/>
      <c r="D80" s="401"/>
      <c r="E80" s="401"/>
      <c r="F80" s="401"/>
      <c r="G80" s="401"/>
      <c r="H80" s="401"/>
      <c r="I80" s="401"/>
      <c r="J80" s="401"/>
      <c r="K80" s="401"/>
      <c r="L80" s="401"/>
      <c r="M80" s="401"/>
      <c r="N80" s="401"/>
      <c r="O80" s="401"/>
      <c r="P80" s="401"/>
      <c r="Q80" s="401"/>
      <c r="R80" s="401"/>
      <c r="S80" s="401"/>
      <c r="T80" s="401"/>
      <c r="U80" s="401"/>
      <c r="V80" s="401"/>
      <c r="W80" s="401"/>
      <c r="X80" s="401"/>
      <c r="Y80" s="401"/>
      <c r="Z80" s="401"/>
    </row>
    <row r="81">
      <c r="A81" s="401"/>
      <c r="B81" s="401"/>
      <c r="C81" s="401"/>
      <c r="D81" s="401"/>
      <c r="E81" s="401"/>
      <c r="F81" s="401"/>
      <c r="G81" s="401"/>
      <c r="H81" s="401"/>
      <c r="I81" s="401"/>
      <c r="J81" s="401"/>
      <c r="K81" s="401"/>
      <c r="L81" s="401"/>
      <c r="M81" s="401"/>
      <c r="N81" s="401"/>
      <c r="O81" s="401"/>
      <c r="P81" s="401"/>
      <c r="Q81" s="401"/>
      <c r="R81" s="401"/>
      <c r="S81" s="401"/>
      <c r="T81" s="401"/>
      <c r="U81" s="401"/>
      <c r="V81" s="401"/>
      <c r="W81" s="401"/>
      <c r="X81" s="401"/>
      <c r="Y81" s="401"/>
      <c r="Z81" s="401"/>
    </row>
    <row r="82">
      <c r="A82" s="401"/>
      <c r="B82" s="401"/>
      <c r="C82" s="401"/>
      <c r="D82" s="401"/>
      <c r="E82" s="401"/>
      <c r="F82" s="401"/>
      <c r="G82" s="401"/>
      <c r="H82" s="401"/>
      <c r="I82" s="401"/>
      <c r="J82" s="401"/>
      <c r="K82" s="401"/>
      <c r="L82" s="401"/>
      <c r="M82" s="401"/>
      <c r="N82" s="401"/>
      <c r="O82" s="401"/>
      <c r="P82" s="401"/>
      <c r="Q82" s="401"/>
      <c r="R82" s="401"/>
      <c r="S82" s="401"/>
      <c r="T82" s="401"/>
      <c r="U82" s="401"/>
      <c r="V82" s="401"/>
      <c r="W82" s="401"/>
      <c r="X82" s="401"/>
      <c r="Y82" s="401"/>
      <c r="Z82" s="401"/>
    </row>
    <row r="83">
      <c r="A83" s="401"/>
      <c r="B83" s="401"/>
      <c r="C83" s="401"/>
      <c r="D83" s="401"/>
      <c r="E83" s="401"/>
      <c r="F83" s="401"/>
      <c r="G83" s="401"/>
      <c r="H83" s="401"/>
      <c r="I83" s="401"/>
      <c r="J83" s="401"/>
      <c r="K83" s="401"/>
      <c r="L83" s="401"/>
      <c r="M83" s="401"/>
      <c r="N83" s="401"/>
      <c r="O83" s="401"/>
      <c r="P83" s="401"/>
      <c r="Q83" s="401"/>
      <c r="R83" s="401"/>
      <c r="S83" s="401"/>
      <c r="T83" s="401"/>
      <c r="U83" s="401"/>
      <c r="V83" s="401"/>
      <c r="W83" s="401"/>
      <c r="X83" s="401"/>
      <c r="Y83" s="401"/>
      <c r="Z83" s="401"/>
    </row>
    <row r="84">
      <c r="A84" s="401"/>
      <c r="B84" s="401"/>
      <c r="C84" s="401"/>
      <c r="D84" s="401"/>
      <c r="E84" s="401"/>
      <c r="F84" s="401"/>
      <c r="G84" s="401"/>
      <c r="H84" s="401"/>
      <c r="I84" s="401"/>
      <c r="J84" s="401"/>
      <c r="K84" s="401"/>
      <c r="L84" s="401"/>
      <c r="M84" s="401"/>
      <c r="N84" s="401"/>
      <c r="O84" s="401"/>
      <c r="P84" s="401"/>
      <c r="Q84" s="401"/>
      <c r="R84" s="401"/>
      <c r="S84" s="401"/>
      <c r="T84" s="401"/>
      <c r="U84" s="401"/>
      <c r="V84" s="401"/>
      <c r="W84" s="401"/>
      <c r="X84" s="401"/>
      <c r="Y84" s="401"/>
      <c r="Z84" s="401"/>
    </row>
    <row r="85">
      <c r="A85" s="401"/>
      <c r="B85" s="401"/>
      <c r="C85" s="401"/>
      <c r="D85" s="401"/>
      <c r="E85" s="401"/>
      <c r="F85" s="401"/>
      <c r="G85" s="401"/>
      <c r="H85" s="401"/>
      <c r="I85" s="401"/>
      <c r="J85" s="401"/>
      <c r="K85" s="401"/>
      <c r="L85" s="401"/>
      <c r="M85" s="401"/>
      <c r="N85" s="401"/>
      <c r="O85" s="401"/>
      <c r="P85" s="401"/>
      <c r="Q85" s="401"/>
      <c r="R85" s="401"/>
      <c r="S85" s="401"/>
      <c r="T85" s="401"/>
      <c r="U85" s="401"/>
      <c r="V85" s="401"/>
      <c r="W85" s="401"/>
      <c r="X85" s="401"/>
      <c r="Y85" s="401"/>
      <c r="Z85" s="401"/>
    </row>
    <row r="86">
      <c r="A86" s="401"/>
      <c r="B86" s="401"/>
      <c r="C86" s="401"/>
      <c r="D86" s="401"/>
      <c r="E86" s="401"/>
      <c r="F86" s="401"/>
      <c r="G86" s="401"/>
      <c r="H86" s="401"/>
      <c r="I86" s="401"/>
      <c r="J86" s="401"/>
      <c r="K86" s="401"/>
      <c r="L86" s="401"/>
      <c r="M86" s="401"/>
      <c r="N86" s="401"/>
      <c r="O86" s="401"/>
      <c r="P86" s="401"/>
      <c r="Q86" s="401"/>
      <c r="R86" s="401"/>
      <c r="S86" s="401"/>
      <c r="T86" s="401"/>
      <c r="U86" s="401"/>
      <c r="V86" s="401"/>
      <c r="W86" s="401"/>
      <c r="X86" s="401"/>
      <c r="Y86" s="401"/>
      <c r="Z86" s="401"/>
    </row>
    <row r="87">
      <c r="A87" s="401"/>
      <c r="B87" s="401"/>
      <c r="C87" s="401"/>
      <c r="D87" s="401"/>
      <c r="E87" s="401"/>
      <c r="F87" s="401"/>
      <c r="G87" s="401"/>
      <c r="H87" s="401"/>
      <c r="I87" s="401"/>
      <c r="J87" s="401"/>
      <c r="K87" s="401"/>
      <c r="L87" s="401"/>
      <c r="M87" s="401"/>
      <c r="N87" s="401"/>
      <c r="O87" s="401"/>
      <c r="P87" s="401"/>
      <c r="Q87" s="401"/>
      <c r="R87" s="401"/>
      <c r="S87" s="401"/>
      <c r="T87" s="401"/>
      <c r="U87" s="401"/>
      <c r="V87" s="401"/>
      <c r="W87" s="401"/>
      <c r="X87" s="401"/>
      <c r="Y87" s="401"/>
      <c r="Z87" s="401"/>
    </row>
    <row r="88">
      <c r="A88" s="401"/>
      <c r="B88" s="401"/>
      <c r="C88" s="401"/>
      <c r="D88" s="401"/>
      <c r="E88" s="401"/>
      <c r="F88" s="401"/>
      <c r="G88" s="401"/>
      <c r="H88" s="401"/>
      <c r="I88" s="401"/>
      <c r="J88" s="401"/>
      <c r="K88" s="401"/>
      <c r="L88" s="401"/>
      <c r="M88" s="401"/>
      <c r="N88" s="401"/>
      <c r="O88" s="401"/>
      <c r="P88" s="401"/>
      <c r="Q88" s="401"/>
      <c r="R88" s="401"/>
      <c r="S88" s="401"/>
      <c r="T88" s="401"/>
      <c r="U88" s="401"/>
      <c r="V88" s="401"/>
      <c r="W88" s="401"/>
      <c r="X88" s="401"/>
      <c r="Y88" s="401"/>
      <c r="Z88" s="401"/>
    </row>
    <row r="89">
      <c r="A89" s="401"/>
      <c r="B89" s="401"/>
      <c r="C89" s="401"/>
      <c r="D89" s="401"/>
      <c r="E89" s="401"/>
      <c r="F89" s="401"/>
      <c r="G89" s="401"/>
      <c r="H89" s="401"/>
      <c r="I89" s="401"/>
      <c r="J89" s="401"/>
      <c r="K89" s="401"/>
      <c r="L89" s="401"/>
      <c r="M89" s="401"/>
      <c r="N89" s="401"/>
      <c r="O89" s="401"/>
      <c r="P89" s="401"/>
      <c r="Q89" s="401"/>
      <c r="R89" s="401"/>
      <c r="S89" s="401"/>
      <c r="T89" s="401"/>
      <c r="U89" s="401"/>
      <c r="V89" s="401"/>
      <c r="W89" s="401"/>
      <c r="X89" s="401"/>
      <c r="Y89" s="401"/>
      <c r="Z89" s="401"/>
    </row>
    <row r="90">
      <c r="A90" s="401"/>
      <c r="B90" s="401"/>
      <c r="C90" s="401"/>
      <c r="D90" s="401"/>
      <c r="E90" s="401"/>
      <c r="F90" s="401"/>
      <c r="G90" s="401"/>
      <c r="H90" s="401"/>
      <c r="I90" s="401"/>
      <c r="J90" s="401"/>
      <c r="K90" s="401"/>
      <c r="L90" s="401"/>
      <c r="M90" s="401"/>
      <c r="N90" s="401"/>
      <c r="O90" s="401"/>
      <c r="P90" s="401"/>
      <c r="Q90" s="401"/>
      <c r="R90" s="401"/>
      <c r="S90" s="401"/>
      <c r="T90" s="401"/>
      <c r="U90" s="401"/>
      <c r="V90" s="401"/>
      <c r="W90" s="401"/>
      <c r="X90" s="401"/>
      <c r="Y90" s="401"/>
      <c r="Z90" s="401"/>
    </row>
    <row r="91">
      <c r="A91" s="401"/>
      <c r="B91" s="401"/>
      <c r="C91" s="401"/>
      <c r="D91" s="401"/>
      <c r="E91" s="401"/>
      <c r="F91" s="401"/>
      <c r="G91" s="401"/>
      <c r="H91" s="401"/>
      <c r="I91" s="401"/>
      <c r="J91" s="401"/>
      <c r="K91" s="401"/>
      <c r="L91" s="401"/>
      <c r="M91" s="401"/>
      <c r="N91" s="401"/>
      <c r="O91" s="401"/>
      <c r="P91" s="401"/>
      <c r="Q91" s="401"/>
      <c r="R91" s="401"/>
      <c r="S91" s="401"/>
      <c r="T91" s="401"/>
      <c r="U91" s="401"/>
      <c r="V91" s="401"/>
      <c r="W91" s="401"/>
      <c r="X91" s="401"/>
      <c r="Y91" s="401"/>
      <c r="Z91" s="401"/>
    </row>
    <row r="92">
      <c r="A92" s="401"/>
      <c r="B92" s="401"/>
      <c r="C92" s="401"/>
      <c r="D92" s="401"/>
      <c r="E92" s="401"/>
      <c r="F92" s="401"/>
      <c r="G92" s="401"/>
      <c r="H92" s="401"/>
      <c r="I92" s="401"/>
      <c r="J92" s="401"/>
      <c r="K92" s="401"/>
      <c r="L92" s="401"/>
      <c r="M92" s="401"/>
      <c r="N92" s="401"/>
      <c r="O92" s="401"/>
      <c r="P92" s="401"/>
      <c r="Q92" s="401"/>
      <c r="R92" s="401"/>
      <c r="S92" s="401"/>
      <c r="T92" s="401"/>
      <c r="U92" s="401"/>
      <c r="V92" s="401"/>
      <c r="W92" s="401"/>
      <c r="X92" s="401"/>
      <c r="Y92" s="401"/>
      <c r="Z92" s="401"/>
    </row>
    <row r="93">
      <c r="A93" s="401"/>
      <c r="B93" s="401"/>
      <c r="C93" s="401"/>
      <c r="D93" s="401"/>
      <c r="E93" s="401"/>
      <c r="F93" s="401"/>
      <c r="G93" s="401"/>
      <c r="H93" s="401"/>
      <c r="I93" s="401"/>
      <c r="J93" s="401"/>
      <c r="K93" s="401"/>
      <c r="L93" s="401"/>
      <c r="M93" s="401"/>
      <c r="N93" s="401"/>
      <c r="O93" s="401"/>
      <c r="P93" s="401"/>
      <c r="Q93" s="401"/>
      <c r="R93" s="401"/>
      <c r="S93" s="401"/>
      <c r="T93" s="401"/>
      <c r="U93" s="401"/>
      <c r="V93" s="401"/>
      <c r="W93" s="401"/>
      <c r="X93" s="401"/>
      <c r="Y93" s="401"/>
      <c r="Z93" s="401"/>
    </row>
    <row r="94">
      <c r="A94" s="401"/>
      <c r="B94" s="401"/>
      <c r="C94" s="401"/>
      <c r="D94" s="401"/>
      <c r="E94" s="401"/>
      <c r="F94" s="401"/>
      <c r="G94" s="401"/>
      <c r="H94" s="401"/>
      <c r="I94" s="401"/>
      <c r="J94" s="401"/>
      <c r="K94" s="401"/>
      <c r="L94" s="401"/>
      <c r="M94" s="401"/>
      <c r="N94" s="401"/>
      <c r="O94" s="401"/>
      <c r="P94" s="401"/>
      <c r="Q94" s="401"/>
      <c r="R94" s="401"/>
      <c r="S94" s="401"/>
      <c r="T94" s="401"/>
      <c r="U94" s="401"/>
      <c r="V94" s="401"/>
      <c r="W94" s="401"/>
      <c r="X94" s="401"/>
      <c r="Y94" s="401"/>
      <c r="Z94" s="401"/>
    </row>
    <row r="95">
      <c r="A95" s="401"/>
      <c r="B95" s="401"/>
      <c r="C95" s="401"/>
      <c r="D95" s="401"/>
      <c r="E95" s="401"/>
      <c r="F95" s="401"/>
      <c r="G95" s="401"/>
      <c r="H95" s="401"/>
      <c r="I95" s="401"/>
      <c r="J95" s="401"/>
      <c r="K95" s="401"/>
      <c r="L95" s="401"/>
      <c r="M95" s="401"/>
      <c r="N95" s="401"/>
      <c r="O95" s="401"/>
      <c r="P95" s="401"/>
      <c r="Q95" s="401"/>
      <c r="R95" s="401"/>
      <c r="S95" s="401"/>
      <c r="T95" s="401"/>
      <c r="U95" s="401"/>
      <c r="V95" s="401"/>
      <c r="W95" s="401"/>
      <c r="X95" s="401"/>
      <c r="Y95" s="401"/>
      <c r="Z95" s="401"/>
    </row>
    <row r="96">
      <c r="A96" s="401"/>
      <c r="B96" s="401"/>
      <c r="C96" s="401"/>
      <c r="D96" s="401"/>
      <c r="E96" s="401"/>
      <c r="F96" s="401"/>
      <c r="G96" s="401"/>
      <c r="H96" s="401"/>
      <c r="I96" s="401"/>
      <c r="J96" s="401"/>
      <c r="K96" s="401"/>
      <c r="L96" s="401"/>
      <c r="M96" s="401"/>
      <c r="N96" s="401"/>
      <c r="O96" s="401"/>
      <c r="P96" s="401"/>
      <c r="Q96" s="401"/>
      <c r="R96" s="401"/>
      <c r="S96" s="401"/>
      <c r="T96" s="401"/>
      <c r="U96" s="401"/>
      <c r="V96" s="401"/>
      <c r="W96" s="401"/>
      <c r="X96" s="401"/>
      <c r="Y96" s="401"/>
      <c r="Z96" s="401"/>
    </row>
    <row r="97">
      <c r="A97" s="401"/>
      <c r="B97" s="401"/>
      <c r="C97" s="401"/>
      <c r="D97" s="401"/>
      <c r="E97" s="401"/>
      <c r="F97" s="401"/>
      <c r="G97" s="401"/>
      <c r="H97" s="401"/>
      <c r="I97" s="401"/>
      <c r="J97" s="401"/>
      <c r="K97" s="401"/>
      <c r="L97" s="401"/>
      <c r="M97" s="401"/>
      <c r="N97" s="401"/>
      <c r="O97" s="401"/>
      <c r="P97" s="401"/>
      <c r="Q97" s="401"/>
      <c r="R97" s="401"/>
      <c r="S97" s="401"/>
      <c r="T97" s="401"/>
      <c r="U97" s="401"/>
      <c r="V97" s="401"/>
      <c r="W97" s="401"/>
      <c r="X97" s="401"/>
      <c r="Y97" s="401"/>
      <c r="Z97" s="401"/>
    </row>
    <row r="98">
      <c r="A98" s="401"/>
      <c r="B98" s="401"/>
      <c r="C98" s="401"/>
      <c r="D98" s="401"/>
      <c r="E98" s="401"/>
      <c r="F98" s="401"/>
      <c r="G98" s="401"/>
      <c r="H98" s="401"/>
      <c r="I98" s="401"/>
      <c r="J98" s="401"/>
      <c r="K98" s="401"/>
      <c r="L98" s="401"/>
      <c r="M98" s="401"/>
      <c r="N98" s="401"/>
      <c r="O98" s="401"/>
      <c r="P98" s="401"/>
      <c r="Q98" s="401"/>
      <c r="R98" s="401"/>
      <c r="S98" s="401"/>
      <c r="T98" s="401"/>
      <c r="U98" s="401"/>
      <c r="V98" s="401"/>
      <c r="W98" s="401"/>
      <c r="X98" s="401"/>
      <c r="Y98" s="401"/>
      <c r="Z98" s="401"/>
    </row>
    <row r="99">
      <c r="A99" s="401"/>
      <c r="B99" s="401"/>
      <c r="C99" s="401"/>
      <c r="D99" s="401"/>
      <c r="E99" s="401"/>
      <c r="F99" s="401"/>
      <c r="G99" s="401"/>
      <c r="H99" s="401"/>
      <c r="I99" s="401"/>
      <c r="J99" s="401"/>
      <c r="K99" s="401"/>
      <c r="L99" s="401"/>
      <c r="M99" s="401"/>
      <c r="N99" s="401"/>
      <c r="O99" s="401"/>
      <c r="P99" s="401"/>
      <c r="Q99" s="401"/>
      <c r="R99" s="401"/>
      <c r="S99" s="401"/>
      <c r="T99" s="401"/>
      <c r="U99" s="401"/>
      <c r="V99" s="401"/>
      <c r="W99" s="401"/>
      <c r="X99" s="401"/>
      <c r="Y99" s="401"/>
      <c r="Z99" s="401"/>
    </row>
    <row r="100">
      <c r="A100" s="401"/>
      <c r="B100" s="401"/>
      <c r="C100" s="401"/>
      <c r="D100" s="401"/>
      <c r="E100" s="401"/>
      <c r="F100" s="401"/>
      <c r="G100" s="401"/>
      <c r="H100" s="401"/>
      <c r="I100" s="401"/>
      <c r="J100" s="401"/>
      <c r="K100" s="401"/>
      <c r="L100" s="401"/>
      <c r="M100" s="401"/>
      <c r="N100" s="401"/>
      <c r="O100" s="401"/>
      <c r="P100" s="401"/>
      <c r="Q100" s="401"/>
      <c r="R100" s="401"/>
      <c r="S100" s="401"/>
      <c r="T100" s="401"/>
      <c r="U100" s="401"/>
      <c r="V100" s="401"/>
      <c r="W100" s="401"/>
      <c r="X100" s="401"/>
      <c r="Y100" s="401"/>
      <c r="Z100" s="401"/>
    </row>
    <row r="101">
      <c r="A101" s="401"/>
      <c r="B101" s="401"/>
      <c r="C101" s="401"/>
      <c r="D101" s="401"/>
      <c r="E101" s="401"/>
      <c r="F101" s="401"/>
      <c r="G101" s="401"/>
      <c r="H101" s="401"/>
      <c r="I101" s="401"/>
      <c r="J101" s="401"/>
      <c r="K101" s="401"/>
      <c r="L101" s="401"/>
      <c r="M101" s="401"/>
      <c r="N101" s="401"/>
      <c r="O101" s="401"/>
      <c r="P101" s="401"/>
      <c r="Q101" s="401"/>
      <c r="R101" s="401"/>
      <c r="S101" s="401"/>
      <c r="T101" s="401"/>
      <c r="U101" s="401"/>
      <c r="V101" s="401"/>
      <c r="W101" s="401"/>
      <c r="X101" s="401"/>
      <c r="Y101" s="401"/>
      <c r="Z101" s="401"/>
    </row>
    <row r="102">
      <c r="A102" s="401"/>
      <c r="B102" s="401"/>
      <c r="C102" s="401"/>
      <c r="D102" s="401"/>
      <c r="E102" s="401"/>
      <c r="F102" s="401"/>
      <c r="G102" s="401"/>
      <c r="H102" s="401"/>
      <c r="I102" s="401"/>
      <c r="J102" s="401"/>
      <c r="K102" s="401"/>
      <c r="L102" s="401"/>
      <c r="M102" s="401"/>
      <c r="N102" s="401"/>
      <c r="O102" s="401"/>
      <c r="P102" s="401"/>
      <c r="Q102" s="401"/>
      <c r="R102" s="401"/>
      <c r="S102" s="401"/>
      <c r="T102" s="401"/>
      <c r="U102" s="401"/>
      <c r="V102" s="401"/>
      <c r="W102" s="401"/>
      <c r="X102" s="401"/>
      <c r="Y102" s="401"/>
      <c r="Z102" s="401"/>
    </row>
    <row r="103">
      <c r="A103" s="401"/>
      <c r="B103" s="401"/>
      <c r="C103" s="401"/>
      <c r="D103" s="401"/>
      <c r="E103" s="401"/>
      <c r="F103" s="401"/>
      <c r="G103" s="401"/>
      <c r="H103" s="401"/>
      <c r="I103" s="401"/>
      <c r="J103" s="401"/>
      <c r="K103" s="401"/>
      <c r="L103" s="401"/>
      <c r="M103" s="401"/>
      <c r="N103" s="401"/>
      <c r="O103" s="401"/>
      <c r="P103" s="401"/>
      <c r="Q103" s="401"/>
      <c r="R103" s="401"/>
      <c r="S103" s="401"/>
      <c r="T103" s="401"/>
      <c r="U103" s="401"/>
      <c r="V103" s="401"/>
      <c r="W103" s="401"/>
      <c r="X103" s="401"/>
      <c r="Y103" s="401"/>
      <c r="Z103" s="401"/>
    </row>
    <row r="104">
      <c r="A104" s="401"/>
      <c r="B104" s="401"/>
      <c r="C104" s="401"/>
      <c r="D104" s="401"/>
      <c r="E104" s="401"/>
      <c r="F104" s="401"/>
      <c r="G104" s="401"/>
      <c r="H104" s="401"/>
      <c r="I104" s="401"/>
      <c r="J104" s="401"/>
      <c r="K104" s="401"/>
      <c r="L104" s="401"/>
      <c r="M104" s="401"/>
      <c r="N104" s="401"/>
      <c r="O104" s="401"/>
      <c r="P104" s="401"/>
      <c r="Q104" s="401"/>
      <c r="R104" s="401"/>
      <c r="S104" s="401"/>
      <c r="T104" s="401"/>
      <c r="U104" s="401"/>
      <c r="V104" s="401"/>
      <c r="W104" s="401"/>
      <c r="X104" s="401"/>
      <c r="Y104" s="401"/>
      <c r="Z104" s="401"/>
    </row>
    <row r="105">
      <c r="A105" s="401"/>
      <c r="B105" s="401"/>
      <c r="C105" s="401"/>
      <c r="D105" s="401"/>
      <c r="E105" s="401"/>
      <c r="F105" s="401"/>
      <c r="G105" s="401"/>
      <c r="H105" s="401"/>
      <c r="I105" s="401"/>
      <c r="J105" s="401"/>
      <c r="K105" s="401"/>
      <c r="L105" s="401"/>
      <c r="M105" s="401"/>
      <c r="N105" s="401"/>
      <c r="O105" s="401"/>
      <c r="P105" s="401"/>
      <c r="Q105" s="401"/>
      <c r="R105" s="401"/>
      <c r="S105" s="401"/>
      <c r="T105" s="401"/>
      <c r="U105" s="401"/>
      <c r="V105" s="401"/>
      <c r="W105" s="401"/>
      <c r="X105" s="401"/>
      <c r="Y105" s="401"/>
      <c r="Z105" s="401"/>
    </row>
    <row r="106">
      <c r="A106" s="401"/>
      <c r="B106" s="401"/>
      <c r="C106" s="401"/>
      <c r="D106" s="401"/>
      <c r="E106" s="401"/>
      <c r="F106" s="401"/>
      <c r="G106" s="401"/>
      <c r="H106" s="401"/>
      <c r="I106" s="401"/>
      <c r="J106" s="401"/>
      <c r="K106" s="401"/>
      <c r="L106" s="401"/>
      <c r="M106" s="401"/>
      <c r="N106" s="401"/>
      <c r="O106" s="401"/>
      <c r="P106" s="401"/>
      <c r="Q106" s="401"/>
      <c r="R106" s="401"/>
      <c r="S106" s="401"/>
      <c r="T106" s="401"/>
      <c r="U106" s="401"/>
      <c r="V106" s="401"/>
      <c r="W106" s="401"/>
      <c r="X106" s="401"/>
      <c r="Y106" s="401"/>
      <c r="Z106" s="401"/>
    </row>
    <row r="107">
      <c r="A107" s="401"/>
      <c r="B107" s="401"/>
      <c r="C107" s="401"/>
      <c r="D107" s="401"/>
      <c r="E107" s="401"/>
      <c r="F107" s="401"/>
      <c r="G107" s="401"/>
      <c r="H107" s="401"/>
      <c r="I107" s="401"/>
      <c r="J107" s="401"/>
      <c r="K107" s="401"/>
      <c r="L107" s="401"/>
      <c r="M107" s="401"/>
      <c r="N107" s="401"/>
      <c r="O107" s="401"/>
      <c r="P107" s="401"/>
      <c r="Q107" s="401"/>
      <c r="R107" s="401"/>
      <c r="S107" s="401"/>
      <c r="T107" s="401"/>
      <c r="U107" s="401"/>
      <c r="V107" s="401"/>
      <c r="W107" s="401"/>
      <c r="X107" s="401"/>
      <c r="Y107" s="401"/>
      <c r="Z107" s="401"/>
    </row>
    <row r="108">
      <c r="A108" s="401"/>
      <c r="B108" s="401"/>
      <c r="C108" s="401"/>
      <c r="D108" s="401"/>
      <c r="E108" s="401"/>
      <c r="F108" s="401"/>
      <c r="G108" s="401"/>
      <c r="H108" s="401"/>
      <c r="I108" s="401"/>
      <c r="J108" s="401"/>
      <c r="K108" s="401"/>
      <c r="L108" s="401"/>
      <c r="M108" s="401"/>
      <c r="N108" s="401"/>
      <c r="O108" s="401"/>
      <c r="P108" s="401"/>
      <c r="Q108" s="401"/>
      <c r="R108" s="401"/>
      <c r="S108" s="401"/>
      <c r="T108" s="401"/>
      <c r="U108" s="401"/>
      <c r="V108" s="401"/>
      <c r="W108" s="401"/>
      <c r="X108" s="401"/>
      <c r="Y108" s="401"/>
      <c r="Z108" s="401"/>
    </row>
    <row r="109">
      <c r="A109" s="401"/>
      <c r="B109" s="401"/>
      <c r="C109" s="401"/>
      <c r="D109" s="401"/>
      <c r="E109" s="401"/>
      <c r="F109" s="401"/>
      <c r="G109" s="401"/>
      <c r="H109" s="401"/>
      <c r="I109" s="401"/>
      <c r="J109" s="401"/>
      <c r="K109" s="401"/>
      <c r="L109" s="401"/>
      <c r="M109" s="401"/>
      <c r="N109" s="401"/>
      <c r="O109" s="401"/>
      <c r="P109" s="401"/>
      <c r="Q109" s="401"/>
      <c r="R109" s="401"/>
      <c r="S109" s="401"/>
      <c r="T109" s="401"/>
      <c r="U109" s="401"/>
      <c r="V109" s="401"/>
      <c r="W109" s="401"/>
      <c r="X109" s="401"/>
      <c r="Y109" s="401"/>
      <c r="Z109" s="401"/>
    </row>
    <row r="110">
      <c r="A110" s="401"/>
      <c r="B110" s="401"/>
      <c r="C110" s="401"/>
      <c r="D110" s="401"/>
      <c r="E110" s="401"/>
      <c r="F110" s="401"/>
      <c r="G110" s="401"/>
      <c r="H110" s="401"/>
      <c r="I110" s="401"/>
      <c r="J110" s="401"/>
      <c r="K110" s="401"/>
      <c r="L110" s="401"/>
      <c r="M110" s="401"/>
      <c r="N110" s="401"/>
      <c r="O110" s="401"/>
      <c r="P110" s="401"/>
      <c r="Q110" s="401"/>
      <c r="R110" s="401"/>
      <c r="S110" s="401"/>
      <c r="T110" s="401"/>
      <c r="U110" s="401"/>
      <c r="V110" s="401"/>
      <c r="W110" s="401"/>
      <c r="X110" s="401"/>
      <c r="Y110" s="401"/>
      <c r="Z110" s="401"/>
    </row>
    <row r="111">
      <c r="A111" s="401"/>
      <c r="B111" s="401"/>
      <c r="C111" s="401"/>
      <c r="D111" s="401"/>
      <c r="E111" s="401"/>
      <c r="F111" s="401"/>
      <c r="G111" s="401"/>
      <c r="H111" s="401"/>
      <c r="I111" s="401"/>
      <c r="J111" s="401"/>
      <c r="K111" s="401"/>
      <c r="L111" s="401"/>
      <c r="M111" s="401"/>
      <c r="N111" s="401"/>
      <c r="O111" s="401"/>
      <c r="P111" s="401"/>
      <c r="Q111" s="401"/>
      <c r="R111" s="401"/>
      <c r="S111" s="401"/>
      <c r="T111" s="401"/>
      <c r="U111" s="401"/>
      <c r="V111" s="401"/>
      <c r="W111" s="401"/>
      <c r="X111" s="401"/>
      <c r="Y111" s="401"/>
      <c r="Z111" s="401"/>
    </row>
    <row r="112">
      <c r="A112" s="401"/>
      <c r="B112" s="401"/>
      <c r="C112" s="401"/>
      <c r="D112" s="401"/>
      <c r="E112" s="401"/>
      <c r="F112" s="401"/>
      <c r="G112" s="401"/>
      <c r="H112" s="401"/>
      <c r="I112" s="401"/>
      <c r="J112" s="401"/>
      <c r="K112" s="401"/>
      <c r="L112" s="401"/>
      <c r="M112" s="401"/>
      <c r="N112" s="401"/>
      <c r="O112" s="401"/>
      <c r="P112" s="401"/>
      <c r="Q112" s="401"/>
      <c r="R112" s="401"/>
      <c r="S112" s="401"/>
      <c r="T112" s="401"/>
      <c r="U112" s="401"/>
      <c r="V112" s="401"/>
      <c r="W112" s="401"/>
      <c r="X112" s="401"/>
      <c r="Y112" s="401"/>
      <c r="Z112" s="401"/>
    </row>
    <row r="113">
      <c r="A113" s="401"/>
      <c r="B113" s="401"/>
      <c r="C113" s="401"/>
      <c r="D113" s="401"/>
      <c r="E113" s="401"/>
      <c r="F113" s="401"/>
      <c r="G113" s="401"/>
      <c r="H113" s="401"/>
      <c r="I113" s="401"/>
      <c r="J113" s="401"/>
      <c r="K113" s="401"/>
      <c r="L113" s="401"/>
      <c r="M113" s="401"/>
      <c r="N113" s="401"/>
      <c r="O113" s="401"/>
      <c r="P113" s="401"/>
      <c r="Q113" s="401"/>
      <c r="R113" s="401"/>
      <c r="S113" s="401"/>
      <c r="T113" s="401"/>
      <c r="U113" s="401"/>
      <c r="V113" s="401"/>
      <c r="W113" s="401"/>
      <c r="X113" s="401"/>
      <c r="Y113" s="401"/>
      <c r="Z113" s="401"/>
    </row>
    <row r="114">
      <c r="A114" s="401"/>
      <c r="B114" s="401"/>
      <c r="C114" s="401"/>
      <c r="D114" s="401"/>
      <c r="E114" s="401"/>
      <c r="F114" s="401"/>
      <c r="G114" s="401"/>
      <c r="H114" s="401"/>
      <c r="I114" s="401"/>
      <c r="J114" s="401"/>
      <c r="K114" s="401"/>
      <c r="L114" s="401"/>
      <c r="M114" s="401"/>
      <c r="N114" s="401"/>
      <c r="O114" s="401"/>
      <c r="P114" s="401"/>
      <c r="Q114" s="401"/>
      <c r="R114" s="401"/>
      <c r="S114" s="401"/>
      <c r="T114" s="401"/>
      <c r="U114" s="401"/>
      <c r="V114" s="401"/>
      <c r="W114" s="401"/>
      <c r="X114" s="401"/>
      <c r="Y114" s="401"/>
      <c r="Z114" s="401"/>
    </row>
    <row r="115">
      <c r="A115" s="401"/>
      <c r="B115" s="401"/>
      <c r="C115" s="401"/>
      <c r="D115" s="401"/>
      <c r="E115" s="401"/>
      <c r="F115" s="401"/>
      <c r="G115" s="401"/>
      <c r="H115" s="401"/>
      <c r="I115" s="401"/>
      <c r="J115" s="401"/>
      <c r="K115" s="401"/>
      <c r="L115" s="401"/>
      <c r="M115" s="401"/>
      <c r="N115" s="401"/>
      <c r="O115" s="401"/>
      <c r="P115" s="401"/>
      <c r="Q115" s="401"/>
      <c r="R115" s="401"/>
      <c r="S115" s="401"/>
      <c r="T115" s="401"/>
      <c r="U115" s="401"/>
      <c r="V115" s="401"/>
      <c r="W115" s="401"/>
      <c r="X115" s="401"/>
      <c r="Y115" s="401"/>
      <c r="Z115" s="401"/>
    </row>
    <row r="116">
      <c r="A116" s="401"/>
      <c r="B116" s="401"/>
      <c r="C116" s="401"/>
      <c r="D116" s="401"/>
      <c r="E116" s="401"/>
      <c r="F116" s="401"/>
      <c r="G116" s="401"/>
      <c r="H116" s="401"/>
      <c r="I116" s="401"/>
      <c r="J116" s="401"/>
      <c r="K116" s="401"/>
      <c r="L116" s="401"/>
      <c r="M116" s="401"/>
      <c r="N116" s="401"/>
      <c r="O116" s="401"/>
      <c r="P116" s="401"/>
      <c r="Q116" s="401"/>
      <c r="R116" s="401"/>
      <c r="S116" s="401"/>
      <c r="T116" s="401"/>
      <c r="U116" s="401"/>
      <c r="V116" s="401"/>
      <c r="W116" s="401"/>
      <c r="X116" s="401"/>
      <c r="Y116" s="401"/>
      <c r="Z116" s="401"/>
    </row>
    <row r="117">
      <c r="A117" s="401"/>
      <c r="B117" s="401"/>
      <c r="C117" s="401"/>
      <c r="D117" s="401"/>
      <c r="E117" s="401"/>
      <c r="F117" s="401"/>
      <c r="G117" s="401"/>
      <c r="H117" s="401"/>
      <c r="I117" s="401"/>
      <c r="J117" s="401"/>
      <c r="K117" s="401"/>
      <c r="L117" s="401"/>
      <c r="M117" s="401"/>
      <c r="N117" s="401"/>
      <c r="O117" s="401"/>
      <c r="P117" s="401"/>
      <c r="Q117" s="401"/>
      <c r="R117" s="401"/>
      <c r="S117" s="401"/>
      <c r="T117" s="401"/>
      <c r="U117" s="401"/>
      <c r="V117" s="401"/>
      <c r="W117" s="401"/>
      <c r="X117" s="401"/>
      <c r="Y117" s="401"/>
      <c r="Z117" s="401"/>
    </row>
    <row r="118">
      <c r="A118" s="401"/>
      <c r="B118" s="401"/>
      <c r="C118" s="401"/>
      <c r="D118" s="401"/>
      <c r="E118" s="401"/>
      <c r="F118" s="401"/>
      <c r="G118" s="401"/>
      <c r="H118" s="401"/>
      <c r="I118" s="401"/>
      <c r="J118" s="401"/>
      <c r="K118" s="401"/>
      <c r="L118" s="401"/>
      <c r="M118" s="401"/>
      <c r="N118" s="401"/>
      <c r="O118" s="401"/>
      <c r="P118" s="401"/>
      <c r="Q118" s="401"/>
      <c r="R118" s="401"/>
      <c r="S118" s="401"/>
      <c r="T118" s="401"/>
      <c r="U118" s="401"/>
      <c r="V118" s="401"/>
      <c r="W118" s="401"/>
      <c r="X118" s="401"/>
      <c r="Y118" s="401"/>
      <c r="Z118" s="401"/>
    </row>
    <row r="119">
      <c r="A119" s="401"/>
      <c r="B119" s="401"/>
      <c r="C119" s="401"/>
      <c r="D119" s="401"/>
      <c r="E119" s="401"/>
      <c r="F119" s="401"/>
      <c r="G119" s="401"/>
      <c r="H119" s="401"/>
      <c r="I119" s="401"/>
      <c r="J119" s="401"/>
      <c r="K119" s="401"/>
      <c r="L119" s="401"/>
      <c r="M119" s="401"/>
      <c r="N119" s="401"/>
      <c r="O119" s="401"/>
      <c r="P119" s="401"/>
      <c r="Q119" s="401"/>
      <c r="R119" s="401"/>
      <c r="S119" s="401"/>
      <c r="T119" s="401"/>
      <c r="U119" s="401"/>
      <c r="V119" s="401"/>
      <c r="W119" s="401"/>
      <c r="X119" s="401"/>
      <c r="Y119" s="401"/>
      <c r="Z119" s="401"/>
    </row>
    <row r="120">
      <c r="A120" s="401"/>
      <c r="B120" s="401"/>
      <c r="C120" s="401"/>
      <c r="D120" s="401"/>
      <c r="E120" s="401"/>
      <c r="F120" s="401"/>
      <c r="G120" s="401"/>
      <c r="H120" s="401"/>
      <c r="I120" s="401"/>
      <c r="J120" s="401"/>
      <c r="K120" s="401"/>
      <c r="L120" s="401"/>
      <c r="M120" s="401"/>
      <c r="N120" s="401"/>
      <c r="O120" s="401"/>
      <c r="P120" s="401"/>
      <c r="Q120" s="401"/>
      <c r="R120" s="401"/>
      <c r="S120" s="401"/>
      <c r="T120" s="401"/>
      <c r="U120" s="401"/>
      <c r="V120" s="401"/>
      <c r="W120" s="401"/>
      <c r="X120" s="401"/>
      <c r="Y120" s="401"/>
      <c r="Z120" s="401"/>
    </row>
    <row r="121">
      <c r="A121" s="401"/>
      <c r="B121" s="401"/>
      <c r="C121" s="401"/>
      <c r="D121" s="401"/>
      <c r="E121" s="401"/>
      <c r="F121" s="401"/>
      <c r="G121" s="401"/>
      <c r="H121" s="401"/>
      <c r="I121" s="401"/>
      <c r="J121" s="401"/>
      <c r="K121" s="401"/>
      <c r="L121" s="401"/>
      <c r="M121" s="401"/>
      <c r="N121" s="401"/>
      <c r="O121" s="401"/>
      <c r="P121" s="401"/>
      <c r="Q121" s="401"/>
      <c r="R121" s="401"/>
      <c r="S121" s="401"/>
      <c r="T121" s="401"/>
      <c r="U121" s="401"/>
      <c r="V121" s="401"/>
      <c r="W121" s="401"/>
      <c r="X121" s="401"/>
      <c r="Y121" s="401"/>
      <c r="Z121" s="401"/>
    </row>
    <row r="122">
      <c r="A122" s="401"/>
      <c r="B122" s="401"/>
      <c r="C122" s="401"/>
      <c r="D122" s="401"/>
      <c r="E122" s="401"/>
      <c r="F122" s="401"/>
      <c r="G122" s="401"/>
      <c r="H122" s="401"/>
      <c r="I122" s="401"/>
      <c r="J122" s="401"/>
      <c r="K122" s="401"/>
      <c r="L122" s="401"/>
      <c r="M122" s="401"/>
      <c r="N122" s="401"/>
      <c r="O122" s="401"/>
      <c r="P122" s="401"/>
      <c r="Q122" s="401"/>
      <c r="R122" s="401"/>
      <c r="S122" s="401"/>
      <c r="T122" s="401"/>
      <c r="U122" s="401"/>
      <c r="V122" s="401"/>
      <c r="W122" s="401"/>
      <c r="X122" s="401"/>
      <c r="Y122" s="401"/>
      <c r="Z122" s="401"/>
    </row>
    <row r="123">
      <c r="A123" s="401"/>
      <c r="B123" s="401"/>
      <c r="C123" s="401"/>
      <c r="D123" s="401"/>
      <c r="E123" s="401"/>
      <c r="F123" s="401"/>
      <c r="G123" s="401"/>
      <c r="H123" s="401"/>
      <c r="I123" s="401"/>
      <c r="J123" s="401"/>
      <c r="K123" s="401"/>
      <c r="L123" s="401"/>
      <c r="M123" s="401"/>
      <c r="N123" s="401"/>
      <c r="O123" s="401"/>
      <c r="P123" s="401"/>
      <c r="Q123" s="401"/>
      <c r="R123" s="401"/>
      <c r="S123" s="401"/>
      <c r="T123" s="401"/>
      <c r="U123" s="401"/>
      <c r="V123" s="401"/>
      <c r="W123" s="401"/>
      <c r="X123" s="401"/>
      <c r="Y123" s="401"/>
      <c r="Z123" s="401"/>
    </row>
    <row r="124">
      <c r="A124" s="401"/>
      <c r="B124" s="401"/>
      <c r="C124" s="401"/>
      <c r="D124" s="401"/>
      <c r="E124" s="401"/>
      <c r="F124" s="401"/>
      <c r="G124" s="401"/>
      <c r="H124" s="401"/>
      <c r="I124" s="401"/>
      <c r="J124" s="401"/>
      <c r="K124" s="401"/>
      <c r="L124" s="401"/>
      <c r="M124" s="401"/>
      <c r="N124" s="401"/>
      <c r="O124" s="401"/>
      <c r="P124" s="401"/>
      <c r="Q124" s="401"/>
      <c r="R124" s="401"/>
      <c r="S124" s="401"/>
      <c r="T124" s="401"/>
      <c r="U124" s="401"/>
      <c r="V124" s="401"/>
      <c r="W124" s="401"/>
      <c r="X124" s="401"/>
      <c r="Y124" s="401"/>
      <c r="Z124" s="401"/>
    </row>
    <row r="125">
      <c r="A125" s="401"/>
      <c r="B125" s="401"/>
      <c r="C125" s="401"/>
      <c r="D125" s="401"/>
      <c r="E125" s="401"/>
      <c r="F125" s="401"/>
      <c r="G125" s="401"/>
      <c r="H125" s="401"/>
      <c r="I125" s="401"/>
      <c r="J125" s="401"/>
      <c r="K125" s="401"/>
      <c r="L125" s="401"/>
      <c r="M125" s="401"/>
      <c r="N125" s="401"/>
      <c r="O125" s="401"/>
      <c r="P125" s="401"/>
      <c r="Q125" s="401"/>
      <c r="R125" s="401"/>
      <c r="S125" s="401"/>
      <c r="T125" s="401"/>
      <c r="U125" s="401"/>
      <c r="V125" s="401"/>
      <c r="W125" s="401"/>
      <c r="X125" s="401"/>
      <c r="Y125" s="401"/>
      <c r="Z125" s="401"/>
    </row>
    <row r="126">
      <c r="A126" s="401"/>
      <c r="B126" s="401"/>
      <c r="C126" s="401"/>
      <c r="D126" s="401"/>
      <c r="E126" s="401"/>
      <c r="F126" s="401"/>
      <c r="G126" s="401"/>
      <c r="H126" s="401"/>
      <c r="I126" s="401"/>
      <c r="J126" s="401"/>
      <c r="K126" s="401"/>
      <c r="L126" s="401"/>
      <c r="M126" s="401"/>
      <c r="N126" s="401"/>
      <c r="O126" s="401"/>
      <c r="P126" s="401"/>
      <c r="Q126" s="401"/>
      <c r="R126" s="401"/>
      <c r="S126" s="401"/>
      <c r="T126" s="401"/>
      <c r="U126" s="401"/>
      <c r="V126" s="401"/>
      <c r="W126" s="401"/>
      <c r="X126" s="401"/>
      <c r="Y126" s="401"/>
      <c r="Z126" s="401"/>
    </row>
    <row r="127">
      <c r="A127" s="401"/>
      <c r="B127" s="401"/>
      <c r="C127" s="401"/>
      <c r="D127" s="401"/>
      <c r="E127" s="401"/>
      <c r="F127" s="401"/>
      <c r="G127" s="401"/>
      <c r="H127" s="401"/>
      <c r="I127" s="401"/>
      <c r="J127" s="401"/>
      <c r="K127" s="401"/>
      <c r="L127" s="401"/>
      <c r="M127" s="401"/>
      <c r="N127" s="401"/>
      <c r="O127" s="401"/>
      <c r="P127" s="401"/>
      <c r="Q127" s="401"/>
      <c r="R127" s="401"/>
      <c r="S127" s="401"/>
      <c r="T127" s="401"/>
      <c r="U127" s="401"/>
      <c r="V127" s="401"/>
      <c r="W127" s="401"/>
      <c r="X127" s="401"/>
      <c r="Y127" s="401"/>
      <c r="Z127" s="401"/>
    </row>
    <row r="128">
      <c r="A128" s="401"/>
      <c r="B128" s="401"/>
      <c r="C128" s="401"/>
      <c r="D128" s="401"/>
      <c r="E128" s="401"/>
      <c r="F128" s="401"/>
      <c r="G128" s="401"/>
      <c r="H128" s="401"/>
      <c r="I128" s="401"/>
      <c r="J128" s="401"/>
      <c r="K128" s="401"/>
      <c r="L128" s="401"/>
      <c r="M128" s="401"/>
      <c r="N128" s="401"/>
      <c r="O128" s="401"/>
      <c r="P128" s="401"/>
      <c r="Q128" s="401"/>
      <c r="R128" s="401"/>
      <c r="S128" s="401"/>
      <c r="T128" s="401"/>
      <c r="U128" s="401"/>
      <c r="V128" s="401"/>
      <c r="W128" s="401"/>
      <c r="X128" s="401"/>
      <c r="Y128" s="401"/>
      <c r="Z128" s="401"/>
    </row>
    <row r="129">
      <c r="A129" s="401"/>
      <c r="B129" s="401"/>
      <c r="C129" s="401"/>
      <c r="D129" s="401"/>
      <c r="E129" s="401"/>
      <c r="F129" s="401"/>
      <c r="G129" s="401"/>
      <c r="H129" s="401"/>
      <c r="I129" s="401"/>
      <c r="J129" s="401"/>
      <c r="K129" s="401"/>
      <c r="L129" s="401"/>
      <c r="M129" s="401"/>
      <c r="N129" s="401"/>
      <c r="O129" s="401"/>
      <c r="P129" s="401"/>
      <c r="Q129" s="401"/>
      <c r="R129" s="401"/>
      <c r="S129" s="401"/>
      <c r="T129" s="401"/>
      <c r="U129" s="401"/>
      <c r="V129" s="401"/>
      <c r="W129" s="401"/>
      <c r="X129" s="401"/>
      <c r="Y129" s="401"/>
      <c r="Z129" s="401"/>
    </row>
    <row r="130">
      <c r="A130" s="401"/>
      <c r="B130" s="401"/>
      <c r="C130" s="401"/>
      <c r="D130" s="401"/>
      <c r="E130" s="401"/>
      <c r="F130" s="401"/>
      <c r="G130" s="401"/>
      <c r="H130" s="401"/>
      <c r="I130" s="401"/>
      <c r="J130" s="401"/>
      <c r="K130" s="401"/>
      <c r="L130" s="401"/>
      <c r="M130" s="401"/>
      <c r="N130" s="401"/>
      <c r="O130" s="401"/>
      <c r="P130" s="401"/>
      <c r="Q130" s="401"/>
      <c r="R130" s="401"/>
      <c r="S130" s="401"/>
      <c r="T130" s="401"/>
      <c r="U130" s="401"/>
      <c r="V130" s="401"/>
      <c r="W130" s="401"/>
      <c r="X130" s="401"/>
      <c r="Y130" s="401"/>
      <c r="Z130" s="401"/>
    </row>
    <row r="131">
      <c r="A131" s="401"/>
      <c r="B131" s="401"/>
      <c r="C131" s="401"/>
      <c r="D131" s="401"/>
      <c r="E131" s="401"/>
      <c r="F131" s="401"/>
      <c r="G131" s="401"/>
      <c r="H131" s="401"/>
      <c r="I131" s="401"/>
      <c r="J131" s="401"/>
      <c r="K131" s="401"/>
      <c r="L131" s="401"/>
      <c r="M131" s="401"/>
      <c r="N131" s="401"/>
      <c r="O131" s="401"/>
      <c r="P131" s="401"/>
      <c r="Q131" s="401"/>
      <c r="R131" s="401"/>
      <c r="S131" s="401"/>
      <c r="T131" s="401"/>
      <c r="U131" s="401"/>
      <c r="V131" s="401"/>
      <c r="W131" s="401"/>
      <c r="X131" s="401"/>
      <c r="Y131" s="401"/>
      <c r="Z131" s="401"/>
    </row>
    <row r="132">
      <c r="A132" s="401"/>
      <c r="B132" s="401"/>
      <c r="C132" s="401"/>
      <c r="D132" s="401"/>
      <c r="E132" s="401"/>
      <c r="F132" s="401"/>
      <c r="G132" s="401"/>
      <c r="H132" s="401"/>
      <c r="I132" s="401"/>
      <c r="J132" s="401"/>
      <c r="K132" s="401"/>
      <c r="L132" s="401"/>
      <c r="M132" s="401"/>
      <c r="N132" s="401"/>
      <c r="O132" s="401"/>
      <c r="P132" s="401"/>
      <c r="Q132" s="401"/>
      <c r="R132" s="401"/>
      <c r="S132" s="401"/>
      <c r="T132" s="401"/>
      <c r="U132" s="401"/>
      <c r="V132" s="401"/>
      <c r="W132" s="401"/>
      <c r="X132" s="401"/>
      <c r="Y132" s="401"/>
      <c r="Z132" s="401"/>
    </row>
    <row r="133">
      <c r="A133" s="401"/>
      <c r="B133" s="401"/>
      <c r="C133" s="401"/>
      <c r="D133" s="401"/>
      <c r="E133" s="401"/>
      <c r="F133" s="401"/>
      <c r="G133" s="401"/>
      <c r="H133" s="401"/>
      <c r="I133" s="401"/>
      <c r="J133" s="401"/>
      <c r="K133" s="401"/>
      <c r="L133" s="401"/>
      <c r="M133" s="401"/>
      <c r="N133" s="401"/>
      <c r="O133" s="401"/>
      <c r="P133" s="401"/>
      <c r="Q133" s="401"/>
      <c r="R133" s="401"/>
      <c r="S133" s="401"/>
      <c r="T133" s="401"/>
      <c r="U133" s="401"/>
      <c r="V133" s="401"/>
      <c r="W133" s="401"/>
      <c r="X133" s="401"/>
      <c r="Y133" s="401"/>
      <c r="Z133" s="401"/>
    </row>
    <row r="134">
      <c r="A134" s="401"/>
      <c r="B134" s="401"/>
      <c r="C134" s="401"/>
      <c r="D134" s="401"/>
      <c r="E134" s="401"/>
      <c r="F134" s="401"/>
      <c r="G134" s="401"/>
      <c r="H134" s="401"/>
      <c r="I134" s="401"/>
      <c r="J134" s="401"/>
      <c r="K134" s="401"/>
      <c r="L134" s="401"/>
      <c r="M134" s="401"/>
      <c r="N134" s="401"/>
      <c r="O134" s="401"/>
      <c r="P134" s="401"/>
      <c r="Q134" s="401"/>
      <c r="R134" s="401"/>
      <c r="S134" s="401"/>
      <c r="T134" s="401"/>
      <c r="U134" s="401"/>
      <c r="V134" s="401"/>
      <c r="W134" s="401"/>
      <c r="X134" s="401"/>
      <c r="Y134" s="401"/>
      <c r="Z134" s="401"/>
    </row>
    <row r="135">
      <c r="A135" s="401"/>
      <c r="B135" s="401"/>
      <c r="C135" s="401"/>
      <c r="D135" s="401"/>
      <c r="E135" s="401"/>
      <c r="F135" s="401"/>
      <c r="G135" s="401"/>
      <c r="H135" s="401"/>
      <c r="I135" s="401"/>
      <c r="J135" s="401"/>
      <c r="K135" s="401"/>
      <c r="L135" s="401"/>
      <c r="M135" s="401"/>
      <c r="N135" s="401"/>
      <c r="O135" s="401"/>
      <c r="P135" s="401"/>
      <c r="Q135" s="401"/>
      <c r="R135" s="401"/>
      <c r="S135" s="401"/>
      <c r="T135" s="401"/>
      <c r="U135" s="401"/>
      <c r="V135" s="401"/>
      <c r="W135" s="401"/>
      <c r="X135" s="401"/>
      <c r="Y135" s="401"/>
      <c r="Z135" s="401"/>
    </row>
    <row r="136">
      <c r="A136" s="401"/>
      <c r="B136" s="401"/>
      <c r="C136" s="401"/>
      <c r="D136" s="401"/>
      <c r="E136" s="401"/>
      <c r="F136" s="401"/>
      <c r="G136" s="401"/>
      <c r="H136" s="401"/>
      <c r="I136" s="401"/>
      <c r="J136" s="401"/>
      <c r="K136" s="401"/>
      <c r="L136" s="401"/>
      <c r="M136" s="401"/>
      <c r="N136" s="401"/>
      <c r="O136" s="401"/>
      <c r="P136" s="401"/>
      <c r="Q136" s="401"/>
      <c r="R136" s="401"/>
      <c r="S136" s="401"/>
      <c r="T136" s="401"/>
      <c r="U136" s="401"/>
      <c r="V136" s="401"/>
      <c r="W136" s="401"/>
      <c r="X136" s="401"/>
      <c r="Y136" s="401"/>
      <c r="Z136" s="401"/>
    </row>
    <row r="137">
      <c r="A137" s="401"/>
      <c r="B137" s="401"/>
      <c r="C137" s="401"/>
      <c r="D137" s="401"/>
      <c r="E137" s="401"/>
      <c r="F137" s="401"/>
      <c r="G137" s="401"/>
      <c r="H137" s="401"/>
      <c r="I137" s="401"/>
      <c r="J137" s="401"/>
      <c r="K137" s="401"/>
      <c r="L137" s="401"/>
      <c r="M137" s="401"/>
      <c r="N137" s="401"/>
      <c r="O137" s="401"/>
      <c r="P137" s="401"/>
      <c r="Q137" s="401"/>
      <c r="R137" s="401"/>
      <c r="S137" s="401"/>
      <c r="T137" s="401"/>
      <c r="U137" s="401"/>
      <c r="V137" s="401"/>
      <c r="W137" s="401"/>
      <c r="X137" s="401"/>
      <c r="Y137" s="401"/>
      <c r="Z137" s="401"/>
    </row>
    <row r="138">
      <c r="A138" s="401"/>
      <c r="B138" s="401"/>
      <c r="C138" s="401"/>
      <c r="D138" s="401"/>
      <c r="E138" s="401"/>
      <c r="F138" s="401"/>
      <c r="G138" s="401"/>
      <c r="H138" s="401"/>
      <c r="I138" s="401"/>
      <c r="J138" s="401"/>
      <c r="K138" s="401"/>
      <c r="L138" s="401"/>
      <c r="M138" s="401"/>
      <c r="N138" s="401"/>
      <c r="O138" s="401"/>
      <c r="P138" s="401"/>
      <c r="Q138" s="401"/>
      <c r="R138" s="401"/>
      <c r="S138" s="401"/>
      <c r="T138" s="401"/>
      <c r="U138" s="401"/>
      <c r="V138" s="401"/>
      <c r="W138" s="401"/>
      <c r="X138" s="401"/>
      <c r="Y138" s="401"/>
      <c r="Z138" s="401"/>
    </row>
    <row r="139">
      <c r="A139" s="401"/>
      <c r="B139" s="401"/>
      <c r="C139" s="401"/>
      <c r="D139" s="401"/>
      <c r="E139" s="401"/>
      <c r="F139" s="401"/>
      <c r="G139" s="401"/>
      <c r="H139" s="401"/>
      <c r="I139" s="401"/>
      <c r="J139" s="401"/>
      <c r="K139" s="401"/>
      <c r="L139" s="401"/>
      <c r="M139" s="401"/>
      <c r="N139" s="401"/>
      <c r="O139" s="401"/>
      <c r="P139" s="401"/>
      <c r="Q139" s="401"/>
      <c r="R139" s="401"/>
      <c r="S139" s="401"/>
      <c r="T139" s="401"/>
      <c r="U139" s="401"/>
      <c r="V139" s="401"/>
      <c r="W139" s="401"/>
      <c r="X139" s="401"/>
      <c r="Y139" s="401"/>
      <c r="Z139" s="401"/>
    </row>
    <row r="140">
      <c r="A140" s="401"/>
      <c r="B140" s="401"/>
      <c r="C140" s="401"/>
      <c r="D140" s="401"/>
      <c r="E140" s="401"/>
      <c r="F140" s="401"/>
      <c r="G140" s="401"/>
      <c r="H140" s="401"/>
      <c r="I140" s="401"/>
      <c r="J140" s="401"/>
      <c r="K140" s="401"/>
      <c r="L140" s="401"/>
      <c r="M140" s="401"/>
      <c r="N140" s="401"/>
      <c r="O140" s="401"/>
      <c r="P140" s="401"/>
      <c r="Q140" s="401"/>
      <c r="R140" s="401"/>
      <c r="S140" s="401"/>
      <c r="T140" s="401"/>
      <c r="U140" s="401"/>
      <c r="V140" s="401"/>
      <c r="W140" s="401"/>
      <c r="X140" s="401"/>
      <c r="Y140" s="401"/>
      <c r="Z140" s="401"/>
    </row>
    <row r="141">
      <c r="A141" s="401"/>
      <c r="B141" s="401"/>
      <c r="C141" s="401"/>
      <c r="D141" s="401"/>
      <c r="E141" s="401"/>
      <c r="F141" s="401"/>
      <c r="G141" s="401"/>
      <c r="H141" s="401"/>
      <c r="I141" s="401"/>
      <c r="J141" s="401"/>
      <c r="K141" s="401"/>
      <c r="L141" s="401"/>
      <c r="M141" s="401"/>
      <c r="N141" s="401"/>
      <c r="O141" s="401"/>
      <c r="P141" s="401"/>
      <c r="Q141" s="401"/>
      <c r="R141" s="401"/>
      <c r="S141" s="401"/>
      <c r="T141" s="401"/>
      <c r="U141" s="401"/>
      <c r="V141" s="401"/>
      <c r="W141" s="401"/>
      <c r="X141" s="401"/>
      <c r="Y141" s="401"/>
      <c r="Z141" s="401"/>
    </row>
    <row r="142">
      <c r="A142" s="401"/>
      <c r="B142" s="401"/>
      <c r="C142" s="401"/>
      <c r="D142" s="401"/>
      <c r="E142" s="401"/>
      <c r="F142" s="401"/>
      <c r="G142" s="401"/>
      <c r="H142" s="401"/>
      <c r="I142" s="401"/>
      <c r="J142" s="401"/>
      <c r="K142" s="401"/>
      <c r="L142" s="401"/>
      <c r="M142" s="401"/>
      <c r="N142" s="401"/>
      <c r="O142" s="401"/>
      <c r="P142" s="401"/>
      <c r="Q142" s="401"/>
      <c r="R142" s="401"/>
      <c r="S142" s="401"/>
      <c r="T142" s="401"/>
      <c r="U142" s="401"/>
      <c r="V142" s="401"/>
      <c r="W142" s="401"/>
      <c r="X142" s="401"/>
      <c r="Y142" s="401"/>
      <c r="Z142" s="401"/>
    </row>
    <row r="143">
      <c r="A143" s="401"/>
      <c r="B143" s="401"/>
      <c r="C143" s="401"/>
      <c r="D143" s="401"/>
      <c r="E143" s="401"/>
      <c r="F143" s="401"/>
      <c r="G143" s="401"/>
      <c r="H143" s="401"/>
      <c r="I143" s="401"/>
      <c r="J143" s="401"/>
      <c r="K143" s="401"/>
      <c r="L143" s="401"/>
      <c r="M143" s="401"/>
      <c r="N143" s="401"/>
      <c r="O143" s="401"/>
      <c r="P143" s="401"/>
      <c r="Q143" s="401"/>
      <c r="R143" s="401"/>
      <c r="S143" s="401"/>
      <c r="T143" s="401"/>
      <c r="U143" s="401"/>
      <c r="V143" s="401"/>
      <c r="W143" s="401"/>
      <c r="X143" s="401"/>
      <c r="Y143" s="401"/>
      <c r="Z143" s="401"/>
    </row>
    <row r="144">
      <c r="A144" s="401"/>
      <c r="B144" s="401"/>
      <c r="C144" s="401"/>
      <c r="D144" s="401"/>
      <c r="E144" s="401"/>
      <c r="F144" s="401"/>
      <c r="G144" s="401"/>
      <c r="H144" s="401"/>
      <c r="I144" s="401"/>
      <c r="J144" s="401"/>
      <c r="K144" s="401"/>
      <c r="L144" s="401"/>
      <c r="M144" s="401"/>
      <c r="N144" s="401"/>
      <c r="O144" s="401"/>
      <c r="P144" s="401"/>
      <c r="Q144" s="401"/>
      <c r="R144" s="401"/>
      <c r="S144" s="401"/>
      <c r="T144" s="401"/>
      <c r="U144" s="401"/>
      <c r="V144" s="401"/>
      <c r="W144" s="401"/>
      <c r="X144" s="401"/>
      <c r="Y144" s="401"/>
      <c r="Z144" s="401"/>
    </row>
    <row r="145">
      <c r="A145" s="401"/>
      <c r="B145" s="401"/>
      <c r="C145" s="401"/>
      <c r="D145" s="401"/>
      <c r="E145" s="401"/>
      <c r="F145" s="401"/>
      <c r="G145" s="401"/>
      <c r="H145" s="401"/>
      <c r="I145" s="401"/>
      <c r="J145" s="401"/>
      <c r="K145" s="401"/>
      <c r="L145" s="401"/>
      <c r="M145" s="401"/>
      <c r="N145" s="401"/>
      <c r="O145" s="401"/>
      <c r="P145" s="401"/>
      <c r="Q145" s="401"/>
      <c r="R145" s="401"/>
      <c r="S145" s="401"/>
      <c r="T145" s="401"/>
      <c r="U145" s="401"/>
      <c r="V145" s="401"/>
      <c r="W145" s="401"/>
      <c r="X145" s="401"/>
      <c r="Y145" s="401"/>
      <c r="Z145" s="401"/>
    </row>
    <row r="146">
      <c r="A146" s="401"/>
      <c r="B146" s="401"/>
      <c r="C146" s="401"/>
      <c r="D146" s="401"/>
      <c r="E146" s="401"/>
      <c r="F146" s="401"/>
      <c r="G146" s="401"/>
      <c r="H146" s="401"/>
      <c r="I146" s="401"/>
      <c r="J146" s="401"/>
      <c r="K146" s="401"/>
      <c r="L146" s="401"/>
      <c r="M146" s="401"/>
      <c r="N146" s="401"/>
      <c r="O146" s="401"/>
      <c r="P146" s="401"/>
      <c r="Q146" s="401"/>
      <c r="R146" s="401"/>
      <c r="S146" s="401"/>
      <c r="T146" s="401"/>
      <c r="U146" s="401"/>
      <c r="V146" s="401"/>
      <c r="W146" s="401"/>
      <c r="X146" s="401"/>
      <c r="Y146" s="401"/>
      <c r="Z146" s="401"/>
    </row>
    <row r="147">
      <c r="A147" s="401"/>
      <c r="B147" s="401"/>
      <c r="C147" s="401"/>
      <c r="D147" s="401"/>
      <c r="E147" s="401"/>
      <c r="F147" s="401"/>
      <c r="G147" s="401"/>
      <c r="H147" s="401"/>
      <c r="I147" s="401"/>
      <c r="J147" s="401"/>
      <c r="K147" s="401"/>
      <c r="L147" s="401"/>
      <c r="M147" s="401"/>
      <c r="N147" s="401"/>
      <c r="O147" s="401"/>
      <c r="P147" s="401"/>
      <c r="Q147" s="401"/>
      <c r="R147" s="401"/>
      <c r="S147" s="401"/>
      <c r="T147" s="401"/>
      <c r="U147" s="401"/>
      <c r="V147" s="401"/>
      <c r="W147" s="401"/>
      <c r="X147" s="401"/>
      <c r="Y147" s="401"/>
      <c r="Z147" s="401"/>
    </row>
    <row r="148">
      <c r="A148" s="401"/>
      <c r="B148" s="401"/>
      <c r="C148" s="401"/>
      <c r="D148" s="401"/>
      <c r="E148" s="401"/>
      <c r="F148" s="401"/>
      <c r="G148" s="401"/>
      <c r="H148" s="401"/>
      <c r="I148" s="401"/>
      <c r="J148" s="401"/>
      <c r="K148" s="401"/>
      <c r="L148" s="401"/>
      <c r="M148" s="401"/>
      <c r="N148" s="401"/>
      <c r="O148" s="401"/>
      <c r="P148" s="401"/>
      <c r="Q148" s="401"/>
      <c r="R148" s="401"/>
      <c r="S148" s="401"/>
      <c r="T148" s="401"/>
      <c r="U148" s="401"/>
      <c r="V148" s="401"/>
      <c r="W148" s="401"/>
      <c r="X148" s="401"/>
      <c r="Y148" s="401"/>
      <c r="Z148" s="401"/>
    </row>
    <row r="149">
      <c r="A149" s="401"/>
      <c r="B149" s="401"/>
      <c r="C149" s="401"/>
      <c r="D149" s="401"/>
      <c r="E149" s="401"/>
      <c r="F149" s="401"/>
      <c r="G149" s="401"/>
      <c r="H149" s="401"/>
      <c r="I149" s="401"/>
      <c r="J149" s="401"/>
      <c r="K149" s="401"/>
      <c r="L149" s="401"/>
      <c r="M149" s="401"/>
      <c r="N149" s="401"/>
      <c r="O149" s="401"/>
      <c r="P149" s="401"/>
      <c r="Q149" s="401"/>
      <c r="R149" s="401"/>
      <c r="S149" s="401"/>
      <c r="T149" s="401"/>
      <c r="U149" s="401"/>
      <c r="V149" s="401"/>
      <c r="W149" s="401"/>
      <c r="X149" s="401"/>
      <c r="Y149" s="401"/>
      <c r="Z149" s="401"/>
    </row>
    <row r="150">
      <c r="A150" s="401"/>
      <c r="B150" s="401"/>
      <c r="C150" s="401"/>
      <c r="D150" s="401"/>
      <c r="E150" s="401"/>
      <c r="F150" s="401"/>
      <c r="G150" s="401"/>
      <c r="H150" s="401"/>
      <c r="I150" s="401"/>
      <c r="J150" s="401"/>
      <c r="K150" s="401"/>
      <c r="L150" s="401"/>
      <c r="M150" s="401"/>
      <c r="N150" s="401"/>
      <c r="O150" s="401"/>
      <c r="P150" s="401"/>
      <c r="Q150" s="401"/>
      <c r="R150" s="401"/>
      <c r="S150" s="401"/>
      <c r="T150" s="401"/>
      <c r="U150" s="401"/>
      <c r="V150" s="401"/>
      <c r="W150" s="401"/>
      <c r="X150" s="401"/>
      <c r="Y150" s="401"/>
      <c r="Z150" s="401"/>
    </row>
    <row r="151">
      <c r="A151" s="401"/>
      <c r="B151" s="401"/>
      <c r="C151" s="401"/>
      <c r="D151" s="401"/>
      <c r="E151" s="401"/>
      <c r="F151" s="401"/>
      <c r="G151" s="401"/>
      <c r="H151" s="401"/>
      <c r="I151" s="401"/>
      <c r="J151" s="401"/>
      <c r="K151" s="401"/>
      <c r="L151" s="401"/>
      <c r="M151" s="401"/>
      <c r="N151" s="401"/>
      <c r="O151" s="401"/>
      <c r="P151" s="401"/>
      <c r="Q151" s="401"/>
      <c r="R151" s="401"/>
      <c r="S151" s="401"/>
      <c r="T151" s="401"/>
      <c r="U151" s="401"/>
      <c r="V151" s="401"/>
      <c r="W151" s="401"/>
      <c r="X151" s="401"/>
      <c r="Y151" s="401"/>
      <c r="Z151" s="401"/>
    </row>
    <row r="152">
      <c r="A152" s="401"/>
      <c r="B152" s="401"/>
      <c r="C152" s="401"/>
      <c r="D152" s="401"/>
      <c r="E152" s="401"/>
      <c r="F152" s="401"/>
      <c r="G152" s="401"/>
      <c r="H152" s="401"/>
      <c r="I152" s="401"/>
      <c r="J152" s="401"/>
      <c r="K152" s="401"/>
      <c r="L152" s="401"/>
      <c r="M152" s="401"/>
      <c r="N152" s="401"/>
      <c r="O152" s="401"/>
      <c r="P152" s="401"/>
      <c r="Q152" s="401"/>
      <c r="R152" s="401"/>
      <c r="S152" s="401"/>
      <c r="T152" s="401"/>
      <c r="U152" s="401"/>
      <c r="V152" s="401"/>
      <c r="W152" s="401"/>
      <c r="X152" s="401"/>
      <c r="Y152" s="401"/>
      <c r="Z152" s="401"/>
    </row>
    <row r="153">
      <c r="A153" s="401"/>
      <c r="B153" s="401"/>
      <c r="C153" s="401"/>
      <c r="D153" s="401"/>
      <c r="E153" s="401"/>
      <c r="F153" s="401"/>
      <c r="G153" s="401"/>
      <c r="H153" s="401"/>
      <c r="I153" s="401"/>
      <c r="J153" s="401"/>
      <c r="K153" s="401"/>
      <c r="L153" s="401"/>
      <c r="M153" s="401"/>
      <c r="N153" s="401"/>
      <c r="O153" s="401"/>
      <c r="P153" s="401"/>
      <c r="Q153" s="401"/>
      <c r="R153" s="401"/>
      <c r="S153" s="401"/>
      <c r="T153" s="401"/>
      <c r="U153" s="401"/>
      <c r="V153" s="401"/>
      <c r="W153" s="401"/>
      <c r="X153" s="401"/>
      <c r="Y153" s="401"/>
      <c r="Z153" s="401"/>
    </row>
    <row r="154">
      <c r="A154" s="401"/>
      <c r="B154" s="401"/>
      <c r="C154" s="401"/>
      <c r="D154" s="401"/>
      <c r="E154" s="401"/>
      <c r="F154" s="401"/>
      <c r="G154" s="401"/>
      <c r="H154" s="401"/>
      <c r="I154" s="401"/>
      <c r="J154" s="401"/>
      <c r="K154" s="401"/>
      <c r="L154" s="401"/>
      <c r="M154" s="401"/>
      <c r="N154" s="401"/>
      <c r="O154" s="401"/>
      <c r="P154" s="401"/>
      <c r="Q154" s="401"/>
      <c r="R154" s="401"/>
      <c r="S154" s="401"/>
      <c r="T154" s="401"/>
      <c r="U154" s="401"/>
      <c r="V154" s="401"/>
      <c r="W154" s="401"/>
      <c r="X154" s="401"/>
      <c r="Y154" s="401"/>
      <c r="Z154" s="401"/>
    </row>
    <row r="155">
      <c r="A155" s="401"/>
      <c r="B155" s="401"/>
      <c r="C155" s="401"/>
      <c r="D155" s="401"/>
      <c r="E155" s="401"/>
      <c r="F155" s="401"/>
      <c r="G155" s="401"/>
      <c r="H155" s="401"/>
      <c r="I155" s="401"/>
      <c r="J155" s="401"/>
      <c r="K155" s="401"/>
      <c r="L155" s="401"/>
      <c r="M155" s="401"/>
      <c r="N155" s="401"/>
      <c r="O155" s="401"/>
      <c r="P155" s="401"/>
      <c r="Q155" s="401"/>
      <c r="R155" s="401"/>
      <c r="S155" s="401"/>
      <c r="T155" s="401"/>
      <c r="U155" s="401"/>
      <c r="V155" s="401"/>
      <c r="W155" s="401"/>
      <c r="X155" s="401"/>
      <c r="Y155" s="401"/>
      <c r="Z155" s="401"/>
    </row>
    <row r="156">
      <c r="A156" s="401"/>
      <c r="B156" s="401"/>
      <c r="C156" s="401"/>
      <c r="D156" s="401"/>
      <c r="E156" s="401"/>
      <c r="F156" s="401"/>
      <c r="G156" s="401"/>
      <c r="H156" s="401"/>
      <c r="I156" s="401"/>
      <c r="J156" s="401"/>
      <c r="K156" s="401"/>
      <c r="L156" s="401"/>
      <c r="M156" s="401"/>
      <c r="N156" s="401"/>
      <c r="O156" s="401"/>
      <c r="P156" s="401"/>
      <c r="Q156" s="401"/>
      <c r="R156" s="401"/>
      <c r="S156" s="401"/>
      <c r="T156" s="401"/>
      <c r="U156" s="401"/>
      <c r="V156" s="401"/>
      <c r="W156" s="401"/>
      <c r="X156" s="401"/>
      <c r="Y156" s="401"/>
      <c r="Z156" s="401"/>
    </row>
    <row r="157">
      <c r="A157" s="401"/>
      <c r="B157" s="401"/>
      <c r="C157" s="401"/>
      <c r="D157" s="401"/>
      <c r="E157" s="401"/>
      <c r="F157" s="401"/>
      <c r="G157" s="401"/>
      <c r="H157" s="401"/>
      <c r="I157" s="401"/>
      <c r="J157" s="401"/>
      <c r="K157" s="401"/>
      <c r="L157" s="401"/>
      <c r="M157" s="401"/>
      <c r="N157" s="401"/>
      <c r="O157" s="401"/>
      <c r="P157" s="401"/>
      <c r="Q157" s="401"/>
      <c r="R157" s="401"/>
      <c r="S157" s="401"/>
      <c r="T157" s="401"/>
      <c r="U157" s="401"/>
      <c r="V157" s="401"/>
      <c r="W157" s="401"/>
      <c r="X157" s="401"/>
      <c r="Y157" s="401"/>
      <c r="Z157" s="401"/>
    </row>
    <row r="158">
      <c r="A158" s="401"/>
      <c r="B158" s="401"/>
      <c r="C158" s="401"/>
      <c r="D158" s="401"/>
      <c r="E158" s="401"/>
      <c r="F158" s="401"/>
      <c r="G158" s="401"/>
      <c r="H158" s="401"/>
      <c r="I158" s="401"/>
      <c r="J158" s="401"/>
      <c r="K158" s="401"/>
      <c r="L158" s="401"/>
      <c r="M158" s="401"/>
      <c r="N158" s="401"/>
      <c r="O158" s="401"/>
      <c r="P158" s="401"/>
      <c r="Q158" s="401"/>
      <c r="R158" s="401"/>
      <c r="S158" s="401"/>
      <c r="T158" s="401"/>
      <c r="U158" s="401"/>
      <c r="V158" s="401"/>
      <c r="W158" s="401"/>
      <c r="X158" s="401"/>
      <c r="Y158" s="401"/>
      <c r="Z158" s="401"/>
    </row>
    <row r="159">
      <c r="A159" s="401"/>
      <c r="B159" s="401"/>
      <c r="C159" s="401"/>
      <c r="D159" s="401"/>
      <c r="E159" s="401"/>
      <c r="F159" s="401"/>
      <c r="G159" s="401"/>
      <c r="H159" s="401"/>
      <c r="I159" s="401"/>
      <c r="J159" s="401"/>
      <c r="K159" s="401"/>
      <c r="L159" s="401"/>
      <c r="M159" s="401"/>
      <c r="N159" s="401"/>
      <c r="O159" s="401"/>
      <c r="P159" s="401"/>
      <c r="Q159" s="401"/>
      <c r="R159" s="401"/>
      <c r="S159" s="401"/>
      <c r="T159" s="401"/>
      <c r="U159" s="401"/>
      <c r="V159" s="401"/>
      <c r="W159" s="401"/>
      <c r="X159" s="401"/>
      <c r="Y159" s="401"/>
      <c r="Z159" s="401"/>
    </row>
    <row r="160">
      <c r="A160" s="401"/>
      <c r="B160" s="401"/>
      <c r="C160" s="401"/>
      <c r="D160" s="401"/>
      <c r="E160" s="401"/>
      <c r="F160" s="401"/>
      <c r="G160" s="401"/>
      <c r="H160" s="401"/>
      <c r="I160" s="401"/>
      <c r="J160" s="401"/>
      <c r="K160" s="401"/>
      <c r="L160" s="401"/>
      <c r="M160" s="401"/>
      <c r="N160" s="401"/>
      <c r="O160" s="401"/>
      <c r="P160" s="401"/>
      <c r="Q160" s="401"/>
      <c r="R160" s="401"/>
      <c r="S160" s="401"/>
      <c r="T160" s="401"/>
      <c r="U160" s="401"/>
      <c r="V160" s="401"/>
      <c r="W160" s="401"/>
      <c r="X160" s="401"/>
      <c r="Y160" s="401"/>
      <c r="Z160" s="401"/>
    </row>
    <row r="161">
      <c r="A161" s="401"/>
      <c r="B161" s="401"/>
      <c r="C161" s="401"/>
      <c r="D161" s="401"/>
      <c r="E161" s="401"/>
      <c r="F161" s="401"/>
      <c r="G161" s="401"/>
      <c r="H161" s="401"/>
      <c r="I161" s="401"/>
      <c r="J161" s="401"/>
      <c r="K161" s="401"/>
      <c r="L161" s="401"/>
      <c r="M161" s="401"/>
      <c r="N161" s="401"/>
      <c r="O161" s="401"/>
      <c r="P161" s="401"/>
      <c r="Q161" s="401"/>
      <c r="R161" s="401"/>
      <c r="S161" s="401"/>
      <c r="T161" s="401"/>
      <c r="U161" s="401"/>
      <c r="V161" s="401"/>
      <c r="W161" s="401"/>
      <c r="X161" s="401"/>
      <c r="Y161" s="401"/>
      <c r="Z161" s="401"/>
    </row>
    <row r="162">
      <c r="A162" s="401"/>
      <c r="B162" s="401"/>
      <c r="C162" s="401"/>
      <c r="D162" s="401"/>
      <c r="E162" s="401"/>
      <c r="F162" s="401"/>
      <c r="G162" s="401"/>
      <c r="H162" s="401"/>
      <c r="I162" s="401"/>
      <c r="J162" s="401"/>
      <c r="K162" s="401"/>
      <c r="L162" s="401"/>
      <c r="M162" s="401"/>
      <c r="N162" s="401"/>
      <c r="O162" s="401"/>
      <c r="P162" s="401"/>
      <c r="Q162" s="401"/>
      <c r="R162" s="401"/>
      <c r="S162" s="401"/>
      <c r="T162" s="401"/>
      <c r="U162" s="401"/>
      <c r="V162" s="401"/>
      <c r="W162" s="401"/>
      <c r="X162" s="401"/>
      <c r="Y162" s="401"/>
      <c r="Z162" s="401"/>
    </row>
    <row r="163">
      <c r="A163" s="401"/>
      <c r="B163" s="401"/>
      <c r="C163" s="401"/>
      <c r="D163" s="401"/>
      <c r="E163" s="401"/>
      <c r="F163" s="401"/>
      <c r="G163" s="401"/>
      <c r="H163" s="401"/>
      <c r="I163" s="401"/>
      <c r="J163" s="401"/>
      <c r="K163" s="401"/>
      <c r="L163" s="401"/>
      <c r="M163" s="401"/>
      <c r="N163" s="401"/>
      <c r="O163" s="401"/>
      <c r="P163" s="401"/>
      <c r="Q163" s="401"/>
      <c r="R163" s="401"/>
      <c r="S163" s="401"/>
      <c r="T163" s="401"/>
      <c r="U163" s="401"/>
      <c r="V163" s="401"/>
      <c r="W163" s="401"/>
      <c r="X163" s="401"/>
      <c r="Y163" s="401"/>
      <c r="Z163" s="401"/>
    </row>
    <row r="164">
      <c r="A164" s="401"/>
      <c r="B164" s="401"/>
      <c r="C164" s="401"/>
      <c r="D164" s="401"/>
      <c r="E164" s="401"/>
      <c r="F164" s="401"/>
      <c r="G164" s="401"/>
      <c r="H164" s="401"/>
      <c r="I164" s="401"/>
      <c r="J164" s="401"/>
      <c r="K164" s="401"/>
      <c r="L164" s="401"/>
      <c r="M164" s="401"/>
      <c r="N164" s="401"/>
      <c r="O164" s="401"/>
      <c r="P164" s="401"/>
      <c r="Q164" s="401"/>
      <c r="R164" s="401"/>
      <c r="S164" s="401"/>
      <c r="T164" s="401"/>
      <c r="U164" s="401"/>
      <c r="V164" s="401"/>
      <c r="W164" s="401"/>
      <c r="X164" s="401"/>
      <c r="Y164" s="401"/>
      <c r="Z164" s="401"/>
    </row>
    <row r="165">
      <c r="A165" s="401"/>
      <c r="B165" s="401"/>
      <c r="C165" s="401"/>
      <c r="D165" s="401"/>
      <c r="E165" s="401"/>
      <c r="F165" s="401"/>
      <c r="G165" s="401"/>
      <c r="H165" s="401"/>
      <c r="I165" s="401"/>
      <c r="J165" s="401"/>
      <c r="K165" s="401"/>
      <c r="L165" s="401"/>
      <c r="M165" s="401"/>
      <c r="N165" s="401"/>
      <c r="O165" s="401"/>
      <c r="P165" s="401"/>
      <c r="Q165" s="401"/>
      <c r="R165" s="401"/>
      <c r="S165" s="401"/>
      <c r="T165" s="401"/>
      <c r="U165" s="401"/>
      <c r="V165" s="401"/>
      <c r="W165" s="401"/>
      <c r="X165" s="401"/>
      <c r="Y165" s="401"/>
      <c r="Z165" s="401"/>
    </row>
    <row r="166">
      <c r="A166" s="401"/>
      <c r="B166" s="401"/>
      <c r="C166" s="401"/>
      <c r="D166" s="401"/>
      <c r="E166" s="401"/>
      <c r="F166" s="401"/>
      <c r="G166" s="401"/>
      <c r="H166" s="401"/>
      <c r="I166" s="401"/>
      <c r="J166" s="401"/>
      <c r="K166" s="401"/>
      <c r="L166" s="401"/>
      <c r="M166" s="401"/>
      <c r="N166" s="401"/>
      <c r="O166" s="401"/>
      <c r="P166" s="401"/>
      <c r="Q166" s="401"/>
      <c r="R166" s="401"/>
      <c r="S166" s="401"/>
      <c r="T166" s="401"/>
      <c r="U166" s="401"/>
      <c r="V166" s="401"/>
      <c r="W166" s="401"/>
      <c r="X166" s="401"/>
      <c r="Y166" s="401"/>
      <c r="Z166" s="401"/>
    </row>
    <row r="167">
      <c r="A167" s="401"/>
      <c r="B167" s="401"/>
      <c r="C167" s="401"/>
      <c r="D167" s="401"/>
      <c r="E167" s="401"/>
      <c r="F167" s="401"/>
      <c r="G167" s="401"/>
      <c r="H167" s="401"/>
      <c r="I167" s="401"/>
      <c r="J167" s="401"/>
      <c r="K167" s="401"/>
      <c r="L167" s="401"/>
      <c r="M167" s="401"/>
      <c r="N167" s="401"/>
      <c r="O167" s="401"/>
      <c r="P167" s="401"/>
      <c r="Q167" s="401"/>
      <c r="R167" s="401"/>
      <c r="S167" s="401"/>
      <c r="T167" s="401"/>
      <c r="U167" s="401"/>
      <c r="V167" s="401"/>
      <c r="W167" s="401"/>
      <c r="X167" s="401"/>
      <c r="Y167" s="401"/>
      <c r="Z167" s="401"/>
    </row>
    <row r="168">
      <c r="A168" s="401"/>
      <c r="B168" s="401"/>
      <c r="C168" s="401"/>
      <c r="D168" s="401"/>
      <c r="E168" s="401"/>
      <c r="F168" s="401"/>
      <c r="G168" s="401"/>
      <c r="H168" s="401"/>
      <c r="I168" s="401"/>
      <c r="J168" s="401"/>
      <c r="K168" s="401"/>
      <c r="L168" s="401"/>
      <c r="M168" s="401"/>
      <c r="N168" s="401"/>
      <c r="O168" s="401"/>
      <c r="P168" s="401"/>
      <c r="Q168" s="401"/>
      <c r="R168" s="401"/>
      <c r="S168" s="401"/>
      <c r="T168" s="401"/>
      <c r="U168" s="401"/>
      <c r="V168" s="401"/>
      <c r="W168" s="401"/>
      <c r="X168" s="401"/>
      <c r="Y168" s="401"/>
      <c r="Z168" s="401"/>
    </row>
    <row r="169">
      <c r="A169" s="401"/>
      <c r="B169" s="401"/>
      <c r="C169" s="401"/>
      <c r="D169" s="401"/>
      <c r="E169" s="401"/>
      <c r="F169" s="401"/>
      <c r="G169" s="401"/>
      <c r="H169" s="401"/>
      <c r="I169" s="401"/>
      <c r="J169" s="401"/>
      <c r="K169" s="401"/>
      <c r="L169" s="401"/>
      <c r="M169" s="401"/>
      <c r="N169" s="401"/>
      <c r="O169" s="401"/>
      <c r="P169" s="401"/>
      <c r="Q169" s="401"/>
      <c r="R169" s="401"/>
      <c r="S169" s="401"/>
      <c r="T169" s="401"/>
      <c r="U169" s="401"/>
      <c r="V169" s="401"/>
      <c r="W169" s="401"/>
      <c r="X169" s="401"/>
      <c r="Y169" s="401"/>
      <c r="Z169" s="401"/>
    </row>
    <row r="170">
      <c r="A170" s="401"/>
      <c r="B170" s="401"/>
      <c r="C170" s="401"/>
      <c r="D170" s="401"/>
      <c r="E170" s="401"/>
      <c r="F170" s="401"/>
      <c r="G170" s="401"/>
      <c r="H170" s="401"/>
      <c r="I170" s="401"/>
      <c r="J170" s="401"/>
      <c r="K170" s="401"/>
      <c r="L170" s="401"/>
      <c r="M170" s="401"/>
      <c r="N170" s="401"/>
      <c r="O170" s="401"/>
      <c r="P170" s="401"/>
      <c r="Q170" s="401"/>
      <c r="R170" s="401"/>
      <c r="S170" s="401"/>
      <c r="T170" s="401"/>
      <c r="U170" s="401"/>
      <c r="V170" s="401"/>
      <c r="W170" s="401"/>
      <c r="X170" s="401"/>
      <c r="Y170" s="401"/>
      <c r="Z170" s="401"/>
    </row>
    <row r="171">
      <c r="A171" s="401"/>
      <c r="B171" s="401"/>
      <c r="C171" s="401"/>
      <c r="D171" s="401"/>
      <c r="E171" s="401"/>
      <c r="F171" s="401"/>
      <c r="G171" s="401"/>
      <c r="H171" s="401"/>
      <c r="I171" s="401"/>
      <c r="J171" s="401"/>
      <c r="K171" s="401"/>
      <c r="L171" s="401"/>
      <c r="M171" s="401"/>
      <c r="N171" s="401"/>
      <c r="O171" s="401"/>
      <c r="P171" s="401"/>
      <c r="Q171" s="401"/>
      <c r="R171" s="401"/>
      <c r="S171" s="401"/>
      <c r="T171" s="401"/>
      <c r="U171" s="401"/>
      <c r="V171" s="401"/>
      <c r="W171" s="401"/>
      <c r="X171" s="401"/>
      <c r="Y171" s="401"/>
      <c r="Z171" s="401"/>
    </row>
    <row r="172">
      <c r="A172" s="401"/>
      <c r="B172" s="401"/>
      <c r="C172" s="401"/>
      <c r="D172" s="401"/>
      <c r="E172" s="401"/>
      <c r="F172" s="401"/>
      <c r="G172" s="401"/>
      <c r="H172" s="401"/>
      <c r="I172" s="401"/>
      <c r="J172" s="401"/>
      <c r="K172" s="401"/>
      <c r="L172" s="401"/>
      <c r="M172" s="401"/>
      <c r="N172" s="401"/>
      <c r="O172" s="401"/>
      <c r="P172" s="401"/>
      <c r="Q172" s="401"/>
      <c r="R172" s="401"/>
      <c r="S172" s="401"/>
      <c r="T172" s="401"/>
      <c r="U172" s="401"/>
      <c r="V172" s="401"/>
      <c r="W172" s="401"/>
      <c r="X172" s="401"/>
      <c r="Y172" s="401"/>
      <c r="Z172" s="401"/>
    </row>
    <row r="173">
      <c r="A173" s="401"/>
      <c r="B173" s="401"/>
      <c r="C173" s="401"/>
      <c r="D173" s="401"/>
      <c r="E173" s="401"/>
      <c r="F173" s="401"/>
      <c r="G173" s="401"/>
      <c r="H173" s="401"/>
      <c r="I173" s="401"/>
      <c r="J173" s="401"/>
      <c r="K173" s="401"/>
      <c r="L173" s="401"/>
      <c r="M173" s="401"/>
      <c r="N173" s="401"/>
      <c r="O173" s="401"/>
      <c r="P173" s="401"/>
      <c r="Q173" s="401"/>
      <c r="R173" s="401"/>
      <c r="S173" s="401"/>
      <c r="T173" s="401"/>
      <c r="U173" s="401"/>
      <c r="V173" s="401"/>
      <c r="W173" s="401"/>
      <c r="X173" s="401"/>
      <c r="Y173" s="401"/>
      <c r="Z173" s="401"/>
    </row>
    <row r="174">
      <c r="A174" s="401"/>
      <c r="B174" s="401"/>
      <c r="C174" s="401"/>
      <c r="D174" s="401"/>
      <c r="E174" s="401"/>
      <c r="F174" s="401"/>
      <c r="G174" s="401"/>
      <c r="H174" s="401"/>
      <c r="I174" s="401"/>
      <c r="J174" s="401"/>
      <c r="K174" s="401"/>
      <c r="L174" s="401"/>
      <c r="M174" s="401"/>
      <c r="N174" s="401"/>
      <c r="O174" s="401"/>
      <c r="P174" s="401"/>
      <c r="Q174" s="401"/>
      <c r="R174" s="401"/>
      <c r="S174" s="401"/>
      <c r="T174" s="401"/>
      <c r="U174" s="401"/>
      <c r="V174" s="401"/>
      <c r="W174" s="401"/>
      <c r="X174" s="401"/>
      <c r="Y174" s="401"/>
      <c r="Z174" s="401"/>
    </row>
    <row r="175">
      <c r="A175" s="401"/>
      <c r="B175" s="401"/>
      <c r="C175" s="401"/>
      <c r="D175" s="401"/>
      <c r="E175" s="401"/>
      <c r="F175" s="401"/>
      <c r="G175" s="401"/>
      <c r="H175" s="401"/>
      <c r="I175" s="401"/>
      <c r="J175" s="401"/>
      <c r="K175" s="401"/>
      <c r="L175" s="401"/>
      <c r="M175" s="401"/>
      <c r="N175" s="401"/>
      <c r="O175" s="401"/>
      <c r="P175" s="401"/>
      <c r="Q175" s="401"/>
      <c r="R175" s="401"/>
      <c r="S175" s="401"/>
      <c r="T175" s="401"/>
      <c r="U175" s="401"/>
      <c r="V175" s="401"/>
      <c r="W175" s="401"/>
      <c r="X175" s="401"/>
      <c r="Y175" s="401"/>
      <c r="Z175" s="401"/>
    </row>
    <row r="176">
      <c r="A176" s="401"/>
      <c r="B176" s="401"/>
      <c r="C176" s="401"/>
      <c r="D176" s="401"/>
      <c r="E176" s="401"/>
      <c r="F176" s="401"/>
      <c r="G176" s="401"/>
      <c r="H176" s="401"/>
      <c r="I176" s="401"/>
      <c r="J176" s="401"/>
      <c r="K176" s="401"/>
      <c r="L176" s="401"/>
      <c r="M176" s="401"/>
      <c r="N176" s="401"/>
      <c r="O176" s="401"/>
      <c r="P176" s="401"/>
      <c r="Q176" s="401"/>
      <c r="R176" s="401"/>
      <c r="S176" s="401"/>
      <c r="T176" s="401"/>
      <c r="U176" s="401"/>
      <c r="V176" s="401"/>
      <c r="W176" s="401"/>
      <c r="X176" s="401"/>
      <c r="Y176" s="401"/>
      <c r="Z176" s="401"/>
    </row>
    <row r="177">
      <c r="A177" s="401"/>
      <c r="B177" s="401"/>
      <c r="C177" s="401"/>
      <c r="D177" s="401"/>
      <c r="E177" s="401"/>
      <c r="F177" s="401"/>
      <c r="G177" s="401"/>
      <c r="H177" s="401"/>
      <c r="I177" s="401"/>
      <c r="J177" s="401"/>
      <c r="K177" s="401"/>
      <c r="L177" s="401"/>
      <c r="M177" s="401"/>
      <c r="N177" s="401"/>
      <c r="O177" s="401"/>
      <c r="P177" s="401"/>
      <c r="Q177" s="401"/>
      <c r="R177" s="401"/>
      <c r="S177" s="401"/>
      <c r="T177" s="401"/>
      <c r="U177" s="401"/>
      <c r="V177" s="401"/>
      <c r="W177" s="401"/>
      <c r="X177" s="401"/>
      <c r="Y177" s="401"/>
      <c r="Z177" s="401"/>
    </row>
    <row r="178">
      <c r="A178" s="401"/>
      <c r="B178" s="401"/>
      <c r="C178" s="401"/>
      <c r="D178" s="401"/>
      <c r="E178" s="401"/>
      <c r="F178" s="401"/>
      <c r="G178" s="401"/>
      <c r="H178" s="401"/>
      <c r="I178" s="401"/>
      <c r="J178" s="401"/>
      <c r="K178" s="401"/>
      <c r="L178" s="401"/>
      <c r="M178" s="401"/>
      <c r="N178" s="401"/>
      <c r="O178" s="401"/>
      <c r="P178" s="401"/>
      <c r="Q178" s="401"/>
      <c r="R178" s="401"/>
      <c r="S178" s="401"/>
      <c r="T178" s="401"/>
      <c r="U178" s="401"/>
      <c r="V178" s="401"/>
      <c r="W178" s="401"/>
      <c r="X178" s="401"/>
      <c r="Y178" s="401"/>
      <c r="Z178" s="401"/>
    </row>
    <row r="179">
      <c r="A179" s="401"/>
      <c r="B179" s="401"/>
      <c r="C179" s="401"/>
      <c r="D179" s="401"/>
      <c r="E179" s="401"/>
      <c r="F179" s="401"/>
      <c r="G179" s="401"/>
      <c r="H179" s="401"/>
      <c r="I179" s="401"/>
      <c r="J179" s="401"/>
      <c r="K179" s="401"/>
      <c r="L179" s="401"/>
      <c r="M179" s="401"/>
      <c r="N179" s="401"/>
      <c r="O179" s="401"/>
      <c r="P179" s="401"/>
      <c r="Q179" s="401"/>
      <c r="R179" s="401"/>
      <c r="S179" s="401"/>
      <c r="T179" s="401"/>
      <c r="U179" s="401"/>
      <c r="V179" s="401"/>
      <c r="W179" s="401"/>
      <c r="X179" s="401"/>
      <c r="Y179" s="401"/>
      <c r="Z179" s="401"/>
    </row>
    <row r="180">
      <c r="A180" s="401"/>
      <c r="B180" s="401"/>
      <c r="C180" s="401"/>
      <c r="D180" s="401"/>
      <c r="E180" s="401"/>
      <c r="F180" s="401"/>
      <c r="G180" s="401"/>
      <c r="H180" s="401"/>
      <c r="I180" s="401"/>
      <c r="J180" s="401"/>
      <c r="K180" s="401"/>
      <c r="L180" s="401"/>
      <c r="M180" s="401"/>
      <c r="N180" s="401"/>
      <c r="O180" s="401"/>
      <c r="P180" s="401"/>
      <c r="Q180" s="401"/>
      <c r="R180" s="401"/>
      <c r="S180" s="401"/>
      <c r="T180" s="401"/>
      <c r="U180" s="401"/>
      <c r="V180" s="401"/>
      <c r="W180" s="401"/>
      <c r="X180" s="401"/>
      <c r="Y180" s="401"/>
      <c r="Z180" s="401"/>
    </row>
    <row r="181">
      <c r="A181" s="401"/>
      <c r="B181" s="401"/>
      <c r="C181" s="401"/>
      <c r="D181" s="401"/>
      <c r="E181" s="401"/>
      <c r="F181" s="401"/>
      <c r="G181" s="401"/>
      <c r="H181" s="401"/>
      <c r="I181" s="401"/>
      <c r="J181" s="401"/>
      <c r="K181" s="401"/>
      <c r="L181" s="401"/>
      <c r="M181" s="401"/>
      <c r="N181" s="401"/>
      <c r="O181" s="401"/>
      <c r="P181" s="401"/>
      <c r="Q181" s="401"/>
      <c r="R181" s="401"/>
      <c r="S181" s="401"/>
      <c r="T181" s="401"/>
      <c r="U181" s="401"/>
      <c r="V181" s="401"/>
      <c r="W181" s="401"/>
      <c r="X181" s="401"/>
      <c r="Y181" s="401"/>
      <c r="Z181" s="401"/>
    </row>
    <row r="182">
      <c r="A182" s="401"/>
      <c r="B182" s="401"/>
      <c r="C182" s="401"/>
      <c r="D182" s="401"/>
      <c r="E182" s="401"/>
      <c r="F182" s="401"/>
      <c r="G182" s="401"/>
      <c r="H182" s="401"/>
      <c r="I182" s="401"/>
      <c r="J182" s="401"/>
      <c r="K182" s="401"/>
      <c r="L182" s="401"/>
      <c r="M182" s="401"/>
      <c r="N182" s="401"/>
      <c r="O182" s="401"/>
      <c r="P182" s="401"/>
      <c r="Q182" s="401"/>
      <c r="R182" s="401"/>
      <c r="S182" s="401"/>
      <c r="T182" s="401"/>
      <c r="U182" s="401"/>
      <c r="V182" s="401"/>
      <c r="W182" s="401"/>
      <c r="X182" s="401"/>
      <c r="Y182" s="401"/>
      <c r="Z182" s="401"/>
    </row>
    <row r="183">
      <c r="A183" s="401"/>
      <c r="B183" s="401"/>
      <c r="C183" s="401"/>
      <c r="D183" s="401"/>
      <c r="E183" s="401"/>
      <c r="F183" s="401"/>
      <c r="G183" s="401"/>
      <c r="H183" s="401"/>
      <c r="I183" s="401"/>
      <c r="J183" s="401"/>
      <c r="K183" s="401"/>
      <c r="L183" s="401"/>
      <c r="M183" s="401"/>
      <c r="N183" s="401"/>
      <c r="O183" s="401"/>
      <c r="P183" s="401"/>
      <c r="Q183" s="401"/>
      <c r="R183" s="401"/>
      <c r="S183" s="401"/>
      <c r="T183" s="401"/>
      <c r="U183" s="401"/>
      <c r="V183" s="401"/>
      <c r="W183" s="401"/>
      <c r="X183" s="401"/>
      <c r="Y183" s="401"/>
      <c r="Z183" s="401"/>
    </row>
    <row r="184">
      <c r="A184" s="401"/>
      <c r="B184" s="401"/>
      <c r="C184" s="401"/>
      <c r="D184" s="401"/>
      <c r="E184" s="401"/>
      <c r="F184" s="401"/>
      <c r="G184" s="401"/>
      <c r="H184" s="401"/>
      <c r="I184" s="401"/>
      <c r="J184" s="401"/>
      <c r="K184" s="401"/>
      <c r="L184" s="401"/>
      <c r="M184" s="401"/>
      <c r="N184" s="401"/>
      <c r="O184" s="401"/>
      <c r="P184" s="401"/>
      <c r="Q184" s="401"/>
      <c r="R184" s="401"/>
      <c r="S184" s="401"/>
      <c r="T184" s="401"/>
      <c r="U184" s="401"/>
      <c r="V184" s="401"/>
      <c r="W184" s="401"/>
      <c r="X184" s="401"/>
      <c r="Y184" s="401"/>
      <c r="Z184" s="401"/>
    </row>
    <row r="185">
      <c r="A185" s="401"/>
      <c r="B185" s="401"/>
      <c r="C185" s="401"/>
      <c r="D185" s="401"/>
      <c r="E185" s="401"/>
      <c r="F185" s="401"/>
      <c r="G185" s="401"/>
      <c r="H185" s="401"/>
      <c r="I185" s="401"/>
      <c r="J185" s="401"/>
      <c r="K185" s="401"/>
      <c r="L185" s="401"/>
      <c r="M185" s="401"/>
      <c r="N185" s="401"/>
      <c r="O185" s="401"/>
      <c r="P185" s="401"/>
      <c r="Q185" s="401"/>
      <c r="R185" s="401"/>
      <c r="S185" s="401"/>
      <c r="T185" s="401"/>
      <c r="U185" s="401"/>
      <c r="V185" s="401"/>
      <c r="W185" s="401"/>
      <c r="X185" s="401"/>
      <c r="Y185" s="401"/>
      <c r="Z185" s="401"/>
    </row>
    <row r="186">
      <c r="A186" s="401"/>
      <c r="B186" s="401"/>
      <c r="C186" s="401"/>
      <c r="D186" s="401"/>
      <c r="E186" s="401"/>
      <c r="F186" s="401"/>
      <c r="G186" s="401"/>
      <c r="H186" s="401"/>
      <c r="I186" s="401"/>
      <c r="J186" s="401"/>
      <c r="K186" s="401"/>
      <c r="L186" s="401"/>
      <c r="M186" s="401"/>
      <c r="N186" s="401"/>
      <c r="O186" s="401"/>
      <c r="P186" s="401"/>
      <c r="Q186" s="401"/>
      <c r="R186" s="401"/>
      <c r="S186" s="401"/>
      <c r="T186" s="401"/>
      <c r="U186" s="401"/>
      <c r="V186" s="401"/>
      <c r="W186" s="401"/>
      <c r="X186" s="401"/>
      <c r="Y186" s="401"/>
      <c r="Z186" s="401"/>
    </row>
    <row r="187">
      <c r="A187" s="401"/>
      <c r="B187" s="401"/>
      <c r="C187" s="401"/>
      <c r="D187" s="401"/>
      <c r="E187" s="401"/>
      <c r="F187" s="401"/>
      <c r="G187" s="401"/>
      <c r="H187" s="401"/>
      <c r="I187" s="401"/>
      <c r="J187" s="401"/>
      <c r="K187" s="401"/>
      <c r="L187" s="401"/>
      <c r="M187" s="401"/>
      <c r="N187" s="401"/>
      <c r="O187" s="401"/>
      <c r="P187" s="401"/>
      <c r="Q187" s="401"/>
      <c r="R187" s="401"/>
      <c r="S187" s="401"/>
      <c r="T187" s="401"/>
      <c r="U187" s="401"/>
      <c r="V187" s="401"/>
      <c r="W187" s="401"/>
      <c r="X187" s="401"/>
      <c r="Y187" s="401"/>
      <c r="Z187" s="401"/>
    </row>
    <row r="188">
      <c r="A188" s="401"/>
      <c r="B188" s="401"/>
      <c r="C188" s="401"/>
      <c r="D188" s="401"/>
      <c r="E188" s="401"/>
      <c r="F188" s="401"/>
      <c r="G188" s="401"/>
      <c r="H188" s="401"/>
      <c r="I188" s="401"/>
      <c r="J188" s="401"/>
      <c r="K188" s="401"/>
      <c r="L188" s="401"/>
      <c r="M188" s="401"/>
      <c r="N188" s="401"/>
      <c r="O188" s="401"/>
      <c r="P188" s="401"/>
      <c r="Q188" s="401"/>
      <c r="R188" s="401"/>
      <c r="S188" s="401"/>
      <c r="T188" s="401"/>
      <c r="U188" s="401"/>
      <c r="V188" s="401"/>
      <c r="W188" s="401"/>
      <c r="X188" s="401"/>
      <c r="Y188" s="401"/>
      <c r="Z188" s="401"/>
    </row>
    <row r="189">
      <c r="A189" s="401"/>
      <c r="B189" s="401"/>
      <c r="C189" s="401"/>
      <c r="D189" s="401"/>
      <c r="E189" s="401"/>
      <c r="F189" s="401"/>
      <c r="G189" s="401"/>
      <c r="H189" s="401"/>
      <c r="I189" s="401"/>
      <c r="J189" s="401"/>
      <c r="K189" s="401"/>
      <c r="L189" s="401"/>
      <c r="M189" s="401"/>
      <c r="N189" s="401"/>
      <c r="O189" s="401"/>
      <c r="P189" s="401"/>
      <c r="Q189" s="401"/>
      <c r="R189" s="401"/>
      <c r="S189" s="401"/>
      <c r="T189" s="401"/>
      <c r="U189" s="401"/>
      <c r="V189" s="401"/>
      <c r="W189" s="401"/>
      <c r="X189" s="401"/>
      <c r="Y189" s="401"/>
      <c r="Z189" s="401"/>
    </row>
    <row r="190">
      <c r="A190" s="401"/>
      <c r="B190" s="401"/>
      <c r="C190" s="401"/>
      <c r="D190" s="401"/>
      <c r="E190" s="401"/>
      <c r="F190" s="401"/>
      <c r="G190" s="401"/>
      <c r="H190" s="401"/>
      <c r="I190" s="401"/>
      <c r="J190" s="401"/>
      <c r="K190" s="401"/>
      <c r="L190" s="401"/>
      <c r="M190" s="401"/>
      <c r="N190" s="401"/>
      <c r="O190" s="401"/>
      <c r="P190" s="401"/>
      <c r="Q190" s="401"/>
      <c r="R190" s="401"/>
      <c r="S190" s="401"/>
      <c r="T190" s="401"/>
      <c r="U190" s="401"/>
      <c r="V190" s="401"/>
      <c r="W190" s="401"/>
      <c r="X190" s="401"/>
      <c r="Y190" s="401"/>
      <c r="Z190" s="401"/>
    </row>
    <row r="191">
      <c r="A191" s="401"/>
      <c r="B191" s="401"/>
      <c r="C191" s="401"/>
      <c r="D191" s="401"/>
      <c r="E191" s="401"/>
      <c r="F191" s="401"/>
      <c r="G191" s="401"/>
      <c r="H191" s="401"/>
      <c r="I191" s="401"/>
      <c r="J191" s="401"/>
      <c r="K191" s="401"/>
      <c r="L191" s="401"/>
      <c r="M191" s="401"/>
      <c r="N191" s="401"/>
      <c r="O191" s="401"/>
      <c r="P191" s="401"/>
      <c r="Q191" s="401"/>
      <c r="R191" s="401"/>
      <c r="S191" s="401"/>
      <c r="T191" s="401"/>
      <c r="U191" s="401"/>
      <c r="V191" s="401"/>
      <c r="W191" s="401"/>
      <c r="X191" s="401"/>
      <c r="Y191" s="401"/>
      <c r="Z191" s="401"/>
    </row>
    <row r="192">
      <c r="A192" s="401"/>
      <c r="B192" s="401"/>
      <c r="C192" s="401"/>
      <c r="D192" s="401"/>
      <c r="E192" s="401"/>
      <c r="F192" s="401"/>
      <c r="G192" s="401"/>
      <c r="H192" s="401"/>
      <c r="I192" s="401"/>
      <c r="J192" s="401"/>
      <c r="K192" s="401"/>
      <c r="L192" s="401"/>
      <c r="M192" s="401"/>
      <c r="N192" s="401"/>
      <c r="O192" s="401"/>
      <c r="P192" s="401"/>
      <c r="Q192" s="401"/>
      <c r="R192" s="401"/>
      <c r="S192" s="401"/>
      <c r="T192" s="401"/>
      <c r="U192" s="401"/>
      <c r="V192" s="401"/>
      <c r="W192" s="401"/>
      <c r="X192" s="401"/>
      <c r="Y192" s="401"/>
      <c r="Z192" s="401"/>
    </row>
    <row r="193">
      <c r="A193" s="401"/>
      <c r="B193" s="401"/>
      <c r="C193" s="401"/>
      <c r="D193" s="401"/>
      <c r="E193" s="401"/>
      <c r="F193" s="401"/>
      <c r="G193" s="401"/>
      <c r="H193" s="401"/>
      <c r="I193" s="401"/>
      <c r="J193" s="401"/>
      <c r="K193" s="401"/>
      <c r="L193" s="401"/>
      <c r="M193" s="401"/>
      <c r="N193" s="401"/>
      <c r="O193" s="401"/>
      <c r="P193" s="401"/>
      <c r="Q193" s="401"/>
      <c r="R193" s="401"/>
      <c r="S193" s="401"/>
      <c r="T193" s="401"/>
      <c r="U193" s="401"/>
      <c r="V193" s="401"/>
      <c r="W193" s="401"/>
      <c r="X193" s="401"/>
      <c r="Y193" s="401"/>
      <c r="Z193" s="401"/>
    </row>
    <row r="194">
      <c r="A194" s="401"/>
      <c r="B194" s="401"/>
      <c r="C194" s="401"/>
      <c r="D194" s="401"/>
      <c r="E194" s="401"/>
      <c r="F194" s="401"/>
      <c r="G194" s="401"/>
      <c r="H194" s="401"/>
      <c r="I194" s="401"/>
      <c r="J194" s="401"/>
      <c r="K194" s="401"/>
      <c r="L194" s="401"/>
      <c r="M194" s="401"/>
      <c r="N194" s="401"/>
      <c r="O194" s="401"/>
      <c r="P194" s="401"/>
      <c r="Q194" s="401"/>
      <c r="R194" s="401"/>
      <c r="S194" s="401"/>
      <c r="T194" s="401"/>
      <c r="U194" s="401"/>
      <c r="V194" s="401"/>
      <c r="W194" s="401"/>
      <c r="X194" s="401"/>
      <c r="Y194" s="401"/>
      <c r="Z194" s="401"/>
    </row>
    <row r="195">
      <c r="A195" s="401"/>
      <c r="B195" s="401"/>
      <c r="C195" s="401"/>
      <c r="D195" s="401"/>
      <c r="E195" s="401"/>
      <c r="F195" s="401"/>
      <c r="G195" s="401"/>
      <c r="H195" s="401"/>
      <c r="I195" s="401"/>
      <c r="J195" s="401"/>
      <c r="K195" s="401"/>
      <c r="L195" s="401"/>
      <c r="M195" s="401"/>
      <c r="N195" s="401"/>
      <c r="O195" s="401"/>
      <c r="P195" s="401"/>
      <c r="Q195" s="401"/>
      <c r="R195" s="401"/>
      <c r="S195" s="401"/>
      <c r="T195" s="401"/>
      <c r="U195" s="401"/>
      <c r="V195" s="401"/>
      <c r="W195" s="401"/>
      <c r="X195" s="401"/>
      <c r="Y195" s="401"/>
      <c r="Z195" s="401"/>
    </row>
    <row r="196">
      <c r="A196" s="401"/>
      <c r="B196" s="401"/>
      <c r="C196" s="401"/>
      <c r="D196" s="401"/>
      <c r="E196" s="401"/>
      <c r="F196" s="401"/>
      <c r="G196" s="401"/>
      <c r="H196" s="401"/>
      <c r="I196" s="401"/>
      <c r="J196" s="401"/>
      <c r="K196" s="401"/>
      <c r="L196" s="401"/>
      <c r="M196" s="401"/>
      <c r="N196" s="401"/>
      <c r="O196" s="401"/>
      <c r="P196" s="401"/>
      <c r="Q196" s="401"/>
      <c r="R196" s="401"/>
      <c r="S196" s="401"/>
      <c r="T196" s="401"/>
      <c r="U196" s="401"/>
      <c r="V196" s="401"/>
      <c r="W196" s="401"/>
      <c r="X196" s="401"/>
      <c r="Y196" s="401"/>
      <c r="Z196" s="401"/>
    </row>
    <row r="197">
      <c r="A197" s="401"/>
      <c r="B197" s="401"/>
      <c r="C197" s="401"/>
      <c r="D197" s="401"/>
      <c r="E197" s="401"/>
      <c r="F197" s="401"/>
      <c r="G197" s="401"/>
      <c r="H197" s="401"/>
      <c r="I197" s="401"/>
      <c r="J197" s="401"/>
      <c r="K197" s="401"/>
      <c r="L197" s="401"/>
      <c r="M197" s="401"/>
      <c r="N197" s="401"/>
      <c r="O197" s="401"/>
      <c r="P197" s="401"/>
      <c r="Q197" s="401"/>
      <c r="R197" s="401"/>
      <c r="S197" s="401"/>
      <c r="T197" s="401"/>
      <c r="U197" s="401"/>
      <c r="V197" s="401"/>
      <c r="W197" s="401"/>
      <c r="X197" s="401"/>
      <c r="Y197" s="401"/>
      <c r="Z197" s="401"/>
    </row>
    <row r="198">
      <c r="A198" s="401"/>
      <c r="B198" s="401"/>
      <c r="C198" s="401"/>
      <c r="D198" s="401"/>
      <c r="E198" s="401"/>
      <c r="F198" s="401"/>
      <c r="G198" s="401"/>
      <c r="H198" s="401"/>
      <c r="I198" s="401"/>
      <c r="J198" s="401"/>
      <c r="K198" s="401"/>
      <c r="L198" s="401"/>
      <c r="M198" s="401"/>
      <c r="N198" s="401"/>
      <c r="O198" s="401"/>
      <c r="P198" s="401"/>
      <c r="Q198" s="401"/>
      <c r="R198" s="401"/>
      <c r="S198" s="401"/>
      <c r="T198" s="401"/>
      <c r="U198" s="401"/>
      <c r="V198" s="401"/>
      <c r="W198" s="401"/>
      <c r="X198" s="401"/>
      <c r="Y198" s="401"/>
      <c r="Z198" s="401"/>
    </row>
    <row r="199">
      <c r="A199" s="401"/>
      <c r="B199" s="401"/>
      <c r="C199" s="401"/>
      <c r="D199" s="401"/>
      <c r="E199" s="401"/>
      <c r="F199" s="401"/>
      <c r="G199" s="401"/>
      <c r="H199" s="401"/>
      <c r="I199" s="401"/>
      <c r="J199" s="401"/>
      <c r="K199" s="401"/>
      <c r="L199" s="401"/>
      <c r="M199" s="401"/>
      <c r="N199" s="401"/>
      <c r="O199" s="401"/>
      <c r="P199" s="401"/>
      <c r="Q199" s="401"/>
      <c r="R199" s="401"/>
      <c r="S199" s="401"/>
      <c r="T199" s="401"/>
      <c r="U199" s="401"/>
      <c r="V199" s="401"/>
      <c r="W199" s="401"/>
      <c r="X199" s="401"/>
      <c r="Y199" s="401"/>
      <c r="Z199" s="401"/>
    </row>
    <row r="200">
      <c r="A200" s="401"/>
      <c r="B200" s="401"/>
      <c r="C200" s="401"/>
      <c r="D200" s="401"/>
      <c r="E200" s="401"/>
      <c r="F200" s="401"/>
      <c r="G200" s="401"/>
      <c r="H200" s="401"/>
      <c r="I200" s="401"/>
      <c r="J200" s="401"/>
      <c r="K200" s="401"/>
      <c r="L200" s="401"/>
      <c r="M200" s="401"/>
      <c r="N200" s="401"/>
      <c r="O200" s="401"/>
      <c r="P200" s="401"/>
      <c r="Q200" s="401"/>
      <c r="R200" s="401"/>
      <c r="S200" s="401"/>
      <c r="T200" s="401"/>
      <c r="U200" s="401"/>
      <c r="V200" s="401"/>
      <c r="W200" s="401"/>
      <c r="X200" s="401"/>
      <c r="Y200" s="401"/>
      <c r="Z200" s="401"/>
    </row>
    <row r="201">
      <c r="A201" s="401"/>
      <c r="B201" s="401"/>
      <c r="C201" s="401"/>
      <c r="D201" s="401"/>
      <c r="E201" s="401"/>
      <c r="F201" s="401"/>
      <c r="G201" s="401"/>
      <c r="H201" s="401"/>
      <c r="I201" s="401"/>
      <c r="J201" s="401"/>
      <c r="K201" s="401"/>
      <c r="L201" s="401"/>
      <c r="M201" s="401"/>
      <c r="N201" s="401"/>
      <c r="O201" s="401"/>
      <c r="P201" s="401"/>
      <c r="Q201" s="401"/>
      <c r="R201" s="401"/>
      <c r="S201" s="401"/>
      <c r="T201" s="401"/>
      <c r="U201" s="401"/>
      <c r="V201" s="401"/>
      <c r="W201" s="401"/>
      <c r="X201" s="401"/>
      <c r="Y201" s="401"/>
      <c r="Z201" s="401"/>
    </row>
    <row r="202">
      <c r="A202" s="401"/>
      <c r="B202" s="401"/>
      <c r="C202" s="401"/>
      <c r="D202" s="401"/>
      <c r="E202" s="401"/>
      <c r="F202" s="401"/>
      <c r="G202" s="401"/>
      <c r="H202" s="401"/>
      <c r="I202" s="401"/>
      <c r="J202" s="401"/>
      <c r="K202" s="401"/>
      <c r="L202" s="401"/>
      <c r="M202" s="401"/>
      <c r="N202" s="401"/>
      <c r="O202" s="401"/>
      <c r="P202" s="401"/>
      <c r="Q202" s="401"/>
      <c r="R202" s="401"/>
      <c r="S202" s="401"/>
      <c r="T202" s="401"/>
      <c r="U202" s="401"/>
      <c r="V202" s="401"/>
      <c r="W202" s="401"/>
      <c r="X202" s="401"/>
      <c r="Y202" s="401"/>
      <c r="Z202" s="401"/>
    </row>
    <row r="203">
      <c r="A203" s="401"/>
      <c r="B203" s="401"/>
      <c r="C203" s="401"/>
      <c r="D203" s="401"/>
      <c r="E203" s="401"/>
      <c r="F203" s="401"/>
      <c r="G203" s="401"/>
      <c r="H203" s="401"/>
      <c r="I203" s="401"/>
      <c r="J203" s="401"/>
      <c r="K203" s="401"/>
      <c r="L203" s="401"/>
      <c r="M203" s="401"/>
      <c r="N203" s="401"/>
      <c r="O203" s="401"/>
      <c r="P203" s="401"/>
      <c r="Q203" s="401"/>
      <c r="R203" s="401"/>
      <c r="S203" s="401"/>
      <c r="T203" s="401"/>
      <c r="U203" s="401"/>
      <c r="V203" s="401"/>
      <c r="W203" s="401"/>
      <c r="X203" s="401"/>
      <c r="Y203" s="401"/>
      <c r="Z203" s="401"/>
    </row>
    <row r="204">
      <c r="A204" s="401"/>
      <c r="B204" s="401"/>
      <c r="C204" s="401"/>
      <c r="D204" s="401"/>
      <c r="E204" s="401"/>
      <c r="F204" s="401"/>
      <c r="G204" s="401"/>
      <c r="H204" s="401"/>
      <c r="I204" s="401"/>
      <c r="J204" s="401"/>
      <c r="K204" s="401"/>
      <c r="L204" s="401"/>
      <c r="M204" s="401"/>
      <c r="N204" s="401"/>
      <c r="O204" s="401"/>
      <c r="P204" s="401"/>
      <c r="Q204" s="401"/>
      <c r="R204" s="401"/>
      <c r="S204" s="401"/>
      <c r="T204" s="401"/>
      <c r="U204" s="401"/>
      <c r="V204" s="401"/>
      <c r="W204" s="401"/>
      <c r="X204" s="401"/>
      <c r="Y204" s="401"/>
      <c r="Z204" s="401"/>
    </row>
    <row r="205">
      <c r="A205" s="401"/>
      <c r="B205" s="401"/>
      <c r="C205" s="401"/>
      <c r="D205" s="401"/>
      <c r="E205" s="401"/>
      <c r="F205" s="401"/>
      <c r="G205" s="401"/>
      <c r="H205" s="401"/>
      <c r="I205" s="401"/>
      <c r="J205" s="401"/>
      <c r="K205" s="401"/>
      <c r="L205" s="401"/>
      <c r="M205" s="401"/>
      <c r="N205" s="401"/>
      <c r="O205" s="401"/>
      <c r="P205" s="401"/>
      <c r="Q205" s="401"/>
      <c r="R205" s="401"/>
      <c r="S205" s="401"/>
      <c r="T205" s="401"/>
      <c r="U205" s="401"/>
      <c r="V205" s="401"/>
      <c r="W205" s="401"/>
      <c r="X205" s="401"/>
      <c r="Y205" s="401"/>
      <c r="Z205" s="401"/>
    </row>
    <row r="206">
      <c r="A206" s="401"/>
      <c r="B206" s="401"/>
      <c r="C206" s="401"/>
      <c r="D206" s="401"/>
      <c r="E206" s="401"/>
      <c r="F206" s="401"/>
      <c r="G206" s="401"/>
      <c r="H206" s="401"/>
      <c r="I206" s="401"/>
      <c r="J206" s="401"/>
      <c r="K206" s="401"/>
      <c r="L206" s="401"/>
      <c r="M206" s="401"/>
      <c r="N206" s="401"/>
      <c r="O206" s="401"/>
      <c r="P206" s="401"/>
      <c r="Q206" s="401"/>
      <c r="R206" s="401"/>
      <c r="S206" s="401"/>
      <c r="T206" s="401"/>
      <c r="U206" s="401"/>
      <c r="V206" s="401"/>
      <c r="W206" s="401"/>
      <c r="X206" s="401"/>
      <c r="Y206" s="401"/>
      <c r="Z206" s="401"/>
    </row>
    <row r="207">
      <c r="A207" s="401"/>
      <c r="B207" s="401"/>
      <c r="C207" s="401"/>
      <c r="D207" s="401"/>
      <c r="E207" s="401"/>
      <c r="F207" s="401"/>
      <c r="G207" s="401"/>
      <c r="H207" s="401"/>
      <c r="I207" s="401"/>
      <c r="J207" s="401"/>
      <c r="K207" s="401"/>
      <c r="L207" s="401"/>
      <c r="M207" s="401"/>
      <c r="N207" s="401"/>
      <c r="O207" s="401"/>
      <c r="P207" s="401"/>
      <c r="Q207" s="401"/>
      <c r="R207" s="401"/>
      <c r="S207" s="401"/>
      <c r="T207" s="401"/>
      <c r="U207" s="401"/>
      <c r="V207" s="401"/>
      <c r="W207" s="401"/>
      <c r="X207" s="401"/>
      <c r="Y207" s="401"/>
      <c r="Z207" s="401"/>
    </row>
    <row r="208">
      <c r="A208" s="401"/>
      <c r="B208" s="401"/>
      <c r="C208" s="401"/>
      <c r="D208" s="401"/>
      <c r="E208" s="401"/>
      <c r="F208" s="401"/>
      <c r="G208" s="401"/>
      <c r="H208" s="401"/>
      <c r="I208" s="401"/>
      <c r="J208" s="401"/>
      <c r="K208" s="401"/>
      <c r="L208" s="401"/>
      <c r="M208" s="401"/>
      <c r="N208" s="401"/>
      <c r="O208" s="401"/>
      <c r="P208" s="401"/>
      <c r="Q208" s="401"/>
      <c r="R208" s="401"/>
      <c r="S208" s="401"/>
      <c r="T208" s="401"/>
      <c r="U208" s="401"/>
      <c r="V208" s="401"/>
      <c r="W208" s="401"/>
      <c r="X208" s="401"/>
      <c r="Y208" s="401"/>
      <c r="Z208" s="401"/>
    </row>
    <row r="209">
      <c r="A209" s="401"/>
      <c r="B209" s="401"/>
      <c r="C209" s="401"/>
      <c r="D209" s="401"/>
      <c r="E209" s="401"/>
      <c r="F209" s="401"/>
      <c r="G209" s="401"/>
      <c r="H209" s="401"/>
      <c r="I209" s="401"/>
      <c r="J209" s="401"/>
      <c r="K209" s="401"/>
      <c r="L209" s="401"/>
      <c r="M209" s="401"/>
      <c r="N209" s="401"/>
      <c r="O209" s="401"/>
      <c r="P209" s="401"/>
      <c r="Q209" s="401"/>
      <c r="R209" s="401"/>
      <c r="S209" s="401"/>
      <c r="T209" s="401"/>
      <c r="U209" s="401"/>
      <c r="V209" s="401"/>
      <c r="W209" s="401"/>
      <c r="X209" s="401"/>
      <c r="Y209" s="401"/>
      <c r="Z209" s="401"/>
    </row>
    <row r="210">
      <c r="A210" s="401"/>
      <c r="B210" s="401"/>
      <c r="C210" s="401"/>
      <c r="D210" s="401"/>
      <c r="E210" s="401"/>
      <c r="F210" s="401"/>
      <c r="G210" s="401"/>
      <c r="H210" s="401"/>
      <c r="I210" s="401"/>
      <c r="J210" s="401"/>
      <c r="K210" s="401"/>
      <c r="L210" s="401"/>
      <c r="M210" s="401"/>
      <c r="N210" s="401"/>
      <c r="O210" s="401"/>
      <c r="P210" s="401"/>
      <c r="Q210" s="401"/>
      <c r="R210" s="401"/>
      <c r="S210" s="401"/>
      <c r="T210" s="401"/>
      <c r="U210" s="401"/>
      <c r="V210" s="401"/>
      <c r="W210" s="401"/>
      <c r="X210" s="401"/>
      <c r="Y210" s="401"/>
      <c r="Z210" s="401"/>
    </row>
    <row r="211">
      <c r="A211" s="401"/>
      <c r="B211" s="401"/>
      <c r="C211" s="401"/>
      <c r="D211" s="401"/>
      <c r="E211" s="401"/>
      <c r="F211" s="401"/>
      <c r="G211" s="401"/>
      <c r="H211" s="401"/>
      <c r="I211" s="401"/>
      <c r="J211" s="401"/>
      <c r="K211" s="401"/>
      <c r="L211" s="401"/>
      <c r="M211" s="401"/>
      <c r="N211" s="401"/>
      <c r="O211" s="401"/>
      <c r="P211" s="401"/>
      <c r="Q211" s="401"/>
      <c r="R211" s="401"/>
      <c r="S211" s="401"/>
      <c r="T211" s="401"/>
      <c r="U211" s="401"/>
      <c r="V211" s="401"/>
      <c r="W211" s="401"/>
      <c r="X211" s="401"/>
      <c r="Y211" s="401"/>
      <c r="Z211" s="401"/>
    </row>
    <row r="212">
      <c r="A212" s="401"/>
      <c r="B212" s="401"/>
      <c r="C212" s="401"/>
      <c r="D212" s="401"/>
      <c r="E212" s="401"/>
      <c r="F212" s="401"/>
      <c r="G212" s="401"/>
      <c r="H212" s="401"/>
      <c r="I212" s="401"/>
      <c r="J212" s="401"/>
      <c r="K212" s="401"/>
      <c r="L212" s="401"/>
      <c r="M212" s="401"/>
      <c r="N212" s="401"/>
      <c r="O212" s="401"/>
      <c r="P212" s="401"/>
      <c r="Q212" s="401"/>
      <c r="R212" s="401"/>
      <c r="S212" s="401"/>
      <c r="T212" s="401"/>
      <c r="U212" s="401"/>
      <c r="V212" s="401"/>
      <c r="W212" s="401"/>
      <c r="X212" s="401"/>
      <c r="Y212" s="401"/>
      <c r="Z212" s="401"/>
    </row>
    <row r="213">
      <c r="A213" s="401"/>
      <c r="B213" s="401"/>
      <c r="C213" s="401"/>
      <c r="D213" s="401"/>
      <c r="E213" s="401"/>
      <c r="F213" s="401"/>
      <c r="G213" s="401"/>
      <c r="H213" s="401"/>
      <c r="I213" s="401"/>
      <c r="J213" s="401"/>
      <c r="K213" s="401"/>
      <c r="L213" s="401"/>
      <c r="M213" s="401"/>
      <c r="N213" s="401"/>
      <c r="O213" s="401"/>
      <c r="P213" s="401"/>
      <c r="Q213" s="401"/>
      <c r="R213" s="401"/>
      <c r="S213" s="401"/>
      <c r="T213" s="401"/>
      <c r="U213" s="401"/>
      <c r="V213" s="401"/>
      <c r="W213" s="401"/>
      <c r="X213" s="401"/>
      <c r="Y213" s="401"/>
      <c r="Z213" s="401"/>
    </row>
    <row r="214">
      <c r="A214" s="401"/>
      <c r="B214" s="401"/>
      <c r="C214" s="401"/>
      <c r="D214" s="401"/>
      <c r="E214" s="401"/>
      <c r="F214" s="401"/>
      <c r="G214" s="401"/>
      <c r="H214" s="401"/>
      <c r="I214" s="401"/>
      <c r="J214" s="401"/>
      <c r="K214" s="401"/>
      <c r="L214" s="401"/>
      <c r="M214" s="401"/>
      <c r="N214" s="401"/>
      <c r="O214" s="401"/>
      <c r="P214" s="401"/>
      <c r="Q214" s="401"/>
      <c r="R214" s="401"/>
      <c r="S214" s="401"/>
      <c r="T214" s="401"/>
      <c r="U214" s="401"/>
      <c r="V214" s="401"/>
      <c r="W214" s="401"/>
      <c r="X214" s="401"/>
      <c r="Y214" s="401"/>
      <c r="Z214" s="401"/>
    </row>
    <row r="215">
      <c r="A215" s="401"/>
      <c r="B215" s="401"/>
      <c r="C215" s="401"/>
      <c r="D215" s="401"/>
      <c r="E215" s="401"/>
      <c r="F215" s="401"/>
      <c r="G215" s="401"/>
      <c r="H215" s="401"/>
      <c r="I215" s="401"/>
      <c r="J215" s="401"/>
      <c r="K215" s="401"/>
      <c r="L215" s="401"/>
      <c r="M215" s="401"/>
      <c r="N215" s="401"/>
      <c r="O215" s="401"/>
      <c r="P215" s="401"/>
      <c r="Q215" s="401"/>
      <c r="R215" s="401"/>
      <c r="S215" s="401"/>
      <c r="T215" s="401"/>
      <c r="U215" s="401"/>
      <c r="V215" s="401"/>
      <c r="W215" s="401"/>
      <c r="X215" s="401"/>
      <c r="Y215" s="401"/>
      <c r="Z215" s="401"/>
    </row>
    <row r="216">
      <c r="A216" s="401"/>
      <c r="B216" s="401"/>
      <c r="C216" s="401"/>
      <c r="D216" s="401"/>
      <c r="E216" s="401"/>
      <c r="F216" s="401"/>
      <c r="G216" s="401"/>
      <c r="H216" s="401"/>
      <c r="I216" s="401"/>
      <c r="J216" s="401"/>
      <c r="K216" s="401"/>
      <c r="L216" s="401"/>
      <c r="M216" s="401"/>
      <c r="N216" s="401"/>
      <c r="O216" s="401"/>
      <c r="P216" s="401"/>
      <c r="Q216" s="401"/>
      <c r="R216" s="401"/>
      <c r="S216" s="401"/>
      <c r="T216" s="401"/>
      <c r="U216" s="401"/>
      <c r="V216" s="401"/>
      <c r="W216" s="401"/>
      <c r="X216" s="401"/>
      <c r="Y216" s="401"/>
      <c r="Z216" s="401"/>
    </row>
    <row r="217">
      <c r="A217" s="401"/>
      <c r="B217" s="401"/>
      <c r="C217" s="401"/>
      <c r="D217" s="401"/>
      <c r="E217" s="401"/>
      <c r="F217" s="401"/>
      <c r="G217" s="401"/>
      <c r="H217" s="401"/>
      <c r="I217" s="401"/>
      <c r="J217" s="401"/>
      <c r="K217" s="401"/>
      <c r="L217" s="401"/>
      <c r="M217" s="401"/>
      <c r="N217" s="401"/>
      <c r="O217" s="401"/>
      <c r="P217" s="401"/>
      <c r="Q217" s="401"/>
      <c r="R217" s="401"/>
      <c r="S217" s="401"/>
      <c r="T217" s="401"/>
      <c r="U217" s="401"/>
      <c r="V217" s="401"/>
      <c r="W217" s="401"/>
      <c r="X217" s="401"/>
      <c r="Y217" s="401"/>
      <c r="Z217" s="401"/>
    </row>
    <row r="218">
      <c r="A218" s="401"/>
      <c r="B218" s="401"/>
      <c r="C218" s="401"/>
      <c r="D218" s="401"/>
      <c r="E218" s="401"/>
      <c r="F218" s="401"/>
      <c r="G218" s="401"/>
      <c r="H218" s="401"/>
      <c r="I218" s="401"/>
      <c r="J218" s="401"/>
      <c r="K218" s="401"/>
      <c r="L218" s="401"/>
      <c r="M218" s="401"/>
      <c r="N218" s="401"/>
      <c r="O218" s="401"/>
      <c r="P218" s="401"/>
      <c r="Q218" s="401"/>
      <c r="R218" s="401"/>
      <c r="S218" s="401"/>
      <c r="T218" s="401"/>
      <c r="U218" s="401"/>
      <c r="V218" s="401"/>
      <c r="W218" s="401"/>
      <c r="X218" s="401"/>
      <c r="Y218" s="401"/>
      <c r="Z218" s="401"/>
    </row>
    <row r="219">
      <c r="A219" s="401"/>
      <c r="B219" s="401"/>
      <c r="C219" s="401"/>
      <c r="D219" s="401"/>
      <c r="E219" s="401"/>
      <c r="F219" s="401"/>
      <c r="G219" s="401"/>
      <c r="H219" s="401"/>
      <c r="I219" s="401"/>
      <c r="J219" s="401"/>
      <c r="K219" s="401"/>
      <c r="L219" s="401"/>
      <c r="M219" s="401"/>
      <c r="N219" s="401"/>
      <c r="O219" s="401"/>
      <c r="P219" s="401"/>
      <c r="Q219" s="401"/>
      <c r="R219" s="401"/>
      <c r="S219" s="401"/>
      <c r="T219" s="401"/>
      <c r="U219" s="401"/>
      <c r="V219" s="401"/>
      <c r="W219" s="401"/>
      <c r="X219" s="401"/>
      <c r="Y219" s="401"/>
      <c r="Z219" s="401"/>
    </row>
    <row r="220">
      <c r="A220" s="401"/>
      <c r="B220" s="401"/>
      <c r="C220" s="401"/>
      <c r="D220" s="401"/>
      <c r="E220" s="401"/>
      <c r="F220" s="401"/>
      <c r="G220" s="401"/>
      <c r="H220" s="401"/>
      <c r="I220" s="401"/>
      <c r="J220" s="401"/>
      <c r="K220" s="401"/>
      <c r="L220" s="401"/>
      <c r="M220" s="401"/>
      <c r="N220" s="401"/>
      <c r="O220" s="401"/>
      <c r="P220" s="401"/>
      <c r="Q220" s="401"/>
      <c r="R220" s="401"/>
      <c r="S220" s="401"/>
      <c r="T220" s="401"/>
      <c r="U220" s="401"/>
      <c r="V220" s="401"/>
      <c r="W220" s="401"/>
      <c r="X220" s="401"/>
      <c r="Y220" s="401"/>
      <c r="Z220" s="401"/>
    </row>
    <row r="221">
      <c r="A221" s="401"/>
      <c r="B221" s="401"/>
      <c r="C221" s="401"/>
      <c r="D221" s="401"/>
      <c r="E221" s="401"/>
      <c r="F221" s="401"/>
      <c r="G221" s="401"/>
      <c r="H221" s="401"/>
      <c r="I221" s="401"/>
      <c r="J221" s="401"/>
      <c r="K221" s="401"/>
      <c r="L221" s="401"/>
      <c r="M221" s="401"/>
      <c r="N221" s="401"/>
      <c r="O221" s="401"/>
      <c r="P221" s="401"/>
      <c r="Q221" s="401"/>
      <c r="R221" s="401"/>
      <c r="S221" s="401"/>
      <c r="T221" s="401"/>
      <c r="U221" s="401"/>
      <c r="V221" s="401"/>
      <c r="W221" s="401"/>
      <c r="X221" s="401"/>
      <c r="Y221" s="401"/>
      <c r="Z221" s="401"/>
    </row>
    <row r="222">
      <c r="A222" s="401"/>
      <c r="B222" s="401"/>
      <c r="C222" s="401"/>
      <c r="D222" s="401"/>
      <c r="E222" s="401"/>
      <c r="F222" s="401"/>
      <c r="G222" s="401"/>
      <c r="H222" s="401"/>
      <c r="I222" s="401"/>
      <c r="J222" s="401"/>
      <c r="K222" s="401"/>
      <c r="L222" s="401"/>
      <c r="M222" s="401"/>
      <c r="N222" s="401"/>
      <c r="O222" s="401"/>
      <c r="P222" s="401"/>
      <c r="Q222" s="401"/>
      <c r="R222" s="401"/>
      <c r="S222" s="401"/>
      <c r="T222" s="401"/>
      <c r="U222" s="401"/>
      <c r="V222" s="401"/>
      <c r="W222" s="401"/>
      <c r="X222" s="401"/>
      <c r="Y222" s="401"/>
      <c r="Z222" s="401"/>
    </row>
    <row r="223">
      <c r="A223" s="401"/>
      <c r="B223" s="401"/>
      <c r="C223" s="401"/>
      <c r="D223" s="401"/>
      <c r="E223" s="401"/>
      <c r="F223" s="401"/>
      <c r="G223" s="401"/>
      <c r="H223" s="401"/>
      <c r="I223" s="401"/>
      <c r="J223" s="401"/>
      <c r="K223" s="401"/>
      <c r="L223" s="401"/>
      <c r="M223" s="401"/>
      <c r="N223" s="401"/>
      <c r="O223" s="401"/>
      <c r="P223" s="401"/>
      <c r="Q223" s="401"/>
      <c r="R223" s="401"/>
      <c r="S223" s="401"/>
      <c r="T223" s="401"/>
      <c r="U223" s="401"/>
      <c r="V223" s="401"/>
      <c r="W223" s="401"/>
      <c r="X223" s="401"/>
      <c r="Y223" s="401"/>
      <c r="Z223" s="401"/>
    </row>
    <row r="224">
      <c r="A224" s="401"/>
      <c r="B224" s="401"/>
      <c r="C224" s="401"/>
      <c r="D224" s="401"/>
      <c r="E224" s="401"/>
      <c r="F224" s="401"/>
      <c r="G224" s="401"/>
      <c r="H224" s="401"/>
      <c r="I224" s="401"/>
      <c r="J224" s="401"/>
      <c r="K224" s="401"/>
      <c r="L224" s="401"/>
      <c r="M224" s="401"/>
      <c r="N224" s="401"/>
      <c r="O224" s="401"/>
      <c r="P224" s="401"/>
      <c r="Q224" s="401"/>
      <c r="R224" s="401"/>
      <c r="S224" s="401"/>
      <c r="T224" s="401"/>
      <c r="U224" s="401"/>
      <c r="V224" s="401"/>
      <c r="W224" s="401"/>
      <c r="X224" s="401"/>
      <c r="Y224" s="401"/>
      <c r="Z224" s="401"/>
    </row>
    <row r="225">
      <c r="A225" s="401"/>
      <c r="B225" s="401"/>
      <c r="C225" s="401"/>
      <c r="D225" s="401"/>
      <c r="E225" s="401"/>
      <c r="F225" s="401"/>
      <c r="G225" s="401"/>
      <c r="H225" s="401"/>
      <c r="I225" s="401"/>
      <c r="J225" s="401"/>
      <c r="K225" s="401"/>
      <c r="L225" s="401"/>
      <c r="M225" s="401"/>
      <c r="N225" s="401"/>
      <c r="O225" s="401"/>
      <c r="P225" s="401"/>
      <c r="Q225" s="401"/>
      <c r="R225" s="401"/>
      <c r="S225" s="401"/>
      <c r="T225" s="401"/>
      <c r="U225" s="401"/>
      <c r="V225" s="401"/>
      <c r="W225" s="401"/>
      <c r="X225" s="401"/>
      <c r="Y225" s="401"/>
      <c r="Z225" s="401"/>
    </row>
    <row r="226">
      <c r="A226" s="401"/>
      <c r="B226" s="401"/>
      <c r="C226" s="401"/>
      <c r="D226" s="401"/>
      <c r="E226" s="401"/>
      <c r="F226" s="401"/>
      <c r="G226" s="401"/>
      <c r="H226" s="401"/>
      <c r="I226" s="401"/>
      <c r="J226" s="401"/>
      <c r="K226" s="401"/>
      <c r="L226" s="401"/>
      <c r="M226" s="401"/>
      <c r="N226" s="401"/>
      <c r="O226" s="401"/>
      <c r="P226" s="401"/>
      <c r="Q226" s="401"/>
      <c r="R226" s="401"/>
      <c r="S226" s="401"/>
      <c r="T226" s="401"/>
      <c r="U226" s="401"/>
      <c r="V226" s="401"/>
      <c r="W226" s="401"/>
      <c r="X226" s="401"/>
      <c r="Y226" s="401"/>
      <c r="Z226" s="401"/>
    </row>
    <row r="227">
      <c r="A227" s="401"/>
      <c r="B227" s="401"/>
      <c r="C227" s="401"/>
      <c r="D227" s="401"/>
      <c r="E227" s="401"/>
      <c r="F227" s="401"/>
      <c r="G227" s="401"/>
      <c r="H227" s="401"/>
      <c r="I227" s="401"/>
      <c r="J227" s="401"/>
      <c r="K227" s="401"/>
      <c r="L227" s="401"/>
      <c r="M227" s="401"/>
      <c r="N227" s="401"/>
      <c r="O227" s="401"/>
      <c r="P227" s="401"/>
      <c r="Q227" s="401"/>
      <c r="R227" s="401"/>
      <c r="S227" s="401"/>
      <c r="T227" s="401"/>
      <c r="U227" s="401"/>
      <c r="V227" s="401"/>
      <c r="W227" s="401"/>
      <c r="X227" s="401"/>
      <c r="Y227" s="401"/>
      <c r="Z227" s="401"/>
    </row>
    <row r="228">
      <c r="A228" s="401"/>
      <c r="B228" s="401"/>
      <c r="C228" s="401"/>
      <c r="D228" s="401"/>
      <c r="E228" s="401"/>
      <c r="F228" s="401"/>
      <c r="G228" s="401"/>
      <c r="H228" s="401"/>
      <c r="I228" s="401"/>
      <c r="J228" s="401"/>
      <c r="K228" s="401"/>
      <c r="L228" s="401"/>
      <c r="M228" s="401"/>
      <c r="N228" s="401"/>
      <c r="O228" s="401"/>
      <c r="P228" s="401"/>
      <c r="Q228" s="401"/>
      <c r="R228" s="401"/>
      <c r="S228" s="401"/>
      <c r="T228" s="401"/>
      <c r="U228" s="401"/>
      <c r="V228" s="401"/>
      <c r="W228" s="401"/>
      <c r="X228" s="401"/>
      <c r="Y228" s="401"/>
      <c r="Z228" s="401"/>
    </row>
    <row r="229">
      <c r="A229" s="401"/>
      <c r="B229" s="401"/>
      <c r="C229" s="401"/>
      <c r="D229" s="401"/>
      <c r="E229" s="401"/>
      <c r="F229" s="401"/>
      <c r="G229" s="401"/>
      <c r="H229" s="401"/>
      <c r="I229" s="401"/>
      <c r="J229" s="401"/>
      <c r="K229" s="401"/>
      <c r="L229" s="401"/>
      <c r="M229" s="401"/>
      <c r="N229" s="401"/>
      <c r="O229" s="401"/>
      <c r="P229" s="401"/>
      <c r="Q229" s="401"/>
      <c r="R229" s="401"/>
      <c r="S229" s="401"/>
      <c r="T229" s="401"/>
      <c r="U229" s="401"/>
      <c r="V229" s="401"/>
      <c r="W229" s="401"/>
      <c r="X229" s="401"/>
      <c r="Y229" s="401"/>
      <c r="Z229" s="401"/>
    </row>
    <row r="230">
      <c r="A230" s="401"/>
      <c r="B230" s="401"/>
      <c r="C230" s="401"/>
      <c r="D230" s="401"/>
      <c r="E230" s="401"/>
      <c r="F230" s="401"/>
      <c r="G230" s="401"/>
      <c r="H230" s="401"/>
      <c r="I230" s="401"/>
      <c r="J230" s="401"/>
      <c r="K230" s="401"/>
      <c r="L230" s="401"/>
      <c r="M230" s="401"/>
      <c r="N230" s="401"/>
      <c r="O230" s="401"/>
      <c r="P230" s="401"/>
      <c r="Q230" s="401"/>
      <c r="R230" s="401"/>
      <c r="S230" s="401"/>
      <c r="T230" s="401"/>
      <c r="U230" s="401"/>
      <c r="V230" s="401"/>
      <c r="W230" s="401"/>
      <c r="X230" s="401"/>
      <c r="Y230" s="401"/>
      <c r="Z230" s="401"/>
    </row>
    <row r="231">
      <c r="A231" s="401"/>
      <c r="B231" s="401"/>
      <c r="C231" s="401"/>
      <c r="D231" s="401"/>
      <c r="E231" s="401"/>
      <c r="F231" s="401"/>
      <c r="G231" s="401"/>
      <c r="H231" s="401"/>
      <c r="I231" s="401"/>
      <c r="J231" s="401"/>
      <c r="K231" s="401"/>
      <c r="L231" s="401"/>
      <c r="M231" s="401"/>
      <c r="N231" s="401"/>
      <c r="O231" s="401"/>
      <c r="P231" s="401"/>
      <c r="Q231" s="401"/>
      <c r="R231" s="401"/>
      <c r="S231" s="401"/>
      <c r="T231" s="401"/>
      <c r="U231" s="401"/>
      <c r="V231" s="401"/>
      <c r="W231" s="401"/>
      <c r="X231" s="401"/>
      <c r="Y231" s="401"/>
      <c r="Z231" s="401"/>
    </row>
    <row r="232">
      <c r="A232" s="401"/>
      <c r="B232" s="401"/>
      <c r="C232" s="401"/>
      <c r="D232" s="401"/>
      <c r="E232" s="401"/>
      <c r="F232" s="401"/>
      <c r="G232" s="401"/>
      <c r="H232" s="401"/>
      <c r="I232" s="401"/>
      <c r="J232" s="401"/>
      <c r="K232" s="401"/>
      <c r="L232" s="401"/>
      <c r="M232" s="401"/>
      <c r="N232" s="401"/>
      <c r="O232" s="401"/>
      <c r="P232" s="401"/>
      <c r="Q232" s="401"/>
      <c r="R232" s="401"/>
      <c r="S232" s="401"/>
      <c r="T232" s="401"/>
      <c r="U232" s="401"/>
      <c r="V232" s="401"/>
      <c r="W232" s="401"/>
      <c r="X232" s="401"/>
      <c r="Y232" s="401"/>
      <c r="Z232" s="401"/>
    </row>
    <row r="233">
      <c r="A233" s="401"/>
      <c r="B233" s="401"/>
      <c r="C233" s="401"/>
      <c r="D233" s="401"/>
      <c r="E233" s="401"/>
      <c r="F233" s="401"/>
      <c r="G233" s="401"/>
      <c r="H233" s="401"/>
      <c r="I233" s="401"/>
      <c r="J233" s="401"/>
      <c r="K233" s="401"/>
      <c r="L233" s="401"/>
      <c r="M233" s="401"/>
      <c r="N233" s="401"/>
      <c r="O233" s="401"/>
      <c r="P233" s="401"/>
      <c r="Q233" s="401"/>
      <c r="R233" s="401"/>
      <c r="S233" s="401"/>
      <c r="T233" s="401"/>
      <c r="U233" s="401"/>
      <c r="V233" s="401"/>
      <c r="W233" s="401"/>
      <c r="X233" s="401"/>
      <c r="Y233" s="401"/>
      <c r="Z233" s="401"/>
    </row>
    <row r="234">
      <c r="A234" s="401"/>
      <c r="B234" s="401"/>
      <c r="C234" s="401"/>
      <c r="D234" s="401"/>
      <c r="E234" s="401"/>
      <c r="F234" s="401"/>
      <c r="G234" s="401"/>
      <c r="H234" s="401"/>
      <c r="I234" s="401"/>
      <c r="J234" s="401"/>
      <c r="K234" s="401"/>
      <c r="L234" s="401"/>
      <c r="M234" s="401"/>
      <c r="N234" s="401"/>
      <c r="O234" s="401"/>
      <c r="P234" s="401"/>
      <c r="Q234" s="401"/>
      <c r="R234" s="401"/>
      <c r="S234" s="401"/>
      <c r="T234" s="401"/>
      <c r="U234" s="401"/>
      <c r="V234" s="401"/>
      <c r="W234" s="401"/>
      <c r="X234" s="401"/>
      <c r="Y234" s="401"/>
      <c r="Z234" s="401"/>
    </row>
    <row r="235">
      <c r="A235" s="401"/>
      <c r="B235" s="401"/>
      <c r="C235" s="401"/>
      <c r="D235" s="401"/>
      <c r="E235" s="401"/>
      <c r="F235" s="401"/>
      <c r="G235" s="401"/>
      <c r="H235" s="401"/>
      <c r="I235" s="401"/>
      <c r="J235" s="401"/>
      <c r="K235" s="401"/>
      <c r="L235" s="401"/>
      <c r="M235" s="401"/>
      <c r="N235" s="401"/>
      <c r="O235" s="401"/>
      <c r="P235" s="401"/>
      <c r="Q235" s="401"/>
      <c r="R235" s="401"/>
      <c r="S235" s="401"/>
      <c r="T235" s="401"/>
      <c r="U235" s="401"/>
      <c r="V235" s="401"/>
      <c r="W235" s="401"/>
      <c r="X235" s="401"/>
      <c r="Y235" s="401"/>
      <c r="Z235" s="401"/>
    </row>
    <row r="236">
      <c r="A236" s="401"/>
      <c r="B236" s="401"/>
      <c r="C236" s="401"/>
      <c r="D236" s="401"/>
      <c r="E236" s="401"/>
      <c r="F236" s="401"/>
      <c r="G236" s="401"/>
      <c r="H236" s="401"/>
      <c r="I236" s="401"/>
      <c r="J236" s="401"/>
      <c r="K236" s="401"/>
      <c r="L236" s="401"/>
      <c r="M236" s="401"/>
      <c r="N236" s="401"/>
      <c r="O236" s="401"/>
      <c r="P236" s="401"/>
      <c r="Q236" s="401"/>
      <c r="R236" s="401"/>
      <c r="S236" s="401"/>
      <c r="T236" s="401"/>
      <c r="U236" s="401"/>
      <c r="V236" s="401"/>
      <c r="W236" s="401"/>
      <c r="X236" s="401"/>
      <c r="Y236" s="401"/>
      <c r="Z236" s="401"/>
    </row>
    <row r="237">
      <c r="A237" s="401"/>
      <c r="B237" s="401"/>
      <c r="C237" s="401"/>
      <c r="D237" s="401"/>
      <c r="E237" s="401"/>
      <c r="F237" s="401"/>
      <c r="G237" s="401"/>
      <c r="H237" s="401"/>
      <c r="I237" s="401"/>
      <c r="J237" s="401"/>
      <c r="K237" s="401"/>
      <c r="L237" s="401"/>
      <c r="M237" s="401"/>
      <c r="N237" s="401"/>
      <c r="O237" s="401"/>
      <c r="P237" s="401"/>
      <c r="Q237" s="401"/>
      <c r="R237" s="401"/>
      <c r="S237" s="401"/>
      <c r="T237" s="401"/>
      <c r="U237" s="401"/>
      <c r="V237" s="401"/>
      <c r="W237" s="401"/>
      <c r="X237" s="401"/>
      <c r="Y237" s="401"/>
      <c r="Z237" s="401"/>
    </row>
    <row r="238">
      <c r="A238" s="401"/>
      <c r="B238" s="401"/>
      <c r="C238" s="401"/>
      <c r="D238" s="401"/>
      <c r="E238" s="401"/>
      <c r="F238" s="401"/>
      <c r="G238" s="401"/>
      <c r="H238" s="401"/>
      <c r="I238" s="401"/>
      <c r="J238" s="401"/>
      <c r="K238" s="401"/>
      <c r="L238" s="401"/>
      <c r="M238" s="401"/>
      <c r="N238" s="401"/>
      <c r="O238" s="401"/>
      <c r="P238" s="401"/>
      <c r="Q238" s="401"/>
      <c r="R238" s="401"/>
      <c r="S238" s="401"/>
      <c r="T238" s="401"/>
      <c r="U238" s="401"/>
      <c r="V238" s="401"/>
      <c r="W238" s="401"/>
      <c r="X238" s="401"/>
      <c r="Y238" s="401"/>
      <c r="Z238" s="401"/>
    </row>
    <row r="239">
      <c r="A239" s="401"/>
      <c r="B239" s="401"/>
      <c r="C239" s="401"/>
      <c r="D239" s="401"/>
      <c r="E239" s="401"/>
      <c r="F239" s="401"/>
      <c r="G239" s="401"/>
      <c r="H239" s="401"/>
      <c r="I239" s="401"/>
      <c r="J239" s="401"/>
      <c r="K239" s="401"/>
      <c r="L239" s="401"/>
      <c r="M239" s="401"/>
      <c r="N239" s="401"/>
      <c r="O239" s="401"/>
      <c r="P239" s="401"/>
      <c r="Q239" s="401"/>
      <c r="R239" s="401"/>
      <c r="S239" s="401"/>
      <c r="T239" s="401"/>
      <c r="U239" s="401"/>
      <c r="V239" s="401"/>
      <c r="W239" s="401"/>
      <c r="X239" s="401"/>
      <c r="Y239" s="401"/>
      <c r="Z239" s="401"/>
    </row>
    <row r="240">
      <c r="A240" s="401"/>
      <c r="B240" s="401"/>
      <c r="C240" s="401"/>
      <c r="D240" s="401"/>
      <c r="E240" s="401"/>
      <c r="F240" s="401"/>
      <c r="G240" s="401"/>
      <c r="H240" s="401"/>
      <c r="I240" s="401"/>
      <c r="J240" s="401"/>
      <c r="K240" s="401"/>
      <c r="L240" s="401"/>
      <c r="M240" s="401"/>
      <c r="N240" s="401"/>
      <c r="O240" s="401"/>
      <c r="P240" s="401"/>
      <c r="Q240" s="401"/>
      <c r="R240" s="401"/>
      <c r="S240" s="401"/>
      <c r="T240" s="401"/>
      <c r="U240" s="401"/>
      <c r="V240" s="401"/>
      <c r="W240" s="401"/>
      <c r="X240" s="401"/>
      <c r="Y240" s="401"/>
      <c r="Z240" s="401"/>
    </row>
    <row r="241">
      <c r="A241" s="401"/>
      <c r="B241" s="401"/>
      <c r="C241" s="401"/>
      <c r="D241" s="401"/>
      <c r="E241" s="401"/>
      <c r="F241" s="401"/>
      <c r="G241" s="401"/>
      <c r="H241" s="401"/>
      <c r="I241" s="401"/>
      <c r="J241" s="401"/>
      <c r="K241" s="401"/>
      <c r="L241" s="401"/>
      <c r="M241" s="401"/>
      <c r="N241" s="401"/>
      <c r="O241" s="401"/>
      <c r="P241" s="401"/>
      <c r="Q241" s="401"/>
      <c r="R241" s="401"/>
      <c r="S241" s="401"/>
      <c r="T241" s="401"/>
      <c r="U241" s="401"/>
      <c r="V241" s="401"/>
      <c r="W241" s="401"/>
      <c r="X241" s="401"/>
      <c r="Y241" s="401"/>
      <c r="Z241" s="401"/>
    </row>
    <row r="242">
      <c r="A242" s="401"/>
      <c r="B242" s="401"/>
      <c r="C242" s="401"/>
      <c r="D242" s="401"/>
      <c r="E242" s="401"/>
      <c r="F242" s="401"/>
      <c r="G242" s="401"/>
      <c r="H242" s="401"/>
      <c r="I242" s="401"/>
      <c r="J242" s="401"/>
      <c r="K242" s="401"/>
      <c r="L242" s="401"/>
      <c r="M242" s="401"/>
      <c r="N242" s="401"/>
      <c r="O242" s="401"/>
      <c r="P242" s="401"/>
      <c r="Q242" s="401"/>
      <c r="R242" s="401"/>
      <c r="S242" s="401"/>
      <c r="T242" s="401"/>
      <c r="U242" s="401"/>
      <c r="V242" s="401"/>
      <c r="W242" s="401"/>
      <c r="X242" s="401"/>
      <c r="Y242" s="401"/>
      <c r="Z242" s="401"/>
    </row>
    <row r="243">
      <c r="A243" s="401"/>
      <c r="B243" s="401"/>
      <c r="C243" s="401"/>
      <c r="D243" s="401"/>
      <c r="E243" s="401"/>
      <c r="F243" s="401"/>
      <c r="G243" s="401"/>
      <c r="H243" s="401"/>
      <c r="I243" s="401"/>
      <c r="J243" s="401"/>
      <c r="K243" s="401"/>
      <c r="L243" s="401"/>
      <c r="M243" s="401"/>
      <c r="N243" s="401"/>
      <c r="O243" s="401"/>
      <c r="P243" s="401"/>
      <c r="Q243" s="401"/>
      <c r="R243" s="401"/>
      <c r="S243" s="401"/>
      <c r="T243" s="401"/>
      <c r="U243" s="401"/>
      <c r="V243" s="401"/>
      <c r="W243" s="401"/>
      <c r="X243" s="401"/>
      <c r="Y243" s="401"/>
      <c r="Z243" s="401"/>
    </row>
    <row r="244">
      <c r="A244" s="401"/>
      <c r="B244" s="401"/>
      <c r="C244" s="401"/>
      <c r="D244" s="401"/>
      <c r="E244" s="401"/>
      <c r="F244" s="401"/>
      <c r="G244" s="401"/>
      <c r="H244" s="401"/>
      <c r="I244" s="401"/>
      <c r="J244" s="401"/>
      <c r="K244" s="401"/>
      <c r="L244" s="401"/>
      <c r="M244" s="401"/>
      <c r="N244" s="401"/>
      <c r="O244" s="401"/>
      <c r="P244" s="401"/>
      <c r="Q244" s="401"/>
      <c r="R244" s="401"/>
      <c r="S244" s="401"/>
      <c r="T244" s="401"/>
      <c r="U244" s="401"/>
      <c r="V244" s="401"/>
      <c r="W244" s="401"/>
      <c r="X244" s="401"/>
      <c r="Y244" s="401"/>
      <c r="Z244" s="401"/>
    </row>
    <row r="245">
      <c r="A245" s="401"/>
      <c r="B245" s="401"/>
      <c r="C245" s="401"/>
      <c r="D245" s="401"/>
      <c r="E245" s="401"/>
      <c r="F245" s="401"/>
      <c r="G245" s="401"/>
      <c r="H245" s="401"/>
      <c r="I245" s="401"/>
      <c r="J245" s="401"/>
      <c r="K245" s="401"/>
      <c r="L245" s="401"/>
      <c r="M245" s="401"/>
      <c r="N245" s="401"/>
      <c r="O245" s="401"/>
      <c r="P245" s="401"/>
      <c r="Q245" s="401"/>
      <c r="R245" s="401"/>
      <c r="S245" s="401"/>
      <c r="T245" s="401"/>
      <c r="U245" s="401"/>
      <c r="V245" s="401"/>
      <c r="W245" s="401"/>
      <c r="X245" s="401"/>
      <c r="Y245" s="401"/>
      <c r="Z245" s="401"/>
    </row>
    <row r="246">
      <c r="A246" s="401"/>
      <c r="B246" s="401"/>
      <c r="C246" s="401"/>
      <c r="D246" s="401"/>
      <c r="E246" s="401"/>
      <c r="F246" s="401"/>
      <c r="G246" s="401"/>
      <c r="H246" s="401"/>
      <c r="I246" s="401"/>
      <c r="J246" s="401"/>
      <c r="K246" s="401"/>
      <c r="L246" s="401"/>
      <c r="M246" s="401"/>
      <c r="N246" s="401"/>
      <c r="O246" s="401"/>
      <c r="P246" s="401"/>
      <c r="Q246" s="401"/>
      <c r="R246" s="401"/>
      <c r="S246" s="401"/>
      <c r="T246" s="401"/>
      <c r="U246" s="401"/>
      <c r="V246" s="401"/>
      <c r="W246" s="401"/>
      <c r="X246" s="401"/>
      <c r="Y246" s="401"/>
      <c r="Z246" s="401"/>
    </row>
    <row r="247">
      <c r="A247" s="401"/>
      <c r="B247" s="401"/>
      <c r="C247" s="401"/>
      <c r="D247" s="401"/>
      <c r="E247" s="401"/>
      <c r="F247" s="401"/>
      <c r="G247" s="401"/>
      <c r="H247" s="401"/>
      <c r="I247" s="401"/>
      <c r="J247" s="401"/>
      <c r="K247" s="401"/>
      <c r="L247" s="401"/>
      <c r="M247" s="401"/>
      <c r="N247" s="401"/>
      <c r="O247" s="401"/>
      <c r="P247" s="401"/>
      <c r="Q247" s="401"/>
      <c r="R247" s="401"/>
      <c r="S247" s="401"/>
      <c r="T247" s="401"/>
      <c r="U247" s="401"/>
      <c r="V247" s="401"/>
      <c r="W247" s="401"/>
      <c r="X247" s="401"/>
      <c r="Y247" s="401"/>
      <c r="Z247" s="401"/>
    </row>
    <row r="248">
      <c r="A248" s="401"/>
      <c r="B248" s="401"/>
      <c r="C248" s="401"/>
      <c r="D248" s="401"/>
      <c r="E248" s="401"/>
      <c r="F248" s="401"/>
      <c r="G248" s="401"/>
      <c r="H248" s="401"/>
      <c r="I248" s="401"/>
      <c r="J248" s="401"/>
      <c r="K248" s="401"/>
      <c r="L248" s="401"/>
      <c r="M248" s="401"/>
      <c r="N248" s="401"/>
      <c r="O248" s="401"/>
      <c r="P248" s="401"/>
      <c r="Q248" s="401"/>
      <c r="R248" s="401"/>
      <c r="S248" s="401"/>
      <c r="T248" s="401"/>
      <c r="U248" s="401"/>
      <c r="V248" s="401"/>
      <c r="W248" s="401"/>
      <c r="X248" s="401"/>
      <c r="Y248" s="401"/>
      <c r="Z248" s="401"/>
    </row>
    <row r="249">
      <c r="A249" s="401"/>
      <c r="B249" s="401"/>
      <c r="C249" s="401"/>
      <c r="D249" s="401"/>
      <c r="E249" s="401"/>
      <c r="F249" s="401"/>
      <c r="G249" s="401"/>
      <c r="H249" s="401"/>
      <c r="I249" s="401"/>
      <c r="J249" s="401"/>
      <c r="K249" s="401"/>
      <c r="L249" s="401"/>
      <c r="M249" s="401"/>
      <c r="N249" s="401"/>
      <c r="O249" s="401"/>
      <c r="P249" s="401"/>
      <c r="Q249" s="401"/>
      <c r="R249" s="401"/>
      <c r="S249" s="401"/>
      <c r="T249" s="401"/>
      <c r="U249" s="401"/>
      <c r="V249" s="401"/>
      <c r="W249" s="401"/>
      <c r="X249" s="401"/>
      <c r="Y249" s="401"/>
      <c r="Z249" s="401"/>
    </row>
    <row r="250">
      <c r="A250" s="401"/>
      <c r="B250" s="401"/>
      <c r="C250" s="401"/>
      <c r="D250" s="401"/>
      <c r="E250" s="401"/>
      <c r="F250" s="401"/>
      <c r="G250" s="401"/>
      <c r="H250" s="401"/>
      <c r="I250" s="401"/>
      <c r="J250" s="401"/>
      <c r="K250" s="401"/>
      <c r="L250" s="401"/>
      <c r="M250" s="401"/>
      <c r="N250" s="401"/>
      <c r="O250" s="401"/>
      <c r="P250" s="401"/>
      <c r="Q250" s="401"/>
      <c r="R250" s="401"/>
      <c r="S250" s="401"/>
      <c r="T250" s="401"/>
      <c r="U250" s="401"/>
      <c r="V250" s="401"/>
      <c r="W250" s="401"/>
      <c r="X250" s="401"/>
      <c r="Y250" s="401"/>
      <c r="Z250" s="401"/>
    </row>
    <row r="251">
      <c r="A251" s="401"/>
      <c r="B251" s="401"/>
      <c r="C251" s="401"/>
      <c r="D251" s="401"/>
      <c r="E251" s="401"/>
      <c r="F251" s="401"/>
      <c r="G251" s="401"/>
      <c r="H251" s="401"/>
      <c r="I251" s="401"/>
      <c r="J251" s="401"/>
      <c r="K251" s="401"/>
      <c r="L251" s="401"/>
      <c r="M251" s="401"/>
      <c r="N251" s="401"/>
      <c r="O251" s="401"/>
      <c r="P251" s="401"/>
      <c r="Q251" s="401"/>
      <c r="R251" s="401"/>
      <c r="S251" s="401"/>
      <c r="T251" s="401"/>
      <c r="U251" s="401"/>
      <c r="V251" s="401"/>
      <c r="W251" s="401"/>
      <c r="X251" s="401"/>
      <c r="Y251" s="401"/>
      <c r="Z251" s="401"/>
    </row>
    <row r="252">
      <c r="A252" s="401"/>
      <c r="B252" s="401"/>
      <c r="C252" s="401"/>
      <c r="D252" s="401"/>
      <c r="E252" s="401"/>
      <c r="F252" s="401"/>
      <c r="G252" s="401"/>
      <c r="H252" s="401"/>
      <c r="I252" s="401"/>
      <c r="J252" s="401"/>
      <c r="K252" s="401"/>
      <c r="L252" s="401"/>
      <c r="M252" s="401"/>
      <c r="N252" s="401"/>
      <c r="O252" s="401"/>
      <c r="P252" s="401"/>
      <c r="Q252" s="401"/>
      <c r="R252" s="401"/>
      <c r="S252" s="401"/>
      <c r="T252" s="401"/>
      <c r="U252" s="401"/>
      <c r="V252" s="401"/>
      <c r="W252" s="401"/>
      <c r="X252" s="401"/>
      <c r="Y252" s="401"/>
      <c r="Z252" s="401"/>
    </row>
    <row r="253">
      <c r="A253" s="401"/>
      <c r="B253" s="401"/>
      <c r="C253" s="401"/>
      <c r="D253" s="401"/>
      <c r="E253" s="401"/>
      <c r="F253" s="401"/>
      <c r="G253" s="401"/>
      <c r="H253" s="401"/>
      <c r="I253" s="401"/>
      <c r="J253" s="401"/>
      <c r="K253" s="401"/>
      <c r="L253" s="401"/>
      <c r="M253" s="401"/>
      <c r="N253" s="401"/>
      <c r="O253" s="401"/>
      <c r="P253" s="401"/>
      <c r="Q253" s="401"/>
      <c r="R253" s="401"/>
      <c r="S253" s="401"/>
      <c r="T253" s="401"/>
      <c r="U253" s="401"/>
      <c r="V253" s="401"/>
      <c r="W253" s="401"/>
      <c r="X253" s="401"/>
      <c r="Y253" s="401"/>
      <c r="Z253" s="401"/>
    </row>
    <row r="254">
      <c r="A254" s="401"/>
      <c r="B254" s="401"/>
      <c r="C254" s="401"/>
      <c r="D254" s="401"/>
      <c r="E254" s="401"/>
      <c r="F254" s="401"/>
      <c r="G254" s="401"/>
      <c r="H254" s="401"/>
      <c r="I254" s="401"/>
      <c r="J254" s="401"/>
      <c r="K254" s="401"/>
      <c r="L254" s="401"/>
      <c r="M254" s="401"/>
      <c r="N254" s="401"/>
      <c r="O254" s="401"/>
      <c r="P254" s="401"/>
      <c r="Q254" s="401"/>
      <c r="R254" s="401"/>
      <c r="S254" s="401"/>
      <c r="T254" s="401"/>
      <c r="U254" s="401"/>
      <c r="V254" s="401"/>
      <c r="W254" s="401"/>
      <c r="X254" s="401"/>
      <c r="Y254" s="401"/>
      <c r="Z254" s="401"/>
    </row>
    <row r="255">
      <c r="A255" s="401"/>
      <c r="B255" s="401"/>
      <c r="C255" s="401"/>
      <c r="D255" s="401"/>
      <c r="E255" s="401"/>
      <c r="F255" s="401"/>
      <c r="G255" s="401"/>
      <c r="H255" s="401"/>
      <c r="I255" s="401"/>
      <c r="J255" s="401"/>
      <c r="K255" s="401"/>
      <c r="L255" s="401"/>
      <c r="M255" s="401"/>
      <c r="N255" s="401"/>
      <c r="O255" s="401"/>
      <c r="P255" s="401"/>
      <c r="Q255" s="401"/>
      <c r="R255" s="401"/>
      <c r="S255" s="401"/>
      <c r="T255" s="401"/>
      <c r="U255" s="401"/>
      <c r="V255" s="401"/>
      <c r="W255" s="401"/>
      <c r="X255" s="401"/>
      <c r="Y255" s="401"/>
      <c r="Z255" s="401"/>
    </row>
    <row r="256">
      <c r="A256" s="401"/>
      <c r="B256" s="401"/>
      <c r="C256" s="401"/>
      <c r="D256" s="401"/>
      <c r="E256" s="401"/>
      <c r="F256" s="401"/>
      <c r="G256" s="401"/>
      <c r="H256" s="401"/>
      <c r="I256" s="401"/>
      <c r="J256" s="401"/>
      <c r="K256" s="401"/>
      <c r="L256" s="401"/>
      <c r="M256" s="401"/>
      <c r="N256" s="401"/>
      <c r="O256" s="401"/>
      <c r="P256" s="401"/>
      <c r="Q256" s="401"/>
      <c r="R256" s="401"/>
      <c r="S256" s="401"/>
      <c r="T256" s="401"/>
      <c r="U256" s="401"/>
      <c r="V256" s="401"/>
      <c r="W256" s="401"/>
      <c r="X256" s="401"/>
      <c r="Y256" s="401"/>
      <c r="Z256" s="401"/>
    </row>
    <row r="257">
      <c r="A257" s="401"/>
      <c r="B257" s="401"/>
      <c r="C257" s="401"/>
      <c r="D257" s="401"/>
      <c r="E257" s="401"/>
      <c r="F257" s="401"/>
      <c r="G257" s="401"/>
      <c r="H257" s="401"/>
      <c r="I257" s="401"/>
      <c r="J257" s="401"/>
      <c r="K257" s="401"/>
      <c r="L257" s="401"/>
      <c r="M257" s="401"/>
      <c r="N257" s="401"/>
      <c r="O257" s="401"/>
      <c r="P257" s="401"/>
      <c r="Q257" s="401"/>
      <c r="R257" s="401"/>
      <c r="S257" s="401"/>
      <c r="T257" s="401"/>
      <c r="U257" s="401"/>
      <c r="V257" s="401"/>
      <c r="W257" s="401"/>
      <c r="X257" s="401"/>
      <c r="Y257" s="401"/>
      <c r="Z257" s="401"/>
    </row>
    <row r="258">
      <c r="A258" s="401"/>
      <c r="B258" s="401"/>
      <c r="C258" s="401"/>
      <c r="D258" s="401"/>
      <c r="E258" s="401"/>
      <c r="F258" s="401"/>
      <c r="G258" s="401"/>
      <c r="H258" s="401"/>
      <c r="I258" s="401"/>
      <c r="J258" s="401"/>
      <c r="K258" s="401"/>
      <c r="L258" s="401"/>
      <c r="M258" s="401"/>
      <c r="N258" s="401"/>
      <c r="O258" s="401"/>
      <c r="P258" s="401"/>
      <c r="Q258" s="401"/>
      <c r="R258" s="401"/>
      <c r="S258" s="401"/>
      <c r="T258" s="401"/>
      <c r="U258" s="401"/>
      <c r="V258" s="401"/>
      <c r="W258" s="401"/>
      <c r="X258" s="401"/>
      <c r="Y258" s="401"/>
      <c r="Z258" s="401"/>
    </row>
    <row r="259">
      <c r="A259" s="401"/>
      <c r="B259" s="401"/>
      <c r="C259" s="401"/>
      <c r="D259" s="401"/>
      <c r="E259" s="401"/>
      <c r="F259" s="401"/>
      <c r="G259" s="401"/>
      <c r="H259" s="401"/>
      <c r="I259" s="401"/>
      <c r="J259" s="401"/>
      <c r="K259" s="401"/>
      <c r="L259" s="401"/>
      <c r="M259" s="401"/>
      <c r="N259" s="401"/>
      <c r="O259" s="401"/>
      <c r="P259" s="401"/>
      <c r="Q259" s="401"/>
      <c r="R259" s="401"/>
      <c r="S259" s="401"/>
      <c r="T259" s="401"/>
      <c r="U259" s="401"/>
      <c r="V259" s="401"/>
      <c r="W259" s="401"/>
      <c r="X259" s="401"/>
      <c r="Y259" s="401"/>
      <c r="Z259" s="401"/>
    </row>
    <row r="260">
      <c r="A260" s="401"/>
      <c r="B260" s="401"/>
      <c r="C260" s="401"/>
      <c r="D260" s="401"/>
      <c r="E260" s="401"/>
      <c r="F260" s="401"/>
      <c r="G260" s="401"/>
      <c r="H260" s="401"/>
      <c r="I260" s="401"/>
      <c r="J260" s="401"/>
      <c r="K260" s="401"/>
      <c r="L260" s="401"/>
      <c r="M260" s="401"/>
      <c r="N260" s="401"/>
      <c r="O260" s="401"/>
      <c r="P260" s="401"/>
      <c r="Q260" s="401"/>
      <c r="R260" s="401"/>
      <c r="S260" s="401"/>
      <c r="T260" s="401"/>
      <c r="U260" s="401"/>
      <c r="V260" s="401"/>
      <c r="W260" s="401"/>
      <c r="X260" s="401"/>
      <c r="Y260" s="401"/>
      <c r="Z260" s="401"/>
    </row>
    <row r="261">
      <c r="A261" s="401"/>
      <c r="B261" s="401"/>
      <c r="C261" s="401"/>
      <c r="D261" s="401"/>
      <c r="E261" s="401"/>
      <c r="F261" s="401"/>
      <c r="G261" s="401"/>
      <c r="H261" s="401"/>
      <c r="I261" s="401"/>
      <c r="J261" s="401"/>
      <c r="K261" s="401"/>
      <c r="L261" s="401"/>
      <c r="M261" s="401"/>
      <c r="N261" s="401"/>
      <c r="O261" s="401"/>
      <c r="P261" s="401"/>
      <c r="Q261" s="401"/>
      <c r="R261" s="401"/>
      <c r="S261" s="401"/>
      <c r="T261" s="401"/>
      <c r="U261" s="401"/>
      <c r="V261" s="401"/>
      <c r="W261" s="401"/>
      <c r="X261" s="401"/>
      <c r="Y261" s="401"/>
      <c r="Z261" s="401"/>
    </row>
    <row r="262">
      <c r="A262" s="401"/>
      <c r="B262" s="401"/>
      <c r="C262" s="401"/>
      <c r="D262" s="401"/>
      <c r="E262" s="401"/>
      <c r="F262" s="401"/>
      <c r="G262" s="401"/>
      <c r="H262" s="401"/>
      <c r="I262" s="401"/>
      <c r="J262" s="401"/>
      <c r="K262" s="401"/>
      <c r="L262" s="401"/>
      <c r="M262" s="401"/>
      <c r="N262" s="401"/>
      <c r="O262" s="401"/>
      <c r="P262" s="401"/>
      <c r="Q262" s="401"/>
      <c r="R262" s="401"/>
      <c r="S262" s="401"/>
      <c r="T262" s="401"/>
      <c r="U262" s="401"/>
      <c r="V262" s="401"/>
      <c r="W262" s="401"/>
      <c r="X262" s="401"/>
      <c r="Y262" s="401"/>
      <c r="Z262" s="401"/>
    </row>
    <row r="263">
      <c r="A263" s="401"/>
      <c r="B263" s="401"/>
      <c r="C263" s="401"/>
      <c r="D263" s="401"/>
      <c r="E263" s="401"/>
      <c r="F263" s="401"/>
      <c r="G263" s="401"/>
      <c r="H263" s="401"/>
      <c r="I263" s="401"/>
      <c r="J263" s="401"/>
      <c r="K263" s="401"/>
      <c r="L263" s="401"/>
      <c r="M263" s="401"/>
      <c r="N263" s="401"/>
      <c r="O263" s="401"/>
      <c r="P263" s="401"/>
      <c r="Q263" s="401"/>
      <c r="R263" s="401"/>
      <c r="S263" s="401"/>
      <c r="T263" s="401"/>
      <c r="U263" s="401"/>
      <c r="V263" s="401"/>
      <c r="W263" s="401"/>
      <c r="X263" s="401"/>
      <c r="Y263" s="401"/>
      <c r="Z263" s="401"/>
    </row>
    <row r="264">
      <c r="A264" s="401"/>
      <c r="B264" s="401"/>
      <c r="C264" s="401"/>
      <c r="D264" s="401"/>
      <c r="E264" s="401"/>
      <c r="F264" s="401"/>
      <c r="G264" s="401"/>
      <c r="H264" s="401"/>
      <c r="I264" s="401"/>
      <c r="J264" s="401"/>
      <c r="K264" s="401"/>
      <c r="L264" s="401"/>
      <c r="M264" s="401"/>
      <c r="N264" s="401"/>
      <c r="O264" s="401"/>
      <c r="P264" s="401"/>
      <c r="Q264" s="401"/>
      <c r="R264" s="401"/>
      <c r="S264" s="401"/>
      <c r="T264" s="401"/>
      <c r="U264" s="401"/>
      <c r="V264" s="401"/>
      <c r="W264" s="401"/>
      <c r="X264" s="401"/>
      <c r="Y264" s="401"/>
      <c r="Z264" s="401"/>
    </row>
    <row r="265">
      <c r="A265" s="401"/>
      <c r="B265" s="401"/>
      <c r="C265" s="401"/>
      <c r="D265" s="401"/>
      <c r="E265" s="401"/>
      <c r="F265" s="401"/>
      <c r="G265" s="401"/>
      <c r="H265" s="401"/>
      <c r="I265" s="401"/>
      <c r="J265" s="401"/>
      <c r="K265" s="401"/>
      <c r="L265" s="401"/>
      <c r="M265" s="401"/>
      <c r="N265" s="401"/>
      <c r="O265" s="401"/>
      <c r="P265" s="401"/>
      <c r="Q265" s="401"/>
      <c r="R265" s="401"/>
      <c r="S265" s="401"/>
      <c r="T265" s="401"/>
      <c r="U265" s="401"/>
      <c r="V265" s="401"/>
      <c r="W265" s="401"/>
      <c r="X265" s="401"/>
      <c r="Y265" s="401"/>
      <c r="Z265" s="401"/>
    </row>
    <row r="266">
      <c r="A266" s="401"/>
      <c r="B266" s="401"/>
      <c r="C266" s="401"/>
      <c r="D266" s="401"/>
      <c r="E266" s="401"/>
      <c r="F266" s="401"/>
      <c r="G266" s="401"/>
      <c r="H266" s="401"/>
      <c r="I266" s="401"/>
      <c r="J266" s="401"/>
      <c r="K266" s="401"/>
      <c r="L266" s="401"/>
      <c r="M266" s="401"/>
      <c r="N266" s="401"/>
      <c r="O266" s="401"/>
      <c r="P266" s="401"/>
      <c r="Q266" s="401"/>
      <c r="R266" s="401"/>
      <c r="S266" s="401"/>
      <c r="T266" s="401"/>
      <c r="U266" s="401"/>
      <c r="V266" s="401"/>
      <c r="W266" s="401"/>
      <c r="X266" s="401"/>
      <c r="Y266" s="401"/>
      <c r="Z266" s="401"/>
    </row>
    <row r="267">
      <c r="A267" s="401"/>
      <c r="B267" s="401"/>
      <c r="C267" s="401"/>
      <c r="D267" s="401"/>
      <c r="E267" s="401"/>
      <c r="F267" s="401"/>
      <c r="G267" s="401"/>
      <c r="H267" s="401"/>
      <c r="I267" s="401"/>
      <c r="J267" s="401"/>
      <c r="K267" s="401"/>
      <c r="L267" s="401"/>
      <c r="M267" s="401"/>
      <c r="N267" s="401"/>
      <c r="O267" s="401"/>
      <c r="P267" s="401"/>
      <c r="Q267" s="401"/>
      <c r="R267" s="401"/>
      <c r="S267" s="401"/>
      <c r="T267" s="401"/>
      <c r="U267" s="401"/>
      <c r="V267" s="401"/>
      <c r="W267" s="401"/>
      <c r="X267" s="401"/>
      <c r="Y267" s="401"/>
      <c r="Z267" s="401"/>
    </row>
    <row r="268">
      <c r="A268" s="401"/>
      <c r="B268" s="401"/>
      <c r="C268" s="401"/>
      <c r="D268" s="401"/>
      <c r="E268" s="401"/>
      <c r="F268" s="401"/>
      <c r="G268" s="401"/>
      <c r="H268" s="401"/>
      <c r="I268" s="401"/>
      <c r="J268" s="401"/>
      <c r="K268" s="401"/>
      <c r="L268" s="401"/>
      <c r="M268" s="401"/>
      <c r="N268" s="401"/>
      <c r="O268" s="401"/>
      <c r="P268" s="401"/>
      <c r="Q268" s="401"/>
      <c r="R268" s="401"/>
      <c r="S268" s="401"/>
      <c r="T268" s="401"/>
      <c r="U268" s="401"/>
      <c r="V268" s="401"/>
      <c r="W268" s="401"/>
      <c r="X268" s="401"/>
      <c r="Y268" s="401"/>
      <c r="Z268" s="401"/>
    </row>
    <row r="269">
      <c r="A269" s="401"/>
      <c r="B269" s="401"/>
      <c r="C269" s="401"/>
      <c r="D269" s="401"/>
      <c r="E269" s="401"/>
      <c r="F269" s="401"/>
      <c r="G269" s="401"/>
      <c r="H269" s="401"/>
      <c r="I269" s="401"/>
      <c r="J269" s="401"/>
      <c r="K269" s="401"/>
      <c r="L269" s="401"/>
      <c r="M269" s="401"/>
      <c r="N269" s="401"/>
      <c r="O269" s="401"/>
      <c r="P269" s="401"/>
      <c r="Q269" s="401"/>
      <c r="R269" s="401"/>
      <c r="S269" s="401"/>
      <c r="T269" s="401"/>
      <c r="U269" s="401"/>
      <c r="V269" s="401"/>
      <c r="W269" s="401"/>
      <c r="X269" s="401"/>
      <c r="Y269" s="401"/>
      <c r="Z269" s="401"/>
    </row>
    <row r="270">
      <c r="A270" s="401"/>
      <c r="B270" s="401"/>
      <c r="C270" s="401"/>
      <c r="D270" s="401"/>
      <c r="E270" s="401"/>
      <c r="F270" s="401"/>
      <c r="G270" s="401"/>
      <c r="H270" s="401"/>
      <c r="I270" s="401"/>
      <c r="J270" s="401"/>
      <c r="K270" s="401"/>
      <c r="L270" s="401"/>
      <c r="M270" s="401"/>
      <c r="N270" s="401"/>
      <c r="O270" s="401"/>
      <c r="P270" s="401"/>
      <c r="Q270" s="401"/>
      <c r="R270" s="401"/>
      <c r="S270" s="401"/>
      <c r="T270" s="401"/>
      <c r="U270" s="401"/>
      <c r="V270" s="401"/>
      <c r="W270" s="401"/>
      <c r="X270" s="401"/>
      <c r="Y270" s="401"/>
      <c r="Z270" s="401"/>
    </row>
    <row r="271">
      <c r="A271" s="401"/>
      <c r="B271" s="401"/>
      <c r="C271" s="401"/>
      <c r="D271" s="401"/>
      <c r="E271" s="401"/>
      <c r="F271" s="401"/>
      <c r="G271" s="401"/>
      <c r="H271" s="401"/>
      <c r="I271" s="401"/>
      <c r="J271" s="401"/>
      <c r="K271" s="401"/>
      <c r="L271" s="401"/>
      <c r="M271" s="401"/>
      <c r="N271" s="401"/>
      <c r="O271" s="401"/>
      <c r="P271" s="401"/>
      <c r="Q271" s="401"/>
      <c r="R271" s="401"/>
      <c r="S271" s="401"/>
      <c r="T271" s="401"/>
      <c r="U271" s="401"/>
      <c r="V271" s="401"/>
      <c r="W271" s="401"/>
      <c r="X271" s="401"/>
      <c r="Y271" s="401"/>
      <c r="Z271" s="401"/>
    </row>
    <row r="272">
      <c r="A272" s="401"/>
      <c r="B272" s="401"/>
      <c r="C272" s="401"/>
      <c r="D272" s="401"/>
      <c r="E272" s="401"/>
      <c r="F272" s="401"/>
      <c r="G272" s="401"/>
      <c r="H272" s="401"/>
      <c r="I272" s="401"/>
      <c r="J272" s="401"/>
      <c r="K272" s="401"/>
      <c r="L272" s="401"/>
      <c r="M272" s="401"/>
      <c r="N272" s="401"/>
      <c r="O272" s="401"/>
      <c r="P272" s="401"/>
      <c r="Q272" s="401"/>
      <c r="R272" s="401"/>
      <c r="S272" s="401"/>
      <c r="T272" s="401"/>
      <c r="U272" s="401"/>
      <c r="V272" s="401"/>
      <c r="W272" s="401"/>
      <c r="X272" s="401"/>
      <c r="Y272" s="401"/>
      <c r="Z272" s="401"/>
    </row>
    <row r="273">
      <c r="A273" s="401"/>
      <c r="B273" s="401"/>
      <c r="C273" s="401"/>
      <c r="D273" s="401"/>
      <c r="E273" s="401"/>
      <c r="F273" s="401"/>
      <c r="G273" s="401"/>
      <c r="H273" s="401"/>
      <c r="I273" s="401"/>
      <c r="J273" s="401"/>
      <c r="K273" s="401"/>
      <c r="L273" s="401"/>
      <c r="M273" s="401"/>
      <c r="N273" s="401"/>
      <c r="O273" s="401"/>
      <c r="P273" s="401"/>
      <c r="Q273" s="401"/>
      <c r="R273" s="401"/>
      <c r="S273" s="401"/>
      <c r="T273" s="401"/>
      <c r="U273" s="401"/>
      <c r="V273" s="401"/>
      <c r="W273" s="401"/>
      <c r="X273" s="401"/>
      <c r="Y273" s="401"/>
      <c r="Z273" s="401"/>
    </row>
    <row r="274">
      <c r="A274" s="401"/>
      <c r="B274" s="401"/>
      <c r="C274" s="401"/>
      <c r="D274" s="401"/>
      <c r="E274" s="401"/>
      <c r="F274" s="401"/>
      <c r="G274" s="401"/>
      <c r="H274" s="401"/>
      <c r="I274" s="401"/>
      <c r="J274" s="401"/>
      <c r="K274" s="401"/>
      <c r="L274" s="401"/>
      <c r="M274" s="401"/>
      <c r="N274" s="401"/>
      <c r="O274" s="401"/>
      <c r="P274" s="401"/>
      <c r="Q274" s="401"/>
      <c r="R274" s="401"/>
      <c r="S274" s="401"/>
      <c r="T274" s="401"/>
      <c r="U274" s="401"/>
      <c r="V274" s="401"/>
      <c r="W274" s="401"/>
      <c r="X274" s="401"/>
      <c r="Y274" s="401"/>
      <c r="Z274" s="401"/>
    </row>
    <row r="275">
      <c r="A275" s="401"/>
      <c r="B275" s="401"/>
      <c r="C275" s="401"/>
      <c r="D275" s="401"/>
      <c r="E275" s="401"/>
      <c r="F275" s="401"/>
      <c r="G275" s="401"/>
      <c r="H275" s="401"/>
      <c r="I275" s="401"/>
      <c r="J275" s="401"/>
      <c r="K275" s="401"/>
      <c r="L275" s="401"/>
      <c r="M275" s="401"/>
      <c r="N275" s="401"/>
      <c r="O275" s="401"/>
      <c r="P275" s="401"/>
      <c r="Q275" s="401"/>
      <c r="R275" s="401"/>
      <c r="S275" s="401"/>
      <c r="T275" s="401"/>
      <c r="U275" s="401"/>
      <c r="V275" s="401"/>
      <c r="W275" s="401"/>
      <c r="X275" s="401"/>
      <c r="Y275" s="401"/>
      <c r="Z275" s="401"/>
    </row>
    <row r="276">
      <c r="A276" s="401"/>
      <c r="B276" s="401"/>
      <c r="C276" s="401"/>
      <c r="D276" s="401"/>
      <c r="E276" s="401"/>
      <c r="F276" s="401"/>
      <c r="G276" s="401"/>
      <c r="H276" s="401"/>
      <c r="I276" s="401"/>
      <c r="J276" s="401"/>
      <c r="K276" s="401"/>
      <c r="L276" s="401"/>
      <c r="M276" s="401"/>
      <c r="N276" s="401"/>
      <c r="O276" s="401"/>
      <c r="P276" s="401"/>
      <c r="Q276" s="401"/>
      <c r="R276" s="401"/>
      <c r="S276" s="401"/>
      <c r="T276" s="401"/>
      <c r="U276" s="401"/>
      <c r="V276" s="401"/>
      <c r="W276" s="401"/>
      <c r="X276" s="401"/>
      <c r="Y276" s="401"/>
      <c r="Z276" s="401"/>
    </row>
    <row r="277">
      <c r="A277" s="401"/>
      <c r="B277" s="401"/>
      <c r="C277" s="401"/>
      <c r="D277" s="401"/>
      <c r="E277" s="401"/>
      <c r="F277" s="401"/>
      <c r="G277" s="401"/>
      <c r="H277" s="401"/>
      <c r="I277" s="401"/>
      <c r="J277" s="401"/>
      <c r="K277" s="401"/>
      <c r="L277" s="401"/>
      <c r="M277" s="401"/>
      <c r="N277" s="401"/>
      <c r="O277" s="401"/>
      <c r="P277" s="401"/>
      <c r="Q277" s="401"/>
      <c r="R277" s="401"/>
      <c r="S277" s="401"/>
      <c r="T277" s="401"/>
      <c r="U277" s="401"/>
      <c r="V277" s="401"/>
      <c r="W277" s="401"/>
      <c r="X277" s="401"/>
      <c r="Y277" s="401"/>
      <c r="Z277" s="401"/>
    </row>
    <row r="278">
      <c r="A278" s="401"/>
      <c r="B278" s="401"/>
      <c r="C278" s="401"/>
      <c r="D278" s="401"/>
      <c r="E278" s="401"/>
      <c r="F278" s="401"/>
      <c r="G278" s="401"/>
      <c r="H278" s="401"/>
      <c r="I278" s="401"/>
      <c r="J278" s="401"/>
      <c r="K278" s="401"/>
      <c r="L278" s="401"/>
      <c r="M278" s="401"/>
      <c r="N278" s="401"/>
      <c r="O278" s="401"/>
      <c r="P278" s="401"/>
      <c r="Q278" s="401"/>
      <c r="R278" s="401"/>
      <c r="S278" s="401"/>
      <c r="T278" s="401"/>
      <c r="U278" s="401"/>
      <c r="V278" s="401"/>
      <c r="W278" s="401"/>
      <c r="X278" s="401"/>
      <c r="Y278" s="401"/>
      <c r="Z278" s="401"/>
    </row>
    <row r="279">
      <c r="A279" s="401"/>
      <c r="B279" s="401"/>
      <c r="C279" s="401"/>
      <c r="D279" s="401"/>
      <c r="E279" s="401"/>
      <c r="F279" s="401"/>
      <c r="G279" s="401"/>
      <c r="H279" s="401"/>
      <c r="I279" s="401"/>
      <c r="J279" s="401"/>
      <c r="K279" s="401"/>
      <c r="L279" s="401"/>
      <c r="M279" s="401"/>
      <c r="N279" s="401"/>
      <c r="O279" s="401"/>
      <c r="P279" s="401"/>
      <c r="Q279" s="401"/>
      <c r="R279" s="401"/>
      <c r="S279" s="401"/>
      <c r="T279" s="401"/>
      <c r="U279" s="401"/>
      <c r="V279" s="401"/>
      <c r="W279" s="401"/>
      <c r="X279" s="401"/>
      <c r="Y279" s="401"/>
      <c r="Z279" s="401"/>
    </row>
    <row r="280">
      <c r="A280" s="401"/>
      <c r="B280" s="401"/>
      <c r="C280" s="401"/>
      <c r="D280" s="401"/>
      <c r="E280" s="401"/>
      <c r="F280" s="401"/>
      <c r="G280" s="401"/>
      <c r="H280" s="401"/>
      <c r="I280" s="401"/>
      <c r="J280" s="401"/>
      <c r="K280" s="401"/>
      <c r="L280" s="401"/>
      <c r="M280" s="401"/>
      <c r="N280" s="401"/>
      <c r="O280" s="401"/>
      <c r="P280" s="401"/>
      <c r="Q280" s="401"/>
      <c r="R280" s="401"/>
      <c r="S280" s="401"/>
      <c r="T280" s="401"/>
      <c r="U280" s="401"/>
      <c r="V280" s="401"/>
      <c r="W280" s="401"/>
      <c r="X280" s="401"/>
      <c r="Y280" s="401"/>
      <c r="Z280" s="401"/>
    </row>
    <row r="281">
      <c r="A281" s="401"/>
      <c r="B281" s="401"/>
      <c r="C281" s="401"/>
      <c r="D281" s="401"/>
      <c r="E281" s="401"/>
      <c r="F281" s="401"/>
      <c r="G281" s="401"/>
      <c r="H281" s="401"/>
      <c r="I281" s="401"/>
      <c r="J281" s="401"/>
      <c r="K281" s="401"/>
      <c r="L281" s="401"/>
      <c r="M281" s="401"/>
      <c r="N281" s="401"/>
      <c r="O281" s="401"/>
      <c r="P281" s="401"/>
      <c r="Q281" s="401"/>
      <c r="R281" s="401"/>
      <c r="S281" s="401"/>
      <c r="T281" s="401"/>
      <c r="U281" s="401"/>
      <c r="V281" s="401"/>
      <c r="W281" s="401"/>
      <c r="X281" s="401"/>
      <c r="Y281" s="401"/>
      <c r="Z281" s="401"/>
    </row>
    <row r="282">
      <c r="A282" s="401"/>
      <c r="B282" s="401"/>
      <c r="C282" s="401"/>
      <c r="D282" s="401"/>
      <c r="E282" s="401"/>
      <c r="F282" s="401"/>
      <c r="G282" s="401"/>
      <c r="H282" s="401"/>
      <c r="I282" s="401"/>
      <c r="J282" s="401"/>
      <c r="K282" s="401"/>
      <c r="L282" s="401"/>
      <c r="M282" s="401"/>
      <c r="N282" s="401"/>
      <c r="O282" s="401"/>
      <c r="P282" s="401"/>
      <c r="Q282" s="401"/>
      <c r="R282" s="401"/>
      <c r="S282" s="401"/>
      <c r="T282" s="401"/>
      <c r="U282" s="401"/>
      <c r="V282" s="401"/>
      <c r="W282" s="401"/>
      <c r="X282" s="401"/>
      <c r="Y282" s="401"/>
      <c r="Z282" s="401"/>
    </row>
    <row r="283">
      <c r="A283" s="401"/>
      <c r="B283" s="401"/>
      <c r="C283" s="401"/>
      <c r="D283" s="401"/>
      <c r="E283" s="401"/>
      <c r="F283" s="401"/>
      <c r="G283" s="401"/>
      <c r="H283" s="401"/>
      <c r="I283" s="401"/>
      <c r="J283" s="401"/>
      <c r="K283" s="401"/>
      <c r="L283" s="401"/>
      <c r="M283" s="401"/>
      <c r="N283" s="401"/>
      <c r="O283" s="401"/>
      <c r="P283" s="401"/>
      <c r="Q283" s="401"/>
      <c r="R283" s="401"/>
      <c r="S283" s="401"/>
      <c r="T283" s="401"/>
      <c r="U283" s="401"/>
      <c r="V283" s="401"/>
      <c r="W283" s="401"/>
      <c r="X283" s="401"/>
      <c r="Y283" s="401"/>
      <c r="Z283" s="401"/>
    </row>
    <row r="284">
      <c r="A284" s="401"/>
      <c r="B284" s="401"/>
      <c r="C284" s="401"/>
      <c r="D284" s="401"/>
      <c r="E284" s="401"/>
      <c r="F284" s="401"/>
      <c r="G284" s="401"/>
      <c r="H284" s="401"/>
      <c r="I284" s="401"/>
      <c r="J284" s="401"/>
      <c r="K284" s="401"/>
      <c r="L284" s="401"/>
      <c r="M284" s="401"/>
      <c r="N284" s="401"/>
      <c r="O284" s="401"/>
      <c r="P284" s="401"/>
      <c r="Q284" s="401"/>
      <c r="R284" s="401"/>
      <c r="S284" s="401"/>
      <c r="T284" s="401"/>
      <c r="U284" s="401"/>
      <c r="V284" s="401"/>
      <c r="W284" s="401"/>
      <c r="X284" s="401"/>
      <c r="Y284" s="401"/>
      <c r="Z284" s="401"/>
    </row>
    <row r="285">
      <c r="A285" s="401"/>
      <c r="B285" s="401"/>
      <c r="C285" s="401"/>
      <c r="D285" s="401"/>
      <c r="E285" s="401"/>
      <c r="F285" s="401"/>
      <c r="G285" s="401"/>
      <c r="H285" s="401"/>
      <c r="I285" s="401"/>
      <c r="J285" s="401"/>
      <c r="K285" s="401"/>
      <c r="L285" s="401"/>
      <c r="M285" s="401"/>
      <c r="N285" s="401"/>
      <c r="O285" s="401"/>
      <c r="P285" s="401"/>
      <c r="Q285" s="401"/>
      <c r="R285" s="401"/>
      <c r="S285" s="401"/>
      <c r="T285" s="401"/>
      <c r="U285" s="401"/>
      <c r="V285" s="401"/>
      <c r="W285" s="401"/>
      <c r="X285" s="401"/>
      <c r="Y285" s="401"/>
      <c r="Z285" s="401"/>
    </row>
    <row r="286">
      <c r="A286" s="401"/>
      <c r="B286" s="401"/>
      <c r="C286" s="401"/>
      <c r="D286" s="401"/>
      <c r="E286" s="401"/>
      <c r="F286" s="401"/>
      <c r="G286" s="401"/>
      <c r="H286" s="401"/>
      <c r="I286" s="401"/>
      <c r="J286" s="401"/>
      <c r="K286" s="401"/>
      <c r="L286" s="401"/>
      <c r="M286" s="401"/>
      <c r="N286" s="401"/>
      <c r="O286" s="401"/>
      <c r="P286" s="401"/>
      <c r="Q286" s="401"/>
      <c r="R286" s="401"/>
      <c r="S286" s="401"/>
      <c r="T286" s="401"/>
      <c r="U286" s="401"/>
      <c r="V286" s="401"/>
      <c r="W286" s="401"/>
      <c r="X286" s="401"/>
      <c r="Y286" s="401"/>
      <c r="Z286" s="401"/>
    </row>
    <row r="287">
      <c r="A287" s="401"/>
      <c r="B287" s="401"/>
      <c r="C287" s="401"/>
      <c r="D287" s="401"/>
      <c r="E287" s="401"/>
      <c r="F287" s="401"/>
      <c r="G287" s="401"/>
      <c r="H287" s="401"/>
      <c r="I287" s="401"/>
      <c r="J287" s="401"/>
      <c r="K287" s="401"/>
      <c r="L287" s="401"/>
      <c r="M287" s="401"/>
      <c r="N287" s="401"/>
      <c r="O287" s="401"/>
      <c r="P287" s="401"/>
      <c r="Q287" s="401"/>
      <c r="R287" s="401"/>
      <c r="S287" s="401"/>
      <c r="T287" s="401"/>
      <c r="U287" s="401"/>
      <c r="V287" s="401"/>
      <c r="W287" s="401"/>
      <c r="X287" s="401"/>
      <c r="Y287" s="401"/>
      <c r="Z287" s="401"/>
    </row>
    <row r="288">
      <c r="A288" s="401"/>
      <c r="B288" s="401"/>
      <c r="C288" s="401"/>
      <c r="D288" s="401"/>
      <c r="E288" s="401"/>
      <c r="F288" s="401"/>
      <c r="G288" s="401"/>
      <c r="H288" s="401"/>
      <c r="I288" s="401"/>
      <c r="J288" s="401"/>
      <c r="K288" s="401"/>
      <c r="L288" s="401"/>
      <c r="M288" s="401"/>
      <c r="N288" s="401"/>
      <c r="O288" s="401"/>
      <c r="P288" s="401"/>
      <c r="Q288" s="401"/>
      <c r="R288" s="401"/>
      <c r="S288" s="401"/>
      <c r="T288" s="401"/>
      <c r="U288" s="401"/>
      <c r="V288" s="401"/>
      <c r="W288" s="401"/>
      <c r="X288" s="401"/>
      <c r="Y288" s="401"/>
      <c r="Z288" s="401"/>
    </row>
    <row r="289">
      <c r="A289" s="401"/>
      <c r="B289" s="401"/>
      <c r="C289" s="401"/>
      <c r="D289" s="401"/>
      <c r="E289" s="401"/>
      <c r="F289" s="401"/>
      <c r="G289" s="401"/>
      <c r="H289" s="401"/>
      <c r="I289" s="401"/>
      <c r="J289" s="401"/>
      <c r="K289" s="401"/>
      <c r="L289" s="401"/>
      <c r="M289" s="401"/>
      <c r="N289" s="401"/>
      <c r="O289" s="401"/>
      <c r="P289" s="401"/>
      <c r="Q289" s="401"/>
      <c r="R289" s="401"/>
      <c r="S289" s="401"/>
      <c r="T289" s="401"/>
      <c r="U289" s="401"/>
      <c r="V289" s="401"/>
      <c r="W289" s="401"/>
      <c r="X289" s="401"/>
      <c r="Y289" s="401"/>
      <c r="Z289" s="401"/>
    </row>
    <row r="290">
      <c r="A290" s="401"/>
      <c r="B290" s="401"/>
      <c r="C290" s="401"/>
      <c r="D290" s="401"/>
      <c r="E290" s="401"/>
      <c r="F290" s="401"/>
      <c r="G290" s="401"/>
      <c r="H290" s="401"/>
      <c r="I290" s="401"/>
      <c r="J290" s="401"/>
      <c r="K290" s="401"/>
      <c r="L290" s="401"/>
      <c r="M290" s="401"/>
      <c r="N290" s="401"/>
      <c r="O290" s="401"/>
      <c r="P290" s="401"/>
      <c r="Q290" s="401"/>
      <c r="R290" s="401"/>
      <c r="S290" s="401"/>
      <c r="T290" s="401"/>
      <c r="U290" s="401"/>
      <c r="V290" s="401"/>
      <c r="W290" s="401"/>
      <c r="X290" s="401"/>
      <c r="Y290" s="401"/>
      <c r="Z290" s="401"/>
    </row>
    <row r="291">
      <c r="A291" s="401"/>
      <c r="B291" s="401"/>
      <c r="C291" s="401"/>
      <c r="D291" s="401"/>
      <c r="E291" s="401"/>
      <c r="F291" s="401"/>
      <c r="G291" s="401"/>
      <c r="H291" s="401"/>
      <c r="I291" s="401"/>
      <c r="J291" s="401"/>
      <c r="K291" s="401"/>
      <c r="L291" s="401"/>
      <c r="M291" s="401"/>
      <c r="N291" s="401"/>
      <c r="O291" s="401"/>
      <c r="P291" s="401"/>
      <c r="Q291" s="401"/>
      <c r="R291" s="401"/>
      <c r="S291" s="401"/>
      <c r="T291" s="401"/>
      <c r="U291" s="401"/>
      <c r="V291" s="401"/>
      <c r="W291" s="401"/>
      <c r="X291" s="401"/>
      <c r="Y291" s="401"/>
      <c r="Z291" s="401"/>
    </row>
    <row r="292">
      <c r="A292" s="401"/>
      <c r="B292" s="401"/>
      <c r="C292" s="401"/>
      <c r="D292" s="401"/>
      <c r="E292" s="401"/>
      <c r="F292" s="401"/>
      <c r="G292" s="401"/>
      <c r="H292" s="401"/>
      <c r="I292" s="401"/>
      <c r="J292" s="401"/>
      <c r="K292" s="401"/>
      <c r="L292" s="401"/>
      <c r="M292" s="401"/>
      <c r="N292" s="401"/>
      <c r="O292" s="401"/>
      <c r="P292" s="401"/>
      <c r="Q292" s="401"/>
      <c r="R292" s="401"/>
      <c r="S292" s="401"/>
      <c r="T292" s="401"/>
      <c r="U292" s="401"/>
      <c r="V292" s="401"/>
      <c r="W292" s="401"/>
      <c r="X292" s="401"/>
      <c r="Y292" s="401"/>
      <c r="Z292" s="401"/>
    </row>
    <row r="293">
      <c r="A293" s="401"/>
      <c r="B293" s="401"/>
      <c r="C293" s="401"/>
      <c r="D293" s="401"/>
      <c r="E293" s="401"/>
      <c r="F293" s="401"/>
      <c r="G293" s="401"/>
      <c r="H293" s="401"/>
      <c r="I293" s="401"/>
      <c r="J293" s="401"/>
      <c r="K293" s="401"/>
      <c r="L293" s="401"/>
      <c r="M293" s="401"/>
      <c r="N293" s="401"/>
      <c r="O293" s="401"/>
      <c r="P293" s="401"/>
      <c r="Q293" s="401"/>
      <c r="R293" s="401"/>
      <c r="S293" s="401"/>
      <c r="T293" s="401"/>
      <c r="U293" s="401"/>
      <c r="V293" s="401"/>
      <c r="W293" s="401"/>
      <c r="X293" s="401"/>
      <c r="Y293" s="401"/>
      <c r="Z293" s="401"/>
    </row>
    <row r="294">
      <c r="A294" s="401"/>
      <c r="B294" s="401"/>
      <c r="C294" s="401"/>
      <c r="D294" s="401"/>
      <c r="E294" s="401"/>
      <c r="F294" s="401"/>
      <c r="G294" s="401"/>
      <c r="H294" s="401"/>
      <c r="I294" s="401"/>
      <c r="J294" s="401"/>
      <c r="K294" s="401"/>
      <c r="L294" s="401"/>
      <c r="M294" s="401"/>
      <c r="N294" s="401"/>
      <c r="O294" s="401"/>
      <c r="P294" s="401"/>
      <c r="Q294" s="401"/>
      <c r="R294" s="401"/>
      <c r="S294" s="401"/>
      <c r="T294" s="401"/>
      <c r="U294" s="401"/>
      <c r="V294" s="401"/>
      <c r="W294" s="401"/>
      <c r="X294" s="401"/>
      <c r="Y294" s="401"/>
      <c r="Z294" s="401"/>
    </row>
    <row r="295">
      <c r="A295" s="401"/>
      <c r="B295" s="401"/>
      <c r="C295" s="401"/>
      <c r="D295" s="401"/>
      <c r="E295" s="401"/>
      <c r="F295" s="401"/>
      <c r="G295" s="401"/>
      <c r="H295" s="401"/>
      <c r="I295" s="401"/>
      <c r="J295" s="401"/>
      <c r="K295" s="401"/>
      <c r="L295" s="401"/>
      <c r="M295" s="401"/>
      <c r="N295" s="401"/>
      <c r="O295" s="401"/>
      <c r="P295" s="401"/>
      <c r="Q295" s="401"/>
      <c r="R295" s="401"/>
      <c r="S295" s="401"/>
      <c r="T295" s="401"/>
      <c r="U295" s="401"/>
      <c r="V295" s="401"/>
      <c r="W295" s="401"/>
      <c r="X295" s="401"/>
      <c r="Y295" s="401"/>
      <c r="Z295" s="401"/>
    </row>
    <row r="296">
      <c r="A296" s="401"/>
      <c r="B296" s="401"/>
      <c r="C296" s="401"/>
      <c r="D296" s="401"/>
      <c r="E296" s="401"/>
      <c r="F296" s="401"/>
      <c r="G296" s="401"/>
      <c r="H296" s="401"/>
      <c r="I296" s="401"/>
      <c r="J296" s="401"/>
      <c r="K296" s="401"/>
      <c r="L296" s="401"/>
      <c r="M296" s="401"/>
      <c r="N296" s="401"/>
      <c r="O296" s="401"/>
      <c r="P296" s="401"/>
      <c r="Q296" s="401"/>
      <c r="R296" s="401"/>
      <c r="S296" s="401"/>
      <c r="T296" s="401"/>
      <c r="U296" s="401"/>
      <c r="V296" s="401"/>
      <c r="W296" s="401"/>
      <c r="X296" s="401"/>
      <c r="Y296" s="401"/>
      <c r="Z296" s="401"/>
    </row>
    <row r="297">
      <c r="A297" s="401"/>
      <c r="B297" s="401"/>
      <c r="C297" s="401"/>
      <c r="D297" s="401"/>
      <c r="E297" s="401"/>
      <c r="F297" s="401"/>
      <c r="G297" s="401"/>
      <c r="H297" s="401"/>
      <c r="I297" s="401"/>
      <c r="J297" s="401"/>
      <c r="K297" s="401"/>
      <c r="L297" s="401"/>
      <c r="M297" s="401"/>
      <c r="N297" s="401"/>
      <c r="O297" s="401"/>
      <c r="P297" s="401"/>
      <c r="Q297" s="401"/>
      <c r="R297" s="401"/>
      <c r="S297" s="401"/>
      <c r="T297" s="401"/>
      <c r="U297" s="401"/>
      <c r="V297" s="401"/>
      <c r="W297" s="401"/>
      <c r="X297" s="401"/>
      <c r="Y297" s="401"/>
      <c r="Z297" s="401"/>
    </row>
    <row r="298">
      <c r="A298" s="401"/>
      <c r="B298" s="401"/>
      <c r="C298" s="401"/>
      <c r="D298" s="401"/>
      <c r="E298" s="401"/>
      <c r="F298" s="401"/>
      <c r="G298" s="401"/>
      <c r="H298" s="401"/>
      <c r="I298" s="401"/>
      <c r="J298" s="401"/>
      <c r="K298" s="401"/>
      <c r="L298" s="401"/>
      <c r="M298" s="401"/>
      <c r="N298" s="401"/>
      <c r="O298" s="401"/>
      <c r="P298" s="401"/>
      <c r="Q298" s="401"/>
      <c r="R298" s="401"/>
      <c r="S298" s="401"/>
      <c r="T298" s="401"/>
      <c r="U298" s="401"/>
      <c r="V298" s="401"/>
      <c r="W298" s="401"/>
      <c r="X298" s="401"/>
      <c r="Y298" s="401"/>
      <c r="Z298" s="401"/>
    </row>
    <row r="299">
      <c r="A299" s="401"/>
      <c r="B299" s="401"/>
      <c r="C299" s="401"/>
      <c r="D299" s="401"/>
      <c r="E299" s="401"/>
      <c r="F299" s="401"/>
      <c r="G299" s="401"/>
      <c r="H299" s="401"/>
      <c r="I299" s="401"/>
      <c r="J299" s="401"/>
      <c r="K299" s="401"/>
      <c r="L299" s="401"/>
      <c r="M299" s="401"/>
      <c r="N299" s="401"/>
      <c r="O299" s="401"/>
      <c r="P299" s="401"/>
      <c r="Q299" s="401"/>
      <c r="R299" s="401"/>
      <c r="S299" s="401"/>
      <c r="T299" s="401"/>
      <c r="U299" s="401"/>
      <c r="V299" s="401"/>
      <c r="W299" s="401"/>
      <c r="X299" s="401"/>
      <c r="Y299" s="401"/>
      <c r="Z299" s="401"/>
    </row>
    <row r="300">
      <c r="A300" s="401"/>
      <c r="B300" s="401"/>
      <c r="C300" s="401"/>
      <c r="D300" s="401"/>
      <c r="E300" s="401"/>
      <c r="F300" s="401"/>
      <c r="G300" s="401"/>
      <c r="H300" s="401"/>
      <c r="I300" s="401"/>
      <c r="J300" s="401"/>
      <c r="K300" s="401"/>
      <c r="L300" s="401"/>
      <c r="M300" s="401"/>
      <c r="N300" s="401"/>
      <c r="O300" s="401"/>
      <c r="P300" s="401"/>
      <c r="Q300" s="401"/>
      <c r="R300" s="401"/>
      <c r="S300" s="401"/>
      <c r="T300" s="401"/>
      <c r="U300" s="401"/>
      <c r="V300" s="401"/>
      <c r="W300" s="401"/>
      <c r="X300" s="401"/>
      <c r="Y300" s="401"/>
      <c r="Z300" s="401"/>
    </row>
    <row r="301">
      <c r="A301" s="401"/>
      <c r="B301" s="401"/>
      <c r="C301" s="401"/>
      <c r="D301" s="401"/>
      <c r="E301" s="401"/>
      <c r="F301" s="401"/>
      <c r="G301" s="401"/>
      <c r="H301" s="401"/>
      <c r="I301" s="401"/>
      <c r="J301" s="401"/>
      <c r="K301" s="401"/>
      <c r="L301" s="401"/>
      <c r="M301" s="401"/>
      <c r="N301" s="401"/>
      <c r="O301" s="401"/>
      <c r="P301" s="401"/>
      <c r="Q301" s="401"/>
      <c r="R301" s="401"/>
      <c r="S301" s="401"/>
      <c r="T301" s="401"/>
      <c r="U301" s="401"/>
      <c r="V301" s="401"/>
      <c r="W301" s="401"/>
      <c r="X301" s="401"/>
      <c r="Y301" s="401"/>
      <c r="Z301" s="401"/>
    </row>
    <row r="302">
      <c r="A302" s="401"/>
      <c r="B302" s="401"/>
      <c r="C302" s="401"/>
      <c r="D302" s="401"/>
      <c r="E302" s="401"/>
      <c r="F302" s="401"/>
      <c r="G302" s="401"/>
      <c r="H302" s="401"/>
      <c r="I302" s="401"/>
      <c r="J302" s="401"/>
      <c r="K302" s="401"/>
      <c r="L302" s="401"/>
      <c r="M302" s="401"/>
      <c r="N302" s="401"/>
      <c r="O302" s="401"/>
      <c r="P302" s="401"/>
      <c r="Q302" s="401"/>
      <c r="R302" s="401"/>
      <c r="S302" s="401"/>
      <c r="T302" s="401"/>
      <c r="U302" s="401"/>
      <c r="V302" s="401"/>
      <c r="W302" s="401"/>
      <c r="X302" s="401"/>
      <c r="Y302" s="401"/>
      <c r="Z302" s="401"/>
    </row>
    <row r="303">
      <c r="A303" s="401"/>
      <c r="B303" s="401"/>
      <c r="C303" s="401"/>
      <c r="D303" s="401"/>
      <c r="E303" s="401"/>
      <c r="F303" s="401"/>
      <c r="G303" s="401"/>
      <c r="H303" s="401"/>
      <c r="I303" s="401"/>
      <c r="J303" s="401"/>
      <c r="K303" s="401"/>
      <c r="L303" s="401"/>
      <c r="M303" s="401"/>
      <c r="N303" s="401"/>
      <c r="O303" s="401"/>
      <c r="P303" s="401"/>
      <c r="Q303" s="401"/>
      <c r="R303" s="401"/>
      <c r="S303" s="401"/>
      <c r="T303" s="401"/>
      <c r="U303" s="401"/>
      <c r="V303" s="401"/>
      <c r="W303" s="401"/>
      <c r="X303" s="401"/>
      <c r="Y303" s="401"/>
      <c r="Z303" s="401"/>
    </row>
    <row r="304">
      <c r="A304" s="401"/>
      <c r="B304" s="401"/>
      <c r="C304" s="401"/>
      <c r="D304" s="401"/>
      <c r="E304" s="401"/>
      <c r="F304" s="401"/>
      <c r="G304" s="401"/>
      <c r="H304" s="401"/>
      <c r="I304" s="401"/>
      <c r="J304" s="401"/>
      <c r="K304" s="401"/>
      <c r="L304" s="401"/>
      <c r="M304" s="401"/>
      <c r="N304" s="401"/>
      <c r="O304" s="401"/>
      <c r="P304" s="401"/>
      <c r="Q304" s="401"/>
      <c r="R304" s="401"/>
      <c r="S304" s="401"/>
      <c r="T304" s="401"/>
      <c r="U304" s="401"/>
      <c r="V304" s="401"/>
      <c r="W304" s="401"/>
      <c r="X304" s="401"/>
      <c r="Y304" s="401"/>
      <c r="Z304" s="401"/>
    </row>
    <row r="305">
      <c r="A305" s="401"/>
      <c r="B305" s="401"/>
      <c r="C305" s="401"/>
      <c r="D305" s="401"/>
      <c r="E305" s="401"/>
      <c r="F305" s="401"/>
      <c r="G305" s="401"/>
      <c r="H305" s="401"/>
      <c r="I305" s="401"/>
      <c r="J305" s="401"/>
      <c r="K305" s="401"/>
      <c r="L305" s="401"/>
      <c r="M305" s="401"/>
      <c r="N305" s="401"/>
      <c r="O305" s="401"/>
      <c r="P305" s="401"/>
      <c r="Q305" s="401"/>
      <c r="R305" s="401"/>
      <c r="S305" s="401"/>
      <c r="T305" s="401"/>
      <c r="U305" s="401"/>
      <c r="V305" s="401"/>
      <c r="W305" s="401"/>
      <c r="X305" s="401"/>
      <c r="Y305" s="401"/>
      <c r="Z305" s="401"/>
    </row>
    <row r="306">
      <c r="A306" s="401"/>
      <c r="B306" s="401"/>
      <c r="C306" s="401"/>
      <c r="D306" s="401"/>
      <c r="E306" s="401"/>
      <c r="F306" s="401"/>
      <c r="G306" s="401"/>
      <c r="H306" s="401"/>
      <c r="I306" s="401"/>
      <c r="J306" s="401"/>
      <c r="K306" s="401"/>
      <c r="L306" s="401"/>
      <c r="M306" s="401"/>
      <c r="N306" s="401"/>
      <c r="O306" s="401"/>
      <c r="P306" s="401"/>
      <c r="Q306" s="401"/>
      <c r="R306" s="401"/>
      <c r="S306" s="401"/>
      <c r="T306" s="401"/>
      <c r="U306" s="401"/>
      <c r="V306" s="401"/>
      <c r="W306" s="401"/>
      <c r="X306" s="401"/>
      <c r="Y306" s="401"/>
      <c r="Z306" s="401"/>
    </row>
    <row r="307">
      <c r="A307" s="401"/>
      <c r="B307" s="401"/>
      <c r="C307" s="401"/>
      <c r="D307" s="401"/>
      <c r="E307" s="401"/>
      <c r="F307" s="401"/>
      <c r="G307" s="401"/>
      <c r="H307" s="401"/>
      <c r="I307" s="401"/>
      <c r="J307" s="401"/>
      <c r="K307" s="401"/>
      <c r="L307" s="401"/>
      <c r="M307" s="401"/>
      <c r="N307" s="401"/>
      <c r="O307" s="401"/>
      <c r="P307" s="401"/>
      <c r="Q307" s="401"/>
      <c r="R307" s="401"/>
      <c r="S307" s="401"/>
      <c r="T307" s="401"/>
      <c r="U307" s="401"/>
      <c r="V307" s="401"/>
      <c r="W307" s="401"/>
      <c r="X307" s="401"/>
      <c r="Y307" s="401"/>
      <c r="Z307" s="401"/>
    </row>
    <row r="308">
      <c r="A308" s="401"/>
      <c r="B308" s="401"/>
      <c r="C308" s="401"/>
      <c r="D308" s="401"/>
      <c r="E308" s="401"/>
      <c r="F308" s="401"/>
      <c r="G308" s="401"/>
      <c r="H308" s="401"/>
      <c r="I308" s="401"/>
      <c r="J308" s="401"/>
      <c r="K308" s="401"/>
      <c r="L308" s="401"/>
      <c r="M308" s="401"/>
      <c r="N308" s="401"/>
      <c r="O308" s="401"/>
      <c r="P308" s="401"/>
      <c r="Q308" s="401"/>
      <c r="R308" s="401"/>
      <c r="S308" s="401"/>
      <c r="T308" s="401"/>
      <c r="U308" s="401"/>
      <c r="V308" s="401"/>
      <c r="W308" s="401"/>
      <c r="X308" s="401"/>
      <c r="Y308" s="401"/>
      <c r="Z308" s="401"/>
    </row>
    <row r="309">
      <c r="A309" s="401"/>
      <c r="B309" s="401"/>
      <c r="C309" s="401"/>
      <c r="D309" s="401"/>
      <c r="E309" s="401"/>
      <c r="F309" s="401"/>
      <c r="G309" s="401"/>
      <c r="H309" s="401"/>
      <c r="I309" s="401"/>
      <c r="J309" s="401"/>
      <c r="K309" s="401"/>
      <c r="L309" s="401"/>
      <c r="M309" s="401"/>
      <c r="N309" s="401"/>
      <c r="O309" s="401"/>
      <c r="P309" s="401"/>
      <c r="Q309" s="401"/>
      <c r="R309" s="401"/>
      <c r="S309" s="401"/>
      <c r="T309" s="401"/>
      <c r="U309" s="401"/>
      <c r="V309" s="401"/>
      <c r="W309" s="401"/>
      <c r="X309" s="401"/>
      <c r="Y309" s="401"/>
      <c r="Z309" s="401"/>
    </row>
    <row r="310">
      <c r="A310" s="401"/>
      <c r="B310" s="401"/>
      <c r="C310" s="401"/>
      <c r="D310" s="401"/>
      <c r="E310" s="401"/>
      <c r="F310" s="401"/>
      <c r="G310" s="401"/>
      <c r="H310" s="401"/>
      <c r="I310" s="401"/>
      <c r="J310" s="401"/>
      <c r="K310" s="401"/>
      <c r="L310" s="401"/>
      <c r="M310" s="401"/>
      <c r="N310" s="401"/>
      <c r="O310" s="401"/>
      <c r="P310" s="401"/>
      <c r="Q310" s="401"/>
      <c r="R310" s="401"/>
      <c r="S310" s="401"/>
      <c r="T310" s="401"/>
      <c r="U310" s="401"/>
      <c r="V310" s="401"/>
      <c r="W310" s="401"/>
      <c r="X310" s="401"/>
      <c r="Y310" s="401"/>
      <c r="Z310" s="401"/>
    </row>
    <row r="311">
      <c r="A311" s="401"/>
      <c r="B311" s="401"/>
      <c r="C311" s="401"/>
      <c r="D311" s="401"/>
      <c r="E311" s="401"/>
      <c r="F311" s="401"/>
      <c r="G311" s="401"/>
      <c r="H311" s="401"/>
      <c r="I311" s="401"/>
      <c r="J311" s="401"/>
      <c r="K311" s="401"/>
      <c r="L311" s="401"/>
      <c r="M311" s="401"/>
      <c r="N311" s="401"/>
      <c r="O311" s="401"/>
      <c r="P311" s="401"/>
      <c r="Q311" s="401"/>
      <c r="R311" s="401"/>
      <c r="S311" s="401"/>
      <c r="T311" s="401"/>
      <c r="U311" s="401"/>
      <c r="V311" s="401"/>
      <c r="W311" s="401"/>
      <c r="X311" s="401"/>
      <c r="Y311" s="401"/>
      <c r="Z311" s="401"/>
    </row>
    <row r="312">
      <c r="A312" s="401"/>
      <c r="B312" s="401"/>
      <c r="C312" s="401"/>
      <c r="D312" s="401"/>
      <c r="E312" s="401"/>
      <c r="F312" s="401"/>
      <c r="G312" s="401"/>
      <c r="H312" s="401"/>
      <c r="I312" s="401"/>
      <c r="J312" s="401"/>
      <c r="K312" s="401"/>
      <c r="L312" s="401"/>
      <c r="M312" s="401"/>
      <c r="N312" s="401"/>
      <c r="O312" s="401"/>
      <c r="P312" s="401"/>
      <c r="Q312" s="401"/>
      <c r="R312" s="401"/>
      <c r="S312" s="401"/>
      <c r="T312" s="401"/>
      <c r="U312" s="401"/>
      <c r="V312" s="401"/>
      <c r="W312" s="401"/>
      <c r="X312" s="401"/>
      <c r="Y312" s="401"/>
      <c r="Z312" s="401"/>
    </row>
    <row r="313">
      <c r="A313" s="401"/>
      <c r="B313" s="401"/>
      <c r="C313" s="401"/>
      <c r="D313" s="401"/>
      <c r="E313" s="401"/>
      <c r="F313" s="401"/>
      <c r="G313" s="401"/>
      <c r="H313" s="401"/>
      <c r="I313" s="401"/>
      <c r="J313" s="401"/>
      <c r="K313" s="401"/>
      <c r="L313" s="401"/>
      <c r="M313" s="401"/>
      <c r="N313" s="401"/>
      <c r="O313" s="401"/>
      <c r="P313" s="401"/>
      <c r="Q313" s="401"/>
      <c r="R313" s="401"/>
      <c r="S313" s="401"/>
      <c r="T313" s="401"/>
      <c r="U313" s="401"/>
      <c r="V313" s="401"/>
      <c r="W313" s="401"/>
      <c r="X313" s="401"/>
      <c r="Y313" s="401"/>
      <c r="Z313" s="401"/>
    </row>
    <row r="314">
      <c r="A314" s="401"/>
      <c r="B314" s="401"/>
      <c r="C314" s="401"/>
      <c r="D314" s="401"/>
      <c r="E314" s="401"/>
      <c r="F314" s="401"/>
      <c r="G314" s="401"/>
      <c r="H314" s="401"/>
      <c r="I314" s="401"/>
      <c r="J314" s="401"/>
      <c r="K314" s="401"/>
      <c r="L314" s="401"/>
      <c r="M314" s="401"/>
      <c r="N314" s="401"/>
      <c r="O314" s="401"/>
      <c r="P314" s="401"/>
      <c r="Q314" s="401"/>
      <c r="R314" s="401"/>
      <c r="S314" s="401"/>
      <c r="T314" s="401"/>
      <c r="U314" s="401"/>
      <c r="V314" s="401"/>
      <c r="W314" s="401"/>
      <c r="X314" s="401"/>
      <c r="Y314" s="401"/>
      <c r="Z314" s="401"/>
    </row>
    <row r="315">
      <c r="A315" s="401"/>
      <c r="B315" s="401"/>
      <c r="C315" s="401"/>
      <c r="D315" s="401"/>
      <c r="E315" s="401"/>
      <c r="F315" s="401"/>
      <c r="G315" s="401"/>
      <c r="H315" s="401"/>
      <c r="I315" s="401"/>
      <c r="J315" s="401"/>
      <c r="K315" s="401"/>
      <c r="L315" s="401"/>
      <c r="M315" s="401"/>
      <c r="N315" s="401"/>
      <c r="O315" s="401"/>
      <c r="P315" s="401"/>
      <c r="Q315" s="401"/>
      <c r="R315" s="401"/>
      <c r="S315" s="401"/>
      <c r="T315" s="401"/>
      <c r="U315" s="401"/>
      <c r="V315" s="401"/>
      <c r="W315" s="401"/>
      <c r="X315" s="401"/>
      <c r="Y315" s="401"/>
      <c r="Z315" s="401"/>
    </row>
    <row r="316">
      <c r="A316" s="401"/>
      <c r="B316" s="401"/>
      <c r="C316" s="401"/>
      <c r="D316" s="401"/>
      <c r="E316" s="401"/>
      <c r="F316" s="401"/>
      <c r="G316" s="401"/>
      <c r="H316" s="401"/>
      <c r="I316" s="401"/>
      <c r="J316" s="401"/>
      <c r="K316" s="401"/>
      <c r="L316" s="401"/>
      <c r="M316" s="401"/>
      <c r="N316" s="401"/>
      <c r="O316" s="401"/>
      <c r="P316" s="401"/>
      <c r="Q316" s="401"/>
      <c r="R316" s="401"/>
      <c r="S316" s="401"/>
      <c r="T316" s="401"/>
      <c r="U316" s="401"/>
      <c r="V316" s="401"/>
      <c r="W316" s="401"/>
      <c r="X316" s="401"/>
      <c r="Y316" s="401"/>
      <c r="Z316" s="401"/>
    </row>
    <row r="317">
      <c r="A317" s="401"/>
      <c r="B317" s="401"/>
      <c r="C317" s="401"/>
      <c r="D317" s="401"/>
      <c r="E317" s="401"/>
      <c r="F317" s="401"/>
      <c r="G317" s="401"/>
      <c r="H317" s="401"/>
      <c r="I317" s="401"/>
      <c r="J317" s="401"/>
      <c r="K317" s="401"/>
      <c r="L317" s="401"/>
      <c r="M317" s="401"/>
      <c r="N317" s="401"/>
      <c r="O317" s="401"/>
      <c r="P317" s="401"/>
      <c r="Q317" s="401"/>
      <c r="R317" s="401"/>
      <c r="S317" s="401"/>
      <c r="T317" s="401"/>
      <c r="U317" s="401"/>
      <c r="V317" s="401"/>
      <c r="W317" s="401"/>
      <c r="X317" s="401"/>
      <c r="Y317" s="401"/>
      <c r="Z317" s="401"/>
    </row>
    <row r="318">
      <c r="A318" s="401"/>
      <c r="B318" s="401"/>
      <c r="C318" s="401"/>
      <c r="D318" s="401"/>
      <c r="E318" s="401"/>
      <c r="F318" s="401"/>
      <c r="G318" s="401"/>
      <c r="H318" s="401"/>
      <c r="I318" s="401"/>
      <c r="J318" s="401"/>
      <c r="K318" s="401"/>
      <c r="L318" s="401"/>
      <c r="M318" s="401"/>
      <c r="N318" s="401"/>
      <c r="O318" s="401"/>
      <c r="P318" s="401"/>
      <c r="Q318" s="401"/>
      <c r="R318" s="401"/>
      <c r="S318" s="401"/>
      <c r="T318" s="401"/>
      <c r="U318" s="401"/>
      <c r="V318" s="401"/>
      <c r="W318" s="401"/>
      <c r="X318" s="401"/>
      <c r="Y318" s="401"/>
      <c r="Z318" s="401"/>
    </row>
    <row r="319">
      <c r="A319" s="401"/>
      <c r="B319" s="401"/>
      <c r="C319" s="401"/>
      <c r="D319" s="401"/>
      <c r="E319" s="401"/>
      <c r="F319" s="401"/>
      <c r="G319" s="401"/>
      <c r="H319" s="401"/>
      <c r="I319" s="401"/>
      <c r="J319" s="401"/>
      <c r="K319" s="401"/>
      <c r="L319" s="401"/>
      <c r="M319" s="401"/>
      <c r="N319" s="401"/>
      <c r="O319" s="401"/>
      <c r="P319" s="401"/>
      <c r="Q319" s="401"/>
      <c r="R319" s="401"/>
      <c r="S319" s="401"/>
      <c r="T319" s="401"/>
      <c r="U319" s="401"/>
      <c r="V319" s="401"/>
      <c r="W319" s="401"/>
      <c r="X319" s="401"/>
      <c r="Y319" s="401"/>
      <c r="Z319" s="401"/>
    </row>
    <row r="320">
      <c r="A320" s="401"/>
      <c r="B320" s="401"/>
      <c r="C320" s="401"/>
      <c r="D320" s="401"/>
      <c r="E320" s="401"/>
      <c r="F320" s="401"/>
      <c r="G320" s="401"/>
      <c r="H320" s="401"/>
      <c r="I320" s="401"/>
      <c r="J320" s="401"/>
      <c r="K320" s="401"/>
      <c r="L320" s="401"/>
      <c r="M320" s="401"/>
      <c r="N320" s="401"/>
      <c r="O320" s="401"/>
      <c r="P320" s="401"/>
      <c r="Q320" s="401"/>
      <c r="R320" s="401"/>
      <c r="S320" s="401"/>
      <c r="T320" s="401"/>
      <c r="U320" s="401"/>
      <c r="V320" s="401"/>
      <c r="W320" s="401"/>
      <c r="X320" s="401"/>
      <c r="Y320" s="401"/>
      <c r="Z320" s="401"/>
    </row>
    <row r="321">
      <c r="A321" s="401"/>
      <c r="B321" s="401"/>
      <c r="C321" s="401"/>
      <c r="D321" s="401"/>
      <c r="E321" s="401"/>
      <c r="F321" s="401"/>
      <c r="G321" s="401"/>
      <c r="H321" s="401"/>
      <c r="I321" s="401"/>
      <c r="J321" s="401"/>
      <c r="K321" s="401"/>
      <c r="L321" s="401"/>
      <c r="M321" s="401"/>
      <c r="N321" s="401"/>
      <c r="O321" s="401"/>
      <c r="P321" s="401"/>
      <c r="Q321" s="401"/>
      <c r="R321" s="401"/>
      <c r="S321" s="401"/>
      <c r="T321" s="401"/>
      <c r="U321" s="401"/>
      <c r="V321" s="401"/>
      <c r="W321" s="401"/>
      <c r="X321" s="401"/>
      <c r="Y321" s="401"/>
      <c r="Z321" s="401"/>
    </row>
    <row r="322">
      <c r="A322" s="401"/>
      <c r="B322" s="401"/>
      <c r="C322" s="401"/>
      <c r="D322" s="401"/>
      <c r="E322" s="401"/>
      <c r="F322" s="401"/>
      <c r="G322" s="401"/>
      <c r="H322" s="401"/>
      <c r="I322" s="401"/>
      <c r="J322" s="401"/>
      <c r="K322" s="401"/>
      <c r="L322" s="401"/>
      <c r="M322" s="401"/>
      <c r="N322" s="401"/>
      <c r="O322" s="401"/>
      <c r="P322" s="401"/>
      <c r="Q322" s="401"/>
      <c r="R322" s="401"/>
      <c r="S322" s="401"/>
      <c r="T322" s="401"/>
      <c r="U322" s="401"/>
      <c r="V322" s="401"/>
      <c r="W322" s="401"/>
      <c r="X322" s="401"/>
      <c r="Y322" s="401"/>
      <c r="Z322" s="401"/>
    </row>
    <row r="323">
      <c r="A323" s="401"/>
      <c r="B323" s="401"/>
      <c r="C323" s="401"/>
      <c r="D323" s="401"/>
      <c r="E323" s="401"/>
      <c r="F323" s="401"/>
      <c r="G323" s="401"/>
      <c r="H323" s="401"/>
      <c r="I323" s="401"/>
      <c r="J323" s="401"/>
      <c r="K323" s="401"/>
      <c r="L323" s="401"/>
      <c r="M323" s="401"/>
      <c r="N323" s="401"/>
      <c r="O323" s="401"/>
      <c r="P323" s="401"/>
      <c r="Q323" s="401"/>
      <c r="R323" s="401"/>
      <c r="S323" s="401"/>
      <c r="T323" s="401"/>
      <c r="U323" s="401"/>
      <c r="V323" s="401"/>
      <c r="W323" s="401"/>
      <c r="X323" s="401"/>
      <c r="Y323" s="401"/>
      <c r="Z323" s="401"/>
    </row>
    <row r="324">
      <c r="A324" s="401"/>
      <c r="B324" s="401"/>
      <c r="C324" s="401"/>
      <c r="D324" s="401"/>
      <c r="E324" s="401"/>
      <c r="F324" s="401"/>
      <c r="G324" s="401"/>
      <c r="H324" s="401"/>
      <c r="I324" s="401"/>
      <c r="J324" s="401"/>
      <c r="K324" s="401"/>
      <c r="L324" s="401"/>
      <c r="M324" s="401"/>
      <c r="N324" s="401"/>
      <c r="O324" s="401"/>
      <c r="P324" s="401"/>
      <c r="Q324" s="401"/>
      <c r="R324" s="401"/>
      <c r="S324" s="401"/>
      <c r="T324" s="401"/>
      <c r="U324" s="401"/>
      <c r="V324" s="401"/>
      <c r="W324" s="401"/>
      <c r="X324" s="401"/>
      <c r="Y324" s="401"/>
      <c r="Z324" s="401"/>
    </row>
    <row r="325">
      <c r="A325" s="401"/>
      <c r="B325" s="401"/>
      <c r="C325" s="401"/>
      <c r="D325" s="401"/>
      <c r="E325" s="401"/>
      <c r="F325" s="401"/>
      <c r="G325" s="401"/>
      <c r="H325" s="401"/>
      <c r="I325" s="401"/>
      <c r="J325" s="401"/>
      <c r="K325" s="401"/>
      <c r="L325" s="401"/>
      <c r="M325" s="401"/>
      <c r="N325" s="401"/>
      <c r="O325" s="401"/>
      <c r="P325" s="401"/>
      <c r="Q325" s="401"/>
      <c r="R325" s="401"/>
      <c r="S325" s="401"/>
      <c r="T325" s="401"/>
      <c r="U325" s="401"/>
      <c r="V325" s="401"/>
      <c r="W325" s="401"/>
      <c r="X325" s="401"/>
      <c r="Y325" s="401"/>
      <c r="Z325" s="401"/>
    </row>
    <row r="326">
      <c r="A326" s="401"/>
      <c r="B326" s="401"/>
      <c r="C326" s="401"/>
      <c r="D326" s="401"/>
      <c r="E326" s="401"/>
      <c r="F326" s="401"/>
      <c r="G326" s="401"/>
      <c r="H326" s="401"/>
      <c r="I326" s="401"/>
      <c r="J326" s="401"/>
      <c r="K326" s="401"/>
      <c r="L326" s="401"/>
      <c r="M326" s="401"/>
      <c r="N326" s="401"/>
      <c r="O326" s="401"/>
      <c r="P326" s="401"/>
      <c r="Q326" s="401"/>
      <c r="R326" s="401"/>
      <c r="S326" s="401"/>
      <c r="T326" s="401"/>
      <c r="U326" s="401"/>
      <c r="V326" s="401"/>
      <c r="W326" s="401"/>
      <c r="X326" s="401"/>
      <c r="Y326" s="401"/>
      <c r="Z326" s="401"/>
    </row>
    <row r="327">
      <c r="A327" s="401"/>
      <c r="B327" s="401"/>
      <c r="C327" s="401"/>
      <c r="D327" s="401"/>
      <c r="E327" s="401"/>
      <c r="F327" s="401"/>
      <c r="G327" s="401"/>
      <c r="H327" s="401"/>
      <c r="I327" s="401"/>
      <c r="J327" s="401"/>
      <c r="K327" s="401"/>
      <c r="L327" s="401"/>
      <c r="M327" s="401"/>
      <c r="N327" s="401"/>
      <c r="O327" s="401"/>
      <c r="P327" s="401"/>
      <c r="Q327" s="401"/>
      <c r="R327" s="401"/>
      <c r="S327" s="401"/>
      <c r="T327" s="401"/>
      <c r="U327" s="401"/>
      <c r="V327" s="401"/>
      <c r="W327" s="401"/>
      <c r="X327" s="401"/>
      <c r="Y327" s="401"/>
      <c r="Z327" s="401"/>
    </row>
    <row r="328">
      <c r="A328" s="401"/>
      <c r="B328" s="401"/>
      <c r="C328" s="401"/>
      <c r="D328" s="401"/>
      <c r="E328" s="401"/>
      <c r="F328" s="401"/>
      <c r="G328" s="401"/>
      <c r="H328" s="401"/>
      <c r="I328" s="401"/>
      <c r="J328" s="401"/>
      <c r="K328" s="401"/>
      <c r="L328" s="401"/>
      <c r="M328" s="401"/>
      <c r="N328" s="401"/>
      <c r="O328" s="401"/>
      <c r="P328" s="401"/>
      <c r="Q328" s="401"/>
      <c r="R328" s="401"/>
      <c r="S328" s="401"/>
      <c r="T328" s="401"/>
      <c r="U328" s="401"/>
      <c r="V328" s="401"/>
      <c r="W328" s="401"/>
      <c r="X328" s="401"/>
      <c r="Y328" s="401"/>
      <c r="Z328" s="401"/>
    </row>
    <row r="329">
      <c r="A329" s="401"/>
      <c r="B329" s="401"/>
      <c r="C329" s="401"/>
      <c r="D329" s="401"/>
      <c r="E329" s="401"/>
      <c r="F329" s="401"/>
      <c r="G329" s="401"/>
      <c r="H329" s="401"/>
      <c r="I329" s="401"/>
      <c r="J329" s="401"/>
      <c r="K329" s="401"/>
      <c r="L329" s="401"/>
      <c r="M329" s="401"/>
      <c r="N329" s="401"/>
      <c r="O329" s="401"/>
      <c r="P329" s="401"/>
      <c r="Q329" s="401"/>
      <c r="R329" s="401"/>
      <c r="S329" s="401"/>
      <c r="T329" s="401"/>
      <c r="U329" s="401"/>
      <c r="V329" s="401"/>
      <c r="W329" s="401"/>
      <c r="X329" s="401"/>
      <c r="Y329" s="401"/>
      <c r="Z329" s="401"/>
    </row>
    <row r="330">
      <c r="A330" s="401"/>
      <c r="B330" s="401"/>
      <c r="C330" s="401"/>
      <c r="D330" s="401"/>
      <c r="E330" s="401"/>
      <c r="F330" s="401"/>
      <c r="G330" s="401"/>
      <c r="H330" s="401"/>
      <c r="I330" s="401"/>
      <c r="J330" s="401"/>
      <c r="K330" s="401"/>
      <c r="L330" s="401"/>
      <c r="M330" s="401"/>
      <c r="N330" s="401"/>
      <c r="O330" s="401"/>
      <c r="P330" s="401"/>
      <c r="Q330" s="401"/>
      <c r="R330" s="401"/>
      <c r="S330" s="401"/>
      <c r="T330" s="401"/>
      <c r="U330" s="401"/>
      <c r="V330" s="401"/>
      <c r="W330" s="401"/>
      <c r="X330" s="401"/>
      <c r="Y330" s="401"/>
      <c r="Z330" s="401"/>
    </row>
    <row r="331">
      <c r="A331" s="401"/>
      <c r="B331" s="401"/>
      <c r="C331" s="401"/>
      <c r="D331" s="401"/>
      <c r="E331" s="401"/>
      <c r="F331" s="401"/>
      <c r="G331" s="401"/>
      <c r="H331" s="401"/>
      <c r="I331" s="401"/>
      <c r="J331" s="401"/>
      <c r="K331" s="401"/>
      <c r="L331" s="401"/>
      <c r="M331" s="401"/>
      <c r="N331" s="401"/>
      <c r="O331" s="401"/>
      <c r="P331" s="401"/>
      <c r="Q331" s="401"/>
      <c r="R331" s="401"/>
      <c r="S331" s="401"/>
      <c r="T331" s="401"/>
      <c r="U331" s="401"/>
      <c r="V331" s="401"/>
      <c r="W331" s="401"/>
      <c r="X331" s="401"/>
      <c r="Y331" s="401"/>
      <c r="Z331" s="401"/>
    </row>
    <row r="332">
      <c r="A332" s="401"/>
      <c r="B332" s="401"/>
      <c r="C332" s="401"/>
      <c r="D332" s="401"/>
      <c r="E332" s="401"/>
      <c r="F332" s="401"/>
      <c r="G332" s="401"/>
      <c r="H332" s="401"/>
      <c r="I332" s="401"/>
      <c r="J332" s="401"/>
      <c r="K332" s="401"/>
      <c r="L332" s="401"/>
      <c r="M332" s="401"/>
      <c r="N332" s="401"/>
      <c r="O332" s="401"/>
      <c r="P332" s="401"/>
      <c r="Q332" s="401"/>
      <c r="R332" s="401"/>
      <c r="S332" s="401"/>
      <c r="T332" s="401"/>
      <c r="U332" s="401"/>
      <c r="V332" s="401"/>
      <c r="W332" s="401"/>
      <c r="X332" s="401"/>
      <c r="Y332" s="401"/>
      <c r="Z332" s="401"/>
    </row>
    <row r="333">
      <c r="A333" s="401"/>
      <c r="B333" s="401"/>
      <c r="C333" s="401"/>
      <c r="D333" s="401"/>
      <c r="E333" s="401"/>
      <c r="F333" s="401"/>
      <c r="G333" s="401"/>
      <c r="H333" s="401"/>
      <c r="I333" s="401"/>
      <c r="J333" s="401"/>
      <c r="K333" s="401"/>
      <c r="L333" s="401"/>
      <c r="M333" s="401"/>
      <c r="N333" s="401"/>
      <c r="O333" s="401"/>
      <c r="P333" s="401"/>
      <c r="Q333" s="401"/>
      <c r="R333" s="401"/>
      <c r="S333" s="401"/>
      <c r="T333" s="401"/>
      <c r="U333" s="401"/>
      <c r="V333" s="401"/>
      <c r="W333" s="401"/>
      <c r="X333" s="401"/>
      <c r="Y333" s="401"/>
      <c r="Z333" s="401"/>
    </row>
    <row r="334">
      <c r="A334" s="401"/>
      <c r="B334" s="401"/>
      <c r="C334" s="401"/>
      <c r="D334" s="401"/>
      <c r="E334" s="401"/>
      <c r="F334" s="401"/>
      <c r="G334" s="401"/>
      <c r="H334" s="401"/>
      <c r="I334" s="401"/>
      <c r="J334" s="401"/>
      <c r="K334" s="401"/>
      <c r="L334" s="401"/>
      <c r="M334" s="401"/>
      <c r="N334" s="401"/>
      <c r="O334" s="401"/>
      <c r="P334" s="401"/>
      <c r="Q334" s="401"/>
      <c r="R334" s="401"/>
      <c r="S334" s="401"/>
      <c r="T334" s="401"/>
      <c r="U334" s="401"/>
      <c r="V334" s="401"/>
      <c r="W334" s="401"/>
      <c r="X334" s="401"/>
      <c r="Y334" s="401"/>
      <c r="Z334" s="401"/>
    </row>
    <row r="335">
      <c r="A335" s="401"/>
      <c r="B335" s="401"/>
      <c r="C335" s="401"/>
      <c r="D335" s="401"/>
      <c r="E335" s="401"/>
      <c r="F335" s="401"/>
      <c r="G335" s="401"/>
      <c r="H335" s="401"/>
      <c r="I335" s="401"/>
      <c r="J335" s="401"/>
      <c r="K335" s="401"/>
      <c r="L335" s="401"/>
      <c r="M335" s="401"/>
      <c r="N335" s="401"/>
      <c r="O335" s="401"/>
      <c r="P335" s="401"/>
      <c r="Q335" s="401"/>
      <c r="R335" s="401"/>
      <c r="S335" s="401"/>
      <c r="T335" s="401"/>
      <c r="U335" s="401"/>
      <c r="V335" s="401"/>
      <c r="W335" s="401"/>
      <c r="X335" s="401"/>
      <c r="Y335" s="401"/>
      <c r="Z335" s="401"/>
    </row>
    <row r="336">
      <c r="A336" s="401"/>
      <c r="B336" s="401"/>
      <c r="C336" s="401"/>
      <c r="D336" s="401"/>
      <c r="E336" s="401"/>
      <c r="F336" s="401"/>
      <c r="G336" s="401"/>
      <c r="H336" s="401"/>
      <c r="I336" s="401"/>
      <c r="J336" s="401"/>
      <c r="K336" s="401"/>
      <c r="L336" s="401"/>
      <c r="M336" s="401"/>
      <c r="N336" s="401"/>
      <c r="O336" s="401"/>
      <c r="P336" s="401"/>
      <c r="Q336" s="401"/>
      <c r="R336" s="401"/>
      <c r="S336" s="401"/>
      <c r="T336" s="401"/>
      <c r="U336" s="401"/>
      <c r="V336" s="401"/>
      <c r="W336" s="401"/>
      <c r="X336" s="401"/>
      <c r="Y336" s="401"/>
      <c r="Z336" s="401"/>
    </row>
    <row r="337">
      <c r="A337" s="401"/>
      <c r="B337" s="401"/>
      <c r="C337" s="401"/>
      <c r="D337" s="401"/>
      <c r="E337" s="401"/>
      <c r="F337" s="401"/>
      <c r="G337" s="401"/>
      <c r="H337" s="401"/>
      <c r="I337" s="401"/>
      <c r="J337" s="401"/>
      <c r="K337" s="401"/>
      <c r="L337" s="401"/>
      <c r="M337" s="401"/>
      <c r="N337" s="401"/>
      <c r="O337" s="401"/>
      <c r="P337" s="401"/>
      <c r="Q337" s="401"/>
      <c r="R337" s="401"/>
      <c r="S337" s="401"/>
      <c r="T337" s="401"/>
      <c r="U337" s="401"/>
      <c r="V337" s="401"/>
      <c r="W337" s="401"/>
      <c r="X337" s="401"/>
      <c r="Y337" s="401"/>
      <c r="Z337" s="401"/>
    </row>
    <row r="338">
      <c r="A338" s="401"/>
      <c r="B338" s="401"/>
      <c r="C338" s="401"/>
      <c r="D338" s="401"/>
      <c r="E338" s="401"/>
      <c r="F338" s="401"/>
      <c r="G338" s="401"/>
      <c r="H338" s="401"/>
      <c r="I338" s="401"/>
      <c r="J338" s="401"/>
      <c r="K338" s="401"/>
      <c r="L338" s="401"/>
      <c r="M338" s="401"/>
      <c r="N338" s="401"/>
      <c r="O338" s="401"/>
      <c r="P338" s="401"/>
      <c r="Q338" s="401"/>
      <c r="R338" s="401"/>
      <c r="S338" s="401"/>
      <c r="T338" s="401"/>
      <c r="U338" s="401"/>
      <c r="V338" s="401"/>
      <c r="W338" s="401"/>
      <c r="X338" s="401"/>
      <c r="Y338" s="401"/>
      <c r="Z338" s="401"/>
    </row>
    <row r="339">
      <c r="A339" s="401"/>
      <c r="B339" s="401"/>
      <c r="C339" s="401"/>
      <c r="D339" s="401"/>
      <c r="E339" s="401"/>
      <c r="F339" s="401"/>
      <c r="G339" s="401"/>
      <c r="H339" s="401"/>
      <c r="I339" s="401"/>
      <c r="J339" s="401"/>
      <c r="K339" s="401"/>
      <c r="L339" s="401"/>
      <c r="M339" s="401"/>
      <c r="N339" s="401"/>
      <c r="O339" s="401"/>
      <c r="P339" s="401"/>
      <c r="Q339" s="401"/>
      <c r="R339" s="401"/>
      <c r="S339" s="401"/>
      <c r="T339" s="401"/>
      <c r="U339" s="401"/>
      <c r="V339" s="401"/>
      <c r="W339" s="401"/>
      <c r="X339" s="401"/>
      <c r="Y339" s="401"/>
      <c r="Z339" s="401"/>
    </row>
    <row r="340">
      <c r="A340" s="401"/>
      <c r="B340" s="401"/>
      <c r="C340" s="401"/>
      <c r="D340" s="401"/>
      <c r="E340" s="401"/>
      <c r="F340" s="401"/>
      <c r="G340" s="401"/>
      <c r="H340" s="401"/>
      <c r="I340" s="401"/>
      <c r="J340" s="401"/>
      <c r="K340" s="401"/>
      <c r="L340" s="401"/>
      <c r="M340" s="401"/>
      <c r="N340" s="401"/>
      <c r="O340" s="401"/>
      <c r="P340" s="401"/>
      <c r="Q340" s="401"/>
      <c r="R340" s="401"/>
      <c r="S340" s="401"/>
      <c r="T340" s="401"/>
      <c r="U340" s="401"/>
      <c r="V340" s="401"/>
      <c r="W340" s="401"/>
      <c r="X340" s="401"/>
      <c r="Y340" s="401"/>
      <c r="Z340" s="401"/>
    </row>
    <row r="341">
      <c r="A341" s="401"/>
      <c r="B341" s="401"/>
      <c r="C341" s="401"/>
      <c r="D341" s="401"/>
      <c r="E341" s="401"/>
      <c r="F341" s="401"/>
      <c r="G341" s="401"/>
      <c r="H341" s="401"/>
      <c r="I341" s="401"/>
      <c r="J341" s="401"/>
      <c r="K341" s="401"/>
      <c r="L341" s="401"/>
      <c r="M341" s="401"/>
      <c r="N341" s="401"/>
      <c r="O341" s="401"/>
      <c r="P341" s="401"/>
      <c r="Q341" s="401"/>
      <c r="R341" s="401"/>
      <c r="S341" s="401"/>
      <c r="T341" s="401"/>
      <c r="U341" s="401"/>
      <c r="V341" s="401"/>
      <c r="W341" s="401"/>
      <c r="X341" s="401"/>
      <c r="Y341" s="401"/>
      <c r="Z341" s="401"/>
    </row>
    <row r="342">
      <c r="A342" s="401"/>
      <c r="B342" s="401"/>
      <c r="C342" s="401"/>
      <c r="D342" s="401"/>
      <c r="E342" s="401"/>
      <c r="F342" s="401"/>
      <c r="G342" s="401"/>
      <c r="H342" s="401"/>
      <c r="I342" s="401"/>
      <c r="J342" s="401"/>
      <c r="K342" s="401"/>
      <c r="L342" s="401"/>
      <c r="M342" s="401"/>
      <c r="N342" s="401"/>
      <c r="O342" s="401"/>
      <c r="P342" s="401"/>
      <c r="Q342" s="401"/>
      <c r="R342" s="401"/>
      <c r="S342" s="401"/>
      <c r="T342" s="401"/>
      <c r="U342" s="401"/>
      <c r="V342" s="401"/>
      <c r="W342" s="401"/>
      <c r="X342" s="401"/>
      <c r="Y342" s="401"/>
      <c r="Z342" s="401"/>
    </row>
    <row r="343">
      <c r="A343" s="401"/>
      <c r="B343" s="401"/>
      <c r="C343" s="401"/>
      <c r="D343" s="401"/>
      <c r="E343" s="401"/>
      <c r="F343" s="401"/>
      <c r="G343" s="401"/>
      <c r="H343" s="401"/>
      <c r="I343" s="401"/>
      <c r="J343" s="401"/>
      <c r="K343" s="401"/>
      <c r="L343" s="401"/>
      <c r="M343" s="401"/>
      <c r="N343" s="401"/>
      <c r="O343" s="401"/>
      <c r="P343" s="401"/>
      <c r="Q343" s="401"/>
      <c r="R343" s="401"/>
      <c r="S343" s="401"/>
      <c r="T343" s="401"/>
      <c r="U343" s="401"/>
      <c r="V343" s="401"/>
      <c r="W343" s="401"/>
      <c r="X343" s="401"/>
      <c r="Y343" s="401"/>
      <c r="Z343" s="401"/>
    </row>
    <row r="344">
      <c r="A344" s="401"/>
      <c r="B344" s="401"/>
      <c r="C344" s="401"/>
      <c r="D344" s="401"/>
      <c r="E344" s="401"/>
      <c r="F344" s="401"/>
      <c r="G344" s="401"/>
      <c r="H344" s="401"/>
      <c r="I344" s="401"/>
      <c r="J344" s="401"/>
      <c r="K344" s="401"/>
      <c r="L344" s="401"/>
      <c r="M344" s="401"/>
      <c r="N344" s="401"/>
      <c r="O344" s="401"/>
      <c r="P344" s="401"/>
      <c r="Q344" s="401"/>
      <c r="R344" s="401"/>
      <c r="S344" s="401"/>
      <c r="T344" s="401"/>
      <c r="U344" s="401"/>
      <c r="V344" s="401"/>
      <c r="W344" s="401"/>
      <c r="X344" s="401"/>
      <c r="Y344" s="401"/>
      <c r="Z344" s="401"/>
    </row>
    <row r="345">
      <c r="A345" s="401"/>
      <c r="B345" s="401"/>
      <c r="C345" s="401"/>
      <c r="D345" s="401"/>
      <c r="E345" s="401"/>
      <c r="F345" s="401"/>
      <c r="G345" s="401"/>
      <c r="H345" s="401"/>
      <c r="I345" s="401"/>
      <c r="J345" s="401"/>
      <c r="K345" s="401"/>
      <c r="L345" s="401"/>
      <c r="M345" s="401"/>
      <c r="N345" s="401"/>
      <c r="O345" s="401"/>
      <c r="P345" s="401"/>
      <c r="Q345" s="401"/>
      <c r="R345" s="401"/>
      <c r="S345" s="401"/>
      <c r="T345" s="401"/>
      <c r="U345" s="401"/>
      <c r="V345" s="401"/>
      <c r="W345" s="401"/>
      <c r="X345" s="401"/>
      <c r="Y345" s="401"/>
      <c r="Z345" s="401"/>
    </row>
    <row r="346">
      <c r="A346" s="401"/>
      <c r="B346" s="401"/>
      <c r="C346" s="401"/>
      <c r="D346" s="401"/>
      <c r="E346" s="401"/>
      <c r="F346" s="401"/>
      <c r="G346" s="401"/>
      <c r="H346" s="401"/>
      <c r="I346" s="401"/>
      <c r="J346" s="401"/>
      <c r="K346" s="401"/>
      <c r="L346" s="401"/>
      <c r="M346" s="401"/>
      <c r="N346" s="401"/>
      <c r="O346" s="401"/>
      <c r="P346" s="401"/>
      <c r="Q346" s="401"/>
      <c r="R346" s="401"/>
      <c r="S346" s="401"/>
      <c r="T346" s="401"/>
      <c r="U346" s="401"/>
      <c r="V346" s="401"/>
      <c r="W346" s="401"/>
      <c r="X346" s="401"/>
      <c r="Y346" s="401"/>
      <c r="Z346" s="401"/>
    </row>
    <row r="347">
      <c r="A347" s="401"/>
      <c r="B347" s="401"/>
      <c r="C347" s="401"/>
      <c r="D347" s="401"/>
      <c r="E347" s="401"/>
      <c r="F347" s="401"/>
      <c r="G347" s="401"/>
      <c r="H347" s="401"/>
      <c r="I347" s="401"/>
      <c r="J347" s="401"/>
      <c r="K347" s="401"/>
      <c r="L347" s="401"/>
      <c r="M347" s="401"/>
      <c r="N347" s="401"/>
      <c r="O347" s="401"/>
      <c r="P347" s="401"/>
      <c r="Q347" s="401"/>
      <c r="R347" s="401"/>
      <c r="S347" s="401"/>
      <c r="T347" s="401"/>
      <c r="U347" s="401"/>
      <c r="V347" s="401"/>
      <c r="W347" s="401"/>
      <c r="X347" s="401"/>
      <c r="Y347" s="401"/>
      <c r="Z347" s="401"/>
    </row>
    <row r="348">
      <c r="A348" s="401"/>
      <c r="B348" s="401"/>
      <c r="C348" s="401"/>
      <c r="D348" s="401"/>
      <c r="E348" s="401"/>
      <c r="F348" s="401"/>
      <c r="G348" s="401"/>
      <c r="H348" s="401"/>
      <c r="I348" s="401"/>
      <c r="J348" s="401"/>
      <c r="K348" s="401"/>
      <c r="L348" s="401"/>
      <c r="M348" s="401"/>
      <c r="N348" s="401"/>
      <c r="O348" s="401"/>
      <c r="P348" s="401"/>
      <c r="Q348" s="401"/>
      <c r="R348" s="401"/>
      <c r="S348" s="401"/>
      <c r="T348" s="401"/>
      <c r="U348" s="401"/>
      <c r="V348" s="401"/>
      <c r="W348" s="401"/>
      <c r="X348" s="401"/>
      <c r="Y348" s="401"/>
      <c r="Z348" s="401"/>
    </row>
    <row r="349">
      <c r="A349" s="401"/>
      <c r="B349" s="401"/>
      <c r="C349" s="401"/>
      <c r="D349" s="401"/>
      <c r="E349" s="401"/>
      <c r="F349" s="401"/>
      <c r="G349" s="401"/>
      <c r="H349" s="401"/>
      <c r="I349" s="401"/>
      <c r="J349" s="401"/>
      <c r="K349" s="401"/>
      <c r="L349" s="401"/>
      <c r="M349" s="401"/>
      <c r="N349" s="401"/>
      <c r="O349" s="401"/>
      <c r="P349" s="401"/>
      <c r="Q349" s="401"/>
      <c r="R349" s="401"/>
      <c r="S349" s="401"/>
      <c r="T349" s="401"/>
      <c r="U349" s="401"/>
      <c r="V349" s="401"/>
      <c r="W349" s="401"/>
      <c r="X349" s="401"/>
      <c r="Y349" s="401"/>
      <c r="Z349" s="401"/>
    </row>
    <row r="350">
      <c r="A350" s="401"/>
      <c r="B350" s="401"/>
      <c r="C350" s="401"/>
      <c r="D350" s="401"/>
      <c r="E350" s="401"/>
      <c r="F350" s="401"/>
      <c r="G350" s="401"/>
      <c r="H350" s="401"/>
      <c r="I350" s="401"/>
      <c r="J350" s="401"/>
      <c r="K350" s="401"/>
      <c r="L350" s="401"/>
      <c r="M350" s="401"/>
      <c r="N350" s="401"/>
      <c r="O350" s="401"/>
      <c r="P350" s="401"/>
      <c r="Q350" s="401"/>
      <c r="R350" s="401"/>
      <c r="S350" s="401"/>
      <c r="T350" s="401"/>
      <c r="U350" s="401"/>
      <c r="V350" s="401"/>
      <c r="W350" s="401"/>
      <c r="X350" s="401"/>
      <c r="Y350" s="401"/>
      <c r="Z350" s="401"/>
    </row>
    <row r="351">
      <c r="A351" s="401"/>
      <c r="B351" s="401"/>
      <c r="C351" s="401"/>
      <c r="D351" s="401"/>
      <c r="E351" s="401"/>
      <c r="F351" s="401"/>
      <c r="G351" s="401"/>
      <c r="H351" s="401"/>
      <c r="I351" s="401"/>
      <c r="J351" s="401"/>
      <c r="K351" s="401"/>
      <c r="L351" s="401"/>
      <c r="M351" s="401"/>
      <c r="N351" s="401"/>
      <c r="O351" s="401"/>
      <c r="P351" s="401"/>
      <c r="Q351" s="401"/>
      <c r="R351" s="401"/>
      <c r="S351" s="401"/>
      <c r="T351" s="401"/>
      <c r="U351" s="401"/>
      <c r="V351" s="401"/>
      <c r="W351" s="401"/>
      <c r="X351" s="401"/>
      <c r="Y351" s="401"/>
      <c r="Z351" s="401"/>
    </row>
    <row r="352">
      <c r="A352" s="401"/>
      <c r="B352" s="401"/>
      <c r="C352" s="401"/>
      <c r="D352" s="401"/>
      <c r="E352" s="401"/>
      <c r="F352" s="401"/>
      <c r="G352" s="401"/>
      <c r="H352" s="401"/>
      <c r="I352" s="401"/>
      <c r="J352" s="401"/>
      <c r="K352" s="401"/>
      <c r="L352" s="401"/>
      <c r="M352" s="401"/>
      <c r="N352" s="401"/>
      <c r="O352" s="401"/>
      <c r="P352" s="401"/>
      <c r="Q352" s="401"/>
      <c r="R352" s="401"/>
      <c r="S352" s="401"/>
      <c r="T352" s="401"/>
      <c r="U352" s="401"/>
      <c r="V352" s="401"/>
      <c r="W352" s="401"/>
      <c r="X352" s="401"/>
      <c r="Y352" s="401"/>
      <c r="Z352" s="401"/>
    </row>
    <row r="353">
      <c r="A353" s="401"/>
      <c r="B353" s="401"/>
      <c r="C353" s="401"/>
      <c r="D353" s="401"/>
      <c r="E353" s="401"/>
      <c r="F353" s="401"/>
      <c r="G353" s="401"/>
      <c r="H353" s="401"/>
      <c r="I353" s="401"/>
      <c r="J353" s="401"/>
      <c r="K353" s="401"/>
      <c r="L353" s="401"/>
      <c r="M353" s="401"/>
      <c r="N353" s="401"/>
      <c r="O353" s="401"/>
      <c r="P353" s="401"/>
      <c r="Q353" s="401"/>
      <c r="R353" s="401"/>
      <c r="S353" s="401"/>
      <c r="T353" s="401"/>
      <c r="U353" s="401"/>
      <c r="V353" s="401"/>
      <c r="W353" s="401"/>
      <c r="X353" s="401"/>
      <c r="Y353" s="401"/>
      <c r="Z353" s="401"/>
    </row>
    <row r="354">
      <c r="A354" s="401"/>
      <c r="B354" s="401"/>
      <c r="C354" s="401"/>
      <c r="D354" s="401"/>
      <c r="E354" s="401"/>
      <c r="F354" s="401"/>
      <c r="G354" s="401"/>
      <c r="H354" s="401"/>
      <c r="I354" s="401"/>
      <c r="J354" s="401"/>
      <c r="K354" s="401"/>
      <c r="L354" s="401"/>
      <c r="M354" s="401"/>
      <c r="N354" s="401"/>
      <c r="O354" s="401"/>
      <c r="P354" s="401"/>
      <c r="Q354" s="401"/>
      <c r="R354" s="401"/>
      <c r="S354" s="401"/>
      <c r="T354" s="401"/>
      <c r="U354" s="401"/>
      <c r="V354" s="401"/>
      <c r="W354" s="401"/>
      <c r="X354" s="401"/>
      <c r="Y354" s="401"/>
      <c r="Z354" s="401"/>
    </row>
    <row r="355">
      <c r="A355" s="401"/>
      <c r="B355" s="401"/>
      <c r="C355" s="401"/>
      <c r="D355" s="401"/>
      <c r="E355" s="401"/>
      <c r="F355" s="401"/>
      <c r="G355" s="401"/>
      <c r="H355" s="401"/>
      <c r="I355" s="401"/>
      <c r="J355" s="401"/>
      <c r="K355" s="401"/>
      <c r="L355" s="401"/>
      <c r="M355" s="401"/>
      <c r="N355" s="401"/>
      <c r="O355" s="401"/>
      <c r="P355" s="401"/>
      <c r="Q355" s="401"/>
      <c r="R355" s="401"/>
      <c r="S355" s="401"/>
      <c r="T355" s="401"/>
      <c r="U355" s="401"/>
      <c r="V355" s="401"/>
      <c r="W355" s="401"/>
      <c r="X355" s="401"/>
      <c r="Y355" s="401"/>
      <c r="Z355" s="401"/>
    </row>
    <row r="356">
      <c r="A356" s="401"/>
      <c r="B356" s="401"/>
      <c r="C356" s="401"/>
      <c r="D356" s="401"/>
      <c r="E356" s="401"/>
      <c r="F356" s="401"/>
      <c r="G356" s="401"/>
      <c r="H356" s="401"/>
      <c r="I356" s="401"/>
      <c r="J356" s="401"/>
      <c r="K356" s="401"/>
      <c r="L356" s="401"/>
      <c r="M356" s="401"/>
      <c r="N356" s="401"/>
      <c r="O356" s="401"/>
      <c r="P356" s="401"/>
      <c r="Q356" s="401"/>
      <c r="R356" s="401"/>
      <c r="S356" s="401"/>
      <c r="T356" s="401"/>
      <c r="U356" s="401"/>
      <c r="V356" s="401"/>
      <c r="W356" s="401"/>
      <c r="X356" s="401"/>
      <c r="Y356" s="401"/>
      <c r="Z356" s="401"/>
    </row>
    <row r="357">
      <c r="A357" s="401"/>
      <c r="B357" s="401"/>
      <c r="C357" s="401"/>
      <c r="D357" s="401"/>
      <c r="E357" s="401"/>
      <c r="F357" s="401"/>
      <c r="G357" s="401"/>
      <c r="H357" s="401"/>
      <c r="I357" s="401"/>
      <c r="J357" s="401"/>
      <c r="K357" s="401"/>
      <c r="L357" s="401"/>
      <c r="M357" s="401"/>
      <c r="N357" s="401"/>
      <c r="O357" s="401"/>
      <c r="P357" s="401"/>
      <c r="Q357" s="401"/>
      <c r="R357" s="401"/>
      <c r="S357" s="401"/>
      <c r="T357" s="401"/>
      <c r="U357" s="401"/>
      <c r="V357" s="401"/>
      <c r="W357" s="401"/>
      <c r="X357" s="401"/>
      <c r="Y357" s="401"/>
      <c r="Z357" s="401"/>
    </row>
    <row r="358">
      <c r="A358" s="401"/>
      <c r="B358" s="401"/>
      <c r="C358" s="401"/>
      <c r="D358" s="401"/>
      <c r="E358" s="401"/>
      <c r="F358" s="401"/>
      <c r="G358" s="401"/>
      <c r="H358" s="401"/>
      <c r="I358" s="401"/>
      <c r="J358" s="401"/>
      <c r="K358" s="401"/>
      <c r="L358" s="401"/>
      <c r="M358" s="401"/>
      <c r="N358" s="401"/>
      <c r="O358" s="401"/>
      <c r="P358" s="401"/>
      <c r="Q358" s="401"/>
      <c r="R358" s="401"/>
      <c r="S358" s="401"/>
      <c r="T358" s="401"/>
      <c r="U358" s="401"/>
      <c r="V358" s="401"/>
      <c r="W358" s="401"/>
      <c r="X358" s="401"/>
      <c r="Y358" s="401"/>
      <c r="Z358" s="401"/>
    </row>
    <row r="359">
      <c r="A359" s="401"/>
      <c r="B359" s="401"/>
      <c r="C359" s="401"/>
      <c r="D359" s="401"/>
      <c r="E359" s="401"/>
      <c r="F359" s="401"/>
      <c r="G359" s="401"/>
      <c r="H359" s="401"/>
      <c r="I359" s="401"/>
      <c r="J359" s="401"/>
      <c r="K359" s="401"/>
      <c r="L359" s="401"/>
      <c r="M359" s="401"/>
      <c r="N359" s="401"/>
      <c r="O359" s="401"/>
      <c r="P359" s="401"/>
      <c r="Q359" s="401"/>
      <c r="R359" s="401"/>
      <c r="S359" s="401"/>
      <c r="T359" s="401"/>
      <c r="U359" s="401"/>
      <c r="V359" s="401"/>
      <c r="W359" s="401"/>
      <c r="X359" s="401"/>
      <c r="Y359" s="401"/>
      <c r="Z359" s="401"/>
    </row>
    <row r="360">
      <c r="A360" s="401"/>
      <c r="B360" s="401"/>
      <c r="C360" s="401"/>
      <c r="D360" s="401"/>
      <c r="E360" s="401"/>
      <c r="F360" s="401"/>
      <c r="G360" s="401"/>
      <c r="H360" s="401"/>
      <c r="I360" s="401"/>
      <c r="J360" s="401"/>
      <c r="K360" s="401"/>
      <c r="L360" s="401"/>
      <c r="M360" s="401"/>
      <c r="N360" s="401"/>
      <c r="O360" s="401"/>
      <c r="P360" s="401"/>
      <c r="Q360" s="401"/>
      <c r="R360" s="401"/>
      <c r="S360" s="401"/>
      <c r="T360" s="401"/>
      <c r="U360" s="401"/>
      <c r="V360" s="401"/>
      <c r="W360" s="401"/>
      <c r="X360" s="401"/>
      <c r="Y360" s="401"/>
      <c r="Z360" s="401"/>
    </row>
    <row r="361">
      <c r="A361" s="401"/>
      <c r="B361" s="401"/>
      <c r="C361" s="401"/>
      <c r="D361" s="401"/>
      <c r="E361" s="401"/>
      <c r="F361" s="401"/>
      <c r="G361" s="401"/>
      <c r="H361" s="401"/>
      <c r="I361" s="401"/>
      <c r="J361" s="401"/>
      <c r="K361" s="401"/>
      <c r="L361" s="401"/>
      <c r="M361" s="401"/>
      <c r="N361" s="401"/>
      <c r="O361" s="401"/>
      <c r="P361" s="401"/>
      <c r="Q361" s="401"/>
      <c r="R361" s="401"/>
      <c r="S361" s="401"/>
      <c r="T361" s="401"/>
      <c r="U361" s="401"/>
      <c r="V361" s="401"/>
      <c r="W361" s="401"/>
      <c r="X361" s="401"/>
      <c r="Y361" s="401"/>
      <c r="Z361" s="401"/>
    </row>
    <row r="362">
      <c r="A362" s="401"/>
      <c r="B362" s="401"/>
      <c r="C362" s="401"/>
      <c r="D362" s="401"/>
      <c r="E362" s="401"/>
      <c r="F362" s="401"/>
      <c r="G362" s="401"/>
      <c r="H362" s="401"/>
      <c r="I362" s="401"/>
      <c r="J362" s="401"/>
      <c r="K362" s="401"/>
      <c r="L362" s="401"/>
      <c r="M362" s="401"/>
      <c r="N362" s="401"/>
      <c r="O362" s="401"/>
      <c r="P362" s="401"/>
      <c r="Q362" s="401"/>
      <c r="R362" s="401"/>
      <c r="S362" s="401"/>
      <c r="T362" s="401"/>
      <c r="U362" s="401"/>
      <c r="V362" s="401"/>
      <c r="W362" s="401"/>
      <c r="X362" s="401"/>
      <c r="Y362" s="401"/>
      <c r="Z362" s="401"/>
    </row>
    <row r="363">
      <c r="A363" s="401"/>
      <c r="B363" s="401"/>
      <c r="C363" s="401"/>
      <c r="D363" s="401"/>
      <c r="E363" s="401"/>
      <c r="F363" s="401"/>
      <c r="G363" s="401"/>
      <c r="H363" s="401"/>
      <c r="I363" s="401"/>
      <c r="J363" s="401"/>
      <c r="K363" s="401"/>
      <c r="L363" s="401"/>
      <c r="M363" s="401"/>
      <c r="N363" s="401"/>
      <c r="O363" s="401"/>
      <c r="P363" s="401"/>
      <c r="Q363" s="401"/>
      <c r="R363" s="401"/>
      <c r="S363" s="401"/>
      <c r="T363" s="401"/>
      <c r="U363" s="401"/>
      <c r="V363" s="401"/>
      <c r="W363" s="401"/>
      <c r="X363" s="401"/>
      <c r="Y363" s="401"/>
      <c r="Z363" s="401"/>
    </row>
    <row r="364">
      <c r="A364" s="401"/>
      <c r="B364" s="401"/>
      <c r="C364" s="401"/>
      <c r="D364" s="401"/>
      <c r="E364" s="401"/>
      <c r="F364" s="401"/>
      <c r="G364" s="401"/>
      <c r="H364" s="401"/>
      <c r="I364" s="401"/>
      <c r="J364" s="401"/>
      <c r="K364" s="401"/>
      <c r="L364" s="401"/>
      <c r="M364" s="401"/>
      <c r="N364" s="401"/>
      <c r="O364" s="401"/>
      <c r="P364" s="401"/>
      <c r="Q364" s="401"/>
      <c r="R364" s="401"/>
      <c r="S364" s="401"/>
      <c r="T364" s="401"/>
      <c r="U364" s="401"/>
      <c r="V364" s="401"/>
      <c r="W364" s="401"/>
      <c r="X364" s="401"/>
      <c r="Y364" s="401"/>
      <c r="Z364" s="401"/>
    </row>
    <row r="365">
      <c r="A365" s="401"/>
      <c r="B365" s="401"/>
      <c r="C365" s="401"/>
      <c r="D365" s="401"/>
      <c r="E365" s="401"/>
      <c r="F365" s="401"/>
      <c r="G365" s="401"/>
      <c r="H365" s="401"/>
      <c r="I365" s="401"/>
      <c r="J365" s="401"/>
      <c r="K365" s="401"/>
      <c r="L365" s="401"/>
      <c r="M365" s="401"/>
      <c r="N365" s="401"/>
      <c r="O365" s="401"/>
      <c r="P365" s="401"/>
      <c r="Q365" s="401"/>
      <c r="R365" s="401"/>
      <c r="S365" s="401"/>
      <c r="T365" s="401"/>
      <c r="U365" s="401"/>
      <c r="V365" s="401"/>
      <c r="W365" s="401"/>
      <c r="X365" s="401"/>
      <c r="Y365" s="401"/>
      <c r="Z365" s="401"/>
    </row>
    <row r="366">
      <c r="A366" s="401"/>
      <c r="B366" s="401"/>
      <c r="C366" s="401"/>
      <c r="D366" s="401"/>
      <c r="E366" s="401"/>
      <c r="F366" s="401"/>
      <c r="G366" s="401"/>
      <c r="H366" s="401"/>
      <c r="I366" s="401"/>
      <c r="J366" s="401"/>
      <c r="K366" s="401"/>
      <c r="L366" s="401"/>
      <c r="M366" s="401"/>
      <c r="N366" s="401"/>
      <c r="O366" s="401"/>
      <c r="P366" s="401"/>
      <c r="Q366" s="401"/>
      <c r="R366" s="401"/>
      <c r="S366" s="401"/>
      <c r="T366" s="401"/>
      <c r="U366" s="401"/>
      <c r="V366" s="401"/>
      <c r="W366" s="401"/>
      <c r="X366" s="401"/>
      <c r="Y366" s="401"/>
      <c r="Z366" s="401"/>
    </row>
    <row r="367">
      <c r="A367" s="401"/>
      <c r="B367" s="401"/>
      <c r="C367" s="401"/>
      <c r="D367" s="401"/>
      <c r="E367" s="401"/>
      <c r="F367" s="401"/>
      <c r="G367" s="401"/>
      <c r="H367" s="401"/>
      <c r="I367" s="401"/>
      <c r="J367" s="401"/>
      <c r="K367" s="401"/>
      <c r="L367" s="401"/>
      <c r="M367" s="401"/>
      <c r="N367" s="401"/>
      <c r="O367" s="401"/>
      <c r="P367" s="401"/>
      <c r="Q367" s="401"/>
      <c r="R367" s="401"/>
      <c r="S367" s="401"/>
      <c r="T367" s="401"/>
      <c r="U367" s="401"/>
      <c r="V367" s="401"/>
      <c r="W367" s="401"/>
      <c r="X367" s="401"/>
      <c r="Y367" s="401"/>
      <c r="Z367" s="401"/>
    </row>
    <row r="368">
      <c r="A368" s="401"/>
      <c r="B368" s="401"/>
      <c r="C368" s="401"/>
      <c r="D368" s="401"/>
      <c r="E368" s="401"/>
      <c r="F368" s="401"/>
      <c r="G368" s="401"/>
      <c r="H368" s="401"/>
      <c r="I368" s="401"/>
      <c r="J368" s="401"/>
      <c r="K368" s="401"/>
      <c r="L368" s="401"/>
      <c r="M368" s="401"/>
      <c r="N368" s="401"/>
      <c r="O368" s="401"/>
      <c r="P368" s="401"/>
      <c r="Q368" s="401"/>
      <c r="R368" s="401"/>
      <c r="S368" s="401"/>
      <c r="T368" s="401"/>
      <c r="U368" s="401"/>
      <c r="V368" s="401"/>
      <c r="W368" s="401"/>
      <c r="X368" s="401"/>
      <c r="Y368" s="401"/>
      <c r="Z368" s="401"/>
    </row>
    <row r="369">
      <c r="A369" s="401"/>
      <c r="B369" s="401"/>
      <c r="C369" s="401"/>
      <c r="D369" s="401"/>
      <c r="E369" s="401"/>
      <c r="F369" s="401"/>
      <c r="G369" s="401"/>
      <c r="H369" s="401"/>
      <c r="I369" s="401"/>
      <c r="J369" s="401"/>
      <c r="K369" s="401"/>
      <c r="L369" s="401"/>
      <c r="M369" s="401"/>
      <c r="N369" s="401"/>
      <c r="O369" s="401"/>
      <c r="P369" s="401"/>
      <c r="Q369" s="401"/>
      <c r="R369" s="401"/>
      <c r="S369" s="401"/>
      <c r="T369" s="401"/>
      <c r="U369" s="401"/>
      <c r="V369" s="401"/>
      <c r="W369" s="401"/>
      <c r="X369" s="401"/>
      <c r="Y369" s="401"/>
      <c r="Z369" s="401"/>
    </row>
    <row r="370">
      <c r="A370" s="401"/>
      <c r="B370" s="401"/>
      <c r="C370" s="401"/>
      <c r="D370" s="401"/>
      <c r="E370" s="401"/>
      <c r="F370" s="401"/>
      <c r="G370" s="401"/>
      <c r="H370" s="401"/>
      <c r="I370" s="401"/>
      <c r="J370" s="401"/>
      <c r="K370" s="401"/>
      <c r="L370" s="401"/>
      <c r="M370" s="401"/>
      <c r="N370" s="401"/>
      <c r="O370" s="401"/>
      <c r="P370" s="401"/>
      <c r="Q370" s="401"/>
      <c r="R370" s="401"/>
      <c r="S370" s="401"/>
      <c r="T370" s="401"/>
      <c r="U370" s="401"/>
      <c r="V370" s="401"/>
      <c r="W370" s="401"/>
      <c r="X370" s="401"/>
      <c r="Y370" s="401"/>
      <c r="Z370" s="401"/>
    </row>
    <row r="371">
      <c r="A371" s="401"/>
      <c r="B371" s="401"/>
      <c r="C371" s="401"/>
      <c r="D371" s="401"/>
      <c r="E371" s="401"/>
      <c r="F371" s="401"/>
      <c r="G371" s="401"/>
      <c r="H371" s="401"/>
      <c r="I371" s="401"/>
      <c r="J371" s="401"/>
      <c r="K371" s="401"/>
      <c r="L371" s="401"/>
      <c r="M371" s="401"/>
      <c r="N371" s="401"/>
      <c r="O371" s="401"/>
      <c r="P371" s="401"/>
      <c r="Q371" s="401"/>
      <c r="R371" s="401"/>
      <c r="S371" s="401"/>
      <c r="T371" s="401"/>
      <c r="U371" s="401"/>
      <c r="V371" s="401"/>
      <c r="W371" s="401"/>
      <c r="X371" s="401"/>
      <c r="Y371" s="401"/>
      <c r="Z371" s="401"/>
    </row>
    <row r="372">
      <c r="A372" s="401"/>
      <c r="B372" s="401"/>
      <c r="C372" s="401"/>
      <c r="D372" s="401"/>
      <c r="E372" s="401"/>
      <c r="F372" s="401"/>
      <c r="G372" s="401"/>
      <c r="H372" s="401"/>
      <c r="I372" s="401"/>
      <c r="J372" s="401"/>
      <c r="K372" s="401"/>
      <c r="L372" s="401"/>
      <c r="M372" s="401"/>
      <c r="N372" s="401"/>
      <c r="O372" s="401"/>
      <c r="P372" s="401"/>
      <c r="Q372" s="401"/>
      <c r="R372" s="401"/>
      <c r="S372" s="401"/>
      <c r="T372" s="401"/>
      <c r="U372" s="401"/>
      <c r="V372" s="401"/>
      <c r="W372" s="401"/>
      <c r="X372" s="401"/>
      <c r="Y372" s="401"/>
      <c r="Z372" s="401"/>
    </row>
    <row r="373">
      <c r="A373" s="401"/>
      <c r="B373" s="401"/>
      <c r="C373" s="401"/>
      <c r="D373" s="401"/>
      <c r="E373" s="401"/>
      <c r="F373" s="401"/>
      <c r="G373" s="401"/>
      <c r="H373" s="401"/>
      <c r="I373" s="401"/>
      <c r="J373" s="401"/>
      <c r="K373" s="401"/>
      <c r="L373" s="401"/>
      <c r="M373" s="401"/>
      <c r="N373" s="401"/>
      <c r="O373" s="401"/>
      <c r="P373" s="401"/>
      <c r="Q373" s="401"/>
      <c r="R373" s="401"/>
      <c r="S373" s="401"/>
      <c r="T373" s="401"/>
      <c r="U373" s="401"/>
      <c r="V373" s="401"/>
      <c r="W373" s="401"/>
      <c r="X373" s="401"/>
      <c r="Y373" s="401"/>
      <c r="Z373" s="401"/>
    </row>
    <row r="374">
      <c r="A374" s="401"/>
      <c r="B374" s="401"/>
      <c r="C374" s="401"/>
      <c r="D374" s="401"/>
      <c r="E374" s="401"/>
      <c r="F374" s="401"/>
      <c r="G374" s="401"/>
      <c r="H374" s="401"/>
      <c r="I374" s="401"/>
      <c r="J374" s="401"/>
      <c r="K374" s="401"/>
      <c r="L374" s="401"/>
      <c r="M374" s="401"/>
      <c r="N374" s="401"/>
      <c r="O374" s="401"/>
      <c r="P374" s="401"/>
      <c r="Q374" s="401"/>
      <c r="R374" s="401"/>
      <c r="S374" s="401"/>
      <c r="T374" s="401"/>
      <c r="U374" s="401"/>
      <c r="V374" s="401"/>
      <c r="W374" s="401"/>
      <c r="X374" s="401"/>
      <c r="Y374" s="401"/>
      <c r="Z374" s="401"/>
    </row>
    <row r="375">
      <c r="A375" s="401"/>
      <c r="B375" s="401"/>
      <c r="C375" s="401"/>
      <c r="D375" s="401"/>
      <c r="E375" s="401"/>
      <c r="F375" s="401"/>
      <c r="G375" s="401"/>
      <c r="H375" s="401"/>
      <c r="I375" s="401"/>
      <c r="J375" s="401"/>
      <c r="K375" s="401"/>
      <c r="L375" s="401"/>
      <c r="M375" s="401"/>
      <c r="N375" s="401"/>
      <c r="O375" s="401"/>
      <c r="P375" s="401"/>
      <c r="Q375" s="401"/>
      <c r="R375" s="401"/>
      <c r="S375" s="401"/>
      <c r="T375" s="401"/>
      <c r="U375" s="401"/>
      <c r="V375" s="401"/>
      <c r="W375" s="401"/>
      <c r="X375" s="401"/>
      <c r="Y375" s="401"/>
      <c r="Z375" s="401"/>
    </row>
    <row r="376">
      <c r="A376" s="401"/>
      <c r="B376" s="401"/>
      <c r="C376" s="401"/>
      <c r="D376" s="401"/>
      <c r="E376" s="401"/>
      <c r="F376" s="401"/>
      <c r="G376" s="401"/>
      <c r="H376" s="401"/>
      <c r="I376" s="401"/>
      <c r="J376" s="401"/>
      <c r="K376" s="401"/>
      <c r="L376" s="401"/>
      <c r="M376" s="401"/>
      <c r="N376" s="401"/>
      <c r="O376" s="401"/>
      <c r="P376" s="401"/>
      <c r="Q376" s="401"/>
      <c r="R376" s="401"/>
      <c r="S376" s="401"/>
      <c r="T376" s="401"/>
      <c r="U376" s="401"/>
      <c r="V376" s="401"/>
      <c r="W376" s="401"/>
      <c r="X376" s="401"/>
      <c r="Y376" s="401"/>
      <c r="Z376" s="401"/>
    </row>
    <row r="377">
      <c r="A377" s="401"/>
      <c r="B377" s="401"/>
      <c r="C377" s="401"/>
      <c r="D377" s="401"/>
      <c r="E377" s="401"/>
      <c r="F377" s="401"/>
      <c r="G377" s="401"/>
      <c r="H377" s="401"/>
      <c r="I377" s="401"/>
      <c r="J377" s="401"/>
      <c r="K377" s="401"/>
      <c r="L377" s="401"/>
      <c r="M377" s="401"/>
      <c r="N377" s="401"/>
      <c r="O377" s="401"/>
      <c r="P377" s="401"/>
      <c r="Q377" s="401"/>
      <c r="R377" s="401"/>
      <c r="S377" s="401"/>
      <c r="T377" s="401"/>
      <c r="U377" s="401"/>
      <c r="V377" s="401"/>
      <c r="W377" s="401"/>
      <c r="X377" s="401"/>
      <c r="Y377" s="401"/>
      <c r="Z377" s="401"/>
    </row>
    <row r="378">
      <c r="A378" s="401"/>
      <c r="B378" s="401"/>
      <c r="C378" s="401"/>
      <c r="D378" s="401"/>
      <c r="E378" s="401"/>
      <c r="F378" s="401"/>
      <c r="G378" s="401"/>
      <c r="H378" s="401"/>
      <c r="I378" s="401"/>
      <c r="J378" s="401"/>
      <c r="K378" s="401"/>
      <c r="L378" s="401"/>
      <c r="M378" s="401"/>
      <c r="N378" s="401"/>
      <c r="O378" s="401"/>
      <c r="P378" s="401"/>
      <c r="Q378" s="401"/>
      <c r="R378" s="401"/>
      <c r="S378" s="401"/>
      <c r="T378" s="401"/>
      <c r="U378" s="401"/>
      <c r="V378" s="401"/>
      <c r="W378" s="401"/>
      <c r="X378" s="401"/>
      <c r="Y378" s="401"/>
      <c r="Z378" s="401"/>
    </row>
    <row r="379">
      <c r="A379" s="401"/>
      <c r="B379" s="401"/>
      <c r="C379" s="401"/>
      <c r="D379" s="401"/>
      <c r="E379" s="401"/>
      <c r="F379" s="401"/>
      <c r="G379" s="401"/>
      <c r="H379" s="401"/>
      <c r="I379" s="401"/>
      <c r="J379" s="401"/>
      <c r="K379" s="401"/>
      <c r="L379" s="401"/>
      <c r="M379" s="401"/>
      <c r="N379" s="401"/>
      <c r="O379" s="401"/>
      <c r="P379" s="401"/>
      <c r="Q379" s="401"/>
      <c r="R379" s="401"/>
      <c r="S379" s="401"/>
      <c r="T379" s="401"/>
      <c r="U379" s="401"/>
      <c r="V379" s="401"/>
      <c r="W379" s="401"/>
      <c r="X379" s="401"/>
      <c r="Y379" s="401"/>
      <c r="Z379" s="401"/>
    </row>
    <row r="380">
      <c r="A380" s="401"/>
      <c r="B380" s="401"/>
      <c r="C380" s="401"/>
      <c r="D380" s="401"/>
      <c r="E380" s="401"/>
      <c r="F380" s="401"/>
      <c r="G380" s="401"/>
      <c r="H380" s="401"/>
      <c r="I380" s="401"/>
      <c r="J380" s="401"/>
      <c r="K380" s="401"/>
      <c r="L380" s="401"/>
      <c r="M380" s="401"/>
      <c r="N380" s="401"/>
      <c r="O380" s="401"/>
      <c r="P380" s="401"/>
      <c r="Q380" s="401"/>
      <c r="R380" s="401"/>
      <c r="S380" s="401"/>
      <c r="T380" s="401"/>
      <c r="U380" s="401"/>
      <c r="V380" s="401"/>
      <c r="W380" s="401"/>
      <c r="X380" s="401"/>
      <c r="Y380" s="401"/>
      <c r="Z380" s="401"/>
    </row>
    <row r="381">
      <c r="A381" s="401"/>
      <c r="B381" s="401"/>
      <c r="C381" s="401"/>
      <c r="D381" s="401"/>
      <c r="E381" s="401"/>
      <c r="F381" s="401"/>
      <c r="G381" s="401"/>
      <c r="H381" s="401"/>
      <c r="I381" s="401"/>
      <c r="J381" s="401"/>
      <c r="K381" s="401"/>
      <c r="L381" s="401"/>
      <c r="M381" s="401"/>
      <c r="N381" s="401"/>
      <c r="O381" s="401"/>
      <c r="P381" s="401"/>
      <c r="Q381" s="401"/>
      <c r="R381" s="401"/>
      <c r="S381" s="401"/>
      <c r="T381" s="401"/>
      <c r="U381" s="401"/>
      <c r="V381" s="401"/>
      <c r="W381" s="401"/>
      <c r="X381" s="401"/>
      <c r="Y381" s="401"/>
      <c r="Z381" s="401"/>
    </row>
    <row r="382">
      <c r="A382" s="401"/>
      <c r="B382" s="401"/>
      <c r="C382" s="401"/>
      <c r="D382" s="401"/>
      <c r="E382" s="401"/>
      <c r="F382" s="401"/>
      <c r="G382" s="401"/>
      <c r="H382" s="401"/>
      <c r="I382" s="401"/>
      <c r="J382" s="401"/>
      <c r="K382" s="401"/>
      <c r="L382" s="401"/>
      <c r="M382" s="401"/>
      <c r="N382" s="401"/>
      <c r="O382" s="401"/>
      <c r="P382" s="401"/>
      <c r="Q382" s="401"/>
      <c r="R382" s="401"/>
      <c r="S382" s="401"/>
      <c r="T382" s="401"/>
      <c r="U382" s="401"/>
      <c r="V382" s="401"/>
      <c r="W382" s="401"/>
      <c r="X382" s="401"/>
      <c r="Y382" s="401"/>
      <c r="Z382" s="401"/>
    </row>
    <row r="383">
      <c r="A383" s="401"/>
      <c r="B383" s="401"/>
      <c r="C383" s="401"/>
      <c r="D383" s="401"/>
      <c r="E383" s="401"/>
      <c r="F383" s="401"/>
      <c r="G383" s="401"/>
      <c r="H383" s="401"/>
      <c r="I383" s="401"/>
      <c r="J383" s="401"/>
      <c r="K383" s="401"/>
      <c r="L383" s="401"/>
      <c r="M383" s="401"/>
      <c r="N383" s="401"/>
      <c r="O383" s="401"/>
      <c r="P383" s="401"/>
      <c r="Q383" s="401"/>
      <c r="R383" s="401"/>
      <c r="S383" s="401"/>
      <c r="T383" s="401"/>
      <c r="U383" s="401"/>
      <c r="V383" s="401"/>
      <c r="W383" s="401"/>
      <c r="X383" s="401"/>
      <c r="Y383" s="401"/>
      <c r="Z383" s="401"/>
    </row>
    <row r="384">
      <c r="A384" s="401"/>
      <c r="B384" s="401"/>
      <c r="C384" s="401"/>
      <c r="D384" s="401"/>
      <c r="E384" s="401"/>
      <c r="F384" s="401"/>
      <c r="G384" s="401"/>
      <c r="H384" s="401"/>
      <c r="I384" s="401"/>
      <c r="J384" s="401"/>
      <c r="K384" s="401"/>
      <c r="L384" s="401"/>
      <c r="M384" s="401"/>
      <c r="N384" s="401"/>
      <c r="O384" s="401"/>
      <c r="P384" s="401"/>
      <c r="Q384" s="401"/>
      <c r="R384" s="401"/>
      <c r="S384" s="401"/>
      <c r="T384" s="401"/>
      <c r="U384" s="401"/>
      <c r="V384" s="401"/>
      <c r="W384" s="401"/>
      <c r="X384" s="401"/>
      <c r="Y384" s="401"/>
      <c r="Z384" s="401"/>
    </row>
    <row r="385">
      <c r="A385" s="401"/>
      <c r="B385" s="401"/>
      <c r="C385" s="401"/>
      <c r="D385" s="401"/>
      <c r="E385" s="401"/>
      <c r="F385" s="401"/>
      <c r="G385" s="401"/>
      <c r="H385" s="401"/>
      <c r="I385" s="401"/>
      <c r="J385" s="401"/>
      <c r="K385" s="401"/>
      <c r="L385" s="401"/>
      <c r="M385" s="401"/>
      <c r="N385" s="401"/>
      <c r="O385" s="401"/>
      <c r="P385" s="401"/>
      <c r="Q385" s="401"/>
      <c r="R385" s="401"/>
      <c r="S385" s="401"/>
      <c r="T385" s="401"/>
      <c r="U385" s="401"/>
      <c r="V385" s="401"/>
      <c r="W385" s="401"/>
      <c r="X385" s="401"/>
      <c r="Y385" s="401"/>
      <c r="Z385" s="401"/>
    </row>
    <row r="386">
      <c r="A386" s="401"/>
      <c r="B386" s="401"/>
      <c r="C386" s="401"/>
      <c r="D386" s="401"/>
      <c r="E386" s="401"/>
      <c r="F386" s="401"/>
      <c r="G386" s="401"/>
      <c r="H386" s="401"/>
      <c r="I386" s="401"/>
      <c r="J386" s="401"/>
      <c r="K386" s="401"/>
      <c r="L386" s="401"/>
      <c r="M386" s="401"/>
      <c r="N386" s="401"/>
      <c r="O386" s="401"/>
      <c r="P386" s="401"/>
      <c r="Q386" s="401"/>
      <c r="R386" s="401"/>
      <c r="S386" s="401"/>
      <c r="T386" s="401"/>
      <c r="U386" s="401"/>
      <c r="V386" s="401"/>
      <c r="W386" s="401"/>
      <c r="X386" s="401"/>
      <c r="Y386" s="401"/>
      <c r="Z386" s="401"/>
    </row>
    <row r="387">
      <c r="A387" s="401"/>
      <c r="B387" s="401"/>
      <c r="C387" s="401"/>
      <c r="D387" s="401"/>
      <c r="E387" s="401"/>
      <c r="F387" s="401"/>
      <c r="G387" s="401"/>
      <c r="H387" s="401"/>
      <c r="I387" s="401"/>
      <c r="J387" s="401"/>
      <c r="K387" s="401"/>
      <c r="L387" s="401"/>
      <c r="M387" s="401"/>
      <c r="N387" s="401"/>
      <c r="O387" s="401"/>
      <c r="P387" s="401"/>
      <c r="Q387" s="401"/>
      <c r="R387" s="401"/>
      <c r="S387" s="401"/>
      <c r="T387" s="401"/>
      <c r="U387" s="401"/>
      <c r="V387" s="401"/>
      <c r="W387" s="401"/>
      <c r="X387" s="401"/>
      <c r="Y387" s="401"/>
      <c r="Z387" s="401"/>
    </row>
    <row r="388">
      <c r="A388" s="401"/>
      <c r="B388" s="401"/>
      <c r="C388" s="401"/>
      <c r="D388" s="401"/>
      <c r="E388" s="401"/>
      <c r="F388" s="401"/>
      <c r="G388" s="401"/>
      <c r="H388" s="401"/>
      <c r="I388" s="401"/>
      <c r="J388" s="401"/>
      <c r="K388" s="401"/>
      <c r="L388" s="401"/>
      <c r="M388" s="401"/>
      <c r="N388" s="401"/>
      <c r="O388" s="401"/>
      <c r="P388" s="401"/>
      <c r="Q388" s="401"/>
      <c r="R388" s="401"/>
      <c r="S388" s="401"/>
      <c r="T388" s="401"/>
      <c r="U388" s="401"/>
      <c r="V388" s="401"/>
      <c r="W388" s="401"/>
      <c r="X388" s="401"/>
      <c r="Y388" s="401"/>
      <c r="Z388" s="401"/>
    </row>
    <row r="389">
      <c r="A389" s="401"/>
      <c r="B389" s="401"/>
      <c r="C389" s="401"/>
      <c r="D389" s="401"/>
      <c r="E389" s="401"/>
      <c r="F389" s="401"/>
      <c r="G389" s="401"/>
      <c r="H389" s="401"/>
      <c r="I389" s="401"/>
      <c r="J389" s="401"/>
      <c r="K389" s="401"/>
      <c r="L389" s="401"/>
      <c r="M389" s="401"/>
      <c r="N389" s="401"/>
      <c r="O389" s="401"/>
      <c r="P389" s="401"/>
      <c r="Q389" s="401"/>
      <c r="R389" s="401"/>
      <c r="S389" s="401"/>
      <c r="T389" s="401"/>
      <c r="U389" s="401"/>
      <c r="V389" s="401"/>
      <c r="W389" s="401"/>
      <c r="X389" s="401"/>
      <c r="Y389" s="401"/>
      <c r="Z389" s="401"/>
    </row>
    <row r="390">
      <c r="A390" s="401"/>
      <c r="B390" s="401"/>
      <c r="C390" s="401"/>
      <c r="D390" s="401"/>
      <c r="E390" s="401"/>
      <c r="F390" s="401"/>
      <c r="G390" s="401"/>
      <c r="H390" s="401"/>
      <c r="I390" s="401"/>
      <c r="J390" s="401"/>
      <c r="K390" s="401"/>
      <c r="L390" s="401"/>
      <c r="M390" s="401"/>
      <c r="N390" s="401"/>
      <c r="O390" s="401"/>
      <c r="P390" s="401"/>
      <c r="Q390" s="401"/>
      <c r="R390" s="401"/>
      <c r="S390" s="401"/>
      <c r="T390" s="401"/>
      <c r="U390" s="401"/>
      <c r="V390" s="401"/>
      <c r="W390" s="401"/>
      <c r="X390" s="401"/>
      <c r="Y390" s="401"/>
      <c r="Z390" s="401"/>
    </row>
    <row r="391">
      <c r="A391" s="401"/>
      <c r="B391" s="401"/>
      <c r="C391" s="401"/>
      <c r="D391" s="401"/>
      <c r="E391" s="401"/>
      <c r="F391" s="401"/>
      <c r="G391" s="401"/>
      <c r="H391" s="401"/>
      <c r="I391" s="401"/>
      <c r="J391" s="401"/>
      <c r="K391" s="401"/>
      <c r="L391" s="401"/>
      <c r="M391" s="401"/>
      <c r="N391" s="401"/>
      <c r="O391" s="401"/>
      <c r="P391" s="401"/>
      <c r="Q391" s="401"/>
      <c r="R391" s="401"/>
      <c r="S391" s="401"/>
      <c r="T391" s="401"/>
      <c r="U391" s="401"/>
      <c r="V391" s="401"/>
      <c r="W391" s="401"/>
      <c r="X391" s="401"/>
      <c r="Y391" s="401"/>
      <c r="Z391" s="401"/>
    </row>
    <row r="392">
      <c r="A392" s="401"/>
      <c r="B392" s="401"/>
      <c r="C392" s="401"/>
      <c r="D392" s="401"/>
      <c r="E392" s="401"/>
      <c r="F392" s="401"/>
      <c r="G392" s="401"/>
      <c r="H392" s="401"/>
      <c r="I392" s="401"/>
      <c r="J392" s="401"/>
      <c r="K392" s="401"/>
      <c r="L392" s="401"/>
      <c r="M392" s="401"/>
      <c r="N392" s="401"/>
      <c r="O392" s="401"/>
      <c r="P392" s="401"/>
      <c r="Q392" s="401"/>
      <c r="R392" s="401"/>
      <c r="S392" s="401"/>
      <c r="T392" s="401"/>
      <c r="U392" s="401"/>
      <c r="V392" s="401"/>
      <c r="W392" s="401"/>
      <c r="X392" s="401"/>
      <c r="Y392" s="401"/>
      <c r="Z392" s="401"/>
    </row>
    <row r="393">
      <c r="A393" s="401"/>
      <c r="B393" s="401"/>
      <c r="C393" s="401"/>
      <c r="D393" s="401"/>
      <c r="E393" s="401"/>
      <c r="F393" s="401"/>
      <c r="G393" s="401"/>
      <c r="H393" s="401"/>
      <c r="I393" s="401"/>
      <c r="J393" s="401"/>
      <c r="K393" s="401"/>
      <c r="L393" s="401"/>
      <c r="M393" s="401"/>
      <c r="N393" s="401"/>
      <c r="O393" s="401"/>
      <c r="P393" s="401"/>
      <c r="Q393" s="401"/>
      <c r="R393" s="401"/>
      <c r="S393" s="401"/>
      <c r="T393" s="401"/>
      <c r="U393" s="401"/>
      <c r="V393" s="401"/>
      <c r="W393" s="401"/>
      <c r="X393" s="401"/>
      <c r="Y393" s="401"/>
      <c r="Z393" s="401"/>
    </row>
    <row r="394">
      <c r="A394" s="401"/>
      <c r="B394" s="401"/>
      <c r="C394" s="401"/>
      <c r="D394" s="401"/>
      <c r="E394" s="401"/>
      <c r="F394" s="401"/>
      <c r="G394" s="401"/>
      <c r="H394" s="401"/>
      <c r="I394" s="401"/>
      <c r="J394" s="401"/>
      <c r="K394" s="401"/>
      <c r="L394" s="401"/>
      <c r="M394" s="401"/>
      <c r="N394" s="401"/>
      <c r="O394" s="401"/>
      <c r="P394" s="401"/>
      <c r="Q394" s="401"/>
      <c r="R394" s="401"/>
      <c r="S394" s="401"/>
      <c r="T394" s="401"/>
      <c r="U394" s="401"/>
      <c r="V394" s="401"/>
      <c r="W394" s="401"/>
      <c r="X394" s="401"/>
      <c r="Y394" s="401"/>
      <c r="Z394" s="401"/>
    </row>
    <row r="395">
      <c r="A395" s="401"/>
      <c r="B395" s="401"/>
      <c r="C395" s="401"/>
      <c r="D395" s="401"/>
      <c r="E395" s="401"/>
      <c r="F395" s="401"/>
      <c r="G395" s="401"/>
      <c r="H395" s="401"/>
      <c r="I395" s="401"/>
      <c r="J395" s="401"/>
      <c r="K395" s="401"/>
      <c r="L395" s="401"/>
      <c r="M395" s="401"/>
      <c r="N395" s="401"/>
      <c r="O395" s="401"/>
      <c r="P395" s="401"/>
      <c r="Q395" s="401"/>
      <c r="R395" s="401"/>
      <c r="S395" s="401"/>
      <c r="T395" s="401"/>
      <c r="U395" s="401"/>
      <c r="V395" s="401"/>
      <c r="W395" s="401"/>
      <c r="X395" s="401"/>
      <c r="Y395" s="401"/>
      <c r="Z395" s="401"/>
    </row>
    <row r="396">
      <c r="A396" s="401"/>
      <c r="B396" s="401"/>
      <c r="C396" s="401"/>
      <c r="D396" s="401"/>
      <c r="E396" s="401"/>
      <c r="F396" s="401"/>
      <c r="G396" s="401"/>
      <c r="H396" s="401"/>
      <c r="I396" s="401"/>
      <c r="J396" s="401"/>
      <c r="K396" s="401"/>
      <c r="L396" s="401"/>
      <c r="M396" s="401"/>
      <c r="N396" s="401"/>
      <c r="O396" s="401"/>
      <c r="P396" s="401"/>
      <c r="Q396" s="401"/>
      <c r="R396" s="401"/>
      <c r="S396" s="401"/>
      <c r="T396" s="401"/>
      <c r="U396" s="401"/>
      <c r="V396" s="401"/>
      <c r="W396" s="401"/>
      <c r="X396" s="401"/>
      <c r="Y396" s="401"/>
      <c r="Z396" s="401"/>
    </row>
    <row r="397">
      <c r="A397" s="401"/>
      <c r="B397" s="401"/>
      <c r="C397" s="401"/>
      <c r="D397" s="401"/>
      <c r="E397" s="401"/>
      <c r="F397" s="401"/>
      <c r="G397" s="401"/>
      <c r="H397" s="401"/>
      <c r="I397" s="401"/>
      <c r="J397" s="401"/>
      <c r="K397" s="401"/>
      <c r="L397" s="401"/>
      <c r="M397" s="401"/>
      <c r="N397" s="401"/>
      <c r="O397" s="401"/>
      <c r="P397" s="401"/>
      <c r="Q397" s="401"/>
      <c r="R397" s="401"/>
      <c r="S397" s="401"/>
      <c r="T397" s="401"/>
      <c r="U397" s="401"/>
      <c r="V397" s="401"/>
      <c r="W397" s="401"/>
      <c r="X397" s="401"/>
      <c r="Y397" s="401"/>
      <c r="Z397" s="401"/>
    </row>
    <row r="398">
      <c r="A398" s="401"/>
      <c r="B398" s="401"/>
      <c r="C398" s="401"/>
      <c r="D398" s="401"/>
      <c r="E398" s="401"/>
      <c r="F398" s="401"/>
      <c r="G398" s="401"/>
      <c r="H398" s="401"/>
      <c r="I398" s="401"/>
      <c r="J398" s="401"/>
      <c r="K398" s="401"/>
      <c r="L398" s="401"/>
      <c r="M398" s="401"/>
      <c r="N398" s="401"/>
      <c r="O398" s="401"/>
      <c r="P398" s="401"/>
      <c r="Q398" s="401"/>
      <c r="R398" s="401"/>
      <c r="S398" s="401"/>
      <c r="T398" s="401"/>
      <c r="U398" s="401"/>
      <c r="V398" s="401"/>
      <c r="W398" s="401"/>
      <c r="X398" s="401"/>
      <c r="Y398" s="401"/>
      <c r="Z398" s="401"/>
    </row>
    <row r="399">
      <c r="A399" s="401"/>
      <c r="B399" s="401"/>
      <c r="C399" s="401"/>
      <c r="D399" s="401"/>
      <c r="E399" s="401"/>
      <c r="F399" s="401"/>
      <c r="G399" s="401"/>
      <c r="H399" s="401"/>
      <c r="I399" s="401"/>
      <c r="J399" s="401"/>
      <c r="K399" s="401"/>
      <c r="L399" s="401"/>
      <c r="M399" s="401"/>
      <c r="N399" s="401"/>
      <c r="O399" s="401"/>
      <c r="P399" s="401"/>
      <c r="Q399" s="401"/>
      <c r="R399" s="401"/>
      <c r="S399" s="401"/>
      <c r="T399" s="401"/>
      <c r="U399" s="401"/>
      <c r="V399" s="401"/>
      <c r="W399" s="401"/>
      <c r="X399" s="401"/>
      <c r="Y399" s="401"/>
      <c r="Z399" s="401"/>
    </row>
    <row r="400">
      <c r="A400" s="401"/>
      <c r="B400" s="401"/>
      <c r="C400" s="401"/>
      <c r="D400" s="401"/>
      <c r="E400" s="401"/>
      <c r="F400" s="401"/>
      <c r="G400" s="401"/>
      <c r="H400" s="401"/>
      <c r="I400" s="401"/>
      <c r="J400" s="401"/>
      <c r="K400" s="401"/>
      <c r="L400" s="401"/>
      <c r="M400" s="401"/>
      <c r="N400" s="401"/>
      <c r="O400" s="401"/>
      <c r="P400" s="401"/>
      <c r="Q400" s="401"/>
      <c r="R400" s="401"/>
      <c r="S400" s="401"/>
      <c r="T400" s="401"/>
      <c r="U400" s="401"/>
      <c r="V400" s="401"/>
      <c r="W400" s="401"/>
      <c r="X400" s="401"/>
      <c r="Y400" s="401"/>
      <c r="Z400" s="401"/>
    </row>
    <row r="401">
      <c r="A401" s="401"/>
      <c r="B401" s="401"/>
      <c r="C401" s="401"/>
      <c r="D401" s="401"/>
      <c r="E401" s="401"/>
      <c r="F401" s="401"/>
      <c r="G401" s="401"/>
      <c r="H401" s="401"/>
      <c r="I401" s="401"/>
      <c r="J401" s="401"/>
      <c r="K401" s="401"/>
      <c r="L401" s="401"/>
      <c r="M401" s="401"/>
      <c r="N401" s="401"/>
      <c r="O401" s="401"/>
      <c r="P401" s="401"/>
      <c r="Q401" s="401"/>
      <c r="R401" s="401"/>
      <c r="S401" s="401"/>
      <c r="T401" s="401"/>
      <c r="U401" s="401"/>
      <c r="V401" s="401"/>
      <c r="W401" s="401"/>
      <c r="X401" s="401"/>
      <c r="Y401" s="401"/>
      <c r="Z401" s="401"/>
    </row>
    <row r="402">
      <c r="A402" s="401"/>
      <c r="B402" s="401"/>
      <c r="C402" s="401"/>
      <c r="D402" s="401"/>
      <c r="E402" s="401"/>
      <c r="F402" s="401"/>
      <c r="G402" s="401"/>
      <c r="H402" s="401"/>
      <c r="I402" s="401"/>
      <c r="J402" s="401"/>
      <c r="K402" s="401"/>
      <c r="L402" s="401"/>
      <c r="M402" s="401"/>
      <c r="N402" s="401"/>
      <c r="O402" s="401"/>
      <c r="P402" s="401"/>
      <c r="Q402" s="401"/>
      <c r="R402" s="401"/>
      <c r="S402" s="401"/>
      <c r="T402" s="401"/>
      <c r="U402" s="401"/>
      <c r="V402" s="401"/>
      <c r="W402" s="401"/>
      <c r="X402" s="401"/>
      <c r="Y402" s="401"/>
      <c r="Z402" s="401"/>
    </row>
    <row r="403">
      <c r="A403" s="401"/>
      <c r="B403" s="401"/>
      <c r="C403" s="401"/>
      <c r="D403" s="401"/>
      <c r="E403" s="401"/>
      <c r="F403" s="401"/>
      <c r="G403" s="401"/>
      <c r="H403" s="401"/>
      <c r="I403" s="401"/>
      <c r="J403" s="401"/>
      <c r="K403" s="401"/>
      <c r="L403" s="401"/>
      <c r="M403" s="401"/>
      <c r="N403" s="401"/>
      <c r="O403" s="401"/>
      <c r="P403" s="401"/>
      <c r="Q403" s="401"/>
      <c r="R403" s="401"/>
      <c r="S403" s="401"/>
      <c r="T403" s="401"/>
      <c r="U403" s="401"/>
      <c r="V403" s="401"/>
      <c r="W403" s="401"/>
      <c r="X403" s="401"/>
      <c r="Y403" s="401"/>
      <c r="Z403" s="401"/>
    </row>
    <row r="404">
      <c r="A404" s="401"/>
      <c r="B404" s="401"/>
      <c r="C404" s="401"/>
      <c r="D404" s="401"/>
      <c r="E404" s="401"/>
      <c r="F404" s="401"/>
      <c r="G404" s="401"/>
      <c r="H404" s="401"/>
      <c r="I404" s="401"/>
      <c r="J404" s="401"/>
      <c r="K404" s="401"/>
      <c r="L404" s="401"/>
      <c r="M404" s="401"/>
      <c r="N404" s="401"/>
      <c r="O404" s="401"/>
      <c r="P404" s="401"/>
      <c r="Q404" s="401"/>
      <c r="R404" s="401"/>
      <c r="S404" s="401"/>
      <c r="T404" s="401"/>
      <c r="U404" s="401"/>
      <c r="V404" s="401"/>
      <c r="W404" s="401"/>
      <c r="X404" s="401"/>
      <c r="Y404" s="401"/>
      <c r="Z404" s="401"/>
    </row>
    <row r="405">
      <c r="A405" s="401"/>
      <c r="B405" s="401"/>
      <c r="C405" s="401"/>
      <c r="D405" s="401"/>
      <c r="E405" s="401"/>
      <c r="F405" s="401"/>
      <c r="G405" s="401"/>
      <c r="H405" s="401"/>
      <c r="I405" s="401"/>
      <c r="J405" s="401"/>
      <c r="K405" s="401"/>
      <c r="L405" s="401"/>
      <c r="M405" s="401"/>
      <c r="N405" s="401"/>
      <c r="O405" s="401"/>
      <c r="P405" s="401"/>
      <c r="Q405" s="401"/>
      <c r="R405" s="401"/>
      <c r="S405" s="401"/>
      <c r="T405" s="401"/>
      <c r="U405" s="401"/>
      <c r="V405" s="401"/>
      <c r="W405" s="401"/>
      <c r="X405" s="401"/>
      <c r="Y405" s="401"/>
      <c r="Z405" s="401"/>
    </row>
    <row r="406">
      <c r="A406" s="401"/>
      <c r="B406" s="401"/>
      <c r="C406" s="401"/>
      <c r="D406" s="401"/>
      <c r="E406" s="401"/>
      <c r="F406" s="401"/>
      <c r="G406" s="401"/>
      <c r="H406" s="401"/>
      <c r="I406" s="401"/>
      <c r="J406" s="401"/>
      <c r="K406" s="401"/>
      <c r="L406" s="401"/>
      <c r="M406" s="401"/>
      <c r="N406" s="401"/>
      <c r="O406" s="401"/>
      <c r="P406" s="401"/>
      <c r="Q406" s="401"/>
      <c r="R406" s="401"/>
      <c r="S406" s="401"/>
      <c r="T406" s="401"/>
      <c r="U406" s="401"/>
      <c r="V406" s="401"/>
      <c r="W406" s="401"/>
      <c r="X406" s="401"/>
      <c r="Y406" s="401"/>
      <c r="Z406" s="401"/>
    </row>
    <row r="407">
      <c r="A407" s="401"/>
      <c r="B407" s="401"/>
      <c r="C407" s="401"/>
      <c r="D407" s="401"/>
      <c r="E407" s="401"/>
      <c r="F407" s="401"/>
      <c r="G407" s="401"/>
      <c r="H407" s="401"/>
      <c r="I407" s="401"/>
      <c r="J407" s="401"/>
      <c r="K407" s="401"/>
      <c r="L407" s="401"/>
      <c r="M407" s="401"/>
      <c r="N407" s="401"/>
      <c r="O407" s="401"/>
      <c r="P407" s="401"/>
      <c r="Q407" s="401"/>
      <c r="R407" s="401"/>
      <c r="S407" s="401"/>
      <c r="T407" s="401"/>
      <c r="U407" s="401"/>
      <c r="V407" s="401"/>
      <c r="W407" s="401"/>
      <c r="X407" s="401"/>
      <c r="Y407" s="401"/>
      <c r="Z407" s="401"/>
    </row>
    <row r="408">
      <c r="A408" s="401"/>
      <c r="B408" s="401"/>
      <c r="C408" s="401"/>
      <c r="D408" s="401"/>
      <c r="E408" s="401"/>
      <c r="F408" s="401"/>
      <c r="G408" s="401"/>
      <c r="H408" s="401"/>
      <c r="I408" s="401"/>
      <c r="J408" s="401"/>
      <c r="K408" s="401"/>
      <c r="L408" s="401"/>
      <c r="M408" s="401"/>
      <c r="N408" s="401"/>
      <c r="O408" s="401"/>
      <c r="P408" s="401"/>
      <c r="Q408" s="401"/>
      <c r="R408" s="401"/>
      <c r="S408" s="401"/>
      <c r="T408" s="401"/>
      <c r="U408" s="401"/>
      <c r="V408" s="401"/>
      <c r="W408" s="401"/>
      <c r="X408" s="401"/>
      <c r="Y408" s="401"/>
      <c r="Z408" s="401"/>
    </row>
    <row r="409">
      <c r="A409" s="401"/>
      <c r="B409" s="401"/>
      <c r="C409" s="401"/>
      <c r="D409" s="401"/>
      <c r="E409" s="401"/>
      <c r="F409" s="401"/>
      <c r="G409" s="401"/>
      <c r="H409" s="401"/>
      <c r="I409" s="401"/>
      <c r="J409" s="401"/>
      <c r="K409" s="401"/>
      <c r="L409" s="401"/>
      <c r="M409" s="401"/>
      <c r="N409" s="401"/>
      <c r="O409" s="401"/>
      <c r="P409" s="401"/>
      <c r="Q409" s="401"/>
      <c r="R409" s="401"/>
      <c r="S409" s="401"/>
      <c r="T409" s="401"/>
      <c r="U409" s="401"/>
      <c r="V409" s="401"/>
      <c r="W409" s="401"/>
      <c r="X409" s="401"/>
      <c r="Y409" s="401"/>
      <c r="Z409" s="401"/>
    </row>
    <row r="410">
      <c r="A410" s="401"/>
      <c r="B410" s="401"/>
      <c r="C410" s="401"/>
      <c r="D410" s="401"/>
      <c r="E410" s="401"/>
      <c r="F410" s="401"/>
      <c r="G410" s="401"/>
      <c r="H410" s="401"/>
      <c r="I410" s="401"/>
      <c r="J410" s="401"/>
      <c r="K410" s="401"/>
      <c r="L410" s="401"/>
      <c r="M410" s="401"/>
      <c r="N410" s="401"/>
      <c r="O410" s="401"/>
      <c r="P410" s="401"/>
      <c r="Q410" s="401"/>
      <c r="R410" s="401"/>
      <c r="S410" s="401"/>
      <c r="T410" s="401"/>
      <c r="U410" s="401"/>
      <c r="V410" s="401"/>
      <c r="W410" s="401"/>
      <c r="X410" s="401"/>
      <c r="Y410" s="401"/>
      <c r="Z410" s="401"/>
    </row>
    <row r="411">
      <c r="A411" s="401"/>
      <c r="B411" s="401"/>
      <c r="C411" s="401"/>
      <c r="D411" s="401"/>
      <c r="E411" s="401"/>
      <c r="F411" s="401"/>
      <c r="G411" s="401"/>
      <c r="H411" s="401"/>
      <c r="I411" s="401"/>
      <c r="J411" s="401"/>
      <c r="K411" s="401"/>
      <c r="L411" s="401"/>
      <c r="M411" s="401"/>
      <c r="N411" s="401"/>
      <c r="O411" s="401"/>
      <c r="P411" s="401"/>
      <c r="Q411" s="401"/>
      <c r="R411" s="401"/>
      <c r="S411" s="401"/>
      <c r="T411" s="401"/>
      <c r="U411" s="401"/>
      <c r="V411" s="401"/>
      <c r="W411" s="401"/>
      <c r="X411" s="401"/>
      <c r="Y411" s="401"/>
      <c r="Z411" s="401"/>
    </row>
    <row r="412">
      <c r="A412" s="401"/>
      <c r="B412" s="401"/>
      <c r="C412" s="401"/>
      <c r="D412" s="401"/>
      <c r="E412" s="401"/>
      <c r="F412" s="401"/>
      <c r="G412" s="401"/>
      <c r="H412" s="401"/>
      <c r="I412" s="401"/>
      <c r="J412" s="401"/>
      <c r="K412" s="401"/>
      <c r="L412" s="401"/>
      <c r="M412" s="401"/>
      <c r="N412" s="401"/>
      <c r="O412" s="401"/>
      <c r="P412" s="401"/>
      <c r="Q412" s="401"/>
      <c r="R412" s="401"/>
      <c r="S412" s="401"/>
      <c r="T412" s="401"/>
      <c r="U412" s="401"/>
      <c r="V412" s="401"/>
      <c r="W412" s="401"/>
      <c r="X412" s="401"/>
      <c r="Y412" s="401"/>
      <c r="Z412" s="401"/>
    </row>
    <row r="413">
      <c r="A413" s="401"/>
      <c r="B413" s="401"/>
      <c r="C413" s="401"/>
      <c r="D413" s="401"/>
      <c r="E413" s="401"/>
      <c r="F413" s="401"/>
      <c r="G413" s="401"/>
      <c r="H413" s="401"/>
      <c r="I413" s="401"/>
      <c r="J413" s="401"/>
      <c r="K413" s="401"/>
      <c r="L413" s="401"/>
      <c r="M413" s="401"/>
      <c r="N413" s="401"/>
      <c r="O413" s="401"/>
      <c r="P413" s="401"/>
      <c r="Q413" s="401"/>
      <c r="R413" s="401"/>
      <c r="S413" s="401"/>
      <c r="T413" s="401"/>
      <c r="U413" s="401"/>
      <c r="V413" s="401"/>
      <c r="W413" s="401"/>
      <c r="X413" s="401"/>
      <c r="Y413" s="401"/>
      <c r="Z413" s="401"/>
    </row>
    <row r="414">
      <c r="A414" s="401"/>
      <c r="B414" s="401"/>
      <c r="C414" s="401"/>
      <c r="D414" s="401"/>
      <c r="E414" s="401"/>
      <c r="F414" s="401"/>
      <c r="G414" s="401"/>
      <c r="H414" s="401"/>
      <c r="I414" s="401"/>
      <c r="J414" s="401"/>
      <c r="K414" s="401"/>
      <c r="L414" s="401"/>
      <c r="M414" s="401"/>
      <c r="N414" s="401"/>
      <c r="O414" s="401"/>
      <c r="P414" s="401"/>
      <c r="Q414" s="401"/>
      <c r="R414" s="401"/>
      <c r="S414" s="401"/>
      <c r="T414" s="401"/>
      <c r="U414" s="401"/>
      <c r="V414" s="401"/>
      <c r="W414" s="401"/>
      <c r="X414" s="401"/>
      <c r="Y414" s="401"/>
      <c r="Z414" s="401"/>
    </row>
    <row r="415">
      <c r="A415" s="401"/>
      <c r="B415" s="401"/>
      <c r="C415" s="401"/>
      <c r="D415" s="401"/>
      <c r="E415" s="401"/>
      <c r="F415" s="401"/>
      <c r="G415" s="401"/>
      <c r="H415" s="401"/>
      <c r="I415" s="401"/>
      <c r="J415" s="401"/>
      <c r="K415" s="401"/>
      <c r="L415" s="401"/>
      <c r="M415" s="401"/>
      <c r="N415" s="401"/>
      <c r="O415" s="401"/>
      <c r="P415" s="401"/>
      <c r="Q415" s="401"/>
      <c r="R415" s="401"/>
      <c r="S415" s="401"/>
      <c r="T415" s="401"/>
      <c r="U415" s="401"/>
      <c r="V415" s="401"/>
      <c r="W415" s="401"/>
      <c r="X415" s="401"/>
      <c r="Y415" s="401"/>
      <c r="Z415" s="401"/>
    </row>
    <row r="416">
      <c r="A416" s="401"/>
      <c r="B416" s="401"/>
      <c r="C416" s="401"/>
      <c r="D416" s="401"/>
      <c r="E416" s="401"/>
      <c r="F416" s="401"/>
      <c r="G416" s="401"/>
      <c r="H416" s="401"/>
      <c r="I416" s="401"/>
      <c r="J416" s="401"/>
      <c r="K416" s="401"/>
      <c r="L416" s="401"/>
      <c r="M416" s="401"/>
      <c r="N416" s="401"/>
      <c r="O416" s="401"/>
      <c r="P416" s="401"/>
      <c r="Q416" s="401"/>
      <c r="R416" s="401"/>
      <c r="S416" s="401"/>
      <c r="T416" s="401"/>
      <c r="U416" s="401"/>
      <c r="V416" s="401"/>
      <c r="W416" s="401"/>
      <c r="X416" s="401"/>
      <c r="Y416" s="401"/>
      <c r="Z416" s="401"/>
    </row>
    <row r="417">
      <c r="A417" s="401"/>
      <c r="B417" s="401"/>
      <c r="C417" s="401"/>
      <c r="D417" s="401"/>
      <c r="E417" s="401"/>
      <c r="F417" s="401"/>
      <c r="G417" s="401"/>
      <c r="H417" s="401"/>
      <c r="I417" s="401"/>
      <c r="J417" s="401"/>
      <c r="K417" s="401"/>
      <c r="L417" s="401"/>
      <c r="M417" s="401"/>
      <c r="N417" s="401"/>
      <c r="O417" s="401"/>
      <c r="P417" s="401"/>
      <c r="Q417" s="401"/>
      <c r="R417" s="401"/>
      <c r="S417" s="401"/>
      <c r="T417" s="401"/>
      <c r="U417" s="401"/>
      <c r="V417" s="401"/>
      <c r="W417" s="401"/>
      <c r="X417" s="401"/>
      <c r="Y417" s="401"/>
      <c r="Z417" s="401"/>
    </row>
    <row r="418">
      <c r="A418" s="401"/>
      <c r="B418" s="401"/>
      <c r="C418" s="401"/>
      <c r="D418" s="401"/>
      <c r="E418" s="401"/>
      <c r="F418" s="401"/>
      <c r="G418" s="401"/>
      <c r="H418" s="401"/>
      <c r="I418" s="401"/>
      <c r="J418" s="401"/>
      <c r="K418" s="401"/>
      <c r="L418" s="401"/>
      <c r="M418" s="401"/>
      <c r="N418" s="401"/>
      <c r="O418" s="401"/>
      <c r="P418" s="401"/>
      <c r="Q418" s="401"/>
      <c r="R418" s="401"/>
      <c r="S418" s="401"/>
      <c r="T418" s="401"/>
      <c r="U418" s="401"/>
      <c r="V418" s="401"/>
      <c r="W418" s="401"/>
      <c r="X418" s="401"/>
      <c r="Y418" s="401"/>
      <c r="Z418" s="401"/>
    </row>
    <row r="419">
      <c r="A419" s="401"/>
      <c r="B419" s="401"/>
      <c r="C419" s="401"/>
      <c r="D419" s="401"/>
      <c r="E419" s="401"/>
      <c r="F419" s="401"/>
      <c r="G419" s="401"/>
      <c r="H419" s="401"/>
      <c r="I419" s="401"/>
      <c r="J419" s="401"/>
      <c r="K419" s="401"/>
      <c r="L419" s="401"/>
      <c r="M419" s="401"/>
      <c r="N419" s="401"/>
      <c r="O419" s="401"/>
      <c r="P419" s="401"/>
      <c r="Q419" s="401"/>
      <c r="R419" s="401"/>
      <c r="S419" s="401"/>
      <c r="T419" s="401"/>
      <c r="U419" s="401"/>
      <c r="V419" s="401"/>
      <c r="W419" s="401"/>
      <c r="X419" s="401"/>
      <c r="Y419" s="401"/>
      <c r="Z419" s="401"/>
    </row>
    <row r="420">
      <c r="A420" s="401"/>
      <c r="B420" s="401"/>
      <c r="C420" s="401"/>
      <c r="D420" s="401"/>
      <c r="E420" s="401"/>
      <c r="F420" s="401"/>
      <c r="G420" s="401"/>
      <c r="H420" s="401"/>
      <c r="I420" s="401"/>
      <c r="J420" s="401"/>
      <c r="K420" s="401"/>
      <c r="L420" s="401"/>
      <c r="M420" s="401"/>
      <c r="N420" s="401"/>
      <c r="O420" s="401"/>
      <c r="P420" s="401"/>
      <c r="Q420" s="401"/>
      <c r="R420" s="401"/>
      <c r="S420" s="401"/>
      <c r="T420" s="401"/>
      <c r="U420" s="401"/>
      <c r="V420" s="401"/>
      <c r="W420" s="401"/>
      <c r="X420" s="401"/>
      <c r="Y420" s="401"/>
      <c r="Z420" s="401"/>
    </row>
    <row r="421">
      <c r="A421" s="401"/>
      <c r="B421" s="401"/>
      <c r="C421" s="401"/>
      <c r="D421" s="401"/>
      <c r="E421" s="401"/>
      <c r="F421" s="401"/>
      <c r="G421" s="401"/>
      <c r="H421" s="401"/>
      <c r="I421" s="401"/>
      <c r="J421" s="401"/>
      <c r="K421" s="401"/>
      <c r="L421" s="401"/>
      <c r="M421" s="401"/>
      <c r="N421" s="401"/>
      <c r="O421" s="401"/>
      <c r="P421" s="401"/>
      <c r="Q421" s="401"/>
      <c r="R421" s="401"/>
      <c r="S421" s="401"/>
      <c r="T421" s="401"/>
      <c r="U421" s="401"/>
      <c r="V421" s="401"/>
      <c r="W421" s="401"/>
      <c r="X421" s="401"/>
      <c r="Y421" s="401"/>
      <c r="Z421" s="401"/>
    </row>
    <row r="422">
      <c r="A422" s="401"/>
      <c r="B422" s="401"/>
      <c r="C422" s="401"/>
      <c r="D422" s="401"/>
      <c r="E422" s="401"/>
      <c r="F422" s="401"/>
      <c r="G422" s="401"/>
      <c r="H422" s="401"/>
      <c r="I422" s="401"/>
      <c r="J422" s="401"/>
      <c r="K422" s="401"/>
      <c r="L422" s="401"/>
      <c r="M422" s="401"/>
      <c r="N422" s="401"/>
      <c r="O422" s="401"/>
      <c r="P422" s="401"/>
      <c r="Q422" s="401"/>
      <c r="R422" s="401"/>
      <c r="S422" s="401"/>
      <c r="T422" s="401"/>
      <c r="U422" s="401"/>
      <c r="V422" s="401"/>
      <c r="W422" s="401"/>
      <c r="X422" s="401"/>
      <c r="Y422" s="401"/>
      <c r="Z422" s="401"/>
    </row>
    <row r="423">
      <c r="A423" s="401"/>
      <c r="B423" s="401"/>
      <c r="C423" s="401"/>
      <c r="D423" s="401"/>
      <c r="E423" s="401"/>
      <c r="F423" s="401"/>
      <c r="G423" s="401"/>
      <c r="H423" s="401"/>
      <c r="I423" s="401"/>
      <c r="J423" s="401"/>
      <c r="K423" s="401"/>
      <c r="L423" s="401"/>
      <c r="M423" s="401"/>
      <c r="N423" s="401"/>
      <c r="O423" s="401"/>
      <c r="P423" s="401"/>
      <c r="Q423" s="401"/>
      <c r="R423" s="401"/>
      <c r="S423" s="401"/>
      <c r="T423" s="401"/>
      <c r="U423" s="401"/>
      <c r="V423" s="401"/>
      <c r="W423" s="401"/>
      <c r="X423" s="401"/>
      <c r="Y423" s="401"/>
      <c r="Z423" s="401"/>
    </row>
    <row r="424">
      <c r="A424" s="401"/>
      <c r="B424" s="401"/>
      <c r="C424" s="401"/>
      <c r="D424" s="401"/>
      <c r="E424" s="401"/>
      <c r="F424" s="401"/>
      <c r="G424" s="401"/>
      <c r="H424" s="401"/>
      <c r="I424" s="401"/>
      <c r="J424" s="401"/>
      <c r="K424" s="401"/>
      <c r="L424" s="401"/>
      <c r="M424" s="401"/>
      <c r="N424" s="401"/>
      <c r="O424" s="401"/>
      <c r="P424" s="401"/>
      <c r="Q424" s="401"/>
      <c r="R424" s="401"/>
      <c r="S424" s="401"/>
      <c r="T424" s="401"/>
      <c r="U424" s="401"/>
      <c r="V424" s="401"/>
      <c r="W424" s="401"/>
      <c r="X424" s="401"/>
      <c r="Y424" s="401"/>
      <c r="Z424" s="401"/>
    </row>
    <row r="425">
      <c r="A425" s="401"/>
      <c r="B425" s="401"/>
      <c r="C425" s="401"/>
      <c r="D425" s="401"/>
      <c r="E425" s="401"/>
      <c r="F425" s="401"/>
      <c r="G425" s="401"/>
      <c r="H425" s="401"/>
      <c r="I425" s="401"/>
      <c r="J425" s="401"/>
      <c r="K425" s="401"/>
      <c r="L425" s="401"/>
      <c r="M425" s="401"/>
      <c r="N425" s="401"/>
      <c r="O425" s="401"/>
      <c r="P425" s="401"/>
      <c r="Q425" s="401"/>
      <c r="R425" s="401"/>
      <c r="S425" s="401"/>
      <c r="T425" s="401"/>
      <c r="U425" s="401"/>
      <c r="V425" s="401"/>
      <c r="W425" s="401"/>
      <c r="X425" s="401"/>
      <c r="Y425" s="401"/>
      <c r="Z425" s="401"/>
    </row>
    <row r="426">
      <c r="A426" s="401"/>
      <c r="B426" s="401"/>
      <c r="C426" s="401"/>
      <c r="D426" s="401"/>
      <c r="E426" s="401"/>
      <c r="F426" s="401"/>
      <c r="G426" s="401"/>
      <c r="H426" s="401"/>
      <c r="I426" s="401"/>
      <c r="J426" s="401"/>
      <c r="K426" s="401"/>
      <c r="L426" s="401"/>
      <c r="M426" s="401"/>
      <c r="N426" s="401"/>
      <c r="O426" s="401"/>
      <c r="P426" s="401"/>
      <c r="Q426" s="401"/>
      <c r="R426" s="401"/>
      <c r="S426" s="401"/>
      <c r="T426" s="401"/>
      <c r="U426" s="401"/>
      <c r="V426" s="401"/>
      <c r="W426" s="401"/>
      <c r="X426" s="401"/>
      <c r="Y426" s="401"/>
      <c r="Z426" s="401"/>
    </row>
    <row r="427">
      <c r="A427" s="401"/>
      <c r="B427" s="401"/>
      <c r="C427" s="401"/>
      <c r="D427" s="401"/>
      <c r="E427" s="401"/>
      <c r="F427" s="401"/>
      <c r="G427" s="401"/>
      <c r="H427" s="401"/>
      <c r="I427" s="401"/>
      <c r="J427" s="401"/>
      <c r="K427" s="401"/>
      <c r="L427" s="401"/>
      <c r="M427" s="401"/>
      <c r="N427" s="401"/>
      <c r="O427" s="401"/>
      <c r="P427" s="401"/>
      <c r="Q427" s="401"/>
      <c r="R427" s="401"/>
      <c r="S427" s="401"/>
      <c r="T427" s="401"/>
      <c r="U427" s="401"/>
      <c r="V427" s="401"/>
      <c r="W427" s="401"/>
      <c r="X427" s="401"/>
      <c r="Y427" s="401"/>
      <c r="Z427" s="401"/>
    </row>
    <row r="428">
      <c r="A428" s="401"/>
      <c r="B428" s="401"/>
      <c r="C428" s="401"/>
      <c r="D428" s="401"/>
      <c r="E428" s="401"/>
      <c r="F428" s="401"/>
      <c r="G428" s="401"/>
      <c r="H428" s="401"/>
      <c r="I428" s="401"/>
      <c r="J428" s="401"/>
      <c r="K428" s="401"/>
      <c r="L428" s="401"/>
      <c r="M428" s="401"/>
      <c r="N428" s="401"/>
      <c r="O428" s="401"/>
      <c r="P428" s="401"/>
      <c r="Q428" s="401"/>
      <c r="R428" s="401"/>
      <c r="S428" s="401"/>
      <c r="T428" s="401"/>
      <c r="U428" s="401"/>
      <c r="V428" s="401"/>
      <c r="W428" s="401"/>
      <c r="X428" s="401"/>
      <c r="Y428" s="401"/>
      <c r="Z428" s="401"/>
    </row>
    <row r="429">
      <c r="A429" s="401"/>
      <c r="B429" s="401"/>
      <c r="C429" s="401"/>
      <c r="D429" s="401"/>
      <c r="E429" s="401"/>
      <c r="F429" s="401"/>
      <c r="G429" s="401"/>
      <c r="H429" s="401"/>
      <c r="I429" s="401"/>
      <c r="J429" s="401"/>
      <c r="K429" s="401"/>
      <c r="L429" s="401"/>
      <c r="M429" s="401"/>
      <c r="N429" s="401"/>
      <c r="O429" s="401"/>
      <c r="P429" s="401"/>
      <c r="Q429" s="401"/>
      <c r="R429" s="401"/>
      <c r="S429" s="401"/>
      <c r="T429" s="401"/>
      <c r="U429" s="401"/>
      <c r="V429" s="401"/>
      <c r="W429" s="401"/>
      <c r="X429" s="401"/>
      <c r="Y429" s="401"/>
      <c r="Z429" s="401"/>
    </row>
    <row r="430">
      <c r="A430" s="401"/>
      <c r="B430" s="401"/>
      <c r="C430" s="401"/>
      <c r="D430" s="401"/>
      <c r="E430" s="401"/>
      <c r="F430" s="401"/>
      <c r="G430" s="401"/>
      <c r="H430" s="401"/>
      <c r="I430" s="401"/>
      <c r="J430" s="401"/>
      <c r="K430" s="401"/>
      <c r="L430" s="401"/>
      <c r="M430" s="401"/>
      <c r="N430" s="401"/>
      <c r="O430" s="401"/>
      <c r="P430" s="401"/>
      <c r="Q430" s="401"/>
      <c r="R430" s="401"/>
      <c r="S430" s="401"/>
      <c r="T430" s="401"/>
      <c r="U430" s="401"/>
      <c r="V430" s="401"/>
      <c r="W430" s="401"/>
      <c r="X430" s="401"/>
      <c r="Y430" s="401"/>
      <c r="Z430" s="401"/>
    </row>
    <row r="431">
      <c r="A431" s="401"/>
      <c r="B431" s="401"/>
      <c r="C431" s="401"/>
      <c r="D431" s="401"/>
      <c r="E431" s="401"/>
      <c r="F431" s="401"/>
      <c r="G431" s="401"/>
      <c r="H431" s="401"/>
      <c r="I431" s="401"/>
      <c r="J431" s="401"/>
      <c r="K431" s="401"/>
      <c r="L431" s="401"/>
      <c r="M431" s="401"/>
      <c r="N431" s="401"/>
      <c r="O431" s="401"/>
      <c r="P431" s="401"/>
      <c r="Q431" s="401"/>
      <c r="R431" s="401"/>
      <c r="S431" s="401"/>
      <c r="T431" s="401"/>
      <c r="U431" s="401"/>
      <c r="V431" s="401"/>
      <c r="W431" s="401"/>
      <c r="X431" s="401"/>
      <c r="Y431" s="401"/>
      <c r="Z431" s="401"/>
    </row>
    <row r="432">
      <c r="A432" s="401"/>
      <c r="B432" s="401"/>
      <c r="C432" s="401"/>
      <c r="D432" s="401"/>
      <c r="E432" s="401"/>
      <c r="F432" s="401"/>
      <c r="G432" s="401"/>
      <c r="H432" s="401"/>
      <c r="I432" s="401"/>
      <c r="J432" s="401"/>
      <c r="K432" s="401"/>
      <c r="L432" s="401"/>
      <c r="M432" s="401"/>
      <c r="N432" s="401"/>
      <c r="O432" s="401"/>
      <c r="P432" s="401"/>
      <c r="Q432" s="401"/>
      <c r="R432" s="401"/>
      <c r="S432" s="401"/>
      <c r="T432" s="401"/>
      <c r="U432" s="401"/>
      <c r="V432" s="401"/>
      <c r="W432" s="401"/>
      <c r="X432" s="401"/>
      <c r="Y432" s="401"/>
      <c r="Z432" s="401"/>
    </row>
    <row r="433">
      <c r="A433" s="401"/>
      <c r="B433" s="401"/>
      <c r="C433" s="401"/>
      <c r="D433" s="401"/>
      <c r="E433" s="401"/>
      <c r="F433" s="401"/>
      <c r="G433" s="401"/>
      <c r="H433" s="401"/>
      <c r="I433" s="401"/>
      <c r="J433" s="401"/>
      <c r="K433" s="401"/>
      <c r="L433" s="401"/>
      <c r="M433" s="401"/>
      <c r="N433" s="401"/>
      <c r="O433" s="401"/>
      <c r="P433" s="401"/>
      <c r="Q433" s="401"/>
      <c r="R433" s="401"/>
      <c r="S433" s="401"/>
      <c r="T433" s="401"/>
      <c r="U433" s="401"/>
      <c r="V433" s="401"/>
      <c r="W433" s="401"/>
      <c r="X433" s="401"/>
      <c r="Y433" s="401"/>
      <c r="Z433" s="401"/>
    </row>
    <row r="434">
      <c r="A434" s="401"/>
      <c r="B434" s="401"/>
      <c r="C434" s="401"/>
      <c r="D434" s="401"/>
      <c r="E434" s="401"/>
      <c r="F434" s="401"/>
      <c r="G434" s="401"/>
      <c r="H434" s="401"/>
      <c r="I434" s="401"/>
      <c r="J434" s="401"/>
      <c r="K434" s="401"/>
      <c r="L434" s="401"/>
      <c r="M434" s="401"/>
      <c r="N434" s="401"/>
      <c r="O434" s="401"/>
      <c r="P434" s="401"/>
      <c r="Q434" s="401"/>
      <c r="R434" s="401"/>
      <c r="S434" s="401"/>
      <c r="T434" s="401"/>
      <c r="U434" s="401"/>
      <c r="V434" s="401"/>
      <c r="W434" s="401"/>
      <c r="X434" s="401"/>
      <c r="Y434" s="401"/>
      <c r="Z434" s="401"/>
    </row>
    <row r="435">
      <c r="A435" s="401"/>
      <c r="B435" s="401"/>
      <c r="C435" s="401"/>
      <c r="D435" s="401"/>
      <c r="E435" s="401"/>
      <c r="F435" s="401"/>
      <c r="G435" s="401"/>
      <c r="H435" s="401"/>
      <c r="I435" s="401"/>
      <c r="J435" s="401"/>
      <c r="K435" s="401"/>
      <c r="L435" s="401"/>
      <c r="M435" s="401"/>
      <c r="N435" s="401"/>
      <c r="O435" s="401"/>
      <c r="P435" s="401"/>
      <c r="Q435" s="401"/>
      <c r="R435" s="401"/>
      <c r="S435" s="401"/>
      <c r="T435" s="401"/>
      <c r="U435" s="401"/>
      <c r="V435" s="401"/>
      <c r="W435" s="401"/>
      <c r="X435" s="401"/>
      <c r="Y435" s="401"/>
      <c r="Z435" s="401"/>
    </row>
    <row r="436">
      <c r="A436" s="401"/>
      <c r="B436" s="401"/>
      <c r="C436" s="401"/>
      <c r="D436" s="401"/>
      <c r="E436" s="401"/>
      <c r="F436" s="401"/>
      <c r="G436" s="401"/>
      <c r="H436" s="401"/>
      <c r="I436" s="401"/>
      <c r="J436" s="401"/>
      <c r="K436" s="401"/>
      <c r="L436" s="401"/>
      <c r="M436" s="401"/>
      <c r="N436" s="401"/>
      <c r="O436" s="401"/>
      <c r="P436" s="401"/>
      <c r="Q436" s="401"/>
      <c r="R436" s="401"/>
      <c r="S436" s="401"/>
      <c r="T436" s="401"/>
      <c r="U436" s="401"/>
      <c r="V436" s="401"/>
      <c r="W436" s="401"/>
      <c r="X436" s="401"/>
      <c r="Y436" s="401"/>
      <c r="Z436" s="401"/>
    </row>
    <row r="437">
      <c r="A437" s="401"/>
      <c r="B437" s="401"/>
      <c r="C437" s="401"/>
      <c r="D437" s="401"/>
      <c r="E437" s="401"/>
      <c r="F437" s="401"/>
      <c r="G437" s="401"/>
      <c r="H437" s="401"/>
      <c r="I437" s="401"/>
      <c r="J437" s="401"/>
      <c r="K437" s="401"/>
      <c r="L437" s="401"/>
      <c r="M437" s="401"/>
      <c r="N437" s="401"/>
      <c r="O437" s="401"/>
      <c r="P437" s="401"/>
      <c r="Q437" s="401"/>
      <c r="R437" s="401"/>
      <c r="S437" s="401"/>
      <c r="T437" s="401"/>
      <c r="U437" s="401"/>
      <c r="V437" s="401"/>
      <c r="W437" s="401"/>
      <c r="X437" s="401"/>
      <c r="Y437" s="401"/>
      <c r="Z437" s="401"/>
    </row>
    <row r="438">
      <c r="A438" s="401"/>
      <c r="B438" s="401"/>
      <c r="C438" s="401"/>
      <c r="D438" s="401"/>
      <c r="E438" s="401"/>
      <c r="F438" s="401"/>
      <c r="G438" s="401"/>
      <c r="H438" s="401"/>
      <c r="I438" s="401"/>
      <c r="J438" s="401"/>
      <c r="K438" s="401"/>
      <c r="L438" s="401"/>
      <c r="M438" s="401"/>
      <c r="N438" s="401"/>
      <c r="O438" s="401"/>
      <c r="P438" s="401"/>
      <c r="Q438" s="401"/>
      <c r="R438" s="401"/>
      <c r="S438" s="401"/>
      <c r="T438" s="401"/>
      <c r="U438" s="401"/>
      <c r="V438" s="401"/>
      <c r="W438" s="401"/>
      <c r="X438" s="401"/>
      <c r="Y438" s="401"/>
      <c r="Z438" s="401"/>
    </row>
    <row r="439">
      <c r="A439" s="401"/>
      <c r="B439" s="401"/>
      <c r="C439" s="401"/>
      <c r="D439" s="401"/>
      <c r="E439" s="401"/>
      <c r="F439" s="401"/>
      <c r="G439" s="401"/>
      <c r="H439" s="401"/>
      <c r="I439" s="401"/>
      <c r="J439" s="401"/>
      <c r="K439" s="401"/>
      <c r="L439" s="401"/>
      <c r="M439" s="401"/>
      <c r="N439" s="401"/>
      <c r="O439" s="401"/>
      <c r="P439" s="401"/>
      <c r="Q439" s="401"/>
      <c r="R439" s="401"/>
      <c r="S439" s="401"/>
      <c r="T439" s="401"/>
      <c r="U439" s="401"/>
      <c r="V439" s="401"/>
      <c r="W439" s="401"/>
      <c r="X439" s="401"/>
      <c r="Y439" s="401"/>
      <c r="Z439" s="401"/>
    </row>
    <row r="440">
      <c r="A440" s="401"/>
      <c r="B440" s="401"/>
      <c r="C440" s="401"/>
      <c r="D440" s="401"/>
      <c r="E440" s="401"/>
      <c r="F440" s="401"/>
      <c r="G440" s="401"/>
      <c r="H440" s="401"/>
      <c r="I440" s="401"/>
      <c r="J440" s="401"/>
      <c r="K440" s="401"/>
      <c r="L440" s="401"/>
      <c r="M440" s="401"/>
      <c r="N440" s="401"/>
      <c r="O440" s="401"/>
      <c r="P440" s="401"/>
      <c r="Q440" s="401"/>
      <c r="R440" s="401"/>
      <c r="S440" s="401"/>
      <c r="T440" s="401"/>
      <c r="U440" s="401"/>
      <c r="V440" s="401"/>
      <c r="W440" s="401"/>
      <c r="X440" s="401"/>
      <c r="Y440" s="401"/>
      <c r="Z440" s="401"/>
    </row>
    <row r="441">
      <c r="A441" s="401"/>
      <c r="B441" s="401"/>
      <c r="C441" s="401"/>
      <c r="D441" s="401"/>
      <c r="E441" s="401"/>
      <c r="F441" s="401"/>
      <c r="G441" s="401"/>
      <c r="H441" s="401"/>
      <c r="I441" s="401"/>
      <c r="J441" s="401"/>
      <c r="K441" s="401"/>
      <c r="L441" s="401"/>
      <c r="M441" s="401"/>
      <c r="N441" s="401"/>
      <c r="O441" s="401"/>
      <c r="P441" s="401"/>
      <c r="Q441" s="401"/>
      <c r="R441" s="401"/>
      <c r="S441" s="401"/>
      <c r="T441" s="401"/>
      <c r="U441" s="401"/>
      <c r="V441" s="401"/>
      <c r="W441" s="401"/>
      <c r="X441" s="401"/>
      <c r="Y441" s="401"/>
      <c r="Z441" s="401"/>
    </row>
    <row r="442">
      <c r="A442" s="401"/>
      <c r="B442" s="401"/>
      <c r="C442" s="401"/>
      <c r="D442" s="401"/>
      <c r="E442" s="401"/>
      <c r="F442" s="401"/>
      <c r="G442" s="401"/>
      <c r="H442" s="401"/>
      <c r="I442" s="401"/>
      <c r="J442" s="401"/>
      <c r="K442" s="401"/>
      <c r="L442" s="401"/>
      <c r="M442" s="401"/>
      <c r="N442" s="401"/>
      <c r="O442" s="401"/>
      <c r="P442" s="401"/>
      <c r="Q442" s="401"/>
      <c r="R442" s="401"/>
      <c r="S442" s="401"/>
      <c r="T442" s="401"/>
      <c r="U442" s="401"/>
      <c r="V442" s="401"/>
      <c r="W442" s="401"/>
      <c r="X442" s="401"/>
      <c r="Y442" s="401"/>
      <c r="Z442" s="401"/>
    </row>
    <row r="443">
      <c r="A443" s="401"/>
      <c r="B443" s="401"/>
      <c r="C443" s="401"/>
      <c r="D443" s="401"/>
      <c r="E443" s="401"/>
      <c r="F443" s="401"/>
      <c r="G443" s="401"/>
      <c r="H443" s="401"/>
      <c r="I443" s="401"/>
      <c r="J443" s="401"/>
      <c r="K443" s="401"/>
      <c r="L443" s="401"/>
      <c r="M443" s="401"/>
      <c r="N443" s="401"/>
      <c r="O443" s="401"/>
      <c r="P443" s="401"/>
      <c r="Q443" s="401"/>
      <c r="R443" s="401"/>
      <c r="S443" s="401"/>
      <c r="T443" s="401"/>
      <c r="U443" s="401"/>
      <c r="V443" s="401"/>
      <c r="W443" s="401"/>
      <c r="X443" s="401"/>
      <c r="Y443" s="401"/>
      <c r="Z443" s="401"/>
    </row>
    <row r="444">
      <c r="A444" s="401"/>
      <c r="B444" s="401"/>
      <c r="C444" s="401"/>
      <c r="D444" s="401"/>
      <c r="E444" s="401"/>
      <c r="F444" s="401"/>
      <c r="G444" s="401"/>
      <c r="H444" s="401"/>
      <c r="I444" s="401"/>
      <c r="J444" s="401"/>
      <c r="K444" s="401"/>
      <c r="L444" s="401"/>
      <c r="M444" s="401"/>
      <c r="N444" s="401"/>
      <c r="O444" s="401"/>
      <c r="P444" s="401"/>
      <c r="Q444" s="401"/>
      <c r="R444" s="401"/>
      <c r="S444" s="401"/>
      <c r="T444" s="401"/>
      <c r="U444" s="401"/>
      <c r="V444" s="401"/>
      <c r="W444" s="401"/>
      <c r="X444" s="401"/>
      <c r="Y444" s="401"/>
      <c r="Z444" s="401"/>
    </row>
    <row r="445">
      <c r="A445" s="401"/>
      <c r="B445" s="401"/>
      <c r="C445" s="401"/>
      <c r="D445" s="401"/>
      <c r="E445" s="401"/>
      <c r="F445" s="401"/>
      <c r="G445" s="401"/>
      <c r="H445" s="401"/>
      <c r="I445" s="401"/>
      <c r="J445" s="401"/>
      <c r="K445" s="401"/>
      <c r="L445" s="401"/>
      <c r="M445" s="401"/>
      <c r="N445" s="401"/>
      <c r="O445" s="401"/>
      <c r="P445" s="401"/>
      <c r="Q445" s="401"/>
      <c r="R445" s="401"/>
      <c r="S445" s="401"/>
      <c r="T445" s="401"/>
      <c r="U445" s="401"/>
      <c r="V445" s="401"/>
      <c r="W445" s="401"/>
      <c r="X445" s="401"/>
      <c r="Y445" s="401"/>
      <c r="Z445" s="401"/>
    </row>
    <row r="446">
      <c r="A446" s="401"/>
      <c r="B446" s="401"/>
      <c r="C446" s="401"/>
      <c r="D446" s="401"/>
      <c r="E446" s="401"/>
      <c r="F446" s="401"/>
      <c r="G446" s="401"/>
      <c r="H446" s="401"/>
      <c r="I446" s="401"/>
      <c r="J446" s="401"/>
      <c r="K446" s="401"/>
      <c r="L446" s="401"/>
      <c r="M446" s="401"/>
      <c r="N446" s="401"/>
      <c r="O446" s="401"/>
      <c r="P446" s="401"/>
      <c r="Q446" s="401"/>
      <c r="R446" s="401"/>
      <c r="S446" s="401"/>
      <c r="T446" s="401"/>
      <c r="U446" s="401"/>
      <c r="V446" s="401"/>
      <c r="W446" s="401"/>
      <c r="X446" s="401"/>
      <c r="Y446" s="401"/>
      <c r="Z446" s="401"/>
    </row>
    <row r="447">
      <c r="A447" s="401"/>
      <c r="B447" s="401"/>
      <c r="C447" s="401"/>
      <c r="D447" s="401"/>
      <c r="E447" s="401"/>
      <c r="F447" s="401"/>
      <c r="G447" s="401"/>
      <c r="H447" s="401"/>
      <c r="I447" s="401"/>
      <c r="J447" s="401"/>
      <c r="K447" s="401"/>
      <c r="L447" s="401"/>
      <c r="M447" s="401"/>
      <c r="N447" s="401"/>
      <c r="O447" s="401"/>
      <c r="P447" s="401"/>
      <c r="Q447" s="401"/>
      <c r="R447" s="401"/>
      <c r="S447" s="401"/>
      <c r="T447" s="401"/>
      <c r="U447" s="401"/>
      <c r="V447" s="401"/>
      <c r="W447" s="401"/>
      <c r="X447" s="401"/>
      <c r="Y447" s="401"/>
      <c r="Z447" s="401"/>
    </row>
    <row r="448">
      <c r="A448" s="401"/>
      <c r="B448" s="401"/>
      <c r="C448" s="401"/>
      <c r="D448" s="401"/>
      <c r="E448" s="401"/>
      <c r="F448" s="401"/>
      <c r="G448" s="401"/>
      <c r="H448" s="401"/>
      <c r="I448" s="401"/>
      <c r="J448" s="401"/>
      <c r="K448" s="401"/>
      <c r="L448" s="401"/>
      <c r="M448" s="401"/>
      <c r="N448" s="401"/>
      <c r="O448" s="401"/>
      <c r="P448" s="401"/>
      <c r="Q448" s="401"/>
      <c r="R448" s="401"/>
      <c r="S448" s="401"/>
      <c r="T448" s="401"/>
      <c r="U448" s="401"/>
      <c r="V448" s="401"/>
      <c r="W448" s="401"/>
      <c r="X448" s="401"/>
      <c r="Y448" s="401"/>
      <c r="Z448" s="401"/>
    </row>
    <row r="449">
      <c r="A449" s="401"/>
      <c r="B449" s="401"/>
      <c r="C449" s="401"/>
      <c r="D449" s="401"/>
      <c r="E449" s="401"/>
      <c r="F449" s="401"/>
      <c r="G449" s="401"/>
      <c r="H449" s="401"/>
      <c r="I449" s="401"/>
      <c r="J449" s="401"/>
      <c r="K449" s="401"/>
      <c r="L449" s="401"/>
      <c r="M449" s="401"/>
      <c r="N449" s="401"/>
      <c r="O449" s="401"/>
      <c r="P449" s="401"/>
      <c r="Q449" s="401"/>
      <c r="R449" s="401"/>
      <c r="S449" s="401"/>
      <c r="T449" s="401"/>
      <c r="U449" s="401"/>
      <c r="V449" s="401"/>
      <c r="W449" s="401"/>
      <c r="X449" s="401"/>
      <c r="Y449" s="401"/>
      <c r="Z449" s="401"/>
    </row>
    <row r="450">
      <c r="A450" s="401"/>
      <c r="B450" s="401"/>
      <c r="C450" s="401"/>
      <c r="D450" s="401"/>
      <c r="E450" s="401"/>
      <c r="F450" s="401"/>
      <c r="G450" s="401"/>
      <c r="H450" s="401"/>
      <c r="I450" s="401"/>
      <c r="J450" s="401"/>
      <c r="K450" s="401"/>
      <c r="L450" s="401"/>
      <c r="M450" s="401"/>
      <c r="N450" s="401"/>
      <c r="O450" s="401"/>
      <c r="P450" s="401"/>
      <c r="Q450" s="401"/>
      <c r="R450" s="401"/>
      <c r="S450" s="401"/>
      <c r="T450" s="401"/>
      <c r="U450" s="401"/>
      <c r="V450" s="401"/>
      <c r="W450" s="401"/>
      <c r="X450" s="401"/>
      <c r="Y450" s="401"/>
      <c r="Z450" s="401"/>
    </row>
    <row r="451">
      <c r="A451" s="401"/>
      <c r="B451" s="401"/>
      <c r="C451" s="401"/>
      <c r="D451" s="401"/>
      <c r="E451" s="401"/>
      <c r="F451" s="401"/>
      <c r="G451" s="401"/>
      <c r="H451" s="401"/>
      <c r="I451" s="401"/>
      <c r="J451" s="401"/>
      <c r="K451" s="401"/>
      <c r="L451" s="401"/>
      <c r="M451" s="401"/>
      <c r="N451" s="401"/>
      <c r="O451" s="401"/>
      <c r="P451" s="401"/>
      <c r="Q451" s="401"/>
      <c r="R451" s="401"/>
      <c r="S451" s="401"/>
      <c r="T451" s="401"/>
      <c r="U451" s="401"/>
      <c r="V451" s="401"/>
      <c r="W451" s="401"/>
      <c r="X451" s="401"/>
      <c r="Y451" s="401"/>
      <c r="Z451" s="401"/>
    </row>
    <row r="452">
      <c r="A452" s="401"/>
      <c r="B452" s="401"/>
      <c r="C452" s="401"/>
      <c r="D452" s="401"/>
      <c r="E452" s="401"/>
      <c r="F452" s="401"/>
      <c r="G452" s="401"/>
      <c r="H452" s="401"/>
      <c r="I452" s="401"/>
      <c r="J452" s="401"/>
      <c r="K452" s="401"/>
      <c r="L452" s="401"/>
      <c r="M452" s="401"/>
      <c r="N452" s="401"/>
      <c r="O452" s="401"/>
      <c r="P452" s="401"/>
      <c r="Q452" s="401"/>
      <c r="R452" s="401"/>
      <c r="S452" s="401"/>
      <c r="T452" s="401"/>
      <c r="U452" s="401"/>
      <c r="V452" s="401"/>
      <c r="W452" s="401"/>
      <c r="X452" s="401"/>
      <c r="Y452" s="401"/>
      <c r="Z452" s="401"/>
    </row>
    <row r="453">
      <c r="A453" s="401"/>
      <c r="B453" s="401"/>
      <c r="C453" s="401"/>
      <c r="D453" s="401"/>
      <c r="E453" s="401"/>
      <c r="F453" s="401"/>
      <c r="G453" s="401"/>
      <c r="H453" s="401"/>
      <c r="I453" s="401"/>
      <c r="J453" s="401"/>
      <c r="K453" s="401"/>
      <c r="L453" s="401"/>
      <c r="M453" s="401"/>
      <c r="N453" s="401"/>
      <c r="O453" s="401"/>
      <c r="P453" s="401"/>
      <c r="Q453" s="401"/>
      <c r="R453" s="401"/>
      <c r="S453" s="401"/>
      <c r="T453" s="401"/>
      <c r="U453" s="401"/>
      <c r="V453" s="401"/>
      <c r="W453" s="401"/>
      <c r="X453" s="401"/>
      <c r="Y453" s="401"/>
      <c r="Z453" s="401"/>
    </row>
    <row r="454">
      <c r="A454" s="401"/>
      <c r="B454" s="401"/>
      <c r="C454" s="401"/>
      <c r="D454" s="401"/>
      <c r="E454" s="401"/>
      <c r="F454" s="401"/>
      <c r="G454" s="401"/>
      <c r="H454" s="401"/>
      <c r="I454" s="401"/>
      <c r="J454" s="401"/>
      <c r="K454" s="401"/>
      <c r="L454" s="401"/>
      <c r="M454" s="401"/>
      <c r="N454" s="401"/>
      <c r="O454" s="401"/>
      <c r="P454" s="401"/>
      <c r="Q454" s="401"/>
      <c r="R454" s="401"/>
      <c r="S454" s="401"/>
      <c r="T454" s="401"/>
      <c r="U454" s="401"/>
      <c r="V454" s="401"/>
      <c r="W454" s="401"/>
      <c r="X454" s="401"/>
      <c r="Y454" s="401"/>
      <c r="Z454" s="401"/>
    </row>
    <row r="455">
      <c r="A455" s="401"/>
      <c r="B455" s="401"/>
      <c r="C455" s="401"/>
      <c r="D455" s="401"/>
      <c r="E455" s="401"/>
      <c r="F455" s="401"/>
      <c r="G455" s="401"/>
      <c r="H455" s="401"/>
      <c r="I455" s="401"/>
      <c r="J455" s="401"/>
      <c r="K455" s="401"/>
      <c r="L455" s="401"/>
      <c r="M455" s="401"/>
      <c r="N455" s="401"/>
      <c r="O455" s="401"/>
      <c r="P455" s="401"/>
      <c r="Q455" s="401"/>
      <c r="R455" s="401"/>
      <c r="S455" s="401"/>
      <c r="T455" s="401"/>
      <c r="U455" s="401"/>
      <c r="V455" s="401"/>
      <c r="W455" s="401"/>
      <c r="X455" s="401"/>
      <c r="Y455" s="401"/>
      <c r="Z455" s="401"/>
    </row>
    <row r="456">
      <c r="A456" s="401"/>
      <c r="B456" s="401"/>
      <c r="C456" s="401"/>
      <c r="D456" s="401"/>
      <c r="E456" s="401"/>
      <c r="F456" s="401"/>
      <c r="G456" s="401"/>
      <c r="H456" s="401"/>
      <c r="I456" s="401"/>
      <c r="J456" s="401"/>
      <c r="K456" s="401"/>
      <c r="L456" s="401"/>
      <c r="M456" s="401"/>
      <c r="N456" s="401"/>
      <c r="O456" s="401"/>
      <c r="P456" s="401"/>
      <c r="Q456" s="401"/>
      <c r="R456" s="401"/>
      <c r="S456" s="401"/>
      <c r="T456" s="401"/>
      <c r="U456" s="401"/>
      <c r="V456" s="401"/>
      <c r="W456" s="401"/>
      <c r="X456" s="401"/>
      <c r="Y456" s="401"/>
      <c r="Z456" s="401"/>
    </row>
    <row r="457">
      <c r="A457" s="401"/>
      <c r="B457" s="401"/>
      <c r="C457" s="401"/>
      <c r="D457" s="401"/>
      <c r="E457" s="401"/>
      <c r="F457" s="401"/>
      <c r="G457" s="401"/>
      <c r="H457" s="401"/>
      <c r="I457" s="401"/>
      <c r="J457" s="401"/>
      <c r="K457" s="401"/>
      <c r="L457" s="401"/>
      <c r="M457" s="401"/>
      <c r="N457" s="401"/>
      <c r="O457" s="401"/>
      <c r="P457" s="401"/>
      <c r="Q457" s="401"/>
      <c r="R457" s="401"/>
      <c r="S457" s="401"/>
      <c r="T457" s="401"/>
      <c r="U457" s="401"/>
      <c r="V457" s="401"/>
      <c r="W457" s="401"/>
      <c r="X457" s="401"/>
      <c r="Y457" s="401"/>
      <c r="Z457" s="401"/>
    </row>
    <row r="458">
      <c r="A458" s="401"/>
      <c r="B458" s="401"/>
      <c r="C458" s="401"/>
      <c r="D458" s="401"/>
      <c r="E458" s="401"/>
      <c r="F458" s="401"/>
      <c r="G458" s="401"/>
      <c r="H458" s="401"/>
      <c r="I458" s="401"/>
      <c r="J458" s="401"/>
      <c r="K458" s="401"/>
      <c r="L458" s="401"/>
      <c r="M458" s="401"/>
      <c r="N458" s="401"/>
      <c r="O458" s="401"/>
      <c r="P458" s="401"/>
      <c r="Q458" s="401"/>
      <c r="R458" s="401"/>
      <c r="S458" s="401"/>
      <c r="T458" s="401"/>
      <c r="U458" s="401"/>
      <c r="V458" s="401"/>
      <c r="W458" s="401"/>
      <c r="X458" s="401"/>
      <c r="Y458" s="401"/>
      <c r="Z458" s="401"/>
    </row>
    <row r="459">
      <c r="A459" s="401"/>
      <c r="B459" s="401"/>
      <c r="C459" s="401"/>
      <c r="D459" s="401"/>
      <c r="E459" s="401"/>
      <c r="F459" s="401"/>
      <c r="G459" s="401"/>
      <c r="H459" s="401"/>
      <c r="I459" s="401"/>
      <c r="J459" s="401"/>
      <c r="K459" s="401"/>
      <c r="L459" s="401"/>
      <c r="M459" s="401"/>
      <c r="N459" s="401"/>
      <c r="O459" s="401"/>
      <c r="P459" s="401"/>
      <c r="Q459" s="401"/>
      <c r="R459" s="401"/>
      <c r="S459" s="401"/>
      <c r="T459" s="401"/>
      <c r="U459" s="401"/>
      <c r="V459" s="401"/>
      <c r="W459" s="401"/>
      <c r="X459" s="401"/>
      <c r="Y459" s="401"/>
      <c r="Z459" s="401"/>
    </row>
    <row r="460">
      <c r="A460" s="401"/>
      <c r="B460" s="401"/>
      <c r="C460" s="401"/>
      <c r="D460" s="401"/>
      <c r="E460" s="401"/>
      <c r="F460" s="401"/>
      <c r="G460" s="401"/>
      <c r="H460" s="401"/>
      <c r="I460" s="401"/>
      <c r="J460" s="401"/>
      <c r="K460" s="401"/>
      <c r="L460" s="401"/>
      <c r="M460" s="401"/>
      <c r="N460" s="401"/>
      <c r="O460" s="401"/>
      <c r="P460" s="401"/>
      <c r="Q460" s="401"/>
      <c r="R460" s="401"/>
      <c r="S460" s="401"/>
      <c r="T460" s="401"/>
      <c r="U460" s="401"/>
      <c r="V460" s="401"/>
      <c r="W460" s="401"/>
      <c r="X460" s="401"/>
      <c r="Y460" s="401"/>
      <c r="Z460" s="401"/>
    </row>
    <row r="461">
      <c r="A461" s="401"/>
      <c r="B461" s="401"/>
      <c r="C461" s="401"/>
      <c r="D461" s="401"/>
      <c r="E461" s="401"/>
      <c r="F461" s="401"/>
      <c r="G461" s="401"/>
      <c r="H461" s="401"/>
      <c r="I461" s="401"/>
      <c r="J461" s="401"/>
      <c r="K461" s="401"/>
      <c r="L461" s="401"/>
      <c r="M461" s="401"/>
      <c r="N461" s="401"/>
      <c r="O461" s="401"/>
      <c r="P461" s="401"/>
      <c r="Q461" s="401"/>
      <c r="R461" s="401"/>
      <c r="S461" s="401"/>
      <c r="T461" s="401"/>
      <c r="U461" s="401"/>
      <c r="V461" s="401"/>
      <c r="W461" s="401"/>
      <c r="X461" s="401"/>
      <c r="Y461" s="401"/>
      <c r="Z461" s="401"/>
    </row>
    <row r="462">
      <c r="A462" s="401"/>
      <c r="B462" s="401"/>
      <c r="C462" s="401"/>
      <c r="D462" s="401"/>
      <c r="E462" s="401"/>
      <c r="F462" s="401"/>
      <c r="G462" s="401"/>
      <c r="H462" s="401"/>
      <c r="I462" s="401"/>
      <c r="J462" s="401"/>
      <c r="K462" s="401"/>
      <c r="L462" s="401"/>
      <c r="M462" s="401"/>
      <c r="N462" s="401"/>
      <c r="O462" s="401"/>
      <c r="P462" s="401"/>
      <c r="Q462" s="401"/>
      <c r="R462" s="401"/>
      <c r="S462" s="401"/>
      <c r="T462" s="401"/>
      <c r="U462" s="401"/>
      <c r="V462" s="401"/>
      <c r="W462" s="401"/>
      <c r="X462" s="401"/>
      <c r="Y462" s="401"/>
      <c r="Z462" s="401"/>
    </row>
    <row r="463">
      <c r="A463" s="401"/>
      <c r="B463" s="401"/>
      <c r="C463" s="401"/>
      <c r="D463" s="401"/>
      <c r="E463" s="401"/>
      <c r="F463" s="401"/>
      <c r="G463" s="401"/>
      <c r="H463" s="401"/>
      <c r="I463" s="401"/>
      <c r="J463" s="401"/>
      <c r="K463" s="401"/>
      <c r="L463" s="401"/>
      <c r="M463" s="401"/>
      <c r="N463" s="401"/>
      <c r="O463" s="401"/>
      <c r="P463" s="401"/>
      <c r="Q463" s="401"/>
      <c r="R463" s="401"/>
      <c r="S463" s="401"/>
      <c r="T463" s="401"/>
      <c r="U463" s="401"/>
      <c r="V463" s="401"/>
      <c r="W463" s="401"/>
      <c r="X463" s="401"/>
      <c r="Y463" s="401"/>
      <c r="Z463" s="401"/>
    </row>
    <row r="464">
      <c r="A464" s="401"/>
      <c r="B464" s="401"/>
      <c r="C464" s="401"/>
      <c r="D464" s="401"/>
      <c r="E464" s="401"/>
      <c r="F464" s="401"/>
      <c r="G464" s="401"/>
      <c r="H464" s="401"/>
      <c r="I464" s="401"/>
      <c r="J464" s="401"/>
      <c r="K464" s="401"/>
      <c r="L464" s="401"/>
      <c r="M464" s="401"/>
      <c r="N464" s="401"/>
      <c r="O464" s="401"/>
      <c r="P464" s="401"/>
      <c r="Q464" s="401"/>
      <c r="R464" s="401"/>
      <c r="S464" s="401"/>
      <c r="T464" s="401"/>
      <c r="U464" s="401"/>
      <c r="V464" s="401"/>
      <c r="W464" s="401"/>
      <c r="X464" s="401"/>
      <c r="Y464" s="401"/>
      <c r="Z464" s="401"/>
    </row>
    <row r="465">
      <c r="A465" s="401"/>
      <c r="B465" s="401"/>
      <c r="C465" s="401"/>
      <c r="D465" s="401"/>
      <c r="E465" s="401"/>
      <c r="F465" s="401"/>
      <c r="G465" s="401"/>
      <c r="H465" s="401"/>
      <c r="I465" s="401"/>
      <c r="J465" s="401"/>
      <c r="K465" s="401"/>
      <c r="L465" s="401"/>
      <c r="M465" s="401"/>
      <c r="N465" s="401"/>
      <c r="O465" s="401"/>
      <c r="P465" s="401"/>
      <c r="Q465" s="401"/>
      <c r="R465" s="401"/>
      <c r="S465" s="401"/>
      <c r="T465" s="401"/>
      <c r="U465" s="401"/>
      <c r="V465" s="401"/>
      <c r="W465" s="401"/>
      <c r="X465" s="401"/>
      <c r="Y465" s="401"/>
      <c r="Z465" s="401"/>
    </row>
    <row r="466">
      <c r="A466" s="401"/>
      <c r="B466" s="401"/>
      <c r="C466" s="401"/>
      <c r="D466" s="401"/>
      <c r="E466" s="401"/>
      <c r="F466" s="401"/>
      <c r="G466" s="401"/>
      <c r="H466" s="401"/>
      <c r="I466" s="401"/>
      <c r="J466" s="401"/>
      <c r="K466" s="401"/>
      <c r="L466" s="401"/>
      <c r="M466" s="401"/>
      <c r="N466" s="401"/>
      <c r="O466" s="401"/>
      <c r="P466" s="401"/>
      <c r="Q466" s="401"/>
      <c r="R466" s="401"/>
      <c r="S466" s="401"/>
      <c r="T466" s="401"/>
      <c r="U466" s="401"/>
      <c r="V466" s="401"/>
      <c r="W466" s="401"/>
      <c r="X466" s="401"/>
      <c r="Y466" s="401"/>
      <c r="Z466" s="401"/>
    </row>
    <row r="467">
      <c r="A467" s="401"/>
      <c r="B467" s="401"/>
      <c r="C467" s="401"/>
      <c r="D467" s="401"/>
      <c r="E467" s="401"/>
      <c r="F467" s="401"/>
      <c r="G467" s="401"/>
      <c r="H467" s="401"/>
      <c r="I467" s="401"/>
      <c r="J467" s="401"/>
      <c r="K467" s="401"/>
      <c r="L467" s="401"/>
      <c r="M467" s="401"/>
      <c r="N467" s="401"/>
      <c r="O467" s="401"/>
      <c r="P467" s="401"/>
      <c r="Q467" s="401"/>
      <c r="R467" s="401"/>
      <c r="S467" s="401"/>
      <c r="T467" s="401"/>
      <c r="U467" s="401"/>
      <c r="V467" s="401"/>
      <c r="W467" s="401"/>
      <c r="X467" s="401"/>
      <c r="Y467" s="401"/>
      <c r="Z467" s="401"/>
    </row>
    <row r="468">
      <c r="A468" s="401"/>
      <c r="B468" s="401"/>
      <c r="C468" s="401"/>
      <c r="D468" s="401"/>
      <c r="E468" s="401"/>
      <c r="F468" s="401"/>
      <c r="G468" s="401"/>
      <c r="H468" s="401"/>
      <c r="I468" s="401"/>
      <c r="J468" s="401"/>
      <c r="K468" s="401"/>
      <c r="L468" s="401"/>
      <c r="M468" s="401"/>
      <c r="N468" s="401"/>
      <c r="O468" s="401"/>
      <c r="P468" s="401"/>
      <c r="Q468" s="401"/>
      <c r="R468" s="401"/>
      <c r="S468" s="401"/>
      <c r="T468" s="401"/>
      <c r="U468" s="401"/>
      <c r="V468" s="401"/>
      <c r="W468" s="401"/>
      <c r="X468" s="401"/>
      <c r="Y468" s="401"/>
      <c r="Z468" s="401"/>
    </row>
    <row r="469">
      <c r="A469" s="401"/>
      <c r="B469" s="401"/>
      <c r="C469" s="401"/>
      <c r="D469" s="401"/>
      <c r="E469" s="401"/>
      <c r="F469" s="401"/>
      <c r="G469" s="401"/>
      <c r="H469" s="401"/>
      <c r="I469" s="401"/>
      <c r="J469" s="401"/>
      <c r="K469" s="401"/>
      <c r="L469" s="401"/>
      <c r="M469" s="401"/>
      <c r="N469" s="401"/>
      <c r="O469" s="401"/>
      <c r="P469" s="401"/>
      <c r="Q469" s="401"/>
      <c r="R469" s="401"/>
      <c r="S469" s="401"/>
      <c r="T469" s="401"/>
      <c r="U469" s="401"/>
      <c r="V469" s="401"/>
      <c r="W469" s="401"/>
      <c r="X469" s="401"/>
      <c r="Y469" s="401"/>
      <c r="Z469" s="401"/>
    </row>
    <row r="470">
      <c r="A470" s="401"/>
      <c r="B470" s="401"/>
      <c r="C470" s="401"/>
      <c r="D470" s="401"/>
      <c r="E470" s="401"/>
      <c r="F470" s="401"/>
      <c r="G470" s="401"/>
      <c r="H470" s="401"/>
      <c r="I470" s="401"/>
      <c r="J470" s="401"/>
      <c r="K470" s="401"/>
      <c r="L470" s="401"/>
      <c r="M470" s="401"/>
      <c r="N470" s="401"/>
      <c r="O470" s="401"/>
      <c r="P470" s="401"/>
      <c r="Q470" s="401"/>
      <c r="R470" s="401"/>
      <c r="S470" s="401"/>
      <c r="T470" s="401"/>
      <c r="U470" s="401"/>
      <c r="V470" s="401"/>
      <c r="W470" s="401"/>
      <c r="X470" s="401"/>
      <c r="Y470" s="401"/>
      <c r="Z470" s="401"/>
    </row>
    <row r="471">
      <c r="A471" s="401"/>
      <c r="B471" s="401"/>
      <c r="C471" s="401"/>
      <c r="D471" s="401"/>
      <c r="E471" s="401"/>
      <c r="F471" s="401"/>
      <c r="G471" s="401"/>
      <c r="H471" s="401"/>
      <c r="I471" s="401"/>
      <c r="J471" s="401"/>
      <c r="K471" s="401"/>
      <c r="L471" s="401"/>
      <c r="M471" s="401"/>
      <c r="N471" s="401"/>
      <c r="O471" s="401"/>
      <c r="P471" s="401"/>
      <c r="Q471" s="401"/>
      <c r="R471" s="401"/>
      <c r="S471" s="401"/>
      <c r="T471" s="401"/>
      <c r="U471" s="401"/>
      <c r="V471" s="401"/>
      <c r="W471" s="401"/>
      <c r="X471" s="401"/>
      <c r="Y471" s="401"/>
      <c r="Z471" s="401"/>
    </row>
    <row r="472">
      <c r="A472" s="401"/>
      <c r="B472" s="401"/>
      <c r="C472" s="401"/>
      <c r="D472" s="401"/>
      <c r="E472" s="401"/>
      <c r="F472" s="401"/>
      <c r="G472" s="401"/>
      <c r="H472" s="401"/>
      <c r="I472" s="401"/>
      <c r="J472" s="401"/>
      <c r="K472" s="401"/>
      <c r="L472" s="401"/>
      <c r="M472" s="401"/>
      <c r="N472" s="401"/>
      <c r="O472" s="401"/>
      <c r="P472" s="401"/>
      <c r="Q472" s="401"/>
      <c r="R472" s="401"/>
      <c r="S472" s="401"/>
      <c r="T472" s="401"/>
      <c r="U472" s="401"/>
      <c r="V472" s="401"/>
      <c r="W472" s="401"/>
      <c r="X472" s="401"/>
      <c r="Y472" s="401"/>
      <c r="Z472" s="401"/>
    </row>
    <row r="473">
      <c r="A473" s="401"/>
      <c r="B473" s="401"/>
      <c r="C473" s="401"/>
      <c r="D473" s="401"/>
      <c r="E473" s="401"/>
      <c r="F473" s="401"/>
      <c r="G473" s="401"/>
      <c r="H473" s="401"/>
      <c r="I473" s="401"/>
      <c r="J473" s="401"/>
      <c r="K473" s="401"/>
      <c r="L473" s="401"/>
      <c r="M473" s="401"/>
      <c r="N473" s="401"/>
      <c r="O473" s="401"/>
      <c r="P473" s="401"/>
      <c r="Q473" s="401"/>
      <c r="R473" s="401"/>
      <c r="S473" s="401"/>
      <c r="T473" s="401"/>
      <c r="U473" s="401"/>
      <c r="V473" s="401"/>
      <c r="W473" s="401"/>
      <c r="X473" s="401"/>
      <c r="Y473" s="401"/>
      <c r="Z473" s="401"/>
    </row>
    <row r="474">
      <c r="A474" s="401"/>
      <c r="B474" s="401"/>
      <c r="C474" s="401"/>
      <c r="D474" s="401"/>
      <c r="E474" s="401"/>
      <c r="F474" s="401"/>
      <c r="G474" s="401"/>
      <c r="H474" s="401"/>
      <c r="I474" s="401"/>
      <c r="J474" s="401"/>
      <c r="K474" s="401"/>
      <c r="L474" s="401"/>
      <c r="M474" s="401"/>
      <c r="N474" s="401"/>
      <c r="O474" s="401"/>
      <c r="P474" s="401"/>
      <c r="Q474" s="401"/>
      <c r="R474" s="401"/>
      <c r="S474" s="401"/>
      <c r="T474" s="401"/>
      <c r="U474" s="401"/>
      <c r="V474" s="401"/>
      <c r="W474" s="401"/>
      <c r="X474" s="401"/>
      <c r="Y474" s="401"/>
      <c r="Z474" s="401"/>
    </row>
    <row r="475">
      <c r="A475" s="401"/>
      <c r="B475" s="401"/>
      <c r="C475" s="401"/>
      <c r="D475" s="401"/>
      <c r="E475" s="401"/>
      <c r="F475" s="401"/>
      <c r="G475" s="401"/>
      <c r="H475" s="401"/>
      <c r="I475" s="401"/>
      <c r="J475" s="401"/>
      <c r="K475" s="401"/>
      <c r="L475" s="401"/>
      <c r="M475" s="401"/>
      <c r="N475" s="401"/>
      <c r="O475" s="401"/>
      <c r="P475" s="401"/>
      <c r="Q475" s="401"/>
      <c r="R475" s="401"/>
      <c r="S475" s="401"/>
      <c r="T475" s="401"/>
      <c r="U475" s="401"/>
      <c r="V475" s="401"/>
      <c r="W475" s="401"/>
      <c r="X475" s="401"/>
      <c r="Y475" s="401"/>
      <c r="Z475" s="401"/>
    </row>
    <row r="476">
      <c r="A476" s="401"/>
      <c r="B476" s="401"/>
      <c r="C476" s="401"/>
      <c r="D476" s="401"/>
      <c r="E476" s="401"/>
      <c r="F476" s="401"/>
      <c r="G476" s="401"/>
      <c r="H476" s="401"/>
      <c r="I476" s="401"/>
      <c r="J476" s="401"/>
      <c r="K476" s="401"/>
      <c r="L476" s="401"/>
      <c r="M476" s="401"/>
      <c r="N476" s="401"/>
      <c r="O476" s="401"/>
      <c r="P476" s="401"/>
      <c r="Q476" s="401"/>
      <c r="R476" s="401"/>
      <c r="S476" s="401"/>
      <c r="T476" s="401"/>
      <c r="U476" s="401"/>
      <c r="V476" s="401"/>
      <c r="W476" s="401"/>
      <c r="X476" s="401"/>
      <c r="Y476" s="401"/>
      <c r="Z476" s="401"/>
    </row>
    <row r="477">
      <c r="A477" s="401"/>
      <c r="B477" s="401"/>
      <c r="C477" s="401"/>
      <c r="D477" s="401"/>
      <c r="E477" s="401"/>
      <c r="F477" s="401"/>
      <c r="G477" s="401"/>
      <c r="H477" s="401"/>
      <c r="I477" s="401"/>
      <c r="J477" s="401"/>
      <c r="K477" s="401"/>
      <c r="L477" s="401"/>
      <c r="M477" s="401"/>
      <c r="N477" s="401"/>
      <c r="O477" s="401"/>
      <c r="P477" s="401"/>
      <c r="Q477" s="401"/>
      <c r="R477" s="401"/>
      <c r="S477" s="401"/>
      <c r="T477" s="401"/>
      <c r="U477" s="401"/>
      <c r="V477" s="401"/>
      <c r="W477" s="401"/>
      <c r="X477" s="401"/>
      <c r="Y477" s="401"/>
      <c r="Z477" s="401"/>
    </row>
    <row r="478">
      <c r="A478" s="401"/>
      <c r="B478" s="401"/>
      <c r="C478" s="401"/>
      <c r="D478" s="401"/>
      <c r="E478" s="401"/>
      <c r="F478" s="401"/>
      <c r="G478" s="401"/>
      <c r="H478" s="401"/>
      <c r="I478" s="401"/>
      <c r="J478" s="401"/>
      <c r="K478" s="401"/>
      <c r="L478" s="401"/>
      <c r="M478" s="401"/>
      <c r="N478" s="401"/>
      <c r="O478" s="401"/>
      <c r="P478" s="401"/>
      <c r="Q478" s="401"/>
      <c r="R478" s="401"/>
      <c r="S478" s="401"/>
      <c r="T478" s="401"/>
      <c r="U478" s="401"/>
      <c r="V478" s="401"/>
      <c r="W478" s="401"/>
      <c r="X478" s="401"/>
      <c r="Y478" s="401"/>
      <c r="Z478" s="401"/>
    </row>
    <row r="479">
      <c r="A479" s="401"/>
      <c r="B479" s="401"/>
      <c r="C479" s="401"/>
      <c r="D479" s="401"/>
      <c r="E479" s="401"/>
      <c r="F479" s="401"/>
      <c r="G479" s="401"/>
      <c r="H479" s="401"/>
      <c r="I479" s="401"/>
      <c r="J479" s="401"/>
      <c r="K479" s="401"/>
      <c r="L479" s="401"/>
      <c r="M479" s="401"/>
      <c r="N479" s="401"/>
      <c r="O479" s="401"/>
      <c r="P479" s="401"/>
      <c r="Q479" s="401"/>
      <c r="R479" s="401"/>
      <c r="S479" s="401"/>
      <c r="T479" s="401"/>
      <c r="U479" s="401"/>
      <c r="V479" s="401"/>
      <c r="W479" s="401"/>
      <c r="X479" s="401"/>
      <c r="Y479" s="401"/>
      <c r="Z479" s="401"/>
    </row>
    <row r="480">
      <c r="A480" s="401"/>
      <c r="B480" s="401"/>
      <c r="C480" s="401"/>
      <c r="D480" s="401"/>
      <c r="E480" s="401"/>
      <c r="F480" s="401"/>
      <c r="G480" s="401"/>
      <c r="H480" s="401"/>
      <c r="I480" s="401"/>
      <c r="J480" s="401"/>
      <c r="K480" s="401"/>
      <c r="L480" s="401"/>
      <c r="M480" s="401"/>
      <c r="N480" s="401"/>
      <c r="O480" s="401"/>
      <c r="P480" s="401"/>
      <c r="Q480" s="401"/>
      <c r="R480" s="401"/>
      <c r="S480" s="401"/>
      <c r="T480" s="401"/>
      <c r="U480" s="401"/>
      <c r="V480" s="401"/>
      <c r="W480" s="401"/>
      <c r="X480" s="401"/>
      <c r="Y480" s="401"/>
      <c r="Z480" s="401"/>
    </row>
    <row r="481">
      <c r="A481" s="401"/>
      <c r="B481" s="401"/>
      <c r="C481" s="401"/>
      <c r="D481" s="401"/>
      <c r="E481" s="401"/>
      <c r="F481" s="401"/>
      <c r="G481" s="401"/>
      <c r="H481" s="401"/>
      <c r="I481" s="401"/>
      <c r="J481" s="401"/>
      <c r="K481" s="401"/>
      <c r="L481" s="401"/>
      <c r="M481" s="401"/>
      <c r="N481" s="401"/>
      <c r="O481" s="401"/>
      <c r="P481" s="401"/>
      <c r="Q481" s="401"/>
      <c r="R481" s="401"/>
      <c r="S481" s="401"/>
      <c r="T481" s="401"/>
      <c r="U481" s="401"/>
      <c r="V481" s="401"/>
      <c r="W481" s="401"/>
      <c r="X481" s="401"/>
      <c r="Y481" s="401"/>
      <c r="Z481" s="401"/>
    </row>
    <row r="482">
      <c r="A482" s="401"/>
      <c r="B482" s="401"/>
      <c r="C482" s="401"/>
      <c r="D482" s="401"/>
      <c r="E482" s="401"/>
      <c r="F482" s="401"/>
      <c r="G482" s="401"/>
      <c r="H482" s="401"/>
      <c r="I482" s="401"/>
      <c r="J482" s="401"/>
      <c r="K482" s="401"/>
      <c r="L482" s="401"/>
      <c r="M482" s="401"/>
      <c r="N482" s="401"/>
      <c r="O482" s="401"/>
      <c r="P482" s="401"/>
      <c r="Q482" s="401"/>
      <c r="R482" s="401"/>
      <c r="S482" s="401"/>
      <c r="T482" s="401"/>
      <c r="U482" s="401"/>
      <c r="V482" s="401"/>
      <c r="W482" s="401"/>
      <c r="X482" s="401"/>
      <c r="Y482" s="401"/>
      <c r="Z482" s="401"/>
    </row>
    <row r="483">
      <c r="A483" s="401"/>
      <c r="B483" s="401"/>
      <c r="C483" s="401"/>
      <c r="D483" s="401"/>
      <c r="E483" s="401"/>
      <c r="F483" s="401"/>
      <c r="G483" s="401"/>
      <c r="H483" s="401"/>
      <c r="I483" s="401"/>
      <c r="J483" s="401"/>
      <c r="K483" s="401"/>
      <c r="L483" s="401"/>
      <c r="M483" s="401"/>
      <c r="N483" s="401"/>
      <c r="O483" s="401"/>
      <c r="P483" s="401"/>
      <c r="Q483" s="401"/>
      <c r="R483" s="401"/>
      <c r="S483" s="401"/>
      <c r="T483" s="401"/>
      <c r="U483" s="401"/>
      <c r="V483" s="401"/>
      <c r="W483" s="401"/>
      <c r="X483" s="401"/>
      <c r="Y483" s="401"/>
      <c r="Z483" s="401"/>
    </row>
    <row r="484">
      <c r="A484" s="401"/>
      <c r="B484" s="401"/>
      <c r="C484" s="401"/>
      <c r="D484" s="401"/>
      <c r="E484" s="401"/>
      <c r="F484" s="401"/>
      <c r="G484" s="401"/>
      <c r="H484" s="401"/>
      <c r="I484" s="401"/>
      <c r="J484" s="401"/>
      <c r="K484" s="401"/>
      <c r="L484" s="401"/>
      <c r="M484" s="401"/>
      <c r="N484" s="401"/>
      <c r="O484" s="401"/>
      <c r="P484" s="401"/>
      <c r="Q484" s="401"/>
      <c r="R484" s="401"/>
      <c r="S484" s="401"/>
      <c r="T484" s="401"/>
      <c r="U484" s="401"/>
      <c r="V484" s="401"/>
      <c r="W484" s="401"/>
      <c r="X484" s="401"/>
      <c r="Y484" s="401"/>
      <c r="Z484" s="401"/>
    </row>
    <row r="485">
      <c r="A485" s="401"/>
      <c r="B485" s="401"/>
      <c r="C485" s="401"/>
      <c r="D485" s="401"/>
      <c r="E485" s="401"/>
      <c r="F485" s="401"/>
      <c r="G485" s="401"/>
      <c r="H485" s="401"/>
      <c r="I485" s="401"/>
      <c r="J485" s="401"/>
      <c r="K485" s="401"/>
      <c r="L485" s="401"/>
      <c r="M485" s="401"/>
      <c r="N485" s="401"/>
      <c r="O485" s="401"/>
      <c r="P485" s="401"/>
      <c r="Q485" s="401"/>
      <c r="R485" s="401"/>
      <c r="S485" s="401"/>
      <c r="T485" s="401"/>
      <c r="U485" s="401"/>
      <c r="V485" s="401"/>
      <c r="W485" s="401"/>
      <c r="X485" s="401"/>
      <c r="Y485" s="401"/>
      <c r="Z485" s="401"/>
    </row>
    <row r="486">
      <c r="A486" s="401"/>
      <c r="B486" s="401"/>
      <c r="C486" s="401"/>
      <c r="D486" s="401"/>
      <c r="E486" s="401"/>
      <c r="F486" s="401"/>
      <c r="G486" s="401"/>
      <c r="H486" s="401"/>
      <c r="I486" s="401"/>
      <c r="J486" s="401"/>
      <c r="K486" s="401"/>
      <c r="L486" s="401"/>
      <c r="M486" s="401"/>
      <c r="N486" s="401"/>
      <c r="O486" s="401"/>
      <c r="P486" s="401"/>
      <c r="Q486" s="401"/>
      <c r="R486" s="401"/>
      <c r="S486" s="401"/>
      <c r="T486" s="401"/>
      <c r="U486" s="401"/>
      <c r="V486" s="401"/>
      <c r="W486" s="401"/>
      <c r="X486" s="401"/>
      <c r="Y486" s="401"/>
      <c r="Z486" s="401"/>
    </row>
    <row r="487">
      <c r="A487" s="401"/>
      <c r="B487" s="401"/>
      <c r="C487" s="401"/>
      <c r="D487" s="401"/>
      <c r="E487" s="401"/>
      <c r="F487" s="401"/>
      <c r="G487" s="401"/>
      <c r="H487" s="401"/>
      <c r="I487" s="401"/>
      <c r="J487" s="401"/>
      <c r="K487" s="401"/>
      <c r="L487" s="401"/>
      <c r="M487" s="401"/>
      <c r="N487" s="401"/>
      <c r="O487" s="401"/>
      <c r="P487" s="401"/>
      <c r="Q487" s="401"/>
      <c r="R487" s="401"/>
      <c r="S487" s="401"/>
      <c r="T487" s="401"/>
      <c r="U487" s="401"/>
      <c r="V487" s="401"/>
      <c r="W487" s="401"/>
      <c r="X487" s="401"/>
      <c r="Y487" s="401"/>
      <c r="Z487" s="401"/>
    </row>
    <row r="488">
      <c r="A488" s="401"/>
      <c r="B488" s="401"/>
      <c r="C488" s="401"/>
      <c r="D488" s="401"/>
      <c r="E488" s="401"/>
      <c r="F488" s="401"/>
      <c r="G488" s="401"/>
      <c r="H488" s="401"/>
      <c r="I488" s="401"/>
      <c r="J488" s="401"/>
      <c r="K488" s="401"/>
      <c r="L488" s="401"/>
      <c r="M488" s="401"/>
      <c r="N488" s="401"/>
      <c r="O488" s="401"/>
      <c r="P488" s="401"/>
      <c r="Q488" s="401"/>
      <c r="R488" s="401"/>
      <c r="S488" s="401"/>
      <c r="T488" s="401"/>
      <c r="U488" s="401"/>
      <c r="V488" s="401"/>
      <c r="W488" s="401"/>
      <c r="X488" s="401"/>
      <c r="Y488" s="401"/>
      <c r="Z488" s="401"/>
    </row>
    <row r="489">
      <c r="A489" s="401"/>
      <c r="B489" s="401"/>
      <c r="C489" s="401"/>
      <c r="D489" s="401"/>
      <c r="E489" s="401"/>
      <c r="F489" s="401"/>
      <c r="G489" s="401"/>
      <c r="H489" s="401"/>
      <c r="I489" s="401"/>
      <c r="J489" s="401"/>
      <c r="K489" s="401"/>
      <c r="L489" s="401"/>
      <c r="M489" s="401"/>
      <c r="N489" s="401"/>
      <c r="O489" s="401"/>
      <c r="P489" s="401"/>
      <c r="Q489" s="401"/>
      <c r="R489" s="401"/>
      <c r="S489" s="401"/>
      <c r="T489" s="401"/>
      <c r="U489" s="401"/>
      <c r="V489" s="401"/>
      <c r="W489" s="401"/>
      <c r="X489" s="401"/>
      <c r="Y489" s="401"/>
      <c r="Z489" s="401"/>
    </row>
    <row r="490">
      <c r="A490" s="401"/>
      <c r="B490" s="401"/>
      <c r="C490" s="401"/>
      <c r="D490" s="401"/>
      <c r="E490" s="401"/>
      <c r="F490" s="401"/>
      <c r="G490" s="401"/>
      <c r="H490" s="401"/>
      <c r="I490" s="401"/>
      <c r="J490" s="401"/>
      <c r="K490" s="401"/>
      <c r="L490" s="401"/>
      <c r="M490" s="401"/>
      <c r="N490" s="401"/>
      <c r="O490" s="401"/>
      <c r="P490" s="401"/>
      <c r="Q490" s="401"/>
      <c r="R490" s="401"/>
      <c r="S490" s="401"/>
      <c r="T490" s="401"/>
      <c r="U490" s="401"/>
      <c r="V490" s="401"/>
      <c r="W490" s="401"/>
      <c r="X490" s="401"/>
      <c r="Y490" s="401"/>
      <c r="Z490" s="401"/>
    </row>
    <row r="491">
      <c r="A491" s="401"/>
      <c r="B491" s="401"/>
      <c r="C491" s="401"/>
      <c r="D491" s="401"/>
      <c r="E491" s="401"/>
      <c r="F491" s="401"/>
      <c r="G491" s="401"/>
      <c r="H491" s="401"/>
      <c r="I491" s="401"/>
      <c r="J491" s="401"/>
      <c r="K491" s="401"/>
      <c r="L491" s="401"/>
      <c r="M491" s="401"/>
      <c r="N491" s="401"/>
      <c r="O491" s="401"/>
      <c r="P491" s="401"/>
      <c r="Q491" s="401"/>
      <c r="R491" s="401"/>
      <c r="S491" s="401"/>
      <c r="T491" s="401"/>
      <c r="U491" s="401"/>
      <c r="V491" s="401"/>
      <c r="W491" s="401"/>
      <c r="X491" s="401"/>
      <c r="Y491" s="401"/>
      <c r="Z491" s="401"/>
    </row>
    <row r="492">
      <c r="A492" s="401"/>
      <c r="B492" s="401"/>
      <c r="C492" s="401"/>
      <c r="D492" s="401"/>
      <c r="E492" s="401"/>
      <c r="F492" s="401"/>
      <c r="G492" s="401"/>
      <c r="H492" s="401"/>
      <c r="I492" s="401"/>
      <c r="J492" s="401"/>
      <c r="K492" s="401"/>
      <c r="L492" s="401"/>
      <c r="M492" s="401"/>
      <c r="N492" s="401"/>
      <c r="O492" s="401"/>
      <c r="P492" s="401"/>
      <c r="Q492" s="401"/>
      <c r="R492" s="401"/>
      <c r="S492" s="401"/>
      <c r="T492" s="401"/>
      <c r="U492" s="401"/>
      <c r="V492" s="401"/>
      <c r="W492" s="401"/>
      <c r="X492" s="401"/>
      <c r="Y492" s="401"/>
      <c r="Z492" s="401"/>
    </row>
    <row r="493">
      <c r="A493" s="401"/>
      <c r="B493" s="401"/>
      <c r="C493" s="401"/>
      <c r="D493" s="401"/>
      <c r="E493" s="401"/>
      <c r="F493" s="401"/>
      <c r="G493" s="401"/>
      <c r="H493" s="401"/>
      <c r="I493" s="401"/>
      <c r="J493" s="401"/>
      <c r="K493" s="401"/>
      <c r="L493" s="401"/>
      <c r="M493" s="401"/>
      <c r="N493" s="401"/>
      <c r="O493" s="401"/>
      <c r="P493" s="401"/>
      <c r="Q493" s="401"/>
      <c r="R493" s="401"/>
      <c r="S493" s="401"/>
      <c r="T493" s="401"/>
      <c r="U493" s="401"/>
      <c r="V493" s="401"/>
      <c r="W493" s="401"/>
      <c r="X493" s="401"/>
      <c r="Y493" s="401"/>
      <c r="Z493" s="401"/>
    </row>
    <row r="494">
      <c r="A494" s="401"/>
      <c r="B494" s="401"/>
      <c r="C494" s="401"/>
      <c r="D494" s="401"/>
      <c r="E494" s="401"/>
      <c r="F494" s="401"/>
      <c r="G494" s="401"/>
      <c r="H494" s="401"/>
      <c r="I494" s="401"/>
      <c r="J494" s="401"/>
      <c r="K494" s="401"/>
      <c r="L494" s="401"/>
      <c r="M494" s="401"/>
      <c r="N494" s="401"/>
      <c r="O494" s="401"/>
      <c r="P494" s="401"/>
      <c r="Q494" s="401"/>
      <c r="R494" s="401"/>
      <c r="S494" s="401"/>
      <c r="T494" s="401"/>
      <c r="U494" s="401"/>
      <c r="V494" s="401"/>
      <c r="W494" s="401"/>
      <c r="X494" s="401"/>
      <c r="Y494" s="401"/>
      <c r="Z494" s="401"/>
    </row>
    <row r="495">
      <c r="A495" s="401"/>
      <c r="B495" s="401"/>
      <c r="C495" s="401"/>
      <c r="D495" s="401"/>
      <c r="E495" s="401"/>
      <c r="F495" s="401"/>
      <c r="G495" s="401"/>
      <c r="H495" s="401"/>
      <c r="I495" s="401"/>
      <c r="J495" s="401"/>
      <c r="K495" s="401"/>
      <c r="L495" s="401"/>
      <c r="M495" s="401"/>
      <c r="N495" s="401"/>
      <c r="O495" s="401"/>
      <c r="P495" s="401"/>
      <c r="Q495" s="401"/>
      <c r="R495" s="401"/>
      <c r="S495" s="401"/>
      <c r="T495" s="401"/>
      <c r="U495" s="401"/>
      <c r="V495" s="401"/>
      <c r="W495" s="401"/>
      <c r="X495" s="401"/>
      <c r="Y495" s="401"/>
      <c r="Z495" s="401"/>
    </row>
    <row r="496">
      <c r="A496" s="401"/>
      <c r="B496" s="401"/>
      <c r="C496" s="401"/>
      <c r="D496" s="401"/>
      <c r="E496" s="401"/>
      <c r="F496" s="401"/>
      <c r="G496" s="401"/>
      <c r="H496" s="401"/>
      <c r="I496" s="401"/>
      <c r="J496" s="401"/>
      <c r="K496" s="401"/>
      <c r="L496" s="401"/>
      <c r="M496" s="401"/>
      <c r="N496" s="401"/>
      <c r="O496" s="401"/>
      <c r="P496" s="401"/>
      <c r="Q496" s="401"/>
      <c r="R496" s="401"/>
      <c r="S496" s="401"/>
      <c r="T496" s="401"/>
      <c r="U496" s="401"/>
      <c r="V496" s="401"/>
      <c r="W496" s="401"/>
      <c r="X496" s="401"/>
      <c r="Y496" s="401"/>
      <c r="Z496" s="401"/>
    </row>
    <row r="497">
      <c r="A497" s="401"/>
      <c r="B497" s="401"/>
      <c r="C497" s="401"/>
      <c r="D497" s="401"/>
      <c r="E497" s="401"/>
      <c r="F497" s="401"/>
      <c r="G497" s="401"/>
      <c r="H497" s="401"/>
      <c r="I497" s="401"/>
      <c r="J497" s="401"/>
      <c r="K497" s="401"/>
      <c r="L497" s="401"/>
      <c r="M497" s="401"/>
      <c r="N497" s="401"/>
      <c r="O497" s="401"/>
      <c r="P497" s="401"/>
      <c r="Q497" s="401"/>
      <c r="R497" s="401"/>
      <c r="S497" s="401"/>
      <c r="T497" s="401"/>
      <c r="U497" s="401"/>
      <c r="V497" s="401"/>
      <c r="W497" s="401"/>
      <c r="X497" s="401"/>
      <c r="Y497" s="401"/>
      <c r="Z497" s="401"/>
    </row>
    <row r="498">
      <c r="A498" s="401"/>
      <c r="B498" s="401"/>
      <c r="C498" s="401"/>
      <c r="D498" s="401"/>
      <c r="E498" s="401"/>
      <c r="F498" s="401"/>
      <c r="G498" s="401"/>
      <c r="H498" s="401"/>
      <c r="I498" s="401"/>
      <c r="J498" s="401"/>
      <c r="K498" s="401"/>
      <c r="L498" s="401"/>
      <c r="M498" s="401"/>
      <c r="N498" s="401"/>
      <c r="O498" s="401"/>
      <c r="P498" s="401"/>
      <c r="Q498" s="401"/>
      <c r="R498" s="401"/>
      <c r="S498" s="401"/>
      <c r="T498" s="401"/>
      <c r="U498" s="401"/>
      <c r="V498" s="401"/>
      <c r="W498" s="401"/>
      <c r="X498" s="401"/>
      <c r="Y498" s="401"/>
      <c r="Z498" s="401"/>
    </row>
    <row r="499">
      <c r="A499" s="401"/>
      <c r="B499" s="401"/>
      <c r="C499" s="401"/>
      <c r="D499" s="401"/>
      <c r="E499" s="401"/>
      <c r="F499" s="401"/>
      <c r="G499" s="401"/>
      <c r="H499" s="401"/>
      <c r="I499" s="401"/>
      <c r="J499" s="401"/>
      <c r="K499" s="401"/>
      <c r="L499" s="401"/>
      <c r="M499" s="401"/>
      <c r="N499" s="401"/>
      <c r="O499" s="401"/>
      <c r="P499" s="401"/>
      <c r="Q499" s="401"/>
      <c r="R499" s="401"/>
      <c r="S499" s="401"/>
      <c r="T499" s="401"/>
      <c r="U499" s="401"/>
      <c r="V499" s="401"/>
      <c r="W499" s="401"/>
      <c r="X499" s="401"/>
      <c r="Y499" s="401"/>
      <c r="Z499" s="401"/>
    </row>
    <row r="500">
      <c r="A500" s="401"/>
      <c r="B500" s="401"/>
      <c r="C500" s="401"/>
      <c r="D500" s="401"/>
      <c r="E500" s="401"/>
      <c r="F500" s="401"/>
      <c r="G500" s="401"/>
      <c r="H500" s="401"/>
      <c r="I500" s="401"/>
      <c r="J500" s="401"/>
      <c r="K500" s="401"/>
      <c r="L500" s="401"/>
      <c r="M500" s="401"/>
      <c r="N500" s="401"/>
      <c r="O500" s="401"/>
      <c r="P500" s="401"/>
      <c r="Q500" s="401"/>
      <c r="R500" s="401"/>
      <c r="S500" s="401"/>
      <c r="T500" s="401"/>
      <c r="U500" s="401"/>
      <c r="V500" s="401"/>
      <c r="W500" s="401"/>
      <c r="X500" s="401"/>
      <c r="Y500" s="401"/>
      <c r="Z500" s="401"/>
    </row>
    <row r="501">
      <c r="A501" s="401"/>
      <c r="B501" s="401"/>
      <c r="C501" s="401"/>
      <c r="D501" s="401"/>
      <c r="E501" s="401"/>
      <c r="F501" s="401"/>
      <c r="G501" s="401"/>
      <c r="H501" s="401"/>
      <c r="I501" s="401"/>
      <c r="J501" s="401"/>
      <c r="K501" s="401"/>
      <c r="L501" s="401"/>
      <c r="M501" s="401"/>
      <c r="N501" s="401"/>
      <c r="O501" s="401"/>
      <c r="P501" s="401"/>
      <c r="Q501" s="401"/>
      <c r="R501" s="401"/>
      <c r="S501" s="401"/>
      <c r="T501" s="401"/>
      <c r="U501" s="401"/>
      <c r="V501" s="401"/>
      <c r="W501" s="401"/>
      <c r="X501" s="401"/>
      <c r="Y501" s="401"/>
      <c r="Z501" s="401"/>
    </row>
    <row r="502">
      <c r="A502" s="401"/>
      <c r="B502" s="401"/>
      <c r="C502" s="401"/>
      <c r="D502" s="401"/>
      <c r="E502" s="401"/>
      <c r="F502" s="401"/>
      <c r="G502" s="401"/>
      <c r="H502" s="401"/>
      <c r="I502" s="401"/>
      <c r="J502" s="401"/>
      <c r="K502" s="401"/>
      <c r="L502" s="401"/>
      <c r="M502" s="401"/>
      <c r="N502" s="401"/>
      <c r="O502" s="401"/>
      <c r="P502" s="401"/>
      <c r="Q502" s="401"/>
      <c r="R502" s="401"/>
      <c r="S502" s="401"/>
      <c r="T502" s="401"/>
      <c r="U502" s="401"/>
      <c r="V502" s="401"/>
      <c r="W502" s="401"/>
      <c r="X502" s="401"/>
      <c r="Y502" s="401"/>
      <c r="Z502" s="401"/>
    </row>
    <row r="503">
      <c r="A503" s="401"/>
      <c r="B503" s="401"/>
      <c r="C503" s="401"/>
      <c r="D503" s="401"/>
      <c r="E503" s="401"/>
      <c r="F503" s="401"/>
      <c r="G503" s="401"/>
      <c r="H503" s="401"/>
      <c r="I503" s="401"/>
      <c r="J503" s="401"/>
      <c r="K503" s="401"/>
      <c r="L503" s="401"/>
      <c r="M503" s="401"/>
      <c r="N503" s="401"/>
      <c r="O503" s="401"/>
      <c r="P503" s="401"/>
      <c r="Q503" s="401"/>
      <c r="R503" s="401"/>
      <c r="S503" s="401"/>
      <c r="T503" s="401"/>
      <c r="U503" s="401"/>
      <c r="V503" s="401"/>
      <c r="W503" s="401"/>
      <c r="X503" s="401"/>
      <c r="Y503" s="401"/>
      <c r="Z503" s="401"/>
    </row>
    <row r="504">
      <c r="A504" s="401"/>
      <c r="B504" s="401"/>
      <c r="C504" s="401"/>
      <c r="D504" s="401"/>
      <c r="E504" s="401"/>
      <c r="F504" s="401"/>
      <c r="G504" s="401"/>
      <c r="H504" s="401"/>
      <c r="I504" s="401"/>
      <c r="J504" s="401"/>
      <c r="K504" s="401"/>
      <c r="L504" s="401"/>
      <c r="M504" s="401"/>
      <c r="N504" s="401"/>
      <c r="O504" s="401"/>
      <c r="P504" s="401"/>
      <c r="Q504" s="401"/>
      <c r="R504" s="401"/>
      <c r="S504" s="401"/>
      <c r="T504" s="401"/>
      <c r="U504" s="401"/>
      <c r="V504" s="401"/>
      <c r="W504" s="401"/>
      <c r="X504" s="401"/>
      <c r="Y504" s="401"/>
      <c r="Z504" s="401"/>
    </row>
    <row r="505">
      <c r="A505" s="401"/>
      <c r="B505" s="401"/>
      <c r="C505" s="401"/>
      <c r="D505" s="401"/>
      <c r="E505" s="401"/>
      <c r="F505" s="401"/>
      <c r="G505" s="401"/>
      <c r="H505" s="401"/>
      <c r="I505" s="401"/>
      <c r="J505" s="401"/>
      <c r="K505" s="401"/>
      <c r="L505" s="401"/>
      <c r="M505" s="401"/>
      <c r="N505" s="401"/>
      <c r="O505" s="401"/>
      <c r="P505" s="401"/>
      <c r="Q505" s="401"/>
      <c r="R505" s="401"/>
      <c r="S505" s="401"/>
      <c r="T505" s="401"/>
      <c r="U505" s="401"/>
      <c r="V505" s="401"/>
      <c r="W505" s="401"/>
      <c r="X505" s="401"/>
      <c r="Y505" s="401"/>
      <c r="Z505" s="401"/>
    </row>
    <row r="506">
      <c r="A506" s="401"/>
      <c r="B506" s="401"/>
      <c r="C506" s="401"/>
      <c r="D506" s="401"/>
      <c r="E506" s="401"/>
      <c r="F506" s="401"/>
      <c r="G506" s="401"/>
      <c r="H506" s="401"/>
      <c r="I506" s="401"/>
      <c r="J506" s="401"/>
      <c r="K506" s="401"/>
      <c r="L506" s="401"/>
      <c r="M506" s="401"/>
      <c r="N506" s="401"/>
      <c r="O506" s="401"/>
      <c r="P506" s="401"/>
      <c r="Q506" s="401"/>
      <c r="R506" s="401"/>
      <c r="S506" s="401"/>
      <c r="T506" s="401"/>
      <c r="U506" s="401"/>
      <c r="V506" s="401"/>
      <c r="W506" s="401"/>
      <c r="X506" s="401"/>
      <c r="Y506" s="401"/>
      <c r="Z506" s="401"/>
    </row>
    <row r="507">
      <c r="A507" s="401"/>
      <c r="B507" s="401"/>
      <c r="C507" s="401"/>
      <c r="D507" s="401"/>
      <c r="E507" s="401"/>
      <c r="F507" s="401"/>
      <c r="G507" s="401"/>
      <c r="H507" s="401"/>
      <c r="I507" s="401"/>
      <c r="J507" s="401"/>
      <c r="K507" s="401"/>
      <c r="L507" s="401"/>
      <c r="M507" s="401"/>
      <c r="N507" s="401"/>
      <c r="O507" s="401"/>
      <c r="P507" s="401"/>
      <c r="Q507" s="401"/>
      <c r="R507" s="401"/>
      <c r="S507" s="401"/>
      <c r="T507" s="401"/>
      <c r="U507" s="401"/>
      <c r="V507" s="401"/>
      <c r="W507" s="401"/>
      <c r="X507" s="401"/>
      <c r="Y507" s="401"/>
      <c r="Z507" s="401"/>
    </row>
    <row r="508">
      <c r="A508" s="401"/>
      <c r="B508" s="401"/>
      <c r="C508" s="401"/>
      <c r="D508" s="401"/>
      <c r="E508" s="401"/>
      <c r="F508" s="401"/>
      <c r="G508" s="401"/>
      <c r="H508" s="401"/>
      <c r="I508" s="401"/>
      <c r="J508" s="401"/>
      <c r="K508" s="401"/>
      <c r="L508" s="401"/>
      <c r="M508" s="401"/>
      <c r="N508" s="401"/>
      <c r="O508" s="401"/>
      <c r="P508" s="401"/>
      <c r="Q508" s="401"/>
      <c r="R508" s="401"/>
      <c r="S508" s="401"/>
      <c r="T508" s="401"/>
      <c r="U508" s="401"/>
      <c r="V508" s="401"/>
      <c r="W508" s="401"/>
      <c r="X508" s="401"/>
      <c r="Y508" s="401"/>
      <c r="Z508" s="401"/>
    </row>
    <row r="509">
      <c r="A509" s="401"/>
      <c r="B509" s="401"/>
      <c r="C509" s="401"/>
      <c r="D509" s="401"/>
      <c r="E509" s="401"/>
      <c r="F509" s="401"/>
      <c r="G509" s="401"/>
      <c r="H509" s="401"/>
      <c r="I509" s="401"/>
      <c r="J509" s="401"/>
      <c r="K509" s="401"/>
      <c r="L509" s="401"/>
      <c r="M509" s="401"/>
      <c r="N509" s="401"/>
      <c r="O509" s="401"/>
      <c r="P509" s="401"/>
      <c r="Q509" s="401"/>
      <c r="R509" s="401"/>
      <c r="S509" s="401"/>
      <c r="T509" s="401"/>
      <c r="U509" s="401"/>
      <c r="V509" s="401"/>
      <c r="W509" s="401"/>
      <c r="X509" s="401"/>
      <c r="Y509" s="401"/>
      <c r="Z509" s="401"/>
    </row>
    <row r="510">
      <c r="A510" s="401"/>
      <c r="B510" s="401"/>
      <c r="C510" s="401"/>
      <c r="D510" s="401"/>
      <c r="E510" s="401"/>
      <c r="F510" s="401"/>
      <c r="G510" s="401"/>
      <c r="H510" s="401"/>
      <c r="I510" s="401"/>
      <c r="J510" s="401"/>
      <c r="K510" s="401"/>
      <c r="L510" s="401"/>
      <c r="M510" s="401"/>
      <c r="N510" s="401"/>
      <c r="O510" s="401"/>
      <c r="P510" s="401"/>
      <c r="Q510" s="401"/>
      <c r="R510" s="401"/>
      <c r="S510" s="401"/>
      <c r="T510" s="401"/>
      <c r="U510" s="401"/>
      <c r="V510" s="401"/>
      <c r="W510" s="401"/>
      <c r="X510" s="401"/>
      <c r="Y510" s="401"/>
      <c r="Z510" s="401"/>
    </row>
    <row r="511">
      <c r="A511" s="401"/>
      <c r="B511" s="401"/>
      <c r="C511" s="401"/>
      <c r="D511" s="401"/>
      <c r="E511" s="401"/>
      <c r="F511" s="401"/>
      <c r="G511" s="401"/>
      <c r="H511" s="401"/>
      <c r="I511" s="401"/>
      <c r="J511" s="401"/>
      <c r="K511" s="401"/>
      <c r="L511" s="401"/>
      <c r="M511" s="401"/>
      <c r="N511" s="401"/>
      <c r="O511" s="401"/>
      <c r="P511" s="401"/>
      <c r="Q511" s="401"/>
      <c r="R511" s="401"/>
      <c r="S511" s="401"/>
      <c r="T511" s="401"/>
      <c r="U511" s="401"/>
      <c r="V511" s="401"/>
      <c r="W511" s="401"/>
      <c r="X511" s="401"/>
      <c r="Y511" s="401"/>
      <c r="Z511" s="401"/>
    </row>
    <row r="512">
      <c r="A512" s="401"/>
      <c r="B512" s="401"/>
      <c r="C512" s="401"/>
      <c r="D512" s="401"/>
      <c r="E512" s="401"/>
      <c r="F512" s="401"/>
      <c r="G512" s="401"/>
      <c r="H512" s="401"/>
      <c r="I512" s="401"/>
      <c r="J512" s="401"/>
      <c r="K512" s="401"/>
      <c r="L512" s="401"/>
      <c r="M512" s="401"/>
      <c r="N512" s="401"/>
      <c r="O512" s="401"/>
      <c r="P512" s="401"/>
      <c r="Q512" s="401"/>
      <c r="R512" s="401"/>
      <c r="S512" s="401"/>
      <c r="T512" s="401"/>
      <c r="U512" s="401"/>
      <c r="V512" s="401"/>
      <c r="W512" s="401"/>
      <c r="X512" s="401"/>
      <c r="Y512" s="401"/>
      <c r="Z512" s="401"/>
    </row>
    <row r="513">
      <c r="A513" s="401"/>
      <c r="B513" s="401"/>
      <c r="C513" s="401"/>
      <c r="D513" s="401"/>
      <c r="E513" s="401"/>
      <c r="F513" s="401"/>
      <c r="G513" s="401"/>
      <c r="H513" s="401"/>
      <c r="I513" s="401"/>
      <c r="J513" s="401"/>
      <c r="K513" s="401"/>
      <c r="L513" s="401"/>
      <c r="M513" s="401"/>
      <c r="N513" s="401"/>
      <c r="O513" s="401"/>
      <c r="P513" s="401"/>
      <c r="Q513" s="401"/>
      <c r="R513" s="401"/>
      <c r="S513" s="401"/>
      <c r="T513" s="401"/>
      <c r="U513" s="401"/>
      <c r="V513" s="401"/>
      <c r="W513" s="401"/>
      <c r="X513" s="401"/>
      <c r="Y513" s="401"/>
      <c r="Z513" s="401"/>
    </row>
    <row r="514">
      <c r="A514" s="401"/>
      <c r="B514" s="401"/>
      <c r="C514" s="401"/>
      <c r="D514" s="401"/>
      <c r="E514" s="401"/>
      <c r="F514" s="401"/>
      <c r="G514" s="401"/>
      <c r="H514" s="401"/>
      <c r="I514" s="401"/>
      <c r="J514" s="401"/>
      <c r="K514" s="401"/>
      <c r="L514" s="401"/>
      <c r="M514" s="401"/>
      <c r="N514" s="401"/>
      <c r="O514" s="401"/>
      <c r="P514" s="401"/>
      <c r="Q514" s="401"/>
      <c r="R514" s="401"/>
      <c r="S514" s="401"/>
      <c r="T514" s="401"/>
      <c r="U514" s="401"/>
      <c r="V514" s="401"/>
      <c r="W514" s="401"/>
      <c r="X514" s="401"/>
      <c r="Y514" s="401"/>
      <c r="Z514" s="401"/>
    </row>
    <row r="515">
      <c r="A515" s="401"/>
      <c r="B515" s="401"/>
      <c r="C515" s="401"/>
      <c r="D515" s="401"/>
      <c r="E515" s="401"/>
      <c r="F515" s="401"/>
      <c r="G515" s="401"/>
      <c r="H515" s="401"/>
      <c r="I515" s="401"/>
      <c r="J515" s="401"/>
      <c r="K515" s="401"/>
      <c r="L515" s="401"/>
      <c r="M515" s="401"/>
      <c r="N515" s="401"/>
      <c r="O515" s="401"/>
      <c r="P515" s="401"/>
      <c r="Q515" s="401"/>
      <c r="R515" s="401"/>
      <c r="S515" s="401"/>
      <c r="T515" s="401"/>
      <c r="U515" s="401"/>
      <c r="V515" s="401"/>
      <c r="W515" s="401"/>
      <c r="X515" s="401"/>
      <c r="Y515" s="401"/>
      <c r="Z515" s="401"/>
    </row>
    <row r="516">
      <c r="A516" s="401"/>
      <c r="B516" s="401"/>
      <c r="C516" s="401"/>
      <c r="D516" s="401"/>
      <c r="E516" s="401"/>
      <c r="F516" s="401"/>
      <c r="G516" s="401"/>
      <c r="H516" s="401"/>
      <c r="I516" s="401"/>
      <c r="J516" s="401"/>
      <c r="K516" s="401"/>
      <c r="L516" s="401"/>
      <c r="M516" s="401"/>
      <c r="N516" s="401"/>
      <c r="O516" s="401"/>
      <c r="P516" s="401"/>
      <c r="Q516" s="401"/>
      <c r="R516" s="401"/>
      <c r="S516" s="401"/>
      <c r="T516" s="401"/>
      <c r="U516" s="401"/>
      <c r="V516" s="401"/>
      <c r="W516" s="401"/>
      <c r="X516" s="401"/>
      <c r="Y516" s="401"/>
      <c r="Z516" s="401"/>
    </row>
    <row r="517">
      <c r="A517" s="401"/>
      <c r="B517" s="401"/>
      <c r="C517" s="401"/>
      <c r="D517" s="401"/>
      <c r="E517" s="401"/>
      <c r="F517" s="401"/>
      <c r="G517" s="401"/>
      <c r="H517" s="401"/>
      <c r="I517" s="401"/>
      <c r="J517" s="401"/>
      <c r="K517" s="401"/>
      <c r="L517" s="401"/>
      <c r="M517" s="401"/>
      <c r="N517" s="401"/>
      <c r="O517" s="401"/>
      <c r="P517" s="401"/>
      <c r="Q517" s="401"/>
      <c r="R517" s="401"/>
      <c r="S517" s="401"/>
      <c r="T517" s="401"/>
      <c r="U517" s="401"/>
      <c r="V517" s="401"/>
      <c r="W517" s="401"/>
      <c r="X517" s="401"/>
      <c r="Y517" s="401"/>
      <c r="Z517" s="401"/>
    </row>
    <row r="518">
      <c r="A518" s="401"/>
      <c r="B518" s="401"/>
      <c r="C518" s="401"/>
      <c r="D518" s="401"/>
      <c r="E518" s="401"/>
      <c r="F518" s="401"/>
      <c r="G518" s="401"/>
      <c r="H518" s="401"/>
      <c r="I518" s="401"/>
      <c r="J518" s="401"/>
      <c r="K518" s="401"/>
      <c r="L518" s="401"/>
      <c r="M518" s="401"/>
      <c r="N518" s="401"/>
      <c r="O518" s="401"/>
      <c r="P518" s="401"/>
      <c r="Q518" s="401"/>
      <c r="R518" s="401"/>
      <c r="S518" s="401"/>
      <c r="T518" s="401"/>
      <c r="U518" s="401"/>
      <c r="V518" s="401"/>
      <c r="W518" s="401"/>
      <c r="X518" s="401"/>
      <c r="Y518" s="401"/>
      <c r="Z518" s="401"/>
    </row>
    <row r="519">
      <c r="A519" s="401"/>
      <c r="B519" s="401"/>
      <c r="C519" s="401"/>
      <c r="D519" s="401"/>
      <c r="E519" s="401"/>
      <c r="F519" s="401"/>
      <c r="G519" s="401"/>
      <c r="H519" s="401"/>
      <c r="I519" s="401"/>
      <c r="J519" s="401"/>
      <c r="K519" s="401"/>
      <c r="L519" s="401"/>
      <c r="M519" s="401"/>
      <c r="N519" s="401"/>
      <c r="O519" s="401"/>
      <c r="P519" s="401"/>
      <c r="Q519" s="401"/>
      <c r="R519" s="401"/>
      <c r="S519" s="401"/>
      <c r="T519" s="401"/>
      <c r="U519" s="401"/>
      <c r="V519" s="401"/>
      <c r="W519" s="401"/>
      <c r="X519" s="401"/>
      <c r="Y519" s="401"/>
      <c r="Z519" s="401"/>
    </row>
    <row r="520">
      <c r="A520" s="401"/>
      <c r="B520" s="401"/>
      <c r="C520" s="401"/>
      <c r="D520" s="401"/>
      <c r="E520" s="401"/>
      <c r="F520" s="401"/>
      <c r="G520" s="401"/>
      <c r="H520" s="401"/>
      <c r="I520" s="401"/>
      <c r="J520" s="401"/>
      <c r="K520" s="401"/>
      <c r="L520" s="401"/>
      <c r="M520" s="401"/>
      <c r="N520" s="401"/>
      <c r="O520" s="401"/>
      <c r="P520" s="401"/>
      <c r="Q520" s="401"/>
      <c r="R520" s="401"/>
      <c r="S520" s="401"/>
      <c r="T520" s="401"/>
      <c r="U520" s="401"/>
      <c r="V520" s="401"/>
      <c r="W520" s="401"/>
      <c r="X520" s="401"/>
      <c r="Y520" s="401"/>
      <c r="Z520" s="401"/>
    </row>
    <row r="521">
      <c r="A521" s="401"/>
      <c r="B521" s="401"/>
      <c r="C521" s="401"/>
      <c r="D521" s="401"/>
      <c r="E521" s="401"/>
      <c r="F521" s="401"/>
      <c r="G521" s="401"/>
      <c r="H521" s="401"/>
      <c r="I521" s="401"/>
      <c r="J521" s="401"/>
      <c r="K521" s="401"/>
      <c r="L521" s="401"/>
      <c r="M521" s="401"/>
      <c r="N521" s="401"/>
      <c r="O521" s="401"/>
      <c r="P521" s="401"/>
      <c r="Q521" s="401"/>
      <c r="R521" s="401"/>
      <c r="S521" s="401"/>
      <c r="T521" s="401"/>
      <c r="U521" s="401"/>
      <c r="V521" s="401"/>
      <c r="W521" s="401"/>
      <c r="X521" s="401"/>
      <c r="Y521" s="401"/>
      <c r="Z521" s="401"/>
    </row>
    <row r="522">
      <c r="A522" s="401"/>
      <c r="B522" s="401"/>
      <c r="C522" s="401"/>
      <c r="D522" s="401"/>
      <c r="E522" s="401"/>
      <c r="F522" s="401"/>
      <c r="G522" s="401"/>
      <c r="H522" s="401"/>
      <c r="I522" s="401"/>
      <c r="J522" s="401"/>
      <c r="K522" s="401"/>
      <c r="L522" s="401"/>
      <c r="M522" s="401"/>
      <c r="N522" s="401"/>
      <c r="O522" s="401"/>
      <c r="P522" s="401"/>
      <c r="Q522" s="401"/>
      <c r="R522" s="401"/>
      <c r="S522" s="401"/>
      <c r="T522" s="401"/>
      <c r="U522" s="401"/>
      <c r="V522" s="401"/>
      <c r="W522" s="401"/>
      <c r="X522" s="401"/>
      <c r="Y522" s="401"/>
      <c r="Z522" s="401"/>
    </row>
    <row r="523">
      <c r="A523" s="401"/>
      <c r="B523" s="401"/>
      <c r="C523" s="401"/>
      <c r="D523" s="401"/>
      <c r="E523" s="401"/>
      <c r="F523" s="401"/>
      <c r="G523" s="401"/>
      <c r="H523" s="401"/>
      <c r="I523" s="401"/>
      <c r="J523" s="401"/>
      <c r="K523" s="401"/>
      <c r="L523" s="401"/>
      <c r="M523" s="401"/>
      <c r="N523" s="401"/>
      <c r="O523" s="401"/>
      <c r="P523" s="401"/>
      <c r="Q523" s="401"/>
      <c r="R523" s="401"/>
      <c r="S523" s="401"/>
      <c r="T523" s="401"/>
      <c r="U523" s="401"/>
      <c r="V523" s="401"/>
      <c r="W523" s="401"/>
      <c r="X523" s="401"/>
      <c r="Y523" s="401"/>
      <c r="Z523" s="401"/>
    </row>
    <row r="524">
      <c r="A524" s="401"/>
      <c r="B524" s="401"/>
      <c r="C524" s="401"/>
      <c r="D524" s="401"/>
      <c r="E524" s="401"/>
      <c r="F524" s="401"/>
      <c r="G524" s="401"/>
      <c r="H524" s="401"/>
      <c r="I524" s="401"/>
      <c r="J524" s="401"/>
      <c r="K524" s="401"/>
      <c r="L524" s="401"/>
      <c r="M524" s="401"/>
      <c r="N524" s="401"/>
      <c r="O524" s="401"/>
      <c r="P524" s="401"/>
      <c r="Q524" s="401"/>
      <c r="R524" s="401"/>
      <c r="S524" s="401"/>
      <c r="T524" s="401"/>
      <c r="U524" s="401"/>
      <c r="V524" s="401"/>
      <c r="W524" s="401"/>
      <c r="X524" s="401"/>
      <c r="Y524" s="401"/>
      <c r="Z524" s="401"/>
    </row>
    <row r="525">
      <c r="A525" s="401"/>
      <c r="B525" s="401"/>
      <c r="C525" s="401"/>
      <c r="D525" s="401"/>
      <c r="E525" s="401"/>
      <c r="F525" s="401"/>
      <c r="G525" s="401"/>
      <c r="H525" s="401"/>
      <c r="I525" s="401"/>
      <c r="J525" s="401"/>
      <c r="K525" s="401"/>
      <c r="L525" s="401"/>
      <c r="M525" s="401"/>
      <c r="N525" s="401"/>
      <c r="O525" s="401"/>
      <c r="P525" s="401"/>
      <c r="Q525" s="401"/>
      <c r="R525" s="401"/>
      <c r="S525" s="401"/>
      <c r="T525" s="401"/>
      <c r="U525" s="401"/>
      <c r="V525" s="401"/>
      <c r="W525" s="401"/>
      <c r="X525" s="401"/>
      <c r="Y525" s="401"/>
      <c r="Z525" s="401"/>
    </row>
    <row r="526">
      <c r="A526" s="401"/>
      <c r="B526" s="401"/>
      <c r="C526" s="401"/>
      <c r="D526" s="401"/>
      <c r="E526" s="401"/>
      <c r="F526" s="401"/>
      <c r="G526" s="401"/>
      <c r="H526" s="401"/>
      <c r="I526" s="401"/>
      <c r="J526" s="401"/>
      <c r="K526" s="401"/>
      <c r="L526" s="401"/>
      <c r="M526" s="401"/>
      <c r="N526" s="401"/>
      <c r="O526" s="401"/>
      <c r="P526" s="401"/>
      <c r="Q526" s="401"/>
      <c r="R526" s="401"/>
      <c r="S526" s="401"/>
      <c r="T526" s="401"/>
      <c r="U526" s="401"/>
      <c r="V526" s="401"/>
      <c r="W526" s="401"/>
      <c r="X526" s="401"/>
      <c r="Y526" s="401"/>
      <c r="Z526" s="401"/>
    </row>
    <row r="527">
      <c r="A527" s="401"/>
      <c r="B527" s="401"/>
      <c r="C527" s="401"/>
      <c r="D527" s="401"/>
      <c r="E527" s="401"/>
      <c r="F527" s="401"/>
      <c r="G527" s="401"/>
      <c r="H527" s="401"/>
      <c r="I527" s="401"/>
      <c r="J527" s="401"/>
      <c r="K527" s="401"/>
      <c r="L527" s="401"/>
      <c r="M527" s="401"/>
      <c r="N527" s="401"/>
      <c r="O527" s="401"/>
      <c r="P527" s="401"/>
      <c r="Q527" s="401"/>
      <c r="R527" s="401"/>
      <c r="S527" s="401"/>
      <c r="T527" s="401"/>
      <c r="U527" s="401"/>
      <c r="V527" s="401"/>
      <c r="W527" s="401"/>
      <c r="X527" s="401"/>
      <c r="Y527" s="401"/>
      <c r="Z527" s="401"/>
    </row>
    <row r="528">
      <c r="A528" s="401"/>
      <c r="B528" s="401"/>
      <c r="C528" s="401"/>
      <c r="D528" s="401"/>
      <c r="E528" s="401"/>
      <c r="F528" s="401"/>
      <c r="G528" s="401"/>
      <c r="H528" s="401"/>
      <c r="I528" s="401"/>
      <c r="J528" s="401"/>
      <c r="K528" s="401"/>
      <c r="L528" s="401"/>
      <c r="M528" s="401"/>
      <c r="N528" s="401"/>
      <c r="O528" s="401"/>
      <c r="P528" s="401"/>
      <c r="Q528" s="401"/>
      <c r="R528" s="401"/>
      <c r="S528" s="401"/>
      <c r="T528" s="401"/>
      <c r="U528" s="401"/>
      <c r="V528" s="401"/>
      <c r="W528" s="401"/>
      <c r="X528" s="401"/>
      <c r="Y528" s="401"/>
      <c r="Z528" s="401"/>
    </row>
    <row r="529">
      <c r="A529" s="401"/>
      <c r="B529" s="401"/>
      <c r="C529" s="401"/>
      <c r="D529" s="401"/>
      <c r="E529" s="401"/>
      <c r="F529" s="401"/>
      <c r="G529" s="401"/>
      <c r="H529" s="401"/>
      <c r="I529" s="401"/>
      <c r="J529" s="401"/>
      <c r="K529" s="401"/>
      <c r="L529" s="401"/>
      <c r="M529" s="401"/>
      <c r="N529" s="401"/>
      <c r="O529" s="401"/>
      <c r="P529" s="401"/>
      <c r="Q529" s="401"/>
      <c r="R529" s="401"/>
      <c r="S529" s="401"/>
      <c r="T529" s="401"/>
      <c r="U529" s="401"/>
      <c r="V529" s="401"/>
      <c r="W529" s="401"/>
      <c r="X529" s="401"/>
      <c r="Y529" s="401"/>
      <c r="Z529" s="401"/>
    </row>
    <row r="530">
      <c r="A530" s="401"/>
      <c r="B530" s="401"/>
      <c r="C530" s="401"/>
      <c r="D530" s="401"/>
      <c r="E530" s="401"/>
      <c r="F530" s="401"/>
      <c r="G530" s="401"/>
      <c r="H530" s="401"/>
      <c r="I530" s="401"/>
      <c r="J530" s="401"/>
      <c r="K530" s="401"/>
      <c r="L530" s="401"/>
      <c r="M530" s="401"/>
      <c r="N530" s="401"/>
      <c r="O530" s="401"/>
      <c r="P530" s="401"/>
      <c r="Q530" s="401"/>
      <c r="R530" s="401"/>
      <c r="S530" s="401"/>
      <c r="T530" s="401"/>
      <c r="U530" s="401"/>
      <c r="V530" s="401"/>
      <c r="W530" s="401"/>
      <c r="X530" s="401"/>
      <c r="Y530" s="401"/>
      <c r="Z530" s="401"/>
    </row>
    <row r="531">
      <c r="A531" s="401"/>
      <c r="B531" s="401"/>
      <c r="C531" s="401"/>
      <c r="D531" s="401"/>
      <c r="E531" s="401"/>
      <c r="F531" s="401"/>
      <c r="G531" s="401"/>
      <c r="H531" s="401"/>
      <c r="I531" s="401"/>
      <c r="J531" s="401"/>
      <c r="K531" s="401"/>
      <c r="L531" s="401"/>
      <c r="M531" s="401"/>
      <c r="N531" s="401"/>
      <c r="O531" s="401"/>
      <c r="P531" s="401"/>
      <c r="Q531" s="401"/>
      <c r="R531" s="401"/>
      <c r="S531" s="401"/>
      <c r="T531" s="401"/>
      <c r="U531" s="401"/>
      <c r="V531" s="401"/>
      <c r="W531" s="401"/>
      <c r="X531" s="401"/>
      <c r="Y531" s="401"/>
      <c r="Z531" s="401"/>
    </row>
    <row r="532">
      <c r="A532" s="401"/>
      <c r="B532" s="401"/>
      <c r="C532" s="401"/>
      <c r="D532" s="401"/>
      <c r="E532" s="401"/>
      <c r="F532" s="401"/>
      <c r="G532" s="401"/>
      <c r="H532" s="401"/>
      <c r="I532" s="401"/>
      <c r="J532" s="401"/>
      <c r="K532" s="401"/>
      <c r="L532" s="401"/>
      <c r="M532" s="401"/>
      <c r="N532" s="401"/>
      <c r="O532" s="401"/>
      <c r="P532" s="401"/>
      <c r="Q532" s="401"/>
      <c r="R532" s="401"/>
      <c r="S532" s="401"/>
      <c r="T532" s="401"/>
      <c r="U532" s="401"/>
      <c r="V532" s="401"/>
      <c r="W532" s="401"/>
      <c r="X532" s="401"/>
      <c r="Y532" s="401"/>
      <c r="Z532" s="401"/>
    </row>
    <row r="533">
      <c r="A533" s="401"/>
      <c r="B533" s="401"/>
      <c r="C533" s="401"/>
      <c r="D533" s="401"/>
      <c r="E533" s="401"/>
      <c r="F533" s="401"/>
      <c r="G533" s="401"/>
      <c r="H533" s="401"/>
      <c r="I533" s="401"/>
      <c r="J533" s="401"/>
      <c r="K533" s="401"/>
      <c r="L533" s="401"/>
      <c r="M533" s="401"/>
      <c r="N533" s="401"/>
      <c r="O533" s="401"/>
      <c r="P533" s="401"/>
      <c r="Q533" s="401"/>
      <c r="R533" s="401"/>
      <c r="S533" s="401"/>
      <c r="T533" s="401"/>
      <c r="U533" s="401"/>
      <c r="V533" s="401"/>
      <c r="W533" s="401"/>
      <c r="X533" s="401"/>
      <c r="Y533" s="401"/>
      <c r="Z533" s="401"/>
    </row>
    <row r="534">
      <c r="A534" s="401"/>
      <c r="B534" s="401"/>
      <c r="C534" s="401"/>
      <c r="D534" s="401"/>
      <c r="E534" s="401"/>
      <c r="F534" s="401"/>
      <c r="G534" s="401"/>
      <c r="H534" s="401"/>
      <c r="I534" s="401"/>
      <c r="J534" s="401"/>
      <c r="K534" s="401"/>
      <c r="L534" s="401"/>
      <c r="M534" s="401"/>
      <c r="N534" s="401"/>
      <c r="O534" s="401"/>
      <c r="P534" s="401"/>
      <c r="Q534" s="401"/>
      <c r="R534" s="401"/>
      <c r="S534" s="401"/>
      <c r="T534" s="401"/>
      <c r="U534" s="401"/>
      <c r="V534" s="401"/>
      <c r="W534" s="401"/>
      <c r="X534" s="401"/>
      <c r="Y534" s="401"/>
      <c r="Z534" s="401"/>
    </row>
    <row r="535">
      <c r="A535" s="401"/>
      <c r="B535" s="401"/>
      <c r="C535" s="401"/>
      <c r="D535" s="401"/>
      <c r="E535" s="401"/>
      <c r="F535" s="401"/>
      <c r="G535" s="401"/>
      <c r="H535" s="401"/>
      <c r="I535" s="401"/>
      <c r="J535" s="401"/>
      <c r="K535" s="401"/>
      <c r="L535" s="401"/>
      <c r="M535" s="401"/>
      <c r="N535" s="401"/>
      <c r="O535" s="401"/>
      <c r="P535" s="401"/>
      <c r="Q535" s="401"/>
      <c r="R535" s="401"/>
      <c r="S535" s="401"/>
      <c r="T535" s="401"/>
      <c r="U535" s="401"/>
      <c r="V535" s="401"/>
      <c r="W535" s="401"/>
      <c r="X535" s="401"/>
      <c r="Y535" s="401"/>
      <c r="Z535" s="401"/>
    </row>
    <row r="536">
      <c r="A536" s="401"/>
      <c r="B536" s="401"/>
      <c r="C536" s="401"/>
      <c r="D536" s="401"/>
      <c r="E536" s="401"/>
      <c r="F536" s="401"/>
      <c r="G536" s="401"/>
      <c r="H536" s="401"/>
      <c r="I536" s="401"/>
      <c r="J536" s="401"/>
      <c r="K536" s="401"/>
      <c r="L536" s="401"/>
      <c r="M536" s="401"/>
      <c r="N536" s="401"/>
      <c r="O536" s="401"/>
      <c r="P536" s="401"/>
      <c r="Q536" s="401"/>
      <c r="R536" s="401"/>
      <c r="S536" s="401"/>
      <c r="T536" s="401"/>
      <c r="U536" s="401"/>
      <c r="V536" s="401"/>
      <c r="W536" s="401"/>
      <c r="X536" s="401"/>
      <c r="Y536" s="401"/>
      <c r="Z536" s="401"/>
    </row>
    <row r="537">
      <c r="A537" s="401"/>
      <c r="B537" s="401"/>
      <c r="C537" s="401"/>
      <c r="D537" s="401"/>
      <c r="E537" s="401"/>
      <c r="F537" s="401"/>
      <c r="G537" s="401"/>
      <c r="H537" s="401"/>
      <c r="I537" s="401"/>
      <c r="J537" s="401"/>
      <c r="K537" s="401"/>
      <c r="L537" s="401"/>
      <c r="M537" s="401"/>
      <c r="N537" s="401"/>
      <c r="O537" s="401"/>
      <c r="P537" s="401"/>
      <c r="Q537" s="401"/>
      <c r="R537" s="401"/>
      <c r="S537" s="401"/>
      <c r="T537" s="401"/>
      <c r="U537" s="401"/>
      <c r="V537" s="401"/>
      <c r="W537" s="401"/>
      <c r="X537" s="401"/>
      <c r="Y537" s="401"/>
      <c r="Z537" s="401"/>
    </row>
    <row r="538">
      <c r="A538" s="401"/>
      <c r="B538" s="401"/>
      <c r="C538" s="401"/>
      <c r="D538" s="401"/>
      <c r="E538" s="401"/>
      <c r="F538" s="401"/>
      <c r="G538" s="401"/>
      <c r="H538" s="401"/>
      <c r="I538" s="401"/>
      <c r="J538" s="401"/>
      <c r="K538" s="401"/>
      <c r="L538" s="401"/>
      <c r="M538" s="401"/>
      <c r="N538" s="401"/>
      <c r="O538" s="401"/>
      <c r="P538" s="401"/>
      <c r="Q538" s="401"/>
      <c r="R538" s="401"/>
      <c r="S538" s="401"/>
      <c r="T538" s="401"/>
      <c r="U538" s="401"/>
      <c r="V538" s="401"/>
      <c r="W538" s="401"/>
      <c r="X538" s="401"/>
      <c r="Y538" s="401"/>
      <c r="Z538" s="401"/>
    </row>
    <row r="539">
      <c r="A539" s="401"/>
      <c r="B539" s="401"/>
      <c r="C539" s="401"/>
      <c r="D539" s="401"/>
      <c r="E539" s="401"/>
      <c r="F539" s="401"/>
      <c r="G539" s="401"/>
      <c r="H539" s="401"/>
      <c r="I539" s="401"/>
      <c r="J539" s="401"/>
      <c r="K539" s="401"/>
      <c r="L539" s="401"/>
      <c r="M539" s="401"/>
      <c r="N539" s="401"/>
      <c r="O539" s="401"/>
      <c r="P539" s="401"/>
      <c r="Q539" s="401"/>
      <c r="R539" s="401"/>
      <c r="S539" s="401"/>
      <c r="T539" s="401"/>
      <c r="U539" s="401"/>
      <c r="V539" s="401"/>
      <c r="W539" s="401"/>
      <c r="X539" s="401"/>
      <c r="Y539" s="401"/>
      <c r="Z539" s="401"/>
    </row>
    <row r="540">
      <c r="A540" s="401"/>
      <c r="B540" s="401"/>
      <c r="C540" s="401"/>
      <c r="D540" s="401"/>
      <c r="E540" s="401"/>
      <c r="F540" s="401"/>
      <c r="G540" s="401"/>
      <c r="H540" s="401"/>
      <c r="I540" s="401"/>
      <c r="J540" s="401"/>
      <c r="K540" s="401"/>
      <c r="L540" s="401"/>
      <c r="M540" s="401"/>
      <c r="N540" s="401"/>
      <c r="O540" s="401"/>
      <c r="P540" s="401"/>
      <c r="Q540" s="401"/>
      <c r="R540" s="401"/>
      <c r="S540" s="401"/>
      <c r="T540" s="401"/>
      <c r="U540" s="401"/>
      <c r="V540" s="401"/>
      <c r="W540" s="401"/>
      <c r="X540" s="401"/>
      <c r="Y540" s="401"/>
      <c r="Z540" s="401"/>
    </row>
    <row r="541">
      <c r="A541" s="401"/>
      <c r="B541" s="401"/>
      <c r="C541" s="401"/>
      <c r="D541" s="401"/>
      <c r="E541" s="401"/>
      <c r="F541" s="401"/>
      <c r="G541" s="401"/>
      <c r="H541" s="401"/>
      <c r="I541" s="401"/>
      <c r="J541" s="401"/>
      <c r="K541" s="401"/>
      <c r="L541" s="401"/>
      <c r="M541" s="401"/>
      <c r="N541" s="401"/>
      <c r="O541" s="401"/>
      <c r="P541" s="401"/>
      <c r="Q541" s="401"/>
      <c r="R541" s="401"/>
      <c r="S541" s="401"/>
      <c r="T541" s="401"/>
      <c r="U541" s="401"/>
      <c r="V541" s="401"/>
      <c r="W541" s="401"/>
      <c r="X541" s="401"/>
      <c r="Y541" s="401"/>
      <c r="Z541" s="401"/>
    </row>
    <row r="542">
      <c r="A542" s="401"/>
      <c r="B542" s="401"/>
      <c r="C542" s="401"/>
      <c r="D542" s="401"/>
      <c r="E542" s="401"/>
      <c r="F542" s="401"/>
      <c r="G542" s="401"/>
      <c r="H542" s="401"/>
      <c r="I542" s="401"/>
      <c r="J542" s="401"/>
      <c r="K542" s="401"/>
      <c r="L542" s="401"/>
      <c r="M542" s="401"/>
      <c r="N542" s="401"/>
      <c r="O542" s="401"/>
      <c r="P542" s="401"/>
      <c r="Q542" s="401"/>
      <c r="R542" s="401"/>
      <c r="S542" s="401"/>
      <c r="T542" s="401"/>
      <c r="U542" s="401"/>
      <c r="V542" s="401"/>
      <c r="W542" s="401"/>
      <c r="X542" s="401"/>
      <c r="Y542" s="401"/>
      <c r="Z542" s="401"/>
    </row>
    <row r="543">
      <c r="A543" s="401"/>
      <c r="B543" s="401"/>
      <c r="C543" s="401"/>
      <c r="D543" s="401"/>
      <c r="E543" s="401"/>
      <c r="F543" s="401"/>
      <c r="G543" s="401"/>
      <c r="H543" s="401"/>
      <c r="I543" s="401"/>
      <c r="J543" s="401"/>
      <c r="K543" s="401"/>
      <c r="L543" s="401"/>
      <c r="M543" s="401"/>
      <c r="N543" s="401"/>
      <c r="O543" s="401"/>
      <c r="P543" s="401"/>
      <c r="Q543" s="401"/>
      <c r="R543" s="401"/>
      <c r="S543" s="401"/>
      <c r="T543" s="401"/>
      <c r="U543" s="401"/>
      <c r="V543" s="401"/>
      <c r="W543" s="401"/>
      <c r="X543" s="401"/>
      <c r="Y543" s="401"/>
      <c r="Z543" s="401"/>
    </row>
    <row r="544">
      <c r="A544" s="401"/>
      <c r="B544" s="401"/>
      <c r="C544" s="401"/>
      <c r="D544" s="401"/>
      <c r="E544" s="401"/>
      <c r="F544" s="401"/>
      <c r="G544" s="401"/>
      <c r="H544" s="401"/>
      <c r="I544" s="401"/>
      <c r="J544" s="401"/>
      <c r="K544" s="401"/>
      <c r="L544" s="401"/>
      <c r="M544" s="401"/>
      <c r="N544" s="401"/>
      <c r="O544" s="401"/>
      <c r="P544" s="401"/>
      <c r="Q544" s="401"/>
      <c r="R544" s="401"/>
      <c r="S544" s="401"/>
      <c r="T544" s="401"/>
      <c r="U544" s="401"/>
      <c r="V544" s="401"/>
      <c r="W544" s="401"/>
      <c r="X544" s="401"/>
      <c r="Y544" s="401"/>
      <c r="Z544" s="401"/>
    </row>
    <row r="545">
      <c r="A545" s="401"/>
      <c r="B545" s="401"/>
      <c r="C545" s="401"/>
      <c r="D545" s="401"/>
      <c r="E545" s="401"/>
      <c r="F545" s="401"/>
      <c r="G545" s="401"/>
      <c r="H545" s="401"/>
      <c r="I545" s="401"/>
      <c r="J545" s="401"/>
      <c r="K545" s="401"/>
      <c r="L545" s="401"/>
      <c r="M545" s="401"/>
      <c r="N545" s="401"/>
      <c r="O545" s="401"/>
      <c r="P545" s="401"/>
      <c r="Q545" s="401"/>
      <c r="R545" s="401"/>
      <c r="S545" s="401"/>
      <c r="T545" s="401"/>
      <c r="U545" s="401"/>
      <c r="V545" s="401"/>
      <c r="W545" s="401"/>
      <c r="X545" s="401"/>
      <c r="Y545" s="401"/>
      <c r="Z545" s="401"/>
    </row>
    <row r="546">
      <c r="A546" s="401"/>
      <c r="B546" s="401"/>
      <c r="C546" s="401"/>
      <c r="D546" s="401"/>
      <c r="E546" s="401"/>
      <c r="F546" s="401"/>
      <c r="G546" s="401"/>
      <c r="H546" s="401"/>
      <c r="I546" s="401"/>
      <c r="J546" s="401"/>
      <c r="K546" s="401"/>
      <c r="L546" s="401"/>
      <c r="M546" s="401"/>
      <c r="N546" s="401"/>
      <c r="O546" s="401"/>
      <c r="P546" s="401"/>
      <c r="Q546" s="401"/>
      <c r="R546" s="401"/>
      <c r="S546" s="401"/>
      <c r="T546" s="401"/>
      <c r="U546" s="401"/>
      <c r="V546" s="401"/>
      <c r="W546" s="401"/>
      <c r="X546" s="401"/>
      <c r="Y546" s="401"/>
      <c r="Z546" s="401"/>
    </row>
    <row r="547">
      <c r="A547" s="401"/>
      <c r="B547" s="401"/>
      <c r="C547" s="401"/>
      <c r="D547" s="401"/>
      <c r="E547" s="401"/>
      <c r="F547" s="401"/>
      <c r="G547" s="401"/>
      <c r="H547" s="401"/>
      <c r="I547" s="401"/>
      <c r="J547" s="401"/>
      <c r="K547" s="401"/>
      <c r="L547" s="401"/>
      <c r="M547" s="401"/>
      <c r="N547" s="401"/>
      <c r="O547" s="401"/>
      <c r="P547" s="401"/>
      <c r="Q547" s="401"/>
      <c r="R547" s="401"/>
      <c r="S547" s="401"/>
      <c r="T547" s="401"/>
      <c r="U547" s="401"/>
      <c r="V547" s="401"/>
      <c r="W547" s="401"/>
      <c r="X547" s="401"/>
      <c r="Y547" s="401"/>
      <c r="Z547" s="401"/>
    </row>
    <row r="548">
      <c r="A548" s="401"/>
      <c r="B548" s="401"/>
      <c r="C548" s="401"/>
      <c r="D548" s="401"/>
      <c r="E548" s="401"/>
      <c r="F548" s="401"/>
      <c r="G548" s="401"/>
      <c r="H548" s="401"/>
      <c r="I548" s="401"/>
      <c r="J548" s="401"/>
      <c r="K548" s="401"/>
      <c r="L548" s="401"/>
      <c r="M548" s="401"/>
      <c r="N548" s="401"/>
      <c r="O548" s="401"/>
      <c r="P548" s="401"/>
      <c r="Q548" s="401"/>
      <c r="R548" s="401"/>
      <c r="S548" s="401"/>
      <c r="T548" s="401"/>
      <c r="U548" s="401"/>
      <c r="V548" s="401"/>
      <c r="W548" s="401"/>
      <c r="X548" s="401"/>
      <c r="Y548" s="401"/>
      <c r="Z548" s="401"/>
    </row>
    <row r="549">
      <c r="A549" s="401"/>
      <c r="B549" s="401"/>
      <c r="C549" s="401"/>
      <c r="D549" s="401"/>
      <c r="E549" s="401"/>
      <c r="F549" s="401"/>
      <c r="G549" s="401"/>
      <c r="H549" s="401"/>
      <c r="I549" s="401"/>
      <c r="J549" s="401"/>
      <c r="K549" s="401"/>
      <c r="L549" s="401"/>
      <c r="M549" s="401"/>
      <c r="N549" s="401"/>
      <c r="O549" s="401"/>
      <c r="P549" s="401"/>
      <c r="Q549" s="401"/>
      <c r="R549" s="401"/>
      <c r="S549" s="401"/>
      <c r="T549" s="401"/>
      <c r="U549" s="401"/>
      <c r="V549" s="401"/>
      <c r="W549" s="401"/>
      <c r="X549" s="401"/>
      <c r="Y549" s="401"/>
      <c r="Z549" s="401"/>
    </row>
    <row r="550">
      <c r="A550" s="401"/>
      <c r="B550" s="401"/>
      <c r="C550" s="401"/>
      <c r="D550" s="401"/>
      <c r="E550" s="401"/>
      <c r="F550" s="401"/>
      <c r="G550" s="401"/>
      <c r="H550" s="401"/>
      <c r="I550" s="401"/>
      <c r="J550" s="401"/>
      <c r="K550" s="401"/>
      <c r="L550" s="401"/>
      <c r="M550" s="401"/>
      <c r="N550" s="401"/>
      <c r="O550" s="401"/>
      <c r="P550" s="401"/>
      <c r="Q550" s="401"/>
      <c r="R550" s="401"/>
      <c r="S550" s="401"/>
      <c r="T550" s="401"/>
      <c r="U550" s="401"/>
      <c r="V550" s="401"/>
      <c r="W550" s="401"/>
      <c r="X550" s="401"/>
      <c r="Y550" s="401"/>
      <c r="Z550" s="401"/>
    </row>
    <row r="551">
      <c r="A551" s="401"/>
      <c r="B551" s="401"/>
      <c r="C551" s="401"/>
      <c r="D551" s="401"/>
      <c r="E551" s="401"/>
      <c r="F551" s="401"/>
      <c r="G551" s="401"/>
      <c r="H551" s="401"/>
      <c r="I551" s="401"/>
      <c r="J551" s="401"/>
      <c r="K551" s="401"/>
      <c r="L551" s="401"/>
      <c r="M551" s="401"/>
      <c r="N551" s="401"/>
      <c r="O551" s="401"/>
      <c r="P551" s="401"/>
      <c r="Q551" s="401"/>
      <c r="R551" s="401"/>
      <c r="S551" s="401"/>
      <c r="T551" s="401"/>
      <c r="U551" s="401"/>
      <c r="V551" s="401"/>
      <c r="W551" s="401"/>
      <c r="X551" s="401"/>
      <c r="Y551" s="401"/>
      <c r="Z551" s="401"/>
    </row>
    <row r="552">
      <c r="A552" s="401"/>
      <c r="B552" s="401"/>
      <c r="C552" s="401"/>
      <c r="D552" s="401"/>
      <c r="E552" s="401"/>
      <c r="F552" s="401"/>
      <c r="G552" s="401"/>
      <c r="H552" s="401"/>
      <c r="I552" s="401"/>
      <c r="J552" s="401"/>
      <c r="K552" s="401"/>
      <c r="L552" s="401"/>
      <c r="M552" s="401"/>
      <c r="N552" s="401"/>
      <c r="O552" s="401"/>
      <c r="P552" s="401"/>
      <c r="Q552" s="401"/>
      <c r="R552" s="401"/>
      <c r="S552" s="401"/>
      <c r="T552" s="401"/>
      <c r="U552" s="401"/>
      <c r="V552" s="401"/>
      <c r="W552" s="401"/>
      <c r="X552" s="401"/>
      <c r="Y552" s="401"/>
      <c r="Z552" s="401"/>
    </row>
    <row r="553">
      <c r="A553" s="401"/>
      <c r="B553" s="401"/>
      <c r="C553" s="401"/>
      <c r="D553" s="401"/>
      <c r="E553" s="401"/>
      <c r="F553" s="401"/>
      <c r="G553" s="401"/>
      <c r="H553" s="401"/>
      <c r="I553" s="401"/>
      <c r="J553" s="401"/>
      <c r="K553" s="401"/>
      <c r="L553" s="401"/>
      <c r="M553" s="401"/>
      <c r="N553" s="401"/>
      <c r="O553" s="401"/>
      <c r="P553" s="401"/>
      <c r="Q553" s="401"/>
      <c r="R553" s="401"/>
      <c r="S553" s="401"/>
      <c r="T553" s="401"/>
      <c r="U553" s="401"/>
      <c r="V553" s="401"/>
      <c r="W553" s="401"/>
      <c r="X553" s="401"/>
      <c r="Y553" s="401"/>
      <c r="Z553" s="401"/>
    </row>
    <row r="554">
      <c r="A554" s="401"/>
      <c r="B554" s="401"/>
      <c r="C554" s="401"/>
      <c r="D554" s="401"/>
      <c r="E554" s="401"/>
      <c r="F554" s="401"/>
      <c r="G554" s="401"/>
      <c r="H554" s="401"/>
      <c r="I554" s="401"/>
      <c r="J554" s="401"/>
      <c r="K554" s="401"/>
      <c r="L554" s="401"/>
      <c r="M554" s="401"/>
      <c r="N554" s="401"/>
      <c r="O554" s="401"/>
      <c r="P554" s="401"/>
      <c r="Q554" s="401"/>
      <c r="R554" s="401"/>
      <c r="S554" s="401"/>
      <c r="T554" s="401"/>
      <c r="U554" s="401"/>
      <c r="V554" s="401"/>
      <c r="W554" s="401"/>
      <c r="X554" s="401"/>
      <c r="Y554" s="401"/>
      <c r="Z554" s="401"/>
    </row>
    <row r="555">
      <c r="A555" s="401"/>
      <c r="B555" s="401"/>
      <c r="C555" s="401"/>
      <c r="D555" s="401"/>
      <c r="E555" s="401"/>
      <c r="F555" s="401"/>
      <c r="G555" s="401"/>
      <c r="H555" s="401"/>
      <c r="I555" s="401"/>
      <c r="J555" s="401"/>
      <c r="K555" s="401"/>
      <c r="L555" s="401"/>
      <c r="M555" s="401"/>
      <c r="N555" s="401"/>
      <c r="O555" s="401"/>
      <c r="P555" s="401"/>
      <c r="Q555" s="401"/>
      <c r="R555" s="401"/>
      <c r="S555" s="401"/>
      <c r="T555" s="401"/>
      <c r="U555" s="401"/>
      <c r="V555" s="401"/>
      <c r="W555" s="401"/>
      <c r="X555" s="401"/>
      <c r="Y555" s="401"/>
      <c r="Z555" s="401"/>
    </row>
    <row r="556">
      <c r="A556" s="401"/>
      <c r="B556" s="401"/>
      <c r="C556" s="401"/>
      <c r="D556" s="401"/>
      <c r="E556" s="401"/>
      <c r="F556" s="401"/>
      <c r="G556" s="401"/>
      <c r="H556" s="401"/>
      <c r="I556" s="401"/>
      <c r="J556" s="401"/>
      <c r="K556" s="401"/>
      <c r="L556" s="401"/>
      <c r="M556" s="401"/>
      <c r="N556" s="401"/>
      <c r="O556" s="401"/>
      <c r="P556" s="401"/>
      <c r="Q556" s="401"/>
      <c r="R556" s="401"/>
      <c r="S556" s="401"/>
      <c r="T556" s="401"/>
      <c r="U556" s="401"/>
      <c r="V556" s="401"/>
      <c r="W556" s="401"/>
      <c r="X556" s="401"/>
      <c r="Y556" s="401"/>
      <c r="Z556" s="401"/>
    </row>
    <row r="557">
      <c r="A557" s="401"/>
      <c r="B557" s="401"/>
      <c r="C557" s="401"/>
      <c r="D557" s="401"/>
      <c r="E557" s="401"/>
      <c r="F557" s="401"/>
      <c r="G557" s="401"/>
      <c r="H557" s="401"/>
      <c r="I557" s="401"/>
      <c r="J557" s="401"/>
      <c r="K557" s="401"/>
      <c r="L557" s="401"/>
      <c r="M557" s="401"/>
      <c r="N557" s="401"/>
      <c r="O557" s="401"/>
      <c r="P557" s="401"/>
      <c r="Q557" s="401"/>
      <c r="R557" s="401"/>
      <c r="S557" s="401"/>
      <c r="T557" s="401"/>
      <c r="U557" s="401"/>
      <c r="V557" s="401"/>
      <c r="W557" s="401"/>
      <c r="X557" s="401"/>
      <c r="Y557" s="401"/>
      <c r="Z557" s="401"/>
    </row>
    <row r="558">
      <c r="A558" s="401"/>
      <c r="B558" s="401"/>
      <c r="C558" s="401"/>
      <c r="D558" s="401"/>
      <c r="E558" s="401"/>
      <c r="F558" s="401"/>
      <c r="G558" s="401"/>
      <c r="H558" s="401"/>
      <c r="I558" s="401"/>
      <c r="J558" s="401"/>
      <c r="K558" s="401"/>
      <c r="L558" s="401"/>
      <c r="M558" s="401"/>
      <c r="N558" s="401"/>
      <c r="O558" s="401"/>
      <c r="P558" s="401"/>
      <c r="Q558" s="401"/>
      <c r="R558" s="401"/>
      <c r="S558" s="401"/>
      <c r="T558" s="401"/>
      <c r="U558" s="401"/>
      <c r="V558" s="401"/>
      <c r="W558" s="401"/>
      <c r="X558" s="401"/>
      <c r="Y558" s="401"/>
      <c r="Z558" s="401"/>
    </row>
    <row r="559">
      <c r="A559" s="401"/>
      <c r="B559" s="401"/>
      <c r="C559" s="401"/>
      <c r="D559" s="401"/>
      <c r="E559" s="401"/>
      <c r="F559" s="401"/>
      <c r="G559" s="401"/>
      <c r="H559" s="401"/>
      <c r="I559" s="401"/>
      <c r="J559" s="401"/>
      <c r="K559" s="401"/>
      <c r="L559" s="401"/>
      <c r="M559" s="401"/>
      <c r="N559" s="401"/>
      <c r="O559" s="401"/>
      <c r="P559" s="401"/>
      <c r="Q559" s="401"/>
      <c r="R559" s="401"/>
      <c r="S559" s="401"/>
      <c r="T559" s="401"/>
      <c r="U559" s="401"/>
      <c r="V559" s="401"/>
      <c r="W559" s="401"/>
      <c r="X559" s="401"/>
      <c r="Y559" s="401"/>
      <c r="Z559" s="401"/>
    </row>
    <row r="560">
      <c r="A560" s="401"/>
      <c r="B560" s="401"/>
      <c r="C560" s="401"/>
      <c r="D560" s="401"/>
      <c r="E560" s="401"/>
      <c r="F560" s="401"/>
      <c r="G560" s="401"/>
      <c r="H560" s="401"/>
      <c r="I560" s="401"/>
      <c r="J560" s="401"/>
      <c r="K560" s="401"/>
      <c r="L560" s="401"/>
      <c r="M560" s="401"/>
      <c r="N560" s="401"/>
      <c r="O560" s="401"/>
      <c r="P560" s="401"/>
      <c r="Q560" s="401"/>
      <c r="R560" s="401"/>
      <c r="S560" s="401"/>
      <c r="T560" s="401"/>
      <c r="U560" s="401"/>
      <c r="V560" s="401"/>
      <c r="W560" s="401"/>
      <c r="X560" s="401"/>
      <c r="Y560" s="401"/>
      <c r="Z560" s="401"/>
    </row>
    <row r="561">
      <c r="A561" s="401"/>
      <c r="B561" s="401"/>
      <c r="C561" s="401"/>
      <c r="D561" s="401"/>
      <c r="E561" s="401"/>
      <c r="F561" s="401"/>
      <c r="G561" s="401"/>
      <c r="H561" s="401"/>
      <c r="I561" s="401"/>
      <c r="J561" s="401"/>
      <c r="K561" s="401"/>
      <c r="L561" s="401"/>
      <c r="M561" s="401"/>
      <c r="N561" s="401"/>
      <c r="O561" s="401"/>
      <c r="P561" s="401"/>
      <c r="Q561" s="401"/>
      <c r="R561" s="401"/>
      <c r="S561" s="401"/>
      <c r="T561" s="401"/>
      <c r="U561" s="401"/>
      <c r="V561" s="401"/>
      <c r="W561" s="401"/>
      <c r="X561" s="401"/>
      <c r="Y561" s="401"/>
      <c r="Z561" s="401"/>
    </row>
    <row r="562">
      <c r="A562" s="401"/>
      <c r="B562" s="401"/>
      <c r="C562" s="401"/>
      <c r="D562" s="401"/>
      <c r="E562" s="401"/>
      <c r="F562" s="401"/>
      <c r="G562" s="401"/>
      <c r="H562" s="401"/>
      <c r="I562" s="401"/>
      <c r="J562" s="401"/>
      <c r="K562" s="401"/>
      <c r="L562" s="401"/>
      <c r="M562" s="401"/>
      <c r="N562" s="401"/>
      <c r="O562" s="401"/>
      <c r="P562" s="401"/>
      <c r="Q562" s="401"/>
      <c r="R562" s="401"/>
      <c r="S562" s="401"/>
      <c r="T562" s="401"/>
      <c r="U562" s="401"/>
      <c r="V562" s="401"/>
      <c r="W562" s="401"/>
      <c r="X562" s="401"/>
      <c r="Y562" s="401"/>
      <c r="Z562" s="401"/>
    </row>
    <row r="563">
      <c r="A563" s="401"/>
      <c r="B563" s="401"/>
      <c r="C563" s="401"/>
      <c r="D563" s="401"/>
      <c r="E563" s="401"/>
      <c r="F563" s="401"/>
      <c r="G563" s="401"/>
      <c r="H563" s="401"/>
      <c r="I563" s="401"/>
      <c r="J563" s="401"/>
      <c r="K563" s="401"/>
      <c r="L563" s="401"/>
      <c r="M563" s="401"/>
      <c r="N563" s="401"/>
      <c r="O563" s="401"/>
      <c r="P563" s="401"/>
      <c r="Q563" s="401"/>
      <c r="R563" s="401"/>
      <c r="S563" s="401"/>
      <c r="T563" s="401"/>
      <c r="U563" s="401"/>
      <c r="V563" s="401"/>
      <c r="W563" s="401"/>
      <c r="X563" s="401"/>
      <c r="Y563" s="401"/>
      <c r="Z563" s="401"/>
    </row>
    <row r="564">
      <c r="A564" s="401"/>
      <c r="B564" s="401"/>
      <c r="C564" s="401"/>
      <c r="D564" s="401"/>
      <c r="E564" s="401"/>
      <c r="F564" s="401"/>
      <c r="G564" s="401"/>
      <c r="H564" s="401"/>
      <c r="I564" s="401"/>
      <c r="J564" s="401"/>
      <c r="K564" s="401"/>
      <c r="L564" s="401"/>
      <c r="M564" s="401"/>
      <c r="N564" s="401"/>
      <c r="O564" s="401"/>
      <c r="P564" s="401"/>
      <c r="Q564" s="401"/>
      <c r="R564" s="401"/>
      <c r="S564" s="401"/>
      <c r="T564" s="401"/>
      <c r="U564" s="401"/>
      <c r="V564" s="401"/>
      <c r="W564" s="401"/>
      <c r="X564" s="401"/>
      <c r="Y564" s="401"/>
      <c r="Z564" s="401"/>
    </row>
    <row r="565">
      <c r="A565" s="401"/>
      <c r="B565" s="401"/>
      <c r="C565" s="401"/>
      <c r="D565" s="401"/>
      <c r="E565" s="401"/>
      <c r="F565" s="401"/>
      <c r="G565" s="401"/>
      <c r="H565" s="401"/>
      <c r="I565" s="401"/>
      <c r="J565" s="401"/>
      <c r="K565" s="401"/>
      <c r="L565" s="401"/>
      <c r="M565" s="401"/>
      <c r="N565" s="401"/>
      <c r="O565" s="401"/>
      <c r="P565" s="401"/>
      <c r="Q565" s="401"/>
      <c r="R565" s="401"/>
      <c r="S565" s="401"/>
      <c r="T565" s="401"/>
      <c r="U565" s="401"/>
      <c r="V565" s="401"/>
      <c r="W565" s="401"/>
      <c r="X565" s="401"/>
      <c r="Y565" s="401"/>
      <c r="Z565" s="401"/>
    </row>
    <row r="566">
      <c r="A566" s="401"/>
      <c r="B566" s="401"/>
      <c r="C566" s="401"/>
      <c r="D566" s="401"/>
      <c r="E566" s="401"/>
      <c r="F566" s="401"/>
      <c r="G566" s="401"/>
      <c r="H566" s="401"/>
      <c r="I566" s="401"/>
      <c r="J566" s="401"/>
      <c r="K566" s="401"/>
      <c r="L566" s="401"/>
      <c r="M566" s="401"/>
      <c r="N566" s="401"/>
      <c r="O566" s="401"/>
      <c r="P566" s="401"/>
      <c r="Q566" s="401"/>
      <c r="R566" s="401"/>
      <c r="S566" s="401"/>
      <c r="T566" s="401"/>
      <c r="U566" s="401"/>
      <c r="V566" s="401"/>
      <c r="W566" s="401"/>
      <c r="X566" s="401"/>
      <c r="Y566" s="401"/>
      <c r="Z566" s="401"/>
    </row>
    <row r="567">
      <c r="A567" s="401"/>
      <c r="B567" s="401"/>
      <c r="C567" s="401"/>
      <c r="D567" s="401"/>
      <c r="E567" s="401"/>
      <c r="F567" s="401"/>
      <c r="G567" s="401"/>
      <c r="H567" s="401"/>
      <c r="I567" s="401"/>
      <c r="J567" s="401"/>
      <c r="K567" s="401"/>
      <c r="L567" s="401"/>
      <c r="M567" s="401"/>
      <c r="N567" s="401"/>
      <c r="O567" s="401"/>
      <c r="P567" s="401"/>
      <c r="Q567" s="401"/>
      <c r="R567" s="401"/>
      <c r="S567" s="401"/>
      <c r="T567" s="401"/>
      <c r="U567" s="401"/>
      <c r="V567" s="401"/>
      <c r="W567" s="401"/>
      <c r="X567" s="401"/>
      <c r="Y567" s="401"/>
      <c r="Z567" s="401"/>
    </row>
    <row r="568">
      <c r="A568" s="401"/>
      <c r="B568" s="401"/>
      <c r="C568" s="401"/>
      <c r="D568" s="401"/>
      <c r="E568" s="401"/>
      <c r="F568" s="401"/>
      <c r="G568" s="401"/>
      <c r="H568" s="401"/>
      <c r="I568" s="401"/>
      <c r="J568" s="401"/>
      <c r="K568" s="401"/>
      <c r="L568" s="401"/>
      <c r="M568" s="401"/>
      <c r="N568" s="401"/>
      <c r="O568" s="401"/>
      <c r="P568" s="401"/>
      <c r="Q568" s="401"/>
      <c r="R568" s="401"/>
      <c r="S568" s="401"/>
      <c r="T568" s="401"/>
      <c r="U568" s="401"/>
      <c r="V568" s="401"/>
      <c r="W568" s="401"/>
      <c r="X568" s="401"/>
      <c r="Y568" s="401"/>
      <c r="Z568" s="401"/>
    </row>
    <row r="569">
      <c r="A569" s="401"/>
      <c r="B569" s="401"/>
      <c r="C569" s="401"/>
      <c r="D569" s="401"/>
      <c r="E569" s="401"/>
      <c r="F569" s="401"/>
      <c r="G569" s="401"/>
      <c r="H569" s="401"/>
      <c r="I569" s="401"/>
      <c r="J569" s="401"/>
      <c r="K569" s="401"/>
      <c r="L569" s="401"/>
      <c r="M569" s="401"/>
      <c r="N569" s="401"/>
      <c r="O569" s="401"/>
      <c r="P569" s="401"/>
      <c r="Q569" s="401"/>
      <c r="R569" s="401"/>
      <c r="S569" s="401"/>
      <c r="T569" s="401"/>
      <c r="U569" s="401"/>
      <c r="V569" s="401"/>
      <c r="W569" s="401"/>
      <c r="X569" s="401"/>
      <c r="Y569" s="401"/>
      <c r="Z569" s="401"/>
    </row>
    <row r="570">
      <c r="A570" s="401"/>
      <c r="B570" s="401"/>
      <c r="C570" s="401"/>
      <c r="D570" s="401"/>
      <c r="E570" s="401"/>
      <c r="F570" s="401"/>
      <c r="G570" s="401"/>
      <c r="H570" s="401"/>
      <c r="I570" s="401"/>
      <c r="J570" s="401"/>
      <c r="K570" s="401"/>
      <c r="L570" s="401"/>
      <c r="M570" s="401"/>
      <c r="N570" s="401"/>
      <c r="O570" s="401"/>
      <c r="P570" s="401"/>
      <c r="Q570" s="401"/>
      <c r="R570" s="401"/>
      <c r="S570" s="401"/>
      <c r="T570" s="401"/>
      <c r="U570" s="401"/>
      <c r="V570" s="401"/>
      <c r="W570" s="401"/>
      <c r="X570" s="401"/>
      <c r="Y570" s="401"/>
      <c r="Z570" s="401"/>
    </row>
    <row r="571">
      <c r="A571" s="401"/>
      <c r="B571" s="401"/>
      <c r="C571" s="401"/>
      <c r="D571" s="401"/>
      <c r="E571" s="401"/>
      <c r="F571" s="401"/>
      <c r="G571" s="401"/>
      <c r="H571" s="401"/>
      <c r="I571" s="401"/>
      <c r="J571" s="401"/>
      <c r="K571" s="401"/>
      <c r="L571" s="401"/>
      <c r="M571" s="401"/>
      <c r="N571" s="401"/>
      <c r="O571" s="401"/>
      <c r="P571" s="401"/>
      <c r="Q571" s="401"/>
      <c r="R571" s="401"/>
      <c r="S571" s="401"/>
      <c r="T571" s="401"/>
      <c r="U571" s="401"/>
      <c r="V571" s="401"/>
      <c r="W571" s="401"/>
      <c r="X571" s="401"/>
      <c r="Y571" s="401"/>
      <c r="Z571" s="401"/>
    </row>
    <row r="572">
      <c r="A572" s="401"/>
      <c r="B572" s="401"/>
      <c r="C572" s="401"/>
      <c r="D572" s="401"/>
      <c r="E572" s="401"/>
      <c r="F572" s="401"/>
      <c r="G572" s="401"/>
      <c r="H572" s="401"/>
      <c r="I572" s="401"/>
      <c r="J572" s="401"/>
      <c r="K572" s="401"/>
      <c r="L572" s="401"/>
      <c r="M572" s="401"/>
      <c r="N572" s="401"/>
      <c r="O572" s="401"/>
      <c r="P572" s="401"/>
      <c r="Q572" s="401"/>
      <c r="R572" s="401"/>
      <c r="S572" s="401"/>
      <c r="T572" s="401"/>
      <c r="U572" s="401"/>
      <c r="V572" s="401"/>
      <c r="W572" s="401"/>
      <c r="X572" s="401"/>
      <c r="Y572" s="401"/>
      <c r="Z572" s="401"/>
    </row>
    <row r="573">
      <c r="A573" s="401"/>
      <c r="B573" s="401"/>
      <c r="C573" s="401"/>
      <c r="D573" s="401"/>
      <c r="E573" s="401"/>
      <c r="F573" s="401"/>
      <c r="G573" s="401"/>
      <c r="H573" s="401"/>
      <c r="I573" s="401"/>
      <c r="J573" s="401"/>
      <c r="K573" s="401"/>
      <c r="L573" s="401"/>
      <c r="M573" s="401"/>
      <c r="N573" s="401"/>
      <c r="O573" s="401"/>
      <c r="P573" s="401"/>
      <c r="Q573" s="401"/>
      <c r="R573" s="401"/>
      <c r="S573" s="401"/>
      <c r="T573" s="401"/>
      <c r="U573" s="401"/>
      <c r="V573" s="401"/>
      <c r="W573" s="401"/>
      <c r="X573" s="401"/>
      <c r="Y573" s="401"/>
      <c r="Z573" s="401"/>
    </row>
    <row r="574">
      <c r="A574" s="401"/>
      <c r="B574" s="401"/>
      <c r="C574" s="401"/>
      <c r="D574" s="401"/>
      <c r="E574" s="401"/>
      <c r="F574" s="401"/>
      <c r="G574" s="401"/>
      <c r="H574" s="401"/>
      <c r="I574" s="401"/>
      <c r="J574" s="401"/>
      <c r="K574" s="401"/>
      <c r="L574" s="401"/>
      <c r="M574" s="401"/>
      <c r="N574" s="401"/>
      <c r="O574" s="401"/>
      <c r="P574" s="401"/>
      <c r="Q574" s="401"/>
      <c r="R574" s="401"/>
      <c r="S574" s="401"/>
      <c r="T574" s="401"/>
      <c r="U574" s="401"/>
      <c r="V574" s="401"/>
      <c r="W574" s="401"/>
      <c r="X574" s="401"/>
      <c r="Y574" s="401"/>
      <c r="Z574" s="401"/>
    </row>
    <row r="575">
      <c r="A575" s="401"/>
      <c r="B575" s="401"/>
      <c r="C575" s="401"/>
      <c r="D575" s="401"/>
      <c r="E575" s="401"/>
      <c r="F575" s="401"/>
      <c r="G575" s="401"/>
      <c r="H575" s="401"/>
      <c r="I575" s="401"/>
      <c r="J575" s="401"/>
      <c r="K575" s="401"/>
      <c r="L575" s="401"/>
      <c r="M575" s="401"/>
      <c r="N575" s="401"/>
      <c r="O575" s="401"/>
      <c r="P575" s="401"/>
      <c r="Q575" s="401"/>
      <c r="R575" s="401"/>
      <c r="S575" s="401"/>
      <c r="T575" s="401"/>
      <c r="U575" s="401"/>
      <c r="V575" s="401"/>
      <c r="W575" s="401"/>
      <c r="X575" s="401"/>
      <c r="Y575" s="401"/>
      <c r="Z575" s="401"/>
    </row>
    <row r="576">
      <c r="A576" s="401"/>
      <c r="B576" s="401"/>
      <c r="C576" s="401"/>
      <c r="D576" s="401"/>
      <c r="E576" s="401"/>
      <c r="F576" s="401"/>
      <c r="G576" s="401"/>
      <c r="H576" s="401"/>
      <c r="I576" s="401"/>
      <c r="J576" s="401"/>
      <c r="K576" s="401"/>
      <c r="L576" s="401"/>
      <c r="M576" s="401"/>
      <c r="N576" s="401"/>
      <c r="O576" s="401"/>
      <c r="P576" s="401"/>
      <c r="Q576" s="401"/>
      <c r="R576" s="401"/>
      <c r="S576" s="401"/>
      <c r="T576" s="401"/>
      <c r="U576" s="401"/>
      <c r="V576" s="401"/>
      <c r="W576" s="401"/>
      <c r="X576" s="401"/>
      <c r="Y576" s="401"/>
      <c r="Z576" s="401"/>
    </row>
    <row r="577">
      <c r="A577" s="401"/>
      <c r="B577" s="401"/>
      <c r="C577" s="401"/>
      <c r="D577" s="401"/>
      <c r="E577" s="401"/>
      <c r="F577" s="401"/>
      <c r="G577" s="401"/>
      <c r="H577" s="401"/>
      <c r="I577" s="401"/>
      <c r="J577" s="401"/>
      <c r="K577" s="401"/>
      <c r="L577" s="401"/>
      <c r="M577" s="401"/>
      <c r="N577" s="401"/>
      <c r="O577" s="401"/>
      <c r="P577" s="401"/>
      <c r="Q577" s="401"/>
      <c r="R577" s="401"/>
      <c r="S577" s="401"/>
      <c r="T577" s="401"/>
      <c r="U577" s="401"/>
      <c r="V577" s="401"/>
      <c r="W577" s="401"/>
      <c r="X577" s="401"/>
      <c r="Y577" s="401"/>
      <c r="Z577" s="401"/>
    </row>
    <row r="578">
      <c r="A578" s="401"/>
      <c r="B578" s="401"/>
      <c r="C578" s="401"/>
      <c r="D578" s="401"/>
      <c r="E578" s="401"/>
      <c r="F578" s="401"/>
      <c r="G578" s="401"/>
      <c r="H578" s="401"/>
      <c r="I578" s="401"/>
      <c r="J578" s="401"/>
      <c r="K578" s="401"/>
      <c r="L578" s="401"/>
      <c r="M578" s="401"/>
      <c r="N578" s="401"/>
      <c r="O578" s="401"/>
      <c r="P578" s="401"/>
      <c r="Q578" s="401"/>
      <c r="R578" s="401"/>
      <c r="S578" s="401"/>
      <c r="T578" s="401"/>
      <c r="U578" s="401"/>
      <c r="V578" s="401"/>
      <c r="W578" s="401"/>
      <c r="X578" s="401"/>
      <c r="Y578" s="401"/>
      <c r="Z578" s="401"/>
    </row>
    <row r="579">
      <c r="A579" s="401"/>
      <c r="B579" s="401"/>
      <c r="C579" s="401"/>
      <c r="D579" s="401"/>
      <c r="E579" s="401"/>
      <c r="F579" s="401"/>
      <c r="G579" s="401"/>
      <c r="H579" s="401"/>
      <c r="I579" s="401"/>
      <c r="J579" s="401"/>
      <c r="K579" s="401"/>
      <c r="L579" s="401"/>
      <c r="M579" s="401"/>
      <c r="N579" s="401"/>
      <c r="O579" s="401"/>
      <c r="P579" s="401"/>
      <c r="Q579" s="401"/>
      <c r="R579" s="401"/>
      <c r="S579" s="401"/>
      <c r="T579" s="401"/>
      <c r="U579" s="401"/>
      <c r="V579" s="401"/>
      <c r="W579" s="401"/>
      <c r="X579" s="401"/>
      <c r="Y579" s="401"/>
      <c r="Z579" s="401"/>
    </row>
    <row r="580">
      <c r="A580" s="401"/>
      <c r="B580" s="401"/>
      <c r="C580" s="401"/>
      <c r="D580" s="401"/>
      <c r="E580" s="401"/>
      <c r="F580" s="401"/>
      <c r="G580" s="401"/>
      <c r="H580" s="401"/>
      <c r="I580" s="401"/>
      <c r="J580" s="401"/>
      <c r="K580" s="401"/>
      <c r="L580" s="401"/>
      <c r="M580" s="401"/>
      <c r="N580" s="401"/>
      <c r="O580" s="401"/>
      <c r="P580" s="401"/>
      <c r="Q580" s="401"/>
      <c r="R580" s="401"/>
      <c r="S580" s="401"/>
      <c r="T580" s="401"/>
      <c r="U580" s="401"/>
      <c r="V580" s="401"/>
      <c r="W580" s="401"/>
      <c r="X580" s="401"/>
      <c r="Y580" s="401"/>
      <c r="Z580" s="401"/>
    </row>
    <row r="581">
      <c r="A581" s="401"/>
      <c r="B581" s="401"/>
      <c r="C581" s="401"/>
      <c r="D581" s="401"/>
      <c r="E581" s="401"/>
      <c r="F581" s="401"/>
      <c r="G581" s="401"/>
      <c r="H581" s="401"/>
      <c r="I581" s="401"/>
      <c r="J581" s="401"/>
      <c r="K581" s="401"/>
      <c r="L581" s="401"/>
      <c r="M581" s="401"/>
      <c r="N581" s="401"/>
      <c r="O581" s="401"/>
      <c r="P581" s="401"/>
      <c r="Q581" s="401"/>
      <c r="R581" s="401"/>
      <c r="S581" s="401"/>
      <c r="T581" s="401"/>
      <c r="U581" s="401"/>
      <c r="V581" s="401"/>
      <c r="W581" s="401"/>
      <c r="X581" s="401"/>
      <c r="Y581" s="401"/>
      <c r="Z581" s="401"/>
    </row>
    <row r="582">
      <c r="A582" s="401"/>
      <c r="B582" s="401"/>
      <c r="C582" s="401"/>
      <c r="D582" s="401"/>
      <c r="E582" s="401"/>
      <c r="F582" s="401"/>
      <c r="G582" s="401"/>
      <c r="H582" s="401"/>
      <c r="I582" s="401"/>
      <c r="J582" s="401"/>
      <c r="K582" s="401"/>
      <c r="L582" s="401"/>
      <c r="M582" s="401"/>
      <c r="N582" s="401"/>
      <c r="O582" s="401"/>
      <c r="P582" s="401"/>
      <c r="Q582" s="401"/>
      <c r="R582" s="401"/>
      <c r="S582" s="401"/>
      <c r="T582" s="401"/>
      <c r="U582" s="401"/>
      <c r="V582" s="401"/>
      <c r="W582" s="401"/>
      <c r="X582" s="401"/>
      <c r="Y582" s="401"/>
      <c r="Z582" s="401"/>
    </row>
    <row r="583">
      <c r="A583" s="401"/>
      <c r="B583" s="401"/>
      <c r="C583" s="401"/>
      <c r="D583" s="401"/>
      <c r="E583" s="401"/>
      <c r="F583" s="401"/>
      <c r="G583" s="401"/>
      <c r="H583" s="401"/>
      <c r="I583" s="401"/>
      <c r="J583" s="401"/>
      <c r="K583" s="401"/>
      <c r="L583" s="401"/>
      <c r="M583" s="401"/>
      <c r="N583" s="401"/>
      <c r="O583" s="401"/>
      <c r="P583" s="401"/>
      <c r="Q583" s="401"/>
      <c r="R583" s="401"/>
      <c r="S583" s="401"/>
      <c r="T583" s="401"/>
      <c r="U583" s="401"/>
      <c r="V583" s="401"/>
      <c r="W583" s="401"/>
      <c r="X583" s="401"/>
      <c r="Y583" s="401"/>
      <c r="Z583" s="401"/>
    </row>
    <row r="584">
      <c r="A584" s="401"/>
      <c r="B584" s="401"/>
      <c r="C584" s="401"/>
      <c r="D584" s="401"/>
      <c r="E584" s="401"/>
      <c r="F584" s="401"/>
      <c r="G584" s="401"/>
      <c r="H584" s="401"/>
      <c r="I584" s="401"/>
      <c r="J584" s="401"/>
      <c r="K584" s="401"/>
      <c r="L584" s="401"/>
      <c r="M584" s="401"/>
      <c r="N584" s="401"/>
      <c r="O584" s="401"/>
      <c r="P584" s="401"/>
      <c r="Q584" s="401"/>
      <c r="R584" s="401"/>
      <c r="S584" s="401"/>
      <c r="T584" s="401"/>
      <c r="U584" s="401"/>
      <c r="V584" s="401"/>
      <c r="W584" s="401"/>
      <c r="X584" s="401"/>
      <c r="Y584" s="401"/>
      <c r="Z584" s="401"/>
    </row>
    <row r="585">
      <c r="A585" s="401"/>
      <c r="B585" s="401"/>
      <c r="C585" s="401"/>
      <c r="D585" s="401"/>
      <c r="E585" s="401"/>
      <c r="F585" s="401"/>
      <c r="G585" s="401"/>
      <c r="H585" s="401"/>
      <c r="I585" s="401"/>
      <c r="J585" s="401"/>
      <c r="K585" s="401"/>
      <c r="L585" s="401"/>
      <c r="M585" s="401"/>
      <c r="N585" s="401"/>
      <c r="O585" s="401"/>
      <c r="P585" s="401"/>
      <c r="Q585" s="401"/>
      <c r="R585" s="401"/>
      <c r="S585" s="401"/>
      <c r="T585" s="401"/>
      <c r="U585" s="401"/>
      <c r="V585" s="401"/>
      <c r="W585" s="401"/>
      <c r="X585" s="401"/>
      <c r="Y585" s="401"/>
      <c r="Z585" s="401"/>
    </row>
    <row r="586">
      <c r="A586" s="401"/>
      <c r="B586" s="401"/>
      <c r="C586" s="401"/>
      <c r="D586" s="401"/>
      <c r="E586" s="401"/>
      <c r="F586" s="401"/>
      <c r="G586" s="401"/>
      <c r="H586" s="401"/>
      <c r="I586" s="401"/>
      <c r="J586" s="401"/>
      <c r="K586" s="401"/>
      <c r="L586" s="401"/>
      <c r="M586" s="401"/>
      <c r="N586" s="401"/>
      <c r="O586" s="401"/>
      <c r="P586" s="401"/>
      <c r="Q586" s="401"/>
      <c r="R586" s="401"/>
      <c r="S586" s="401"/>
      <c r="T586" s="401"/>
      <c r="U586" s="401"/>
      <c r="V586" s="401"/>
      <c r="W586" s="401"/>
      <c r="X586" s="401"/>
      <c r="Y586" s="401"/>
      <c r="Z586" s="401"/>
    </row>
    <row r="587">
      <c r="A587" s="401"/>
      <c r="B587" s="401"/>
      <c r="C587" s="401"/>
      <c r="D587" s="401"/>
      <c r="E587" s="401"/>
      <c r="F587" s="401"/>
      <c r="G587" s="401"/>
      <c r="H587" s="401"/>
      <c r="I587" s="401"/>
      <c r="J587" s="401"/>
      <c r="K587" s="401"/>
      <c r="L587" s="401"/>
      <c r="M587" s="401"/>
      <c r="N587" s="401"/>
      <c r="O587" s="401"/>
      <c r="P587" s="401"/>
      <c r="Q587" s="401"/>
      <c r="R587" s="401"/>
      <c r="S587" s="401"/>
      <c r="T587" s="401"/>
      <c r="U587" s="401"/>
      <c r="V587" s="401"/>
      <c r="W587" s="401"/>
      <c r="X587" s="401"/>
      <c r="Y587" s="401"/>
      <c r="Z587" s="401"/>
    </row>
    <row r="588">
      <c r="A588" s="401"/>
      <c r="B588" s="401"/>
      <c r="C588" s="401"/>
      <c r="D588" s="401"/>
      <c r="E588" s="401"/>
      <c r="F588" s="401"/>
      <c r="G588" s="401"/>
      <c r="H588" s="401"/>
      <c r="I588" s="401"/>
      <c r="J588" s="401"/>
      <c r="K588" s="401"/>
      <c r="L588" s="401"/>
      <c r="M588" s="401"/>
      <c r="N588" s="401"/>
      <c r="O588" s="401"/>
      <c r="P588" s="401"/>
      <c r="Q588" s="401"/>
      <c r="R588" s="401"/>
      <c r="S588" s="401"/>
      <c r="T588" s="401"/>
      <c r="U588" s="401"/>
      <c r="V588" s="401"/>
      <c r="W588" s="401"/>
      <c r="X588" s="401"/>
      <c r="Y588" s="401"/>
      <c r="Z588" s="401"/>
    </row>
    <row r="589">
      <c r="A589" s="401"/>
      <c r="B589" s="401"/>
      <c r="C589" s="401"/>
      <c r="D589" s="401"/>
      <c r="E589" s="401"/>
      <c r="F589" s="401"/>
      <c r="G589" s="401"/>
      <c r="H589" s="401"/>
      <c r="I589" s="401"/>
      <c r="J589" s="401"/>
      <c r="K589" s="401"/>
      <c r="L589" s="401"/>
      <c r="M589" s="401"/>
      <c r="N589" s="401"/>
      <c r="O589" s="401"/>
      <c r="P589" s="401"/>
      <c r="Q589" s="401"/>
      <c r="R589" s="401"/>
      <c r="S589" s="401"/>
      <c r="T589" s="401"/>
      <c r="U589" s="401"/>
      <c r="V589" s="401"/>
      <c r="W589" s="401"/>
      <c r="X589" s="401"/>
      <c r="Y589" s="401"/>
      <c r="Z589" s="401"/>
    </row>
    <row r="590">
      <c r="A590" s="401"/>
      <c r="B590" s="401"/>
      <c r="C590" s="401"/>
      <c r="D590" s="401"/>
      <c r="E590" s="401"/>
      <c r="F590" s="401"/>
      <c r="G590" s="401"/>
      <c r="H590" s="401"/>
      <c r="I590" s="401"/>
      <c r="J590" s="401"/>
      <c r="K590" s="401"/>
      <c r="L590" s="401"/>
      <c r="M590" s="401"/>
      <c r="N590" s="401"/>
      <c r="O590" s="401"/>
      <c r="P590" s="401"/>
      <c r="Q590" s="401"/>
      <c r="R590" s="401"/>
      <c r="S590" s="401"/>
      <c r="T590" s="401"/>
      <c r="U590" s="401"/>
      <c r="V590" s="401"/>
      <c r="W590" s="401"/>
      <c r="X590" s="401"/>
      <c r="Y590" s="401"/>
      <c r="Z590" s="401"/>
    </row>
    <row r="591">
      <c r="A591" s="401"/>
      <c r="B591" s="401"/>
      <c r="C591" s="401"/>
      <c r="D591" s="401"/>
      <c r="E591" s="401"/>
      <c r="F591" s="401"/>
      <c r="G591" s="401"/>
      <c r="H591" s="401"/>
      <c r="I591" s="401"/>
      <c r="J591" s="401"/>
      <c r="K591" s="401"/>
      <c r="L591" s="401"/>
      <c r="M591" s="401"/>
      <c r="N591" s="401"/>
      <c r="O591" s="401"/>
      <c r="P591" s="401"/>
      <c r="Q591" s="401"/>
      <c r="R591" s="401"/>
      <c r="S591" s="401"/>
      <c r="T591" s="401"/>
      <c r="U591" s="401"/>
      <c r="V591" s="401"/>
      <c r="W591" s="401"/>
      <c r="X591" s="401"/>
      <c r="Y591" s="401"/>
      <c r="Z591" s="401"/>
    </row>
    <row r="592">
      <c r="A592" s="401"/>
      <c r="B592" s="401"/>
      <c r="C592" s="401"/>
      <c r="D592" s="401"/>
      <c r="E592" s="401"/>
      <c r="F592" s="401"/>
      <c r="G592" s="401"/>
      <c r="H592" s="401"/>
      <c r="I592" s="401"/>
      <c r="J592" s="401"/>
      <c r="K592" s="401"/>
      <c r="L592" s="401"/>
      <c r="M592" s="401"/>
      <c r="N592" s="401"/>
      <c r="O592" s="401"/>
      <c r="P592" s="401"/>
      <c r="Q592" s="401"/>
      <c r="R592" s="401"/>
      <c r="S592" s="401"/>
      <c r="T592" s="401"/>
      <c r="U592" s="401"/>
      <c r="V592" s="401"/>
      <c r="W592" s="401"/>
      <c r="X592" s="401"/>
      <c r="Y592" s="401"/>
      <c r="Z592" s="401"/>
    </row>
    <row r="593">
      <c r="A593" s="401"/>
      <c r="B593" s="401"/>
      <c r="C593" s="401"/>
      <c r="D593" s="401"/>
      <c r="E593" s="401"/>
      <c r="F593" s="401"/>
      <c r="G593" s="401"/>
      <c r="H593" s="401"/>
      <c r="I593" s="401"/>
      <c r="J593" s="401"/>
      <c r="K593" s="401"/>
      <c r="L593" s="401"/>
      <c r="M593" s="401"/>
      <c r="N593" s="401"/>
      <c r="O593" s="401"/>
      <c r="P593" s="401"/>
      <c r="Q593" s="401"/>
      <c r="R593" s="401"/>
      <c r="S593" s="401"/>
      <c r="T593" s="401"/>
      <c r="U593" s="401"/>
      <c r="V593" s="401"/>
      <c r="W593" s="401"/>
      <c r="X593" s="401"/>
      <c r="Y593" s="401"/>
      <c r="Z593" s="401"/>
    </row>
    <row r="594">
      <c r="A594" s="401"/>
      <c r="B594" s="401"/>
      <c r="C594" s="401"/>
      <c r="D594" s="401"/>
      <c r="E594" s="401"/>
      <c r="F594" s="401"/>
      <c r="G594" s="401"/>
      <c r="H594" s="401"/>
      <c r="I594" s="401"/>
      <c r="J594" s="401"/>
      <c r="K594" s="401"/>
      <c r="L594" s="401"/>
      <c r="M594" s="401"/>
      <c r="N594" s="401"/>
      <c r="O594" s="401"/>
      <c r="P594" s="401"/>
      <c r="Q594" s="401"/>
      <c r="R594" s="401"/>
      <c r="S594" s="401"/>
      <c r="T594" s="401"/>
      <c r="U594" s="401"/>
      <c r="V594" s="401"/>
      <c r="W594" s="401"/>
      <c r="X594" s="401"/>
      <c r="Y594" s="401"/>
      <c r="Z594" s="401"/>
    </row>
    <row r="595">
      <c r="A595" s="401"/>
      <c r="B595" s="401"/>
      <c r="C595" s="401"/>
      <c r="D595" s="401"/>
      <c r="E595" s="401"/>
      <c r="F595" s="401"/>
      <c r="G595" s="401"/>
      <c r="H595" s="401"/>
      <c r="I595" s="401"/>
      <c r="J595" s="401"/>
      <c r="K595" s="401"/>
      <c r="L595" s="401"/>
      <c r="M595" s="401"/>
      <c r="N595" s="401"/>
      <c r="O595" s="401"/>
      <c r="P595" s="401"/>
      <c r="Q595" s="401"/>
      <c r="R595" s="401"/>
      <c r="S595" s="401"/>
      <c r="T595" s="401"/>
      <c r="U595" s="401"/>
      <c r="V595" s="401"/>
      <c r="W595" s="401"/>
      <c r="X595" s="401"/>
      <c r="Y595" s="401"/>
      <c r="Z595" s="401"/>
    </row>
    <row r="596">
      <c r="A596" s="401"/>
      <c r="B596" s="401"/>
      <c r="C596" s="401"/>
      <c r="D596" s="401"/>
      <c r="E596" s="401"/>
      <c r="F596" s="401"/>
      <c r="G596" s="401"/>
      <c r="H596" s="401"/>
      <c r="I596" s="401"/>
      <c r="J596" s="401"/>
      <c r="K596" s="401"/>
      <c r="L596" s="401"/>
      <c r="M596" s="401"/>
      <c r="N596" s="401"/>
      <c r="O596" s="401"/>
      <c r="P596" s="401"/>
      <c r="Q596" s="401"/>
      <c r="R596" s="401"/>
      <c r="S596" s="401"/>
      <c r="T596" s="401"/>
      <c r="U596" s="401"/>
      <c r="V596" s="401"/>
      <c r="W596" s="401"/>
      <c r="X596" s="401"/>
      <c r="Y596" s="401"/>
      <c r="Z596" s="401"/>
    </row>
    <row r="597">
      <c r="A597" s="401"/>
      <c r="B597" s="401"/>
      <c r="C597" s="401"/>
      <c r="D597" s="401"/>
      <c r="E597" s="401"/>
      <c r="F597" s="401"/>
      <c r="G597" s="401"/>
      <c r="H597" s="401"/>
      <c r="I597" s="401"/>
      <c r="J597" s="401"/>
      <c r="K597" s="401"/>
      <c r="L597" s="401"/>
      <c r="M597" s="401"/>
      <c r="N597" s="401"/>
      <c r="O597" s="401"/>
      <c r="P597" s="401"/>
      <c r="Q597" s="401"/>
      <c r="R597" s="401"/>
      <c r="S597" s="401"/>
      <c r="T597" s="401"/>
      <c r="U597" s="401"/>
      <c r="V597" s="401"/>
      <c r="W597" s="401"/>
      <c r="X597" s="401"/>
      <c r="Y597" s="401"/>
      <c r="Z597" s="401"/>
    </row>
    <row r="598">
      <c r="A598" s="401"/>
      <c r="B598" s="401"/>
      <c r="C598" s="401"/>
      <c r="D598" s="401"/>
      <c r="E598" s="401"/>
      <c r="F598" s="401"/>
      <c r="G598" s="401"/>
      <c r="H598" s="401"/>
      <c r="I598" s="401"/>
      <c r="J598" s="401"/>
      <c r="K598" s="401"/>
      <c r="L598" s="401"/>
      <c r="M598" s="401"/>
      <c r="N598" s="401"/>
      <c r="O598" s="401"/>
      <c r="P598" s="401"/>
      <c r="Q598" s="401"/>
      <c r="R598" s="401"/>
      <c r="S598" s="401"/>
      <c r="T598" s="401"/>
      <c r="U598" s="401"/>
      <c r="V598" s="401"/>
      <c r="W598" s="401"/>
      <c r="X598" s="401"/>
      <c r="Y598" s="401"/>
      <c r="Z598" s="401"/>
    </row>
    <row r="599">
      <c r="A599" s="401"/>
      <c r="B599" s="401"/>
      <c r="C599" s="401"/>
      <c r="D599" s="401"/>
      <c r="E599" s="401"/>
      <c r="F599" s="401"/>
      <c r="G599" s="401"/>
      <c r="H599" s="401"/>
      <c r="I599" s="401"/>
      <c r="J599" s="401"/>
      <c r="K599" s="401"/>
      <c r="L599" s="401"/>
      <c r="M599" s="401"/>
      <c r="N599" s="401"/>
      <c r="O599" s="401"/>
      <c r="P599" s="401"/>
      <c r="Q599" s="401"/>
      <c r="R599" s="401"/>
      <c r="S599" s="401"/>
      <c r="T599" s="401"/>
      <c r="U599" s="401"/>
      <c r="V599" s="401"/>
      <c r="W599" s="401"/>
      <c r="X599" s="401"/>
      <c r="Y599" s="401"/>
      <c r="Z599" s="401"/>
    </row>
    <row r="600">
      <c r="A600" s="401"/>
      <c r="B600" s="401"/>
      <c r="C600" s="401"/>
      <c r="D600" s="401"/>
      <c r="E600" s="401"/>
      <c r="F600" s="401"/>
      <c r="G600" s="401"/>
      <c r="H600" s="401"/>
      <c r="I600" s="401"/>
      <c r="J600" s="401"/>
      <c r="K600" s="401"/>
      <c r="L600" s="401"/>
      <c r="M600" s="401"/>
      <c r="N600" s="401"/>
      <c r="O600" s="401"/>
      <c r="P600" s="401"/>
      <c r="Q600" s="401"/>
      <c r="R600" s="401"/>
      <c r="S600" s="401"/>
      <c r="T600" s="401"/>
      <c r="U600" s="401"/>
      <c r="V600" s="401"/>
      <c r="W600" s="401"/>
      <c r="X600" s="401"/>
      <c r="Y600" s="401"/>
      <c r="Z600" s="401"/>
    </row>
    <row r="601">
      <c r="A601" s="401"/>
      <c r="B601" s="401"/>
      <c r="C601" s="401"/>
      <c r="D601" s="401"/>
      <c r="E601" s="401"/>
      <c r="F601" s="401"/>
      <c r="G601" s="401"/>
      <c r="H601" s="401"/>
      <c r="I601" s="401"/>
      <c r="J601" s="401"/>
      <c r="K601" s="401"/>
      <c r="L601" s="401"/>
      <c r="M601" s="401"/>
      <c r="N601" s="401"/>
      <c r="O601" s="401"/>
      <c r="P601" s="401"/>
      <c r="Q601" s="401"/>
      <c r="R601" s="401"/>
      <c r="S601" s="401"/>
      <c r="T601" s="401"/>
      <c r="U601" s="401"/>
      <c r="V601" s="401"/>
      <c r="W601" s="401"/>
      <c r="X601" s="401"/>
      <c r="Y601" s="401"/>
      <c r="Z601" s="401"/>
    </row>
    <row r="602">
      <c r="A602" s="401"/>
      <c r="B602" s="401"/>
      <c r="C602" s="401"/>
      <c r="D602" s="401"/>
      <c r="E602" s="401"/>
      <c r="F602" s="401"/>
      <c r="G602" s="401"/>
      <c r="H602" s="401"/>
      <c r="I602" s="401"/>
      <c r="J602" s="401"/>
      <c r="K602" s="401"/>
      <c r="L602" s="401"/>
      <c r="M602" s="401"/>
      <c r="N602" s="401"/>
      <c r="O602" s="401"/>
      <c r="P602" s="401"/>
      <c r="Q602" s="401"/>
      <c r="R602" s="401"/>
      <c r="S602" s="401"/>
      <c r="T602" s="401"/>
      <c r="U602" s="401"/>
      <c r="V602" s="401"/>
      <c r="W602" s="401"/>
      <c r="X602" s="401"/>
      <c r="Y602" s="401"/>
      <c r="Z602" s="401"/>
    </row>
    <row r="603">
      <c r="A603" s="401"/>
      <c r="B603" s="401"/>
      <c r="C603" s="401"/>
      <c r="D603" s="401"/>
      <c r="E603" s="401"/>
      <c r="F603" s="401"/>
      <c r="G603" s="401"/>
      <c r="H603" s="401"/>
      <c r="I603" s="401"/>
      <c r="J603" s="401"/>
      <c r="K603" s="401"/>
      <c r="L603" s="401"/>
      <c r="M603" s="401"/>
      <c r="N603" s="401"/>
      <c r="O603" s="401"/>
      <c r="P603" s="401"/>
      <c r="Q603" s="401"/>
      <c r="R603" s="401"/>
      <c r="S603" s="401"/>
      <c r="T603" s="401"/>
      <c r="U603" s="401"/>
      <c r="V603" s="401"/>
      <c r="W603" s="401"/>
      <c r="X603" s="401"/>
      <c r="Y603" s="401"/>
      <c r="Z603" s="401"/>
    </row>
    <row r="604">
      <c r="A604" s="401"/>
      <c r="B604" s="401"/>
      <c r="C604" s="401"/>
      <c r="D604" s="401"/>
      <c r="E604" s="401"/>
      <c r="F604" s="401"/>
      <c r="G604" s="401"/>
      <c r="H604" s="401"/>
      <c r="I604" s="401"/>
      <c r="J604" s="401"/>
      <c r="K604" s="401"/>
      <c r="L604" s="401"/>
      <c r="M604" s="401"/>
      <c r="N604" s="401"/>
      <c r="O604" s="401"/>
      <c r="P604" s="401"/>
      <c r="Q604" s="401"/>
      <c r="R604" s="401"/>
      <c r="S604" s="401"/>
      <c r="T604" s="401"/>
      <c r="U604" s="401"/>
      <c r="V604" s="401"/>
      <c r="W604" s="401"/>
      <c r="X604" s="401"/>
      <c r="Y604" s="401"/>
      <c r="Z604" s="401"/>
    </row>
    <row r="605">
      <c r="A605" s="401"/>
      <c r="B605" s="401"/>
      <c r="C605" s="401"/>
      <c r="D605" s="401"/>
      <c r="E605" s="401"/>
      <c r="F605" s="401"/>
      <c r="G605" s="401"/>
      <c r="H605" s="401"/>
      <c r="I605" s="401"/>
      <c r="J605" s="401"/>
      <c r="K605" s="401"/>
      <c r="L605" s="401"/>
      <c r="M605" s="401"/>
      <c r="N605" s="401"/>
      <c r="O605" s="401"/>
      <c r="P605" s="401"/>
      <c r="Q605" s="401"/>
      <c r="R605" s="401"/>
      <c r="S605" s="401"/>
      <c r="T605" s="401"/>
      <c r="U605" s="401"/>
      <c r="V605" s="401"/>
      <c r="W605" s="401"/>
      <c r="X605" s="401"/>
      <c r="Y605" s="401"/>
      <c r="Z605" s="401"/>
    </row>
    <row r="606">
      <c r="A606" s="401"/>
      <c r="B606" s="401"/>
      <c r="C606" s="401"/>
      <c r="D606" s="401"/>
      <c r="E606" s="401"/>
      <c r="F606" s="401"/>
      <c r="G606" s="401"/>
      <c r="H606" s="401"/>
      <c r="I606" s="401"/>
      <c r="J606" s="401"/>
      <c r="K606" s="401"/>
      <c r="L606" s="401"/>
      <c r="M606" s="401"/>
      <c r="N606" s="401"/>
      <c r="O606" s="401"/>
      <c r="P606" s="401"/>
      <c r="Q606" s="401"/>
      <c r="R606" s="401"/>
      <c r="S606" s="401"/>
      <c r="T606" s="401"/>
      <c r="U606" s="401"/>
      <c r="V606" s="401"/>
      <c r="W606" s="401"/>
      <c r="X606" s="401"/>
      <c r="Y606" s="401"/>
      <c r="Z606" s="401"/>
    </row>
    <row r="607">
      <c r="A607" s="401"/>
      <c r="B607" s="401"/>
      <c r="C607" s="401"/>
      <c r="D607" s="401"/>
      <c r="E607" s="401"/>
      <c r="F607" s="401"/>
      <c r="G607" s="401"/>
      <c r="H607" s="401"/>
      <c r="I607" s="401"/>
      <c r="J607" s="401"/>
      <c r="K607" s="401"/>
      <c r="L607" s="401"/>
      <c r="M607" s="401"/>
      <c r="N607" s="401"/>
      <c r="O607" s="401"/>
      <c r="P607" s="401"/>
      <c r="Q607" s="401"/>
      <c r="R607" s="401"/>
      <c r="S607" s="401"/>
      <c r="T607" s="401"/>
      <c r="U607" s="401"/>
      <c r="V607" s="401"/>
      <c r="W607" s="401"/>
      <c r="X607" s="401"/>
      <c r="Y607" s="401"/>
      <c r="Z607" s="401"/>
    </row>
    <row r="608">
      <c r="A608" s="401"/>
      <c r="B608" s="401"/>
      <c r="C608" s="401"/>
      <c r="D608" s="401"/>
      <c r="E608" s="401"/>
      <c r="F608" s="401"/>
      <c r="G608" s="401"/>
      <c r="H608" s="401"/>
      <c r="I608" s="401"/>
      <c r="J608" s="401"/>
      <c r="K608" s="401"/>
      <c r="L608" s="401"/>
      <c r="M608" s="401"/>
      <c r="N608" s="401"/>
      <c r="O608" s="401"/>
      <c r="P608" s="401"/>
      <c r="Q608" s="401"/>
      <c r="R608" s="401"/>
      <c r="S608" s="401"/>
      <c r="T608" s="401"/>
      <c r="U608" s="401"/>
      <c r="V608" s="401"/>
      <c r="W608" s="401"/>
      <c r="X608" s="401"/>
      <c r="Y608" s="401"/>
      <c r="Z608" s="401"/>
    </row>
    <row r="609">
      <c r="A609" s="401"/>
      <c r="B609" s="401"/>
      <c r="C609" s="401"/>
      <c r="D609" s="401"/>
      <c r="E609" s="401"/>
      <c r="F609" s="401"/>
      <c r="G609" s="401"/>
      <c r="H609" s="401"/>
      <c r="I609" s="401"/>
      <c r="J609" s="401"/>
      <c r="K609" s="401"/>
      <c r="L609" s="401"/>
      <c r="M609" s="401"/>
      <c r="N609" s="401"/>
      <c r="O609" s="401"/>
      <c r="P609" s="401"/>
      <c r="Q609" s="401"/>
      <c r="R609" s="401"/>
      <c r="S609" s="401"/>
      <c r="T609" s="401"/>
      <c r="U609" s="401"/>
      <c r="V609" s="401"/>
      <c r="W609" s="401"/>
      <c r="X609" s="401"/>
      <c r="Y609" s="401"/>
      <c r="Z609" s="401"/>
    </row>
    <row r="610">
      <c r="A610" s="401"/>
      <c r="B610" s="401"/>
      <c r="C610" s="401"/>
      <c r="D610" s="401"/>
      <c r="E610" s="401"/>
      <c r="F610" s="401"/>
      <c r="G610" s="401"/>
      <c r="H610" s="401"/>
      <c r="I610" s="401"/>
      <c r="J610" s="401"/>
      <c r="K610" s="401"/>
      <c r="L610" s="401"/>
      <c r="M610" s="401"/>
      <c r="N610" s="401"/>
      <c r="O610" s="401"/>
      <c r="P610" s="401"/>
      <c r="Q610" s="401"/>
      <c r="R610" s="401"/>
      <c r="S610" s="401"/>
      <c r="T610" s="401"/>
      <c r="U610" s="401"/>
      <c r="V610" s="401"/>
      <c r="W610" s="401"/>
      <c r="X610" s="401"/>
      <c r="Y610" s="401"/>
      <c r="Z610" s="401"/>
    </row>
    <row r="611">
      <c r="A611" s="401"/>
      <c r="B611" s="401"/>
      <c r="C611" s="401"/>
      <c r="D611" s="401"/>
      <c r="E611" s="401"/>
      <c r="F611" s="401"/>
      <c r="G611" s="401"/>
      <c r="H611" s="401"/>
      <c r="I611" s="401"/>
      <c r="J611" s="401"/>
      <c r="K611" s="401"/>
      <c r="L611" s="401"/>
      <c r="M611" s="401"/>
      <c r="N611" s="401"/>
      <c r="O611" s="401"/>
      <c r="P611" s="401"/>
      <c r="Q611" s="401"/>
      <c r="R611" s="401"/>
      <c r="S611" s="401"/>
      <c r="T611" s="401"/>
      <c r="U611" s="401"/>
      <c r="V611" s="401"/>
      <c r="W611" s="401"/>
      <c r="X611" s="401"/>
      <c r="Y611" s="401"/>
      <c r="Z611" s="401"/>
    </row>
    <row r="612">
      <c r="A612" s="401"/>
      <c r="B612" s="401"/>
      <c r="C612" s="401"/>
      <c r="D612" s="401"/>
      <c r="E612" s="401"/>
      <c r="F612" s="401"/>
      <c r="G612" s="401"/>
      <c r="H612" s="401"/>
      <c r="I612" s="401"/>
      <c r="J612" s="401"/>
      <c r="K612" s="401"/>
      <c r="L612" s="401"/>
      <c r="M612" s="401"/>
      <c r="N612" s="401"/>
      <c r="O612" s="401"/>
      <c r="P612" s="401"/>
      <c r="Q612" s="401"/>
      <c r="R612" s="401"/>
      <c r="S612" s="401"/>
      <c r="T612" s="401"/>
      <c r="U612" s="401"/>
      <c r="V612" s="401"/>
      <c r="W612" s="401"/>
      <c r="X612" s="401"/>
      <c r="Y612" s="401"/>
      <c r="Z612" s="401"/>
    </row>
    <row r="613">
      <c r="A613" s="401"/>
      <c r="B613" s="401"/>
      <c r="C613" s="401"/>
      <c r="D613" s="401"/>
      <c r="E613" s="401"/>
      <c r="F613" s="401"/>
      <c r="G613" s="401"/>
      <c r="H613" s="401"/>
      <c r="I613" s="401"/>
      <c r="J613" s="401"/>
      <c r="K613" s="401"/>
      <c r="L613" s="401"/>
      <c r="M613" s="401"/>
      <c r="N613" s="401"/>
      <c r="O613" s="401"/>
      <c r="P613" s="401"/>
      <c r="Q613" s="401"/>
      <c r="R613" s="401"/>
      <c r="S613" s="401"/>
      <c r="T613" s="401"/>
      <c r="U613" s="401"/>
      <c r="V613" s="401"/>
      <c r="W613" s="401"/>
      <c r="X613" s="401"/>
      <c r="Y613" s="401"/>
      <c r="Z613" s="401"/>
    </row>
    <row r="614">
      <c r="A614" s="401"/>
      <c r="B614" s="401"/>
      <c r="C614" s="401"/>
      <c r="D614" s="401"/>
      <c r="E614" s="401"/>
      <c r="F614" s="401"/>
      <c r="G614" s="401"/>
      <c r="H614" s="401"/>
      <c r="I614" s="401"/>
      <c r="J614" s="401"/>
      <c r="K614" s="401"/>
      <c r="L614" s="401"/>
      <c r="M614" s="401"/>
      <c r="N614" s="401"/>
      <c r="O614" s="401"/>
      <c r="P614" s="401"/>
      <c r="Q614" s="401"/>
      <c r="R614" s="401"/>
      <c r="S614" s="401"/>
      <c r="T614" s="401"/>
      <c r="U614" s="401"/>
      <c r="V614" s="401"/>
      <c r="W614" s="401"/>
      <c r="X614" s="401"/>
      <c r="Y614" s="401"/>
      <c r="Z614" s="401"/>
    </row>
    <row r="615">
      <c r="A615" s="401"/>
      <c r="B615" s="401"/>
      <c r="C615" s="401"/>
      <c r="D615" s="401"/>
      <c r="E615" s="401"/>
      <c r="F615" s="401"/>
      <c r="G615" s="401"/>
      <c r="H615" s="401"/>
      <c r="I615" s="401"/>
      <c r="J615" s="401"/>
      <c r="K615" s="401"/>
      <c r="L615" s="401"/>
      <c r="M615" s="401"/>
      <c r="N615" s="401"/>
      <c r="O615" s="401"/>
      <c r="P615" s="401"/>
      <c r="Q615" s="401"/>
      <c r="R615" s="401"/>
      <c r="S615" s="401"/>
      <c r="T615" s="401"/>
      <c r="U615" s="401"/>
      <c r="V615" s="401"/>
      <c r="W615" s="401"/>
      <c r="X615" s="401"/>
      <c r="Y615" s="401"/>
      <c r="Z615" s="401"/>
    </row>
    <row r="616">
      <c r="A616" s="401"/>
      <c r="B616" s="401"/>
      <c r="C616" s="401"/>
      <c r="D616" s="401"/>
      <c r="E616" s="401"/>
      <c r="F616" s="401"/>
      <c r="G616" s="401"/>
      <c r="H616" s="401"/>
      <c r="I616" s="401"/>
      <c r="J616" s="401"/>
      <c r="K616" s="401"/>
      <c r="L616" s="401"/>
      <c r="M616" s="401"/>
      <c r="N616" s="401"/>
      <c r="O616" s="401"/>
      <c r="P616" s="401"/>
      <c r="Q616" s="401"/>
      <c r="R616" s="401"/>
      <c r="S616" s="401"/>
      <c r="T616" s="401"/>
      <c r="U616" s="401"/>
      <c r="V616" s="401"/>
      <c r="W616" s="401"/>
      <c r="X616" s="401"/>
      <c r="Y616" s="401"/>
      <c r="Z616" s="401"/>
    </row>
    <row r="617">
      <c r="A617" s="401"/>
      <c r="B617" s="401"/>
      <c r="C617" s="401"/>
      <c r="D617" s="401"/>
      <c r="E617" s="401"/>
      <c r="F617" s="401"/>
      <c r="G617" s="401"/>
      <c r="H617" s="401"/>
      <c r="I617" s="401"/>
      <c r="J617" s="401"/>
      <c r="K617" s="401"/>
      <c r="L617" s="401"/>
      <c r="M617" s="401"/>
      <c r="N617" s="401"/>
      <c r="O617" s="401"/>
      <c r="P617" s="401"/>
      <c r="Q617" s="401"/>
      <c r="R617" s="401"/>
      <c r="S617" s="401"/>
      <c r="T617" s="401"/>
      <c r="U617" s="401"/>
      <c r="V617" s="401"/>
      <c r="W617" s="401"/>
      <c r="X617" s="401"/>
      <c r="Y617" s="401"/>
      <c r="Z617" s="401"/>
    </row>
    <row r="618">
      <c r="A618" s="401"/>
      <c r="B618" s="401"/>
      <c r="C618" s="401"/>
      <c r="D618" s="401"/>
      <c r="E618" s="401"/>
      <c r="F618" s="401"/>
      <c r="G618" s="401"/>
      <c r="H618" s="401"/>
      <c r="I618" s="401"/>
      <c r="J618" s="401"/>
      <c r="K618" s="401"/>
      <c r="L618" s="401"/>
      <c r="M618" s="401"/>
      <c r="N618" s="401"/>
      <c r="O618" s="401"/>
      <c r="P618" s="401"/>
      <c r="Q618" s="401"/>
      <c r="R618" s="401"/>
      <c r="S618" s="401"/>
      <c r="T618" s="401"/>
      <c r="U618" s="401"/>
      <c r="V618" s="401"/>
      <c r="W618" s="401"/>
      <c r="X618" s="401"/>
      <c r="Y618" s="401"/>
      <c r="Z618" s="401"/>
    </row>
    <row r="619">
      <c r="A619" s="401"/>
      <c r="B619" s="401"/>
      <c r="C619" s="401"/>
      <c r="D619" s="401"/>
      <c r="E619" s="401"/>
      <c r="F619" s="401"/>
      <c r="G619" s="401"/>
      <c r="H619" s="401"/>
      <c r="I619" s="401"/>
      <c r="J619" s="401"/>
      <c r="K619" s="401"/>
      <c r="L619" s="401"/>
      <c r="M619" s="401"/>
      <c r="N619" s="401"/>
      <c r="O619" s="401"/>
      <c r="P619" s="401"/>
      <c r="Q619" s="401"/>
      <c r="R619" s="401"/>
      <c r="S619" s="401"/>
      <c r="T619" s="401"/>
      <c r="U619" s="401"/>
      <c r="V619" s="401"/>
      <c r="W619" s="401"/>
      <c r="X619" s="401"/>
      <c r="Y619" s="401"/>
      <c r="Z619" s="401"/>
    </row>
    <row r="620">
      <c r="A620" s="401"/>
      <c r="B620" s="401"/>
      <c r="C620" s="401"/>
      <c r="D620" s="401"/>
      <c r="E620" s="401"/>
      <c r="F620" s="401"/>
      <c r="G620" s="401"/>
      <c r="H620" s="401"/>
      <c r="I620" s="401"/>
      <c r="J620" s="401"/>
      <c r="K620" s="401"/>
      <c r="L620" s="401"/>
      <c r="M620" s="401"/>
      <c r="N620" s="401"/>
      <c r="O620" s="401"/>
      <c r="P620" s="401"/>
      <c r="Q620" s="401"/>
      <c r="R620" s="401"/>
      <c r="S620" s="401"/>
      <c r="T620" s="401"/>
      <c r="U620" s="401"/>
      <c r="V620" s="401"/>
      <c r="W620" s="401"/>
      <c r="X620" s="401"/>
      <c r="Y620" s="401"/>
      <c r="Z620" s="401"/>
    </row>
    <row r="621">
      <c r="A621" s="401"/>
      <c r="B621" s="401"/>
      <c r="C621" s="401"/>
      <c r="D621" s="401"/>
      <c r="E621" s="401"/>
      <c r="F621" s="401"/>
      <c r="G621" s="401"/>
      <c r="H621" s="401"/>
      <c r="I621" s="401"/>
      <c r="J621" s="401"/>
      <c r="K621" s="401"/>
      <c r="L621" s="401"/>
      <c r="M621" s="401"/>
      <c r="N621" s="401"/>
      <c r="O621" s="401"/>
      <c r="P621" s="401"/>
      <c r="Q621" s="401"/>
      <c r="R621" s="401"/>
      <c r="S621" s="401"/>
      <c r="T621" s="401"/>
      <c r="U621" s="401"/>
      <c r="V621" s="401"/>
      <c r="W621" s="401"/>
      <c r="X621" s="401"/>
      <c r="Y621" s="401"/>
      <c r="Z621" s="401"/>
    </row>
    <row r="622">
      <c r="A622" s="401"/>
      <c r="B622" s="401"/>
      <c r="C622" s="401"/>
      <c r="D622" s="401"/>
      <c r="E622" s="401"/>
      <c r="F622" s="401"/>
      <c r="G622" s="401"/>
      <c r="H622" s="401"/>
      <c r="I622" s="401"/>
      <c r="J622" s="401"/>
      <c r="K622" s="401"/>
      <c r="L622" s="401"/>
      <c r="M622" s="401"/>
      <c r="N622" s="401"/>
      <c r="O622" s="401"/>
      <c r="P622" s="401"/>
      <c r="Q622" s="401"/>
      <c r="R622" s="401"/>
      <c r="S622" s="401"/>
      <c r="T622" s="401"/>
      <c r="U622" s="401"/>
      <c r="V622" s="401"/>
      <c r="W622" s="401"/>
      <c r="X622" s="401"/>
      <c r="Y622" s="401"/>
      <c r="Z622" s="401"/>
    </row>
    <row r="623">
      <c r="A623" s="401"/>
      <c r="B623" s="401"/>
      <c r="C623" s="401"/>
      <c r="D623" s="401"/>
      <c r="E623" s="401"/>
      <c r="F623" s="401"/>
      <c r="G623" s="401"/>
      <c r="H623" s="401"/>
      <c r="I623" s="401"/>
      <c r="J623" s="401"/>
      <c r="K623" s="401"/>
      <c r="L623" s="401"/>
      <c r="M623" s="401"/>
      <c r="N623" s="401"/>
      <c r="O623" s="401"/>
      <c r="P623" s="401"/>
      <c r="Q623" s="401"/>
      <c r="R623" s="401"/>
      <c r="S623" s="401"/>
      <c r="T623" s="401"/>
      <c r="U623" s="401"/>
      <c r="V623" s="401"/>
      <c r="W623" s="401"/>
      <c r="X623" s="401"/>
      <c r="Y623" s="401"/>
      <c r="Z623" s="401"/>
    </row>
    <row r="624">
      <c r="A624" s="401"/>
      <c r="B624" s="401"/>
      <c r="C624" s="401"/>
      <c r="D624" s="401"/>
      <c r="E624" s="401"/>
      <c r="F624" s="401"/>
      <c r="G624" s="401"/>
      <c r="H624" s="401"/>
      <c r="I624" s="401"/>
      <c r="J624" s="401"/>
      <c r="K624" s="401"/>
      <c r="L624" s="401"/>
      <c r="M624" s="401"/>
      <c r="N624" s="401"/>
      <c r="O624" s="401"/>
      <c r="P624" s="401"/>
      <c r="Q624" s="401"/>
      <c r="R624" s="401"/>
      <c r="S624" s="401"/>
      <c r="T624" s="401"/>
      <c r="U624" s="401"/>
      <c r="V624" s="401"/>
      <c r="W624" s="401"/>
      <c r="X624" s="401"/>
      <c r="Y624" s="401"/>
      <c r="Z624" s="401"/>
    </row>
    <row r="625">
      <c r="A625" s="401"/>
      <c r="B625" s="401"/>
      <c r="C625" s="401"/>
      <c r="D625" s="401"/>
      <c r="E625" s="401"/>
      <c r="F625" s="401"/>
      <c r="G625" s="401"/>
      <c r="H625" s="401"/>
      <c r="I625" s="401"/>
      <c r="J625" s="401"/>
      <c r="K625" s="401"/>
      <c r="L625" s="401"/>
      <c r="M625" s="401"/>
      <c r="N625" s="401"/>
      <c r="O625" s="401"/>
      <c r="P625" s="401"/>
      <c r="Q625" s="401"/>
      <c r="R625" s="401"/>
      <c r="S625" s="401"/>
      <c r="T625" s="401"/>
      <c r="U625" s="401"/>
      <c r="V625" s="401"/>
      <c r="W625" s="401"/>
      <c r="X625" s="401"/>
      <c r="Y625" s="401"/>
      <c r="Z625" s="401"/>
    </row>
    <row r="626">
      <c r="A626" s="401"/>
      <c r="B626" s="401"/>
      <c r="C626" s="401"/>
      <c r="D626" s="401"/>
      <c r="E626" s="401"/>
      <c r="F626" s="401"/>
      <c r="G626" s="401"/>
      <c r="H626" s="401"/>
      <c r="I626" s="401"/>
      <c r="J626" s="401"/>
      <c r="K626" s="401"/>
      <c r="L626" s="401"/>
      <c r="M626" s="401"/>
      <c r="N626" s="401"/>
      <c r="O626" s="401"/>
      <c r="P626" s="401"/>
      <c r="Q626" s="401"/>
      <c r="R626" s="401"/>
      <c r="S626" s="401"/>
      <c r="T626" s="401"/>
      <c r="U626" s="401"/>
      <c r="V626" s="401"/>
      <c r="W626" s="401"/>
      <c r="X626" s="401"/>
      <c r="Y626" s="401"/>
      <c r="Z626" s="401"/>
    </row>
    <row r="627">
      <c r="A627" s="401"/>
      <c r="B627" s="401"/>
      <c r="C627" s="401"/>
      <c r="D627" s="401"/>
      <c r="E627" s="401"/>
      <c r="F627" s="401"/>
      <c r="G627" s="401"/>
      <c r="H627" s="401"/>
      <c r="I627" s="401"/>
      <c r="J627" s="401"/>
      <c r="K627" s="401"/>
      <c r="L627" s="401"/>
      <c r="M627" s="401"/>
      <c r="N627" s="401"/>
      <c r="O627" s="401"/>
      <c r="P627" s="401"/>
      <c r="Q627" s="401"/>
      <c r="R627" s="401"/>
      <c r="S627" s="401"/>
      <c r="T627" s="401"/>
      <c r="U627" s="401"/>
      <c r="V627" s="401"/>
      <c r="W627" s="401"/>
      <c r="X627" s="401"/>
      <c r="Y627" s="401"/>
      <c r="Z627" s="401"/>
    </row>
    <row r="628">
      <c r="A628" s="401"/>
      <c r="B628" s="401"/>
      <c r="C628" s="401"/>
      <c r="D628" s="401"/>
      <c r="E628" s="401"/>
      <c r="F628" s="401"/>
      <c r="G628" s="401"/>
      <c r="H628" s="401"/>
      <c r="I628" s="401"/>
      <c r="J628" s="401"/>
      <c r="K628" s="401"/>
      <c r="L628" s="401"/>
      <c r="M628" s="401"/>
      <c r="N628" s="401"/>
      <c r="O628" s="401"/>
      <c r="P628" s="401"/>
      <c r="Q628" s="401"/>
      <c r="R628" s="401"/>
      <c r="S628" s="401"/>
      <c r="T628" s="401"/>
      <c r="U628" s="401"/>
      <c r="V628" s="401"/>
      <c r="W628" s="401"/>
      <c r="X628" s="401"/>
      <c r="Y628" s="401"/>
      <c r="Z628" s="401"/>
    </row>
    <row r="629">
      <c r="A629" s="401"/>
      <c r="B629" s="401"/>
      <c r="C629" s="401"/>
      <c r="D629" s="401"/>
      <c r="E629" s="401"/>
      <c r="F629" s="401"/>
      <c r="G629" s="401"/>
      <c r="H629" s="401"/>
      <c r="I629" s="401"/>
      <c r="J629" s="401"/>
      <c r="K629" s="401"/>
      <c r="L629" s="401"/>
      <c r="M629" s="401"/>
      <c r="N629" s="401"/>
      <c r="O629" s="401"/>
      <c r="P629" s="401"/>
      <c r="Q629" s="401"/>
      <c r="R629" s="401"/>
      <c r="S629" s="401"/>
      <c r="T629" s="401"/>
      <c r="U629" s="401"/>
      <c r="V629" s="401"/>
      <c r="W629" s="401"/>
      <c r="X629" s="401"/>
      <c r="Y629" s="401"/>
      <c r="Z629" s="401"/>
    </row>
    <row r="630">
      <c r="A630" s="401"/>
      <c r="B630" s="401"/>
      <c r="C630" s="401"/>
      <c r="D630" s="401"/>
      <c r="E630" s="401"/>
      <c r="F630" s="401"/>
      <c r="G630" s="401"/>
      <c r="H630" s="401"/>
      <c r="I630" s="401"/>
      <c r="J630" s="401"/>
      <c r="K630" s="401"/>
      <c r="L630" s="401"/>
      <c r="M630" s="401"/>
      <c r="N630" s="401"/>
      <c r="O630" s="401"/>
      <c r="P630" s="401"/>
      <c r="Q630" s="401"/>
      <c r="R630" s="401"/>
      <c r="S630" s="401"/>
      <c r="T630" s="401"/>
      <c r="U630" s="401"/>
      <c r="V630" s="401"/>
      <c r="W630" s="401"/>
      <c r="X630" s="401"/>
      <c r="Y630" s="401"/>
      <c r="Z630" s="401"/>
    </row>
    <row r="631">
      <c r="A631" s="401"/>
      <c r="B631" s="401"/>
      <c r="C631" s="401"/>
      <c r="D631" s="401"/>
      <c r="E631" s="401"/>
      <c r="F631" s="401"/>
      <c r="G631" s="401"/>
      <c r="H631" s="401"/>
      <c r="I631" s="401"/>
      <c r="J631" s="401"/>
      <c r="K631" s="401"/>
      <c r="L631" s="401"/>
      <c r="M631" s="401"/>
      <c r="N631" s="401"/>
      <c r="O631" s="401"/>
      <c r="P631" s="401"/>
      <c r="Q631" s="401"/>
      <c r="R631" s="401"/>
      <c r="S631" s="401"/>
      <c r="T631" s="401"/>
      <c r="U631" s="401"/>
      <c r="V631" s="401"/>
      <c r="W631" s="401"/>
      <c r="X631" s="401"/>
      <c r="Y631" s="401"/>
      <c r="Z631" s="401"/>
    </row>
    <row r="632">
      <c r="A632" s="401"/>
      <c r="B632" s="401"/>
      <c r="C632" s="401"/>
      <c r="D632" s="401"/>
      <c r="E632" s="401"/>
      <c r="F632" s="401"/>
      <c r="G632" s="401"/>
      <c r="H632" s="401"/>
      <c r="I632" s="401"/>
      <c r="J632" s="401"/>
      <c r="K632" s="401"/>
      <c r="L632" s="401"/>
      <c r="M632" s="401"/>
      <c r="N632" s="401"/>
      <c r="O632" s="401"/>
      <c r="P632" s="401"/>
      <c r="Q632" s="401"/>
      <c r="R632" s="401"/>
      <c r="S632" s="401"/>
      <c r="T632" s="401"/>
      <c r="U632" s="401"/>
      <c r="V632" s="401"/>
      <c r="W632" s="401"/>
      <c r="X632" s="401"/>
      <c r="Y632" s="401"/>
      <c r="Z632" s="401"/>
    </row>
    <row r="633">
      <c r="A633" s="401"/>
      <c r="B633" s="401"/>
      <c r="C633" s="401"/>
      <c r="D633" s="401"/>
      <c r="E633" s="401"/>
      <c r="F633" s="401"/>
      <c r="G633" s="401"/>
      <c r="H633" s="401"/>
      <c r="I633" s="401"/>
      <c r="J633" s="401"/>
      <c r="K633" s="401"/>
      <c r="L633" s="401"/>
      <c r="M633" s="401"/>
      <c r="N633" s="401"/>
      <c r="O633" s="401"/>
      <c r="P633" s="401"/>
      <c r="Q633" s="401"/>
      <c r="R633" s="401"/>
      <c r="S633" s="401"/>
      <c r="T633" s="401"/>
      <c r="U633" s="401"/>
      <c r="V633" s="401"/>
      <c r="W633" s="401"/>
      <c r="X633" s="401"/>
      <c r="Y633" s="401"/>
      <c r="Z633" s="401"/>
    </row>
    <row r="634">
      <c r="A634" s="401"/>
      <c r="B634" s="401"/>
      <c r="C634" s="401"/>
      <c r="D634" s="401"/>
      <c r="E634" s="401"/>
      <c r="F634" s="401"/>
      <c r="G634" s="401"/>
      <c r="H634" s="401"/>
      <c r="I634" s="401"/>
      <c r="J634" s="401"/>
      <c r="K634" s="401"/>
      <c r="L634" s="401"/>
      <c r="M634" s="401"/>
      <c r="N634" s="401"/>
      <c r="O634" s="401"/>
      <c r="P634" s="401"/>
      <c r="Q634" s="401"/>
      <c r="R634" s="401"/>
      <c r="S634" s="401"/>
      <c r="T634" s="401"/>
      <c r="U634" s="401"/>
      <c r="V634" s="401"/>
      <c r="W634" s="401"/>
      <c r="X634" s="401"/>
      <c r="Y634" s="401"/>
      <c r="Z634" s="401"/>
    </row>
    <row r="635">
      <c r="A635" s="401"/>
      <c r="B635" s="401"/>
      <c r="C635" s="401"/>
      <c r="D635" s="401"/>
      <c r="E635" s="401"/>
      <c r="F635" s="401"/>
      <c r="G635" s="401"/>
      <c r="H635" s="401"/>
      <c r="I635" s="401"/>
      <c r="J635" s="401"/>
      <c r="K635" s="401"/>
      <c r="L635" s="401"/>
      <c r="M635" s="401"/>
      <c r="N635" s="401"/>
      <c r="O635" s="401"/>
      <c r="P635" s="401"/>
      <c r="Q635" s="401"/>
      <c r="R635" s="401"/>
      <c r="S635" s="401"/>
      <c r="T635" s="401"/>
      <c r="U635" s="401"/>
      <c r="V635" s="401"/>
      <c r="W635" s="401"/>
      <c r="X635" s="401"/>
      <c r="Y635" s="401"/>
      <c r="Z635" s="401"/>
    </row>
    <row r="636">
      <c r="A636" s="401"/>
      <c r="B636" s="401"/>
      <c r="C636" s="401"/>
      <c r="D636" s="401"/>
      <c r="E636" s="401"/>
      <c r="F636" s="401"/>
      <c r="G636" s="401"/>
      <c r="H636" s="401"/>
      <c r="I636" s="401"/>
      <c r="J636" s="401"/>
      <c r="K636" s="401"/>
      <c r="L636" s="401"/>
      <c r="M636" s="401"/>
      <c r="N636" s="401"/>
      <c r="O636" s="401"/>
      <c r="P636" s="401"/>
      <c r="Q636" s="401"/>
      <c r="R636" s="401"/>
      <c r="S636" s="401"/>
      <c r="T636" s="401"/>
      <c r="U636" s="401"/>
      <c r="V636" s="401"/>
      <c r="W636" s="401"/>
      <c r="X636" s="401"/>
      <c r="Y636" s="401"/>
      <c r="Z636" s="401"/>
    </row>
    <row r="637">
      <c r="A637" s="401"/>
      <c r="B637" s="401"/>
      <c r="C637" s="401"/>
      <c r="D637" s="401"/>
      <c r="E637" s="401"/>
      <c r="F637" s="401"/>
      <c r="G637" s="401"/>
      <c r="H637" s="401"/>
      <c r="I637" s="401"/>
      <c r="J637" s="401"/>
      <c r="K637" s="401"/>
      <c r="L637" s="401"/>
      <c r="M637" s="401"/>
      <c r="N637" s="401"/>
      <c r="O637" s="401"/>
      <c r="P637" s="401"/>
      <c r="Q637" s="401"/>
      <c r="R637" s="401"/>
      <c r="S637" s="401"/>
      <c r="T637" s="401"/>
      <c r="U637" s="401"/>
      <c r="V637" s="401"/>
      <c r="W637" s="401"/>
      <c r="X637" s="401"/>
      <c r="Y637" s="401"/>
      <c r="Z637" s="401"/>
    </row>
    <row r="638">
      <c r="A638" s="401"/>
      <c r="B638" s="401"/>
      <c r="C638" s="401"/>
      <c r="D638" s="401"/>
      <c r="E638" s="401"/>
      <c r="F638" s="401"/>
      <c r="G638" s="401"/>
      <c r="H638" s="401"/>
      <c r="I638" s="401"/>
      <c r="J638" s="401"/>
      <c r="K638" s="401"/>
      <c r="L638" s="401"/>
      <c r="M638" s="401"/>
      <c r="N638" s="401"/>
      <c r="O638" s="401"/>
      <c r="P638" s="401"/>
      <c r="Q638" s="401"/>
      <c r="R638" s="401"/>
      <c r="S638" s="401"/>
      <c r="T638" s="401"/>
      <c r="U638" s="401"/>
      <c r="V638" s="401"/>
      <c r="W638" s="401"/>
      <c r="X638" s="401"/>
      <c r="Y638" s="401"/>
      <c r="Z638" s="401"/>
    </row>
    <row r="639">
      <c r="A639" s="401"/>
      <c r="B639" s="401"/>
      <c r="C639" s="401"/>
      <c r="D639" s="401"/>
      <c r="E639" s="401"/>
      <c r="F639" s="401"/>
      <c r="G639" s="401"/>
      <c r="H639" s="401"/>
      <c r="I639" s="401"/>
      <c r="J639" s="401"/>
      <c r="K639" s="401"/>
      <c r="L639" s="401"/>
      <c r="M639" s="401"/>
      <c r="N639" s="401"/>
      <c r="O639" s="401"/>
      <c r="P639" s="401"/>
      <c r="Q639" s="401"/>
      <c r="R639" s="401"/>
      <c r="S639" s="401"/>
      <c r="T639" s="401"/>
      <c r="U639" s="401"/>
      <c r="V639" s="401"/>
      <c r="W639" s="401"/>
      <c r="X639" s="401"/>
      <c r="Y639" s="401"/>
      <c r="Z639" s="401"/>
    </row>
    <row r="640">
      <c r="A640" s="401"/>
      <c r="B640" s="401"/>
      <c r="C640" s="401"/>
      <c r="D640" s="401"/>
      <c r="E640" s="401"/>
      <c r="F640" s="401"/>
      <c r="G640" s="401"/>
      <c r="H640" s="401"/>
      <c r="I640" s="401"/>
      <c r="J640" s="401"/>
      <c r="K640" s="401"/>
      <c r="L640" s="401"/>
      <c r="M640" s="401"/>
      <c r="N640" s="401"/>
      <c r="O640" s="401"/>
      <c r="P640" s="401"/>
      <c r="Q640" s="401"/>
      <c r="R640" s="401"/>
      <c r="S640" s="401"/>
      <c r="T640" s="401"/>
      <c r="U640" s="401"/>
      <c r="V640" s="401"/>
      <c r="W640" s="401"/>
      <c r="X640" s="401"/>
      <c r="Y640" s="401"/>
      <c r="Z640" s="401"/>
    </row>
    <row r="641">
      <c r="A641" s="401"/>
      <c r="B641" s="401"/>
      <c r="C641" s="401"/>
      <c r="D641" s="401"/>
      <c r="E641" s="401"/>
      <c r="F641" s="401"/>
      <c r="G641" s="401"/>
      <c r="H641" s="401"/>
      <c r="I641" s="401"/>
      <c r="J641" s="401"/>
      <c r="K641" s="401"/>
      <c r="L641" s="401"/>
      <c r="M641" s="401"/>
      <c r="N641" s="401"/>
      <c r="O641" s="401"/>
      <c r="P641" s="401"/>
      <c r="Q641" s="401"/>
      <c r="R641" s="401"/>
      <c r="S641" s="401"/>
      <c r="T641" s="401"/>
      <c r="U641" s="401"/>
      <c r="V641" s="401"/>
      <c r="W641" s="401"/>
      <c r="X641" s="401"/>
      <c r="Y641" s="401"/>
      <c r="Z641" s="401"/>
    </row>
    <row r="642">
      <c r="A642" s="401"/>
      <c r="B642" s="401"/>
      <c r="C642" s="401"/>
      <c r="D642" s="401"/>
      <c r="E642" s="401"/>
      <c r="F642" s="401"/>
      <c r="G642" s="401"/>
      <c r="H642" s="401"/>
      <c r="I642" s="401"/>
      <c r="J642" s="401"/>
      <c r="K642" s="401"/>
      <c r="L642" s="401"/>
      <c r="M642" s="401"/>
      <c r="N642" s="401"/>
      <c r="O642" s="401"/>
      <c r="P642" s="401"/>
      <c r="Q642" s="401"/>
      <c r="R642" s="401"/>
      <c r="S642" s="401"/>
      <c r="T642" s="401"/>
      <c r="U642" s="401"/>
      <c r="V642" s="401"/>
      <c r="W642" s="401"/>
      <c r="X642" s="401"/>
      <c r="Y642" s="401"/>
      <c r="Z642" s="401"/>
    </row>
    <row r="643">
      <c r="A643" s="401"/>
      <c r="B643" s="401"/>
      <c r="C643" s="401"/>
      <c r="D643" s="401"/>
      <c r="E643" s="401"/>
      <c r="F643" s="401"/>
      <c r="G643" s="401"/>
      <c r="H643" s="401"/>
      <c r="I643" s="401"/>
      <c r="J643" s="401"/>
      <c r="K643" s="401"/>
      <c r="L643" s="401"/>
      <c r="M643" s="401"/>
      <c r="N643" s="401"/>
      <c r="O643" s="401"/>
      <c r="P643" s="401"/>
      <c r="Q643" s="401"/>
      <c r="R643" s="401"/>
      <c r="S643" s="401"/>
      <c r="T643" s="401"/>
      <c r="U643" s="401"/>
      <c r="V643" s="401"/>
      <c r="W643" s="401"/>
      <c r="X643" s="401"/>
      <c r="Y643" s="401"/>
      <c r="Z643" s="401"/>
    </row>
    <row r="644">
      <c r="A644" s="401"/>
      <c r="B644" s="401"/>
      <c r="C644" s="401"/>
      <c r="D644" s="401"/>
      <c r="E644" s="401"/>
      <c r="F644" s="401"/>
      <c r="G644" s="401"/>
      <c r="H644" s="401"/>
      <c r="I644" s="401"/>
      <c r="J644" s="401"/>
      <c r="K644" s="401"/>
      <c r="L644" s="401"/>
      <c r="M644" s="401"/>
      <c r="N644" s="401"/>
      <c r="O644" s="401"/>
      <c r="P644" s="401"/>
      <c r="Q644" s="401"/>
      <c r="R644" s="401"/>
      <c r="S644" s="401"/>
      <c r="T644" s="401"/>
      <c r="U644" s="401"/>
      <c r="V644" s="401"/>
      <c r="W644" s="401"/>
      <c r="X644" s="401"/>
      <c r="Y644" s="401"/>
      <c r="Z644" s="401"/>
    </row>
    <row r="645">
      <c r="A645" s="401"/>
      <c r="B645" s="401"/>
      <c r="C645" s="401"/>
      <c r="D645" s="401"/>
      <c r="E645" s="401"/>
      <c r="F645" s="401"/>
      <c r="G645" s="401"/>
      <c r="H645" s="401"/>
      <c r="I645" s="401"/>
      <c r="J645" s="401"/>
      <c r="K645" s="401"/>
      <c r="L645" s="401"/>
      <c r="M645" s="401"/>
      <c r="N645" s="401"/>
      <c r="O645" s="401"/>
      <c r="P645" s="401"/>
      <c r="Q645" s="401"/>
      <c r="R645" s="401"/>
      <c r="S645" s="401"/>
      <c r="T645" s="401"/>
      <c r="U645" s="401"/>
      <c r="V645" s="401"/>
      <c r="W645" s="401"/>
      <c r="X645" s="401"/>
      <c r="Y645" s="401"/>
      <c r="Z645" s="401"/>
    </row>
    <row r="646">
      <c r="A646" s="401"/>
      <c r="B646" s="401"/>
      <c r="C646" s="401"/>
      <c r="D646" s="401"/>
      <c r="E646" s="401"/>
      <c r="F646" s="401"/>
      <c r="G646" s="401"/>
      <c r="H646" s="401"/>
      <c r="I646" s="401"/>
      <c r="J646" s="401"/>
      <c r="K646" s="401"/>
      <c r="L646" s="401"/>
      <c r="M646" s="401"/>
      <c r="N646" s="401"/>
      <c r="O646" s="401"/>
      <c r="P646" s="401"/>
      <c r="Q646" s="401"/>
      <c r="R646" s="401"/>
      <c r="S646" s="401"/>
      <c r="T646" s="401"/>
      <c r="U646" s="401"/>
      <c r="V646" s="401"/>
      <c r="W646" s="401"/>
      <c r="X646" s="401"/>
      <c r="Y646" s="401"/>
      <c r="Z646" s="401"/>
    </row>
    <row r="647">
      <c r="A647" s="401"/>
      <c r="B647" s="401"/>
      <c r="C647" s="401"/>
      <c r="D647" s="401"/>
      <c r="E647" s="401"/>
      <c r="F647" s="401"/>
      <c r="G647" s="401"/>
      <c r="H647" s="401"/>
      <c r="I647" s="401"/>
      <c r="J647" s="401"/>
      <c r="K647" s="401"/>
      <c r="L647" s="401"/>
      <c r="M647" s="401"/>
      <c r="N647" s="401"/>
      <c r="O647" s="401"/>
      <c r="P647" s="401"/>
      <c r="Q647" s="401"/>
      <c r="R647" s="401"/>
      <c r="S647" s="401"/>
      <c r="T647" s="401"/>
      <c r="U647" s="401"/>
      <c r="V647" s="401"/>
      <c r="W647" s="401"/>
      <c r="X647" s="401"/>
      <c r="Y647" s="401"/>
      <c r="Z647" s="401"/>
    </row>
    <row r="648">
      <c r="A648" s="401"/>
      <c r="B648" s="401"/>
      <c r="C648" s="401"/>
      <c r="D648" s="401"/>
      <c r="E648" s="401"/>
      <c r="F648" s="401"/>
      <c r="G648" s="401"/>
      <c r="H648" s="401"/>
      <c r="I648" s="401"/>
      <c r="J648" s="401"/>
      <c r="K648" s="401"/>
      <c r="L648" s="401"/>
      <c r="M648" s="401"/>
      <c r="N648" s="401"/>
      <c r="O648" s="401"/>
      <c r="P648" s="401"/>
      <c r="Q648" s="401"/>
      <c r="R648" s="401"/>
      <c r="S648" s="401"/>
      <c r="T648" s="401"/>
      <c r="U648" s="401"/>
      <c r="V648" s="401"/>
      <c r="W648" s="401"/>
      <c r="X648" s="401"/>
      <c r="Y648" s="401"/>
      <c r="Z648" s="401"/>
    </row>
    <row r="649">
      <c r="A649" s="401"/>
      <c r="B649" s="401"/>
      <c r="C649" s="401"/>
      <c r="D649" s="401"/>
      <c r="E649" s="401"/>
      <c r="F649" s="401"/>
      <c r="G649" s="401"/>
      <c r="H649" s="401"/>
      <c r="I649" s="401"/>
      <c r="J649" s="401"/>
      <c r="K649" s="401"/>
      <c r="L649" s="401"/>
      <c r="M649" s="401"/>
      <c r="N649" s="401"/>
      <c r="O649" s="401"/>
      <c r="P649" s="401"/>
      <c r="Q649" s="401"/>
      <c r="R649" s="401"/>
      <c r="S649" s="401"/>
      <c r="T649" s="401"/>
      <c r="U649" s="401"/>
      <c r="V649" s="401"/>
      <c r="W649" s="401"/>
      <c r="X649" s="401"/>
      <c r="Y649" s="401"/>
      <c r="Z649" s="401"/>
    </row>
    <row r="650">
      <c r="A650" s="401"/>
      <c r="B650" s="401"/>
      <c r="C650" s="401"/>
      <c r="D650" s="401"/>
      <c r="E650" s="401"/>
      <c r="F650" s="401"/>
      <c r="G650" s="401"/>
      <c r="H650" s="401"/>
      <c r="I650" s="401"/>
      <c r="J650" s="401"/>
      <c r="K650" s="401"/>
      <c r="L650" s="401"/>
      <c r="M650" s="401"/>
      <c r="N650" s="401"/>
      <c r="O650" s="401"/>
      <c r="P650" s="401"/>
      <c r="Q650" s="401"/>
      <c r="R650" s="401"/>
      <c r="S650" s="401"/>
      <c r="T650" s="401"/>
      <c r="U650" s="401"/>
      <c r="V650" s="401"/>
      <c r="W650" s="401"/>
      <c r="X650" s="401"/>
      <c r="Y650" s="401"/>
      <c r="Z650" s="401"/>
    </row>
    <row r="651">
      <c r="A651" s="401"/>
      <c r="B651" s="401"/>
      <c r="C651" s="401"/>
      <c r="D651" s="401"/>
      <c r="E651" s="401"/>
      <c r="F651" s="401"/>
      <c r="G651" s="401"/>
      <c r="H651" s="401"/>
      <c r="I651" s="401"/>
      <c r="J651" s="401"/>
      <c r="K651" s="401"/>
      <c r="L651" s="401"/>
      <c r="M651" s="401"/>
      <c r="N651" s="401"/>
      <c r="O651" s="401"/>
      <c r="P651" s="401"/>
      <c r="Q651" s="401"/>
      <c r="R651" s="401"/>
      <c r="S651" s="401"/>
      <c r="T651" s="401"/>
      <c r="U651" s="401"/>
      <c r="V651" s="401"/>
      <c r="W651" s="401"/>
      <c r="X651" s="401"/>
      <c r="Y651" s="401"/>
      <c r="Z651" s="401"/>
    </row>
    <row r="652">
      <c r="A652" s="401"/>
      <c r="B652" s="401"/>
      <c r="C652" s="401"/>
      <c r="D652" s="401"/>
      <c r="E652" s="401"/>
      <c r="F652" s="401"/>
      <c r="G652" s="401"/>
      <c r="H652" s="401"/>
      <c r="I652" s="401"/>
      <c r="J652" s="401"/>
      <c r="K652" s="401"/>
      <c r="L652" s="401"/>
      <c r="M652" s="401"/>
      <c r="N652" s="401"/>
      <c r="O652" s="401"/>
      <c r="P652" s="401"/>
      <c r="Q652" s="401"/>
      <c r="R652" s="401"/>
      <c r="S652" s="401"/>
      <c r="T652" s="401"/>
      <c r="U652" s="401"/>
      <c r="V652" s="401"/>
      <c r="W652" s="401"/>
      <c r="X652" s="401"/>
      <c r="Y652" s="401"/>
      <c r="Z652" s="401"/>
    </row>
    <row r="653">
      <c r="A653" s="401"/>
      <c r="B653" s="401"/>
      <c r="C653" s="401"/>
      <c r="D653" s="401"/>
      <c r="E653" s="401"/>
      <c r="F653" s="401"/>
      <c r="G653" s="401"/>
      <c r="H653" s="401"/>
      <c r="I653" s="401"/>
      <c r="J653" s="401"/>
      <c r="K653" s="401"/>
      <c r="L653" s="401"/>
      <c r="M653" s="401"/>
      <c r="N653" s="401"/>
      <c r="O653" s="401"/>
      <c r="P653" s="401"/>
      <c r="Q653" s="401"/>
      <c r="R653" s="401"/>
      <c r="S653" s="401"/>
      <c r="T653" s="401"/>
      <c r="U653" s="401"/>
      <c r="V653" s="401"/>
      <c r="W653" s="401"/>
      <c r="X653" s="401"/>
      <c r="Y653" s="401"/>
      <c r="Z653" s="401"/>
    </row>
    <row r="654">
      <c r="A654" s="401"/>
      <c r="B654" s="401"/>
      <c r="C654" s="401"/>
      <c r="D654" s="401"/>
      <c r="E654" s="401"/>
      <c r="F654" s="401"/>
      <c r="G654" s="401"/>
      <c r="H654" s="401"/>
      <c r="I654" s="401"/>
      <c r="J654" s="401"/>
      <c r="K654" s="401"/>
      <c r="L654" s="401"/>
      <c r="M654" s="401"/>
      <c r="N654" s="401"/>
      <c r="O654" s="401"/>
      <c r="P654" s="401"/>
      <c r="Q654" s="401"/>
      <c r="R654" s="401"/>
      <c r="S654" s="401"/>
      <c r="T654" s="401"/>
      <c r="U654" s="401"/>
      <c r="V654" s="401"/>
      <c r="W654" s="401"/>
      <c r="X654" s="401"/>
      <c r="Y654" s="401"/>
      <c r="Z654" s="401"/>
    </row>
    <row r="655">
      <c r="A655" s="401"/>
      <c r="B655" s="401"/>
      <c r="C655" s="401"/>
      <c r="D655" s="401"/>
      <c r="E655" s="401"/>
      <c r="F655" s="401"/>
      <c r="G655" s="401"/>
      <c r="H655" s="401"/>
      <c r="I655" s="401"/>
      <c r="J655" s="401"/>
      <c r="K655" s="401"/>
      <c r="L655" s="401"/>
      <c r="M655" s="401"/>
      <c r="N655" s="401"/>
      <c r="O655" s="401"/>
      <c r="P655" s="401"/>
      <c r="Q655" s="401"/>
      <c r="R655" s="401"/>
      <c r="S655" s="401"/>
      <c r="T655" s="401"/>
      <c r="U655" s="401"/>
      <c r="V655" s="401"/>
      <c r="W655" s="401"/>
      <c r="X655" s="401"/>
      <c r="Y655" s="401"/>
      <c r="Z655" s="401"/>
    </row>
    <row r="656">
      <c r="A656" s="401"/>
      <c r="B656" s="401"/>
      <c r="C656" s="401"/>
      <c r="D656" s="401"/>
      <c r="E656" s="401"/>
      <c r="F656" s="401"/>
      <c r="G656" s="401"/>
      <c r="H656" s="401"/>
      <c r="I656" s="401"/>
      <c r="J656" s="401"/>
      <c r="K656" s="401"/>
      <c r="L656" s="401"/>
      <c r="M656" s="401"/>
      <c r="N656" s="401"/>
      <c r="O656" s="401"/>
      <c r="P656" s="401"/>
      <c r="Q656" s="401"/>
      <c r="R656" s="401"/>
      <c r="S656" s="401"/>
      <c r="T656" s="401"/>
      <c r="U656" s="401"/>
      <c r="V656" s="401"/>
      <c r="W656" s="401"/>
      <c r="X656" s="401"/>
      <c r="Y656" s="401"/>
      <c r="Z656" s="401"/>
    </row>
    <row r="657">
      <c r="A657" s="401"/>
      <c r="B657" s="401"/>
      <c r="C657" s="401"/>
      <c r="D657" s="401"/>
      <c r="E657" s="401"/>
      <c r="F657" s="401"/>
      <c r="G657" s="401"/>
      <c r="H657" s="401"/>
      <c r="I657" s="401"/>
      <c r="J657" s="401"/>
      <c r="K657" s="401"/>
      <c r="L657" s="401"/>
      <c r="M657" s="401"/>
      <c r="N657" s="401"/>
      <c r="O657" s="401"/>
      <c r="P657" s="401"/>
      <c r="Q657" s="401"/>
      <c r="R657" s="401"/>
      <c r="S657" s="401"/>
      <c r="T657" s="401"/>
      <c r="U657" s="401"/>
      <c r="V657" s="401"/>
      <c r="W657" s="401"/>
      <c r="X657" s="401"/>
      <c r="Y657" s="401"/>
      <c r="Z657" s="401"/>
    </row>
    <row r="658">
      <c r="A658" s="401"/>
      <c r="B658" s="401"/>
      <c r="C658" s="401"/>
      <c r="D658" s="401"/>
      <c r="E658" s="401"/>
      <c r="F658" s="401"/>
      <c r="G658" s="401"/>
      <c r="H658" s="401"/>
      <c r="I658" s="401"/>
      <c r="J658" s="401"/>
      <c r="K658" s="401"/>
      <c r="L658" s="401"/>
      <c r="M658" s="401"/>
      <c r="N658" s="401"/>
      <c r="O658" s="401"/>
      <c r="P658" s="401"/>
      <c r="Q658" s="401"/>
      <c r="R658" s="401"/>
      <c r="S658" s="401"/>
      <c r="T658" s="401"/>
      <c r="U658" s="401"/>
      <c r="V658" s="401"/>
      <c r="W658" s="401"/>
      <c r="X658" s="401"/>
      <c r="Y658" s="401"/>
      <c r="Z658" s="401"/>
    </row>
    <row r="659">
      <c r="A659" s="401"/>
      <c r="B659" s="401"/>
      <c r="C659" s="401"/>
      <c r="D659" s="401"/>
      <c r="E659" s="401"/>
      <c r="F659" s="401"/>
      <c r="G659" s="401"/>
      <c r="H659" s="401"/>
      <c r="I659" s="401"/>
      <c r="J659" s="401"/>
      <c r="K659" s="401"/>
      <c r="L659" s="401"/>
      <c r="M659" s="401"/>
      <c r="N659" s="401"/>
      <c r="O659" s="401"/>
      <c r="P659" s="401"/>
      <c r="Q659" s="401"/>
      <c r="R659" s="401"/>
      <c r="S659" s="401"/>
      <c r="T659" s="401"/>
      <c r="U659" s="401"/>
      <c r="V659" s="401"/>
      <c r="W659" s="401"/>
      <c r="X659" s="401"/>
      <c r="Y659" s="401"/>
      <c r="Z659" s="401"/>
    </row>
    <row r="660">
      <c r="A660" s="401"/>
      <c r="B660" s="401"/>
      <c r="C660" s="401"/>
      <c r="D660" s="401"/>
      <c r="E660" s="401"/>
      <c r="F660" s="401"/>
      <c r="G660" s="401"/>
      <c r="H660" s="401"/>
      <c r="I660" s="401"/>
      <c r="J660" s="401"/>
      <c r="K660" s="401"/>
      <c r="L660" s="401"/>
      <c r="M660" s="401"/>
      <c r="N660" s="401"/>
      <c r="O660" s="401"/>
      <c r="P660" s="401"/>
      <c r="Q660" s="401"/>
      <c r="R660" s="401"/>
      <c r="S660" s="401"/>
      <c r="T660" s="401"/>
      <c r="U660" s="401"/>
      <c r="V660" s="401"/>
      <c r="W660" s="401"/>
      <c r="X660" s="401"/>
      <c r="Y660" s="401"/>
      <c r="Z660" s="401"/>
    </row>
    <row r="661">
      <c r="A661" s="401"/>
      <c r="B661" s="401"/>
      <c r="C661" s="401"/>
      <c r="D661" s="401"/>
      <c r="E661" s="401"/>
      <c r="F661" s="401"/>
      <c r="G661" s="401"/>
      <c r="H661" s="401"/>
      <c r="I661" s="401"/>
      <c r="J661" s="401"/>
      <c r="K661" s="401"/>
      <c r="L661" s="401"/>
      <c r="M661" s="401"/>
      <c r="N661" s="401"/>
      <c r="O661" s="401"/>
      <c r="P661" s="401"/>
      <c r="Q661" s="401"/>
      <c r="R661" s="401"/>
      <c r="S661" s="401"/>
      <c r="T661" s="401"/>
      <c r="U661" s="401"/>
      <c r="V661" s="401"/>
      <c r="W661" s="401"/>
      <c r="X661" s="401"/>
      <c r="Y661" s="401"/>
      <c r="Z661" s="401"/>
    </row>
    <row r="662">
      <c r="A662" s="401"/>
      <c r="B662" s="401"/>
      <c r="C662" s="401"/>
      <c r="D662" s="401"/>
      <c r="E662" s="401"/>
      <c r="F662" s="401"/>
      <c r="G662" s="401"/>
      <c r="H662" s="401"/>
      <c r="I662" s="401"/>
      <c r="J662" s="401"/>
      <c r="K662" s="401"/>
      <c r="L662" s="401"/>
      <c r="M662" s="401"/>
      <c r="N662" s="401"/>
      <c r="O662" s="401"/>
      <c r="P662" s="401"/>
      <c r="Q662" s="401"/>
      <c r="R662" s="401"/>
      <c r="S662" s="401"/>
      <c r="T662" s="401"/>
      <c r="U662" s="401"/>
      <c r="V662" s="401"/>
      <c r="W662" s="401"/>
      <c r="X662" s="401"/>
      <c r="Y662" s="401"/>
      <c r="Z662" s="401"/>
    </row>
    <row r="663">
      <c r="A663" s="401"/>
      <c r="B663" s="401"/>
      <c r="C663" s="401"/>
      <c r="D663" s="401"/>
      <c r="E663" s="401"/>
      <c r="F663" s="401"/>
      <c r="G663" s="401"/>
      <c r="H663" s="401"/>
      <c r="I663" s="401"/>
      <c r="J663" s="401"/>
      <c r="K663" s="401"/>
      <c r="L663" s="401"/>
      <c r="M663" s="401"/>
      <c r="N663" s="401"/>
      <c r="O663" s="401"/>
      <c r="P663" s="401"/>
      <c r="Q663" s="401"/>
      <c r="R663" s="401"/>
      <c r="S663" s="401"/>
      <c r="T663" s="401"/>
      <c r="U663" s="401"/>
      <c r="V663" s="401"/>
      <c r="W663" s="401"/>
      <c r="X663" s="401"/>
      <c r="Y663" s="401"/>
      <c r="Z663" s="401"/>
    </row>
    <row r="664">
      <c r="A664" s="401"/>
      <c r="B664" s="401"/>
      <c r="C664" s="401"/>
      <c r="D664" s="401"/>
      <c r="E664" s="401"/>
      <c r="F664" s="401"/>
      <c r="G664" s="401"/>
      <c r="H664" s="401"/>
      <c r="I664" s="401"/>
      <c r="J664" s="401"/>
      <c r="K664" s="401"/>
      <c r="L664" s="401"/>
      <c r="M664" s="401"/>
      <c r="N664" s="401"/>
      <c r="O664" s="401"/>
      <c r="P664" s="401"/>
      <c r="Q664" s="401"/>
      <c r="R664" s="401"/>
      <c r="S664" s="401"/>
      <c r="T664" s="401"/>
      <c r="U664" s="401"/>
      <c r="V664" s="401"/>
      <c r="W664" s="401"/>
      <c r="X664" s="401"/>
      <c r="Y664" s="401"/>
      <c r="Z664" s="401"/>
    </row>
    <row r="665">
      <c r="A665" s="401"/>
      <c r="B665" s="401"/>
      <c r="C665" s="401"/>
      <c r="D665" s="401"/>
      <c r="E665" s="401"/>
      <c r="F665" s="401"/>
      <c r="G665" s="401"/>
      <c r="H665" s="401"/>
      <c r="I665" s="401"/>
      <c r="J665" s="401"/>
      <c r="K665" s="401"/>
      <c r="L665" s="401"/>
      <c r="M665" s="401"/>
      <c r="N665" s="401"/>
      <c r="O665" s="401"/>
      <c r="P665" s="401"/>
      <c r="Q665" s="401"/>
      <c r="R665" s="401"/>
      <c r="S665" s="401"/>
      <c r="T665" s="401"/>
      <c r="U665" s="401"/>
      <c r="V665" s="401"/>
      <c r="W665" s="401"/>
      <c r="X665" s="401"/>
      <c r="Y665" s="401"/>
      <c r="Z665" s="401"/>
    </row>
    <row r="666">
      <c r="A666" s="401"/>
      <c r="B666" s="401"/>
      <c r="C666" s="401"/>
      <c r="D666" s="401"/>
      <c r="E666" s="401"/>
      <c r="F666" s="401"/>
      <c r="G666" s="401"/>
      <c r="H666" s="401"/>
      <c r="I666" s="401"/>
      <c r="J666" s="401"/>
      <c r="K666" s="401"/>
      <c r="L666" s="401"/>
      <c r="M666" s="401"/>
      <c r="N666" s="401"/>
      <c r="O666" s="401"/>
      <c r="P666" s="401"/>
      <c r="Q666" s="401"/>
      <c r="R666" s="401"/>
      <c r="S666" s="401"/>
      <c r="T666" s="401"/>
      <c r="U666" s="401"/>
      <c r="V666" s="401"/>
      <c r="W666" s="401"/>
      <c r="X666" s="401"/>
      <c r="Y666" s="401"/>
      <c r="Z666" s="401"/>
    </row>
    <row r="667">
      <c r="A667" s="401"/>
      <c r="B667" s="401"/>
      <c r="C667" s="401"/>
      <c r="D667" s="401"/>
      <c r="E667" s="401"/>
      <c r="F667" s="401"/>
      <c r="G667" s="401"/>
      <c r="H667" s="401"/>
      <c r="I667" s="401"/>
      <c r="J667" s="401"/>
      <c r="K667" s="401"/>
      <c r="L667" s="401"/>
      <c r="M667" s="401"/>
      <c r="N667" s="401"/>
      <c r="O667" s="401"/>
      <c r="P667" s="401"/>
      <c r="Q667" s="401"/>
      <c r="R667" s="401"/>
      <c r="S667" s="401"/>
      <c r="T667" s="401"/>
      <c r="U667" s="401"/>
      <c r="V667" s="401"/>
      <c r="W667" s="401"/>
      <c r="X667" s="401"/>
      <c r="Y667" s="401"/>
      <c r="Z667" s="401"/>
    </row>
    <row r="668">
      <c r="A668" s="401"/>
      <c r="B668" s="401"/>
      <c r="C668" s="401"/>
      <c r="D668" s="401"/>
      <c r="E668" s="401"/>
      <c r="F668" s="401"/>
      <c r="G668" s="401"/>
      <c r="H668" s="401"/>
      <c r="I668" s="401"/>
      <c r="J668" s="401"/>
      <c r="K668" s="401"/>
      <c r="L668" s="401"/>
      <c r="M668" s="401"/>
      <c r="N668" s="401"/>
      <c r="O668" s="401"/>
      <c r="P668" s="401"/>
      <c r="Q668" s="401"/>
      <c r="R668" s="401"/>
      <c r="S668" s="401"/>
      <c r="T668" s="401"/>
      <c r="U668" s="401"/>
      <c r="V668" s="401"/>
      <c r="W668" s="401"/>
      <c r="X668" s="401"/>
      <c r="Y668" s="401"/>
      <c r="Z668" s="401"/>
    </row>
    <row r="669">
      <c r="A669" s="401"/>
      <c r="B669" s="401"/>
      <c r="C669" s="401"/>
      <c r="D669" s="401"/>
      <c r="E669" s="401"/>
      <c r="F669" s="401"/>
      <c r="G669" s="401"/>
      <c r="H669" s="401"/>
      <c r="I669" s="401"/>
      <c r="J669" s="401"/>
      <c r="K669" s="401"/>
      <c r="L669" s="401"/>
      <c r="M669" s="401"/>
      <c r="N669" s="401"/>
      <c r="O669" s="401"/>
      <c r="P669" s="401"/>
      <c r="Q669" s="401"/>
      <c r="R669" s="401"/>
      <c r="S669" s="401"/>
      <c r="T669" s="401"/>
      <c r="U669" s="401"/>
      <c r="V669" s="401"/>
      <c r="W669" s="401"/>
      <c r="X669" s="401"/>
      <c r="Y669" s="401"/>
      <c r="Z669" s="401"/>
    </row>
    <row r="670">
      <c r="A670" s="401"/>
      <c r="B670" s="401"/>
      <c r="C670" s="401"/>
      <c r="D670" s="401"/>
      <c r="E670" s="401"/>
      <c r="F670" s="401"/>
      <c r="G670" s="401"/>
      <c r="H670" s="401"/>
      <c r="I670" s="401"/>
      <c r="J670" s="401"/>
      <c r="K670" s="401"/>
      <c r="L670" s="401"/>
      <c r="M670" s="401"/>
      <c r="N670" s="401"/>
      <c r="O670" s="401"/>
      <c r="P670" s="401"/>
      <c r="Q670" s="401"/>
      <c r="R670" s="401"/>
      <c r="S670" s="401"/>
      <c r="T670" s="401"/>
      <c r="U670" s="401"/>
      <c r="V670" s="401"/>
      <c r="W670" s="401"/>
      <c r="X670" s="401"/>
      <c r="Y670" s="401"/>
      <c r="Z670" s="401"/>
    </row>
    <row r="671">
      <c r="A671" s="401"/>
      <c r="B671" s="401"/>
      <c r="C671" s="401"/>
      <c r="D671" s="401"/>
      <c r="E671" s="401"/>
      <c r="F671" s="401"/>
      <c r="G671" s="401"/>
      <c r="H671" s="401"/>
      <c r="I671" s="401"/>
      <c r="J671" s="401"/>
      <c r="K671" s="401"/>
      <c r="L671" s="401"/>
      <c r="M671" s="401"/>
      <c r="N671" s="401"/>
      <c r="O671" s="401"/>
      <c r="P671" s="401"/>
      <c r="Q671" s="401"/>
      <c r="R671" s="401"/>
      <c r="S671" s="401"/>
      <c r="T671" s="401"/>
      <c r="U671" s="401"/>
      <c r="V671" s="401"/>
      <c r="W671" s="401"/>
      <c r="X671" s="401"/>
      <c r="Y671" s="401"/>
      <c r="Z671" s="401"/>
    </row>
    <row r="672">
      <c r="A672" s="401"/>
      <c r="B672" s="401"/>
      <c r="C672" s="401"/>
      <c r="D672" s="401"/>
      <c r="E672" s="401"/>
      <c r="F672" s="401"/>
      <c r="G672" s="401"/>
      <c r="H672" s="401"/>
      <c r="I672" s="401"/>
      <c r="J672" s="401"/>
      <c r="K672" s="401"/>
      <c r="L672" s="401"/>
      <c r="M672" s="401"/>
      <c r="N672" s="401"/>
      <c r="O672" s="401"/>
      <c r="P672" s="401"/>
      <c r="Q672" s="401"/>
      <c r="R672" s="401"/>
      <c r="S672" s="401"/>
      <c r="T672" s="401"/>
      <c r="U672" s="401"/>
      <c r="V672" s="401"/>
      <c r="W672" s="401"/>
      <c r="X672" s="401"/>
      <c r="Y672" s="401"/>
      <c r="Z672" s="401"/>
    </row>
    <row r="673">
      <c r="A673" s="401"/>
      <c r="B673" s="401"/>
      <c r="C673" s="401"/>
      <c r="D673" s="401"/>
      <c r="E673" s="401"/>
      <c r="F673" s="401"/>
      <c r="G673" s="401"/>
      <c r="H673" s="401"/>
      <c r="I673" s="401"/>
      <c r="J673" s="401"/>
      <c r="K673" s="401"/>
      <c r="L673" s="401"/>
      <c r="M673" s="401"/>
      <c r="N673" s="401"/>
      <c r="O673" s="401"/>
      <c r="P673" s="401"/>
      <c r="Q673" s="401"/>
      <c r="R673" s="401"/>
      <c r="S673" s="401"/>
      <c r="T673" s="401"/>
      <c r="U673" s="401"/>
      <c r="V673" s="401"/>
      <c r="W673" s="401"/>
      <c r="X673" s="401"/>
      <c r="Y673" s="401"/>
      <c r="Z673" s="401"/>
    </row>
    <row r="674">
      <c r="A674" s="401"/>
      <c r="B674" s="401"/>
      <c r="C674" s="401"/>
      <c r="D674" s="401"/>
      <c r="E674" s="401"/>
      <c r="F674" s="401"/>
      <c r="G674" s="401"/>
      <c r="H674" s="401"/>
      <c r="I674" s="401"/>
      <c r="J674" s="401"/>
      <c r="K674" s="401"/>
      <c r="L674" s="401"/>
      <c r="M674" s="401"/>
      <c r="N674" s="401"/>
      <c r="O674" s="401"/>
      <c r="P674" s="401"/>
      <c r="Q674" s="401"/>
      <c r="R674" s="401"/>
      <c r="S674" s="401"/>
      <c r="T674" s="401"/>
      <c r="U674" s="401"/>
      <c r="V674" s="401"/>
      <c r="W674" s="401"/>
      <c r="X674" s="401"/>
      <c r="Y674" s="401"/>
      <c r="Z674" s="401"/>
    </row>
    <row r="675">
      <c r="A675" s="401"/>
      <c r="B675" s="401"/>
      <c r="C675" s="401"/>
      <c r="D675" s="401"/>
      <c r="E675" s="401"/>
      <c r="F675" s="401"/>
      <c r="G675" s="401"/>
      <c r="H675" s="401"/>
      <c r="I675" s="401"/>
      <c r="J675" s="401"/>
      <c r="K675" s="401"/>
      <c r="L675" s="401"/>
      <c r="M675" s="401"/>
      <c r="N675" s="401"/>
      <c r="O675" s="401"/>
      <c r="P675" s="401"/>
      <c r="Q675" s="401"/>
      <c r="R675" s="401"/>
      <c r="S675" s="401"/>
      <c r="T675" s="401"/>
      <c r="U675" s="401"/>
      <c r="V675" s="401"/>
      <c r="W675" s="401"/>
      <c r="X675" s="401"/>
      <c r="Y675" s="401"/>
      <c r="Z675" s="401"/>
    </row>
    <row r="676">
      <c r="A676" s="401"/>
      <c r="B676" s="401"/>
      <c r="C676" s="401"/>
      <c r="D676" s="401"/>
      <c r="E676" s="401"/>
      <c r="F676" s="401"/>
      <c r="G676" s="401"/>
      <c r="H676" s="401"/>
      <c r="I676" s="401"/>
      <c r="J676" s="401"/>
      <c r="K676" s="401"/>
      <c r="L676" s="401"/>
      <c r="M676" s="401"/>
      <c r="N676" s="401"/>
      <c r="O676" s="401"/>
      <c r="P676" s="401"/>
      <c r="Q676" s="401"/>
      <c r="R676" s="401"/>
      <c r="S676" s="401"/>
      <c r="T676" s="401"/>
      <c r="U676" s="401"/>
      <c r="V676" s="401"/>
      <c r="W676" s="401"/>
      <c r="X676" s="401"/>
      <c r="Y676" s="401"/>
      <c r="Z676" s="401"/>
    </row>
    <row r="677">
      <c r="A677" s="401"/>
      <c r="B677" s="401"/>
      <c r="C677" s="401"/>
      <c r="D677" s="401"/>
      <c r="E677" s="401"/>
      <c r="F677" s="401"/>
      <c r="G677" s="401"/>
      <c r="H677" s="401"/>
      <c r="I677" s="401"/>
      <c r="J677" s="401"/>
      <c r="K677" s="401"/>
      <c r="L677" s="401"/>
      <c r="M677" s="401"/>
      <c r="N677" s="401"/>
      <c r="O677" s="401"/>
      <c r="P677" s="401"/>
      <c r="Q677" s="401"/>
      <c r="R677" s="401"/>
      <c r="S677" s="401"/>
      <c r="T677" s="401"/>
      <c r="U677" s="401"/>
      <c r="V677" s="401"/>
      <c r="W677" s="401"/>
      <c r="X677" s="401"/>
      <c r="Y677" s="401"/>
      <c r="Z677" s="401"/>
    </row>
    <row r="678">
      <c r="A678" s="401"/>
      <c r="B678" s="401"/>
      <c r="C678" s="401"/>
      <c r="D678" s="401"/>
      <c r="E678" s="401"/>
      <c r="F678" s="401"/>
      <c r="G678" s="401"/>
      <c r="H678" s="401"/>
      <c r="I678" s="401"/>
      <c r="J678" s="401"/>
      <c r="K678" s="401"/>
      <c r="L678" s="401"/>
      <c r="M678" s="401"/>
      <c r="N678" s="401"/>
      <c r="O678" s="401"/>
      <c r="P678" s="401"/>
      <c r="Q678" s="401"/>
      <c r="R678" s="401"/>
      <c r="S678" s="401"/>
      <c r="T678" s="401"/>
      <c r="U678" s="401"/>
      <c r="V678" s="401"/>
      <c r="W678" s="401"/>
      <c r="X678" s="401"/>
      <c r="Y678" s="401"/>
      <c r="Z678" s="401"/>
    </row>
    <row r="679">
      <c r="A679" s="401"/>
      <c r="B679" s="401"/>
      <c r="C679" s="401"/>
      <c r="D679" s="401"/>
      <c r="E679" s="401"/>
      <c r="F679" s="401"/>
      <c r="G679" s="401"/>
      <c r="H679" s="401"/>
      <c r="I679" s="401"/>
      <c r="J679" s="401"/>
      <c r="K679" s="401"/>
      <c r="L679" s="401"/>
      <c r="M679" s="401"/>
      <c r="N679" s="401"/>
      <c r="O679" s="401"/>
      <c r="P679" s="401"/>
      <c r="Q679" s="401"/>
      <c r="R679" s="401"/>
      <c r="S679" s="401"/>
      <c r="T679" s="401"/>
      <c r="U679" s="401"/>
      <c r="V679" s="401"/>
      <c r="W679" s="401"/>
      <c r="X679" s="401"/>
      <c r="Y679" s="401"/>
      <c r="Z679" s="401"/>
    </row>
    <row r="680">
      <c r="A680" s="401"/>
      <c r="B680" s="401"/>
      <c r="C680" s="401"/>
      <c r="D680" s="401"/>
      <c r="E680" s="401"/>
      <c r="F680" s="401"/>
      <c r="G680" s="401"/>
      <c r="H680" s="401"/>
      <c r="I680" s="401"/>
      <c r="J680" s="401"/>
      <c r="K680" s="401"/>
      <c r="L680" s="401"/>
      <c r="M680" s="401"/>
      <c r="N680" s="401"/>
      <c r="O680" s="401"/>
      <c r="P680" s="401"/>
      <c r="Q680" s="401"/>
      <c r="R680" s="401"/>
      <c r="S680" s="401"/>
      <c r="T680" s="401"/>
      <c r="U680" s="401"/>
      <c r="V680" s="401"/>
      <c r="W680" s="401"/>
      <c r="X680" s="401"/>
      <c r="Y680" s="401"/>
      <c r="Z680" s="401"/>
    </row>
    <row r="681">
      <c r="A681" s="401"/>
      <c r="B681" s="401"/>
      <c r="C681" s="401"/>
      <c r="D681" s="401"/>
      <c r="E681" s="401"/>
      <c r="F681" s="401"/>
      <c r="G681" s="401"/>
      <c r="H681" s="401"/>
      <c r="I681" s="401"/>
      <c r="J681" s="401"/>
      <c r="K681" s="401"/>
      <c r="L681" s="401"/>
      <c r="M681" s="401"/>
      <c r="N681" s="401"/>
      <c r="O681" s="401"/>
      <c r="P681" s="401"/>
      <c r="Q681" s="401"/>
      <c r="R681" s="401"/>
      <c r="S681" s="401"/>
      <c r="T681" s="401"/>
      <c r="U681" s="401"/>
      <c r="V681" s="401"/>
      <c r="W681" s="401"/>
      <c r="X681" s="401"/>
      <c r="Y681" s="401"/>
      <c r="Z681" s="401"/>
    </row>
    <row r="682">
      <c r="A682" s="401"/>
      <c r="B682" s="401"/>
      <c r="C682" s="401"/>
      <c r="D682" s="401"/>
      <c r="E682" s="401"/>
      <c r="F682" s="401"/>
      <c r="G682" s="401"/>
      <c r="H682" s="401"/>
      <c r="I682" s="401"/>
      <c r="J682" s="401"/>
      <c r="K682" s="401"/>
      <c r="L682" s="401"/>
      <c r="M682" s="401"/>
      <c r="N682" s="401"/>
      <c r="O682" s="401"/>
      <c r="P682" s="401"/>
      <c r="Q682" s="401"/>
      <c r="R682" s="401"/>
      <c r="S682" s="401"/>
      <c r="T682" s="401"/>
      <c r="U682" s="401"/>
      <c r="V682" s="401"/>
      <c r="W682" s="401"/>
      <c r="X682" s="401"/>
      <c r="Y682" s="401"/>
      <c r="Z682" s="401"/>
    </row>
    <row r="683">
      <c r="A683" s="401"/>
      <c r="B683" s="401"/>
      <c r="C683" s="401"/>
      <c r="D683" s="401"/>
      <c r="E683" s="401"/>
      <c r="F683" s="401"/>
      <c r="G683" s="401"/>
      <c r="H683" s="401"/>
      <c r="I683" s="401"/>
      <c r="J683" s="401"/>
      <c r="K683" s="401"/>
      <c r="L683" s="401"/>
      <c r="M683" s="401"/>
      <c r="N683" s="401"/>
      <c r="O683" s="401"/>
      <c r="P683" s="401"/>
      <c r="Q683" s="401"/>
      <c r="R683" s="401"/>
      <c r="S683" s="401"/>
      <c r="T683" s="401"/>
      <c r="U683" s="401"/>
      <c r="V683" s="401"/>
      <c r="W683" s="401"/>
      <c r="X683" s="401"/>
      <c r="Y683" s="401"/>
      <c r="Z683" s="401"/>
    </row>
    <row r="684">
      <c r="A684" s="401"/>
      <c r="B684" s="401"/>
      <c r="C684" s="401"/>
      <c r="D684" s="401"/>
      <c r="E684" s="401"/>
      <c r="F684" s="401"/>
      <c r="G684" s="401"/>
      <c r="H684" s="401"/>
      <c r="I684" s="401"/>
      <c r="J684" s="401"/>
      <c r="K684" s="401"/>
      <c r="L684" s="401"/>
      <c r="M684" s="401"/>
      <c r="N684" s="401"/>
      <c r="O684" s="401"/>
      <c r="P684" s="401"/>
      <c r="Q684" s="401"/>
      <c r="R684" s="401"/>
      <c r="S684" s="401"/>
      <c r="T684" s="401"/>
      <c r="U684" s="401"/>
      <c r="V684" s="401"/>
      <c r="W684" s="401"/>
      <c r="X684" s="401"/>
      <c r="Y684" s="401"/>
      <c r="Z684" s="401"/>
    </row>
    <row r="685">
      <c r="A685" s="401"/>
      <c r="B685" s="401"/>
      <c r="C685" s="401"/>
      <c r="D685" s="401"/>
      <c r="E685" s="401"/>
      <c r="F685" s="401"/>
      <c r="G685" s="401"/>
      <c r="H685" s="401"/>
      <c r="I685" s="401"/>
      <c r="J685" s="401"/>
      <c r="K685" s="401"/>
      <c r="L685" s="401"/>
      <c r="M685" s="401"/>
      <c r="N685" s="401"/>
      <c r="O685" s="401"/>
      <c r="P685" s="401"/>
      <c r="Q685" s="401"/>
      <c r="R685" s="401"/>
      <c r="S685" s="401"/>
      <c r="T685" s="401"/>
      <c r="U685" s="401"/>
      <c r="V685" s="401"/>
      <c r="W685" s="401"/>
      <c r="X685" s="401"/>
      <c r="Y685" s="401"/>
      <c r="Z685" s="401"/>
    </row>
    <row r="686">
      <c r="A686" s="401"/>
      <c r="B686" s="401"/>
      <c r="C686" s="401"/>
      <c r="D686" s="401"/>
      <c r="E686" s="401"/>
      <c r="F686" s="401"/>
      <c r="G686" s="401"/>
      <c r="H686" s="401"/>
      <c r="I686" s="401"/>
      <c r="J686" s="401"/>
      <c r="K686" s="401"/>
      <c r="L686" s="401"/>
      <c r="M686" s="401"/>
      <c r="N686" s="401"/>
      <c r="O686" s="401"/>
      <c r="P686" s="401"/>
      <c r="Q686" s="401"/>
      <c r="R686" s="401"/>
      <c r="S686" s="401"/>
      <c r="T686" s="401"/>
      <c r="U686" s="401"/>
      <c r="V686" s="401"/>
      <c r="W686" s="401"/>
      <c r="X686" s="401"/>
      <c r="Y686" s="401"/>
      <c r="Z686" s="401"/>
    </row>
    <row r="687">
      <c r="A687" s="401"/>
      <c r="B687" s="401"/>
      <c r="C687" s="401"/>
      <c r="D687" s="401"/>
      <c r="E687" s="401"/>
      <c r="F687" s="401"/>
      <c r="G687" s="401"/>
      <c r="H687" s="401"/>
      <c r="I687" s="401"/>
      <c r="J687" s="401"/>
      <c r="K687" s="401"/>
      <c r="L687" s="401"/>
      <c r="M687" s="401"/>
      <c r="N687" s="401"/>
      <c r="O687" s="401"/>
      <c r="P687" s="401"/>
      <c r="Q687" s="401"/>
      <c r="R687" s="401"/>
      <c r="S687" s="401"/>
      <c r="T687" s="401"/>
      <c r="U687" s="401"/>
      <c r="V687" s="401"/>
      <c r="W687" s="401"/>
      <c r="X687" s="401"/>
      <c r="Y687" s="401"/>
      <c r="Z687" s="401"/>
    </row>
    <row r="688">
      <c r="A688" s="401"/>
      <c r="B688" s="401"/>
      <c r="C688" s="401"/>
      <c r="D688" s="401"/>
      <c r="E688" s="401"/>
      <c r="F688" s="401"/>
      <c r="G688" s="401"/>
      <c r="H688" s="401"/>
      <c r="I688" s="401"/>
      <c r="J688" s="401"/>
      <c r="K688" s="401"/>
      <c r="L688" s="401"/>
      <c r="M688" s="401"/>
      <c r="N688" s="401"/>
      <c r="O688" s="401"/>
      <c r="P688" s="401"/>
      <c r="Q688" s="401"/>
      <c r="R688" s="401"/>
      <c r="S688" s="401"/>
      <c r="T688" s="401"/>
      <c r="U688" s="401"/>
      <c r="V688" s="401"/>
      <c r="W688" s="401"/>
      <c r="X688" s="401"/>
      <c r="Y688" s="401"/>
      <c r="Z688" s="401"/>
    </row>
    <row r="689">
      <c r="A689" s="401"/>
      <c r="B689" s="401"/>
      <c r="C689" s="401"/>
      <c r="D689" s="401"/>
      <c r="E689" s="401"/>
      <c r="F689" s="401"/>
      <c r="G689" s="401"/>
      <c r="H689" s="401"/>
      <c r="I689" s="401"/>
      <c r="J689" s="401"/>
      <c r="K689" s="401"/>
      <c r="L689" s="401"/>
      <c r="M689" s="401"/>
      <c r="N689" s="401"/>
      <c r="O689" s="401"/>
      <c r="P689" s="401"/>
      <c r="Q689" s="401"/>
      <c r="R689" s="401"/>
      <c r="S689" s="401"/>
      <c r="T689" s="401"/>
      <c r="U689" s="401"/>
      <c r="V689" s="401"/>
      <c r="W689" s="401"/>
      <c r="X689" s="401"/>
      <c r="Y689" s="401"/>
      <c r="Z689" s="401"/>
    </row>
    <row r="690">
      <c r="A690" s="401"/>
      <c r="B690" s="401"/>
      <c r="C690" s="401"/>
      <c r="D690" s="401"/>
      <c r="E690" s="401"/>
      <c r="F690" s="401"/>
      <c r="G690" s="401"/>
      <c r="H690" s="401"/>
      <c r="I690" s="401"/>
      <c r="J690" s="401"/>
      <c r="K690" s="401"/>
      <c r="L690" s="401"/>
      <c r="M690" s="401"/>
      <c r="N690" s="401"/>
      <c r="O690" s="401"/>
      <c r="P690" s="401"/>
      <c r="Q690" s="401"/>
      <c r="R690" s="401"/>
      <c r="S690" s="401"/>
      <c r="T690" s="401"/>
      <c r="U690" s="401"/>
      <c r="V690" s="401"/>
      <c r="W690" s="401"/>
      <c r="X690" s="401"/>
      <c r="Y690" s="401"/>
      <c r="Z690" s="401"/>
    </row>
    <row r="691">
      <c r="A691" s="401"/>
      <c r="B691" s="401"/>
      <c r="C691" s="401"/>
      <c r="D691" s="401"/>
      <c r="E691" s="401"/>
      <c r="F691" s="401"/>
      <c r="G691" s="401"/>
      <c r="H691" s="401"/>
      <c r="I691" s="401"/>
      <c r="J691" s="401"/>
      <c r="K691" s="401"/>
      <c r="L691" s="401"/>
      <c r="M691" s="401"/>
      <c r="N691" s="401"/>
      <c r="O691" s="401"/>
      <c r="P691" s="401"/>
      <c r="Q691" s="401"/>
      <c r="R691" s="401"/>
      <c r="S691" s="401"/>
      <c r="T691" s="401"/>
      <c r="U691" s="401"/>
      <c r="V691" s="401"/>
      <c r="W691" s="401"/>
      <c r="X691" s="401"/>
      <c r="Y691" s="401"/>
      <c r="Z691" s="401"/>
    </row>
    <row r="692">
      <c r="A692" s="401"/>
      <c r="B692" s="401"/>
      <c r="C692" s="401"/>
      <c r="D692" s="401"/>
      <c r="E692" s="401"/>
      <c r="F692" s="401"/>
      <c r="G692" s="401"/>
      <c r="H692" s="401"/>
      <c r="I692" s="401"/>
      <c r="J692" s="401"/>
      <c r="K692" s="401"/>
      <c r="L692" s="401"/>
      <c r="M692" s="401"/>
      <c r="N692" s="401"/>
      <c r="O692" s="401"/>
      <c r="P692" s="401"/>
      <c r="Q692" s="401"/>
      <c r="R692" s="401"/>
      <c r="S692" s="401"/>
      <c r="T692" s="401"/>
      <c r="U692" s="401"/>
      <c r="V692" s="401"/>
      <c r="W692" s="401"/>
      <c r="X692" s="401"/>
      <c r="Y692" s="401"/>
      <c r="Z692" s="401"/>
    </row>
    <row r="693">
      <c r="A693" s="401"/>
      <c r="B693" s="401"/>
      <c r="C693" s="401"/>
      <c r="D693" s="401"/>
      <c r="E693" s="401"/>
      <c r="F693" s="401"/>
      <c r="G693" s="401"/>
      <c r="H693" s="401"/>
      <c r="I693" s="401"/>
      <c r="J693" s="401"/>
      <c r="K693" s="401"/>
      <c r="L693" s="401"/>
      <c r="M693" s="401"/>
      <c r="N693" s="401"/>
      <c r="O693" s="401"/>
      <c r="P693" s="401"/>
      <c r="Q693" s="401"/>
      <c r="R693" s="401"/>
      <c r="S693" s="401"/>
      <c r="T693" s="401"/>
      <c r="U693" s="401"/>
      <c r="V693" s="401"/>
      <c r="W693" s="401"/>
      <c r="X693" s="401"/>
      <c r="Y693" s="401"/>
      <c r="Z693" s="401"/>
    </row>
    <row r="694">
      <c r="A694" s="401"/>
      <c r="B694" s="401"/>
      <c r="C694" s="401"/>
      <c r="D694" s="401"/>
      <c r="E694" s="401"/>
      <c r="F694" s="401"/>
      <c r="G694" s="401"/>
      <c r="H694" s="401"/>
      <c r="I694" s="401"/>
      <c r="J694" s="401"/>
      <c r="K694" s="401"/>
      <c r="L694" s="401"/>
      <c r="M694" s="401"/>
      <c r="N694" s="401"/>
      <c r="O694" s="401"/>
      <c r="P694" s="401"/>
      <c r="Q694" s="401"/>
      <c r="R694" s="401"/>
      <c r="S694" s="401"/>
      <c r="T694" s="401"/>
      <c r="U694" s="401"/>
      <c r="V694" s="401"/>
      <c r="W694" s="401"/>
      <c r="X694" s="401"/>
      <c r="Y694" s="401"/>
      <c r="Z694" s="401"/>
    </row>
    <row r="695">
      <c r="A695" s="401"/>
      <c r="B695" s="401"/>
      <c r="C695" s="401"/>
      <c r="D695" s="401"/>
      <c r="E695" s="401"/>
      <c r="F695" s="401"/>
      <c r="G695" s="401"/>
      <c r="H695" s="401"/>
      <c r="I695" s="401"/>
      <c r="J695" s="401"/>
      <c r="K695" s="401"/>
      <c r="L695" s="401"/>
      <c r="M695" s="401"/>
      <c r="N695" s="401"/>
      <c r="O695" s="401"/>
      <c r="P695" s="401"/>
      <c r="Q695" s="401"/>
      <c r="R695" s="401"/>
      <c r="S695" s="401"/>
      <c r="T695" s="401"/>
      <c r="U695" s="401"/>
      <c r="V695" s="401"/>
      <c r="W695" s="401"/>
      <c r="X695" s="401"/>
      <c r="Y695" s="401"/>
      <c r="Z695" s="401"/>
    </row>
    <row r="696">
      <c r="A696" s="401"/>
      <c r="B696" s="401"/>
      <c r="C696" s="401"/>
      <c r="D696" s="401"/>
      <c r="E696" s="401"/>
      <c r="F696" s="401"/>
      <c r="G696" s="401"/>
      <c r="H696" s="401"/>
      <c r="I696" s="401"/>
      <c r="J696" s="401"/>
      <c r="K696" s="401"/>
      <c r="L696" s="401"/>
      <c r="M696" s="401"/>
      <c r="N696" s="401"/>
      <c r="O696" s="401"/>
      <c r="P696" s="401"/>
      <c r="Q696" s="401"/>
      <c r="R696" s="401"/>
      <c r="S696" s="401"/>
      <c r="T696" s="401"/>
      <c r="U696" s="401"/>
      <c r="V696" s="401"/>
      <c r="W696" s="401"/>
      <c r="X696" s="401"/>
      <c r="Y696" s="401"/>
      <c r="Z696" s="401"/>
    </row>
    <row r="697">
      <c r="A697" s="401"/>
      <c r="B697" s="401"/>
      <c r="C697" s="401"/>
      <c r="D697" s="401"/>
      <c r="E697" s="401"/>
      <c r="F697" s="401"/>
      <c r="G697" s="401"/>
      <c r="H697" s="401"/>
      <c r="I697" s="401"/>
      <c r="J697" s="401"/>
      <c r="K697" s="401"/>
      <c r="L697" s="401"/>
      <c r="M697" s="401"/>
      <c r="N697" s="401"/>
      <c r="O697" s="401"/>
      <c r="P697" s="401"/>
      <c r="Q697" s="401"/>
      <c r="R697" s="401"/>
      <c r="S697" s="401"/>
      <c r="T697" s="401"/>
      <c r="U697" s="401"/>
      <c r="V697" s="401"/>
      <c r="W697" s="401"/>
      <c r="X697" s="401"/>
      <c r="Y697" s="401"/>
      <c r="Z697" s="401"/>
    </row>
    <row r="698">
      <c r="A698" s="401"/>
      <c r="B698" s="401"/>
      <c r="C698" s="401"/>
      <c r="D698" s="401"/>
      <c r="E698" s="401"/>
      <c r="F698" s="401"/>
      <c r="G698" s="401"/>
      <c r="H698" s="401"/>
      <c r="I698" s="401"/>
      <c r="J698" s="401"/>
      <c r="K698" s="401"/>
      <c r="L698" s="401"/>
      <c r="M698" s="401"/>
      <c r="N698" s="401"/>
      <c r="O698" s="401"/>
      <c r="P698" s="401"/>
      <c r="Q698" s="401"/>
      <c r="R698" s="401"/>
      <c r="S698" s="401"/>
      <c r="T698" s="401"/>
      <c r="U698" s="401"/>
      <c r="V698" s="401"/>
      <c r="W698" s="401"/>
      <c r="X698" s="401"/>
      <c r="Y698" s="401"/>
      <c r="Z698" s="401"/>
    </row>
    <row r="699">
      <c r="A699" s="401"/>
      <c r="B699" s="401"/>
      <c r="C699" s="401"/>
      <c r="D699" s="401"/>
      <c r="E699" s="401"/>
      <c r="F699" s="401"/>
      <c r="G699" s="401"/>
      <c r="H699" s="401"/>
      <c r="I699" s="401"/>
      <c r="J699" s="401"/>
      <c r="K699" s="401"/>
      <c r="L699" s="401"/>
      <c r="M699" s="401"/>
      <c r="N699" s="401"/>
      <c r="O699" s="401"/>
      <c r="P699" s="401"/>
      <c r="Q699" s="401"/>
      <c r="R699" s="401"/>
      <c r="S699" s="401"/>
      <c r="T699" s="401"/>
      <c r="U699" s="401"/>
      <c r="V699" s="401"/>
      <c r="W699" s="401"/>
      <c r="X699" s="401"/>
      <c r="Y699" s="401"/>
      <c r="Z699" s="401"/>
    </row>
    <row r="700">
      <c r="A700" s="401"/>
      <c r="B700" s="401"/>
      <c r="C700" s="401"/>
      <c r="D700" s="401"/>
      <c r="E700" s="401"/>
      <c r="F700" s="401"/>
      <c r="G700" s="401"/>
      <c r="H700" s="401"/>
      <c r="I700" s="401"/>
      <c r="J700" s="401"/>
      <c r="K700" s="401"/>
      <c r="L700" s="401"/>
      <c r="M700" s="401"/>
      <c r="N700" s="401"/>
      <c r="O700" s="401"/>
      <c r="P700" s="401"/>
      <c r="Q700" s="401"/>
      <c r="R700" s="401"/>
      <c r="S700" s="401"/>
      <c r="T700" s="401"/>
      <c r="U700" s="401"/>
      <c r="V700" s="401"/>
      <c r="W700" s="401"/>
      <c r="X700" s="401"/>
      <c r="Y700" s="401"/>
      <c r="Z700" s="401"/>
    </row>
    <row r="701">
      <c r="A701" s="401"/>
      <c r="B701" s="401"/>
      <c r="C701" s="401"/>
      <c r="D701" s="401"/>
      <c r="E701" s="401"/>
      <c r="F701" s="401"/>
      <c r="G701" s="401"/>
      <c r="H701" s="401"/>
      <c r="I701" s="401"/>
      <c r="J701" s="401"/>
      <c r="K701" s="401"/>
      <c r="L701" s="401"/>
      <c r="M701" s="401"/>
      <c r="N701" s="401"/>
      <c r="O701" s="401"/>
      <c r="P701" s="401"/>
      <c r="Q701" s="401"/>
      <c r="R701" s="401"/>
      <c r="S701" s="401"/>
      <c r="T701" s="401"/>
      <c r="U701" s="401"/>
      <c r="V701" s="401"/>
      <c r="W701" s="401"/>
      <c r="X701" s="401"/>
      <c r="Y701" s="401"/>
      <c r="Z701" s="401"/>
    </row>
    <row r="702">
      <c r="A702" s="401"/>
      <c r="B702" s="401"/>
      <c r="C702" s="401"/>
      <c r="D702" s="401"/>
      <c r="E702" s="401"/>
      <c r="F702" s="401"/>
      <c r="G702" s="401"/>
      <c r="H702" s="401"/>
      <c r="I702" s="401"/>
      <c r="J702" s="401"/>
      <c r="K702" s="401"/>
      <c r="L702" s="401"/>
      <c r="M702" s="401"/>
      <c r="N702" s="401"/>
      <c r="O702" s="401"/>
      <c r="P702" s="401"/>
      <c r="Q702" s="401"/>
      <c r="R702" s="401"/>
      <c r="S702" s="401"/>
      <c r="T702" s="401"/>
      <c r="U702" s="401"/>
      <c r="V702" s="401"/>
      <c r="W702" s="401"/>
      <c r="X702" s="401"/>
      <c r="Y702" s="401"/>
      <c r="Z702" s="401"/>
    </row>
    <row r="703">
      <c r="A703" s="401"/>
      <c r="B703" s="401"/>
      <c r="C703" s="401"/>
      <c r="D703" s="401"/>
      <c r="E703" s="401"/>
      <c r="F703" s="401"/>
      <c r="G703" s="401"/>
      <c r="H703" s="401"/>
      <c r="I703" s="401"/>
      <c r="J703" s="401"/>
      <c r="K703" s="401"/>
      <c r="L703" s="401"/>
      <c r="M703" s="401"/>
      <c r="N703" s="401"/>
      <c r="O703" s="401"/>
      <c r="P703" s="401"/>
      <c r="Q703" s="401"/>
      <c r="R703" s="401"/>
      <c r="S703" s="401"/>
      <c r="T703" s="401"/>
      <c r="U703" s="401"/>
      <c r="V703" s="401"/>
      <c r="W703" s="401"/>
      <c r="X703" s="401"/>
      <c r="Y703" s="401"/>
      <c r="Z703" s="401"/>
    </row>
    <row r="704">
      <c r="A704" s="401"/>
      <c r="B704" s="401"/>
      <c r="C704" s="401"/>
      <c r="D704" s="401"/>
      <c r="E704" s="401"/>
      <c r="F704" s="401"/>
      <c r="G704" s="401"/>
      <c r="H704" s="401"/>
      <c r="I704" s="401"/>
      <c r="J704" s="401"/>
      <c r="K704" s="401"/>
      <c r="L704" s="401"/>
      <c r="M704" s="401"/>
      <c r="N704" s="401"/>
      <c r="O704" s="401"/>
      <c r="P704" s="401"/>
      <c r="Q704" s="401"/>
      <c r="R704" s="401"/>
      <c r="S704" s="401"/>
      <c r="T704" s="401"/>
      <c r="U704" s="401"/>
      <c r="V704" s="401"/>
      <c r="W704" s="401"/>
      <c r="X704" s="401"/>
      <c r="Y704" s="401"/>
      <c r="Z704" s="401"/>
    </row>
    <row r="705">
      <c r="A705" s="401"/>
      <c r="B705" s="401"/>
      <c r="C705" s="401"/>
      <c r="D705" s="401"/>
      <c r="E705" s="401"/>
      <c r="F705" s="401"/>
      <c r="G705" s="401"/>
      <c r="H705" s="401"/>
      <c r="I705" s="401"/>
      <c r="J705" s="401"/>
      <c r="K705" s="401"/>
      <c r="L705" s="401"/>
      <c r="M705" s="401"/>
      <c r="N705" s="401"/>
      <c r="O705" s="401"/>
      <c r="P705" s="401"/>
      <c r="Q705" s="401"/>
      <c r="R705" s="401"/>
      <c r="S705" s="401"/>
      <c r="T705" s="401"/>
      <c r="U705" s="401"/>
      <c r="V705" s="401"/>
      <c r="W705" s="401"/>
      <c r="X705" s="401"/>
      <c r="Y705" s="401"/>
      <c r="Z705" s="401"/>
    </row>
    <row r="706">
      <c r="A706" s="401"/>
      <c r="B706" s="401"/>
      <c r="C706" s="401"/>
      <c r="D706" s="401"/>
      <c r="E706" s="401"/>
      <c r="F706" s="401"/>
      <c r="G706" s="401"/>
      <c r="H706" s="401"/>
      <c r="I706" s="401"/>
      <c r="J706" s="401"/>
      <c r="K706" s="401"/>
      <c r="L706" s="401"/>
      <c r="M706" s="401"/>
      <c r="N706" s="401"/>
      <c r="O706" s="401"/>
      <c r="P706" s="401"/>
      <c r="Q706" s="401"/>
      <c r="R706" s="401"/>
      <c r="S706" s="401"/>
      <c r="T706" s="401"/>
      <c r="U706" s="401"/>
      <c r="V706" s="401"/>
      <c r="W706" s="401"/>
      <c r="X706" s="401"/>
      <c r="Y706" s="401"/>
      <c r="Z706" s="401"/>
    </row>
    <row r="707">
      <c r="A707" s="401"/>
      <c r="B707" s="401"/>
      <c r="C707" s="401"/>
      <c r="D707" s="401"/>
      <c r="E707" s="401"/>
      <c r="F707" s="401"/>
      <c r="G707" s="401"/>
      <c r="H707" s="401"/>
      <c r="I707" s="401"/>
      <c r="J707" s="401"/>
      <c r="K707" s="401"/>
      <c r="L707" s="401"/>
      <c r="M707" s="401"/>
      <c r="N707" s="401"/>
      <c r="O707" s="401"/>
      <c r="P707" s="401"/>
      <c r="Q707" s="401"/>
      <c r="R707" s="401"/>
      <c r="S707" s="401"/>
      <c r="T707" s="401"/>
      <c r="U707" s="401"/>
      <c r="V707" s="401"/>
      <c r="W707" s="401"/>
      <c r="X707" s="401"/>
      <c r="Y707" s="401"/>
      <c r="Z707" s="401"/>
    </row>
    <row r="708">
      <c r="A708" s="401"/>
      <c r="B708" s="401"/>
      <c r="C708" s="401"/>
      <c r="D708" s="401"/>
      <c r="E708" s="401"/>
      <c r="F708" s="401"/>
      <c r="G708" s="401"/>
      <c r="H708" s="401"/>
      <c r="I708" s="401"/>
      <c r="J708" s="401"/>
      <c r="K708" s="401"/>
      <c r="L708" s="401"/>
      <c r="M708" s="401"/>
      <c r="N708" s="401"/>
      <c r="O708" s="401"/>
      <c r="P708" s="401"/>
      <c r="Q708" s="401"/>
      <c r="R708" s="401"/>
      <c r="S708" s="401"/>
      <c r="T708" s="401"/>
      <c r="U708" s="401"/>
      <c r="V708" s="401"/>
      <c r="W708" s="401"/>
      <c r="X708" s="401"/>
      <c r="Y708" s="401"/>
      <c r="Z708" s="401"/>
    </row>
    <row r="709">
      <c r="A709" s="401"/>
      <c r="B709" s="401"/>
      <c r="C709" s="401"/>
      <c r="D709" s="401"/>
      <c r="E709" s="401"/>
      <c r="F709" s="401"/>
      <c r="G709" s="401"/>
      <c r="H709" s="401"/>
      <c r="I709" s="401"/>
      <c r="J709" s="401"/>
      <c r="K709" s="401"/>
      <c r="L709" s="401"/>
      <c r="M709" s="401"/>
      <c r="N709" s="401"/>
      <c r="O709" s="401"/>
      <c r="P709" s="401"/>
      <c r="Q709" s="401"/>
      <c r="R709" s="401"/>
      <c r="S709" s="401"/>
      <c r="T709" s="401"/>
      <c r="U709" s="401"/>
      <c r="V709" s="401"/>
      <c r="W709" s="401"/>
      <c r="X709" s="401"/>
      <c r="Y709" s="401"/>
      <c r="Z709" s="401"/>
    </row>
    <row r="710">
      <c r="A710" s="401"/>
      <c r="B710" s="401"/>
      <c r="C710" s="401"/>
      <c r="D710" s="401"/>
      <c r="E710" s="401"/>
      <c r="F710" s="401"/>
      <c r="G710" s="401"/>
      <c r="H710" s="401"/>
      <c r="I710" s="401"/>
      <c r="J710" s="401"/>
      <c r="K710" s="401"/>
      <c r="L710" s="401"/>
      <c r="M710" s="401"/>
      <c r="N710" s="401"/>
      <c r="O710" s="401"/>
      <c r="P710" s="401"/>
      <c r="Q710" s="401"/>
      <c r="R710" s="401"/>
      <c r="S710" s="401"/>
      <c r="T710" s="401"/>
      <c r="U710" s="401"/>
      <c r="V710" s="401"/>
      <c r="W710" s="401"/>
      <c r="X710" s="401"/>
      <c r="Y710" s="401"/>
      <c r="Z710" s="401"/>
    </row>
    <row r="711">
      <c r="A711" s="401"/>
      <c r="B711" s="401"/>
      <c r="C711" s="401"/>
      <c r="D711" s="401"/>
      <c r="E711" s="401"/>
      <c r="F711" s="401"/>
      <c r="G711" s="401"/>
      <c r="H711" s="401"/>
      <c r="I711" s="401"/>
      <c r="J711" s="401"/>
      <c r="K711" s="401"/>
      <c r="L711" s="401"/>
      <c r="M711" s="401"/>
      <c r="N711" s="401"/>
      <c r="O711" s="401"/>
      <c r="P711" s="401"/>
      <c r="Q711" s="401"/>
      <c r="R711" s="401"/>
      <c r="S711" s="401"/>
      <c r="T711" s="401"/>
      <c r="U711" s="401"/>
      <c r="V711" s="401"/>
      <c r="W711" s="401"/>
      <c r="X711" s="401"/>
      <c r="Y711" s="401"/>
      <c r="Z711" s="401"/>
    </row>
    <row r="712">
      <c r="A712" s="401"/>
      <c r="B712" s="401"/>
      <c r="C712" s="401"/>
      <c r="D712" s="401"/>
      <c r="E712" s="401"/>
      <c r="F712" s="401"/>
      <c r="G712" s="401"/>
      <c r="H712" s="401"/>
      <c r="I712" s="401"/>
      <c r="J712" s="401"/>
      <c r="K712" s="401"/>
      <c r="L712" s="401"/>
      <c r="M712" s="401"/>
      <c r="N712" s="401"/>
      <c r="O712" s="401"/>
      <c r="P712" s="401"/>
      <c r="Q712" s="401"/>
      <c r="R712" s="401"/>
      <c r="S712" s="401"/>
      <c r="T712" s="401"/>
      <c r="U712" s="401"/>
      <c r="V712" s="401"/>
      <c r="W712" s="401"/>
      <c r="X712" s="401"/>
      <c r="Y712" s="401"/>
      <c r="Z712" s="401"/>
    </row>
    <row r="713">
      <c r="A713" s="401"/>
      <c r="B713" s="401"/>
      <c r="C713" s="401"/>
      <c r="D713" s="401"/>
      <c r="E713" s="401"/>
      <c r="F713" s="401"/>
      <c r="G713" s="401"/>
      <c r="H713" s="401"/>
      <c r="I713" s="401"/>
      <c r="J713" s="401"/>
      <c r="K713" s="401"/>
      <c r="L713" s="401"/>
      <c r="M713" s="401"/>
      <c r="N713" s="401"/>
      <c r="O713" s="401"/>
      <c r="P713" s="401"/>
      <c r="Q713" s="401"/>
      <c r="R713" s="401"/>
      <c r="S713" s="401"/>
      <c r="T713" s="401"/>
      <c r="U713" s="401"/>
      <c r="V713" s="401"/>
      <c r="W713" s="401"/>
      <c r="X713" s="401"/>
      <c r="Y713" s="401"/>
      <c r="Z713" s="401"/>
    </row>
    <row r="714">
      <c r="A714" s="401"/>
      <c r="B714" s="401"/>
      <c r="C714" s="401"/>
      <c r="D714" s="401"/>
      <c r="E714" s="401"/>
      <c r="F714" s="401"/>
      <c r="G714" s="401"/>
      <c r="H714" s="401"/>
      <c r="I714" s="401"/>
      <c r="J714" s="401"/>
      <c r="K714" s="401"/>
      <c r="L714" s="401"/>
      <c r="M714" s="401"/>
      <c r="N714" s="401"/>
      <c r="O714" s="401"/>
      <c r="P714" s="401"/>
      <c r="Q714" s="401"/>
      <c r="R714" s="401"/>
      <c r="S714" s="401"/>
      <c r="T714" s="401"/>
      <c r="U714" s="401"/>
      <c r="V714" s="401"/>
      <c r="W714" s="401"/>
      <c r="X714" s="401"/>
      <c r="Y714" s="401"/>
      <c r="Z714" s="401"/>
    </row>
    <row r="715">
      <c r="A715" s="401"/>
      <c r="B715" s="401"/>
      <c r="C715" s="401"/>
      <c r="D715" s="401"/>
      <c r="E715" s="401"/>
      <c r="F715" s="401"/>
      <c r="G715" s="401"/>
      <c r="H715" s="401"/>
      <c r="I715" s="401"/>
      <c r="J715" s="401"/>
      <c r="K715" s="401"/>
      <c r="L715" s="401"/>
      <c r="M715" s="401"/>
      <c r="N715" s="401"/>
      <c r="O715" s="401"/>
      <c r="P715" s="401"/>
      <c r="Q715" s="401"/>
      <c r="R715" s="401"/>
      <c r="S715" s="401"/>
      <c r="T715" s="401"/>
      <c r="U715" s="401"/>
      <c r="V715" s="401"/>
      <c r="W715" s="401"/>
      <c r="X715" s="401"/>
      <c r="Y715" s="401"/>
      <c r="Z715" s="401"/>
    </row>
    <row r="716">
      <c r="A716" s="401"/>
      <c r="B716" s="401"/>
      <c r="C716" s="401"/>
      <c r="D716" s="401"/>
      <c r="E716" s="401"/>
      <c r="F716" s="401"/>
      <c r="G716" s="401"/>
      <c r="H716" s="401"/>
      <c r="I716" s="401"/>
      <c r="J716" s="401"/>
      <c r="K716" s="401"/>
      <c r="L716" s="401"/>
      <c r="M716" s="401"/>
      <c r="N716" s="401"/>
      <c r="O716" s="401"/>
      <c r="P716" s="401"/>
      <c r="Q716" s="401"/>
      <c r="R716" s="401"/>
      <c r="S716" s="401"/>
      <c r="T716" s="401"/>
      <c r="U716" s="401"/>
      <c r="V716" s="401"/>
      <c r="W716" s="401"/>
      <c r="X716" s="401"/>
      <c r="Y716" s="401"/>
      <c r="Z716" s="401"/>
    </row>
    <row r="717">
      <c r="A717" s="401"/>
      <c r="B717" s="401"/>
      <c r="C717" s="401"/>
      <c r="D717" s="401"/>
      <c r="E717" s="401"/>
      <c r="F717" s="401"/>
      <c r="G717" s="401"/>
      <c r="H717" s="401"/>
      <c r="I717" s="401"/>
      <c r="J717" s="401"/>
      <c r="K717" s="401"/>
      <c r="L717" s="401"/>
      <c r="M717" s="401"/>
      <c r="N717" s="401"/>
      <c r="O717" s="401"/>
      <c r="P717" s="401"/>
      <c r="Q717" s="401"/>
      <c r="R717" s="401"/>
      <c r="S717" s="401"/>
      <c r="T717" s="401"/>
      <c r="U717" s="401"/>
      <c r="V717" s="401"/>
      <c r="W717" s="401"/>
      <c r="X717" s="401"/>
      <c r="Y717" s="401"/>
      <c r="Z717" s="401"/>
    </row>
    <row r="718">
      <c r="A718" s="401"/>
      <c r="B718" s="401"/>
      <c r="C718" s="401"/>
      <c r="D718" s="401"/>
      <c r="E718" s="401"/>
      <c r="F718" s="401"/>
      <c r="G718" s="401"/>
      <c r="H718" s="401"/>
      <c r="I718" s="401"/>
      <c r="J718" s="401"/>
      <c r="K718" s="401"/>
      <c r="L718" s="401"/>
      <c r="M718" s="401"/>
      <c r="N718" s="401"/>
      <c r="O718" s="401"/>
      <c r="P718" s="401"/>
      <c r="Q718" s="401"/>
      <c r="R718" s="401"/>
      <c r="S718" s="401"/>
      <c r="T718" s="401"/>
      <c r="U718" s="401"/>
      <c r="V718" s="401"/>
      <c r="W718" s="401"/>
      <c r="X718" s="401"/>
      <c r="Y718" s="401"/>
      <c r="Z718" s="401"/>
    </row>
    <row r="719">
      <c r="A719" s="401"/>
      <c r="B719" s="401"/>
      <c r="C719" s="401"/>
      <c r="D719" s="401"/>
      <c r="E719" s="401"/>
      <c r="F719" s="401"/>
      <c r="G719" s="401"/>
      <c r="H719" s="401"/>
      <c r="I719" s="401"/>
      <c r="J719" s="401"/>
      <c r="K719" s="401"/>
      <c r="L719" s="401"/>
      <c r="M719" s="401"/>
      <c r="N719" s="401"/>
      <c r="O719" s="401"/>
      <c r="P719" s="401"/>
      <c r="Q719" s="401"/>
      <c r="R719" s="401"/>
      <c r="S719" s="401"/>
      <c r="T719" s="401"/>
      <c r="U719" s="401"/>
      <c r="V719" s="401"/>
      <c r="W719" s="401"/>
      <c r="X719" s="401"/>
      <c r="Y719" s="401"/>
      <c r="Z719" s="401"/>
    </row>
    <row r="720">
      <c r="A720" s="401"/>
      <c r="B720" s="401"/>
      <c r="C720" s="401"/>
      <c r="D720" s="401"/>
      <c r="E720" s="401"/>
      <c r="F720" s="401"/>
      <c r="G720" s="401"/>
      <c r="H720" s="401"/>
      <c r="I720" s="401"/>
      <c r="J720" s="401"/>
      <c r="K720" s="401"/>
      <c r="L720" s="401"/>
      <c r="M720" s="401"/>
      <c r="N720" s="401"/>
      <c r="O720" s="401"/>
      <c r="P720" s="401"/>
      <c r="Q720" s="401"/>
      <c r="R720" s="401"/>
      <c r="S720" s="401"/>
      <c r="T720" s="401"/>
      <c r="U720" s="401"/>
      <c r="V720" s="401"/>
      <c r="W720" s="401"/>
      <c r="X720" s="401"/>
      <c r="Y720" s="401"/>
      <c r="Z720" s="401"/>
    </row>
    <row r="721">
      <c r="A721" s="401"/>
      <c r="B721" s="401"/>
      <c r="C721" s="401"/>
      <c r="D721" s="401"/>
      <c r="E721" s="401"/>
      <c r="F721" s="401"/>
      <c r="G721" s="401"/>
      <c r="H721" s="401"/>
      <c r="I721" s="401"/>
      <c r="J721" s="401"/>
      <c r="K721" s="401"/>
      <c r="L721" s="401"/>
      <c r="M721" s="401"/>
      <c r="N721" s="401"/>
      <c r="O721" s="401"/>
      <c r="P721" s="401"/>
      <c r="Q721" s="401"/>
      <c r="R721" s="401"/>
      <c r="S721" s="401"/>
      <c r="T721" s="401"/>
      <c r="U721" s="401"/>
      <c r="V721" s="401"/>
      <c r="W721" s="401"/>
      <c r="X721" s="401"/>
      <c r="Y721" s="401"/>
      <c r="Z721" s="401"/>
    </row>
    <row r="722">
      <c r="A722" s="401"/>
      <c r="B722" s="401"/>
      <c r="C722" s="401"/>
      <c r="D722" s="401"/>
      <c r="E722" s="401"/>
      <c r="F722" s="401"/>
      <c r="G722" s="401"/>
      <c r="H722" s="401"/>
      <c r="I722" s="401"/>
      <c r="J722" s="401"/>
      <c r="K722" s="401"/>
      <c r="L722" s="401"/>
      <c r="M722" s="401"/>
      <c r="N722" s="401"/>
      <c r="O722" s="401"/>
      <c r="P722" s="401"/>
      <c r="Q722" s="401"/>
      <c r="R722" s="401"/>
      <c r="S722" s="401"/>
      <c r="T722" s="401"/>
      <c r="U722" s="401"/>
      <c r="V722" s="401"/>
      <c r="W722" s="401"/>
      <c r="X722" s="401"/>
      <c r="Y722" s="401"/>
      <c r="Z722" s="401"/>
    </row>
    <row r="723">
      <c r="A723" s="401"/>
      <c r="B723" s="401"/>
      <c r="C723" s="401"/>
      <c r="D723" s="401"/>
      <c r="E723" s="401"/>
      <c r="F723" s="401"/>
      <c r="G723" s="401"/>
      <c r="H723" s="401"/>
      <c r="I723" s="401"/>
      <c r="J723" s="401"/>
      <c r="K723" s="401"/>
      <c r="L723" s="401"/>
      <c r="M723" s="401"/>
      <c r="N723" s="401"/>
      <c r="O723" s="401"/>
      <c r="P723" s="401"/>
      <c r="Q723" s="401"/>
      <c r="R723" s="401"/>
      <c r="S723" s="401"/>
      <c r="T723" s="401"/>
      <c r="U723" s="401"/>
      <c r="V723" s="401"/>
      <c r="W723" s="401"/>
      <c r="X723" s="401"/>
      <c r="Y723" s="401"/>
      <c r="Z723" s="401"/>
    </row>
    <row r="724">
      <c r="A724" s="401"/>
      <c r="B724" s="401"/>
      <c r="C724" s="401"/>
      <c r="D724" s="401"/>
      <c r="E724" s="401"/>
      <c r="F724" s="401"/>
      <c r="G724" s="401"/>
      <c r="H724" s="401"/>
      <c r="I724" s="401"/>
      <c r="J724" s="401"/>
      <c r="K724" s="401"/>
      <c r="L724" s="401"/>
      <c r="M724" s="401"/>
      <c r="N724" s="401"/>
      <c r="O724" s="401"/>
      <c r="P724" s="401"/>
      <c r="Q724" s="401"/>
      <c r="R724" s="401"/>
      <c r="S724" s="401"/>
      <c r="T724" s="401"/>
      <c r="U724" s="401"/>
      <c r="V724" s="401"/>
      <c r="W724" s="401"/>
      <c r="X724" s="401"/>
      <c r="Y724" s="401"/>
      <c r="Z724" s="401"/>
    </row>
    <row r="725">
      <c r="A725" s="401"/>
      <c r="B725" s="401"/>
      <c r="C725" s="401"/>
      <c r="D725" s="401"/>
      <c r="E725" s="401"/>
      <c r="F725" s="401"/>
      <c r="G725" s="401"/>
      <c r="H725" s="401"/>
      <c r="I725" s="401"/>
      <c r="J725" s="401"/>
      <c r="K725" s="401"/>
      <c r="L725" s="401"/>
      <c r="M725" s="401"/>
      <c r="N725" s="401"/>
      <c r="O725" s="401"/>
      <c r="P725" s="401"/>
      <c r="Q725" s="401"/>
      <c r="R725" s="401"/>
      <c r="S725" s="401"/>
      <c r="T725" s="401"/>
      <c r="U725" s="401"/>
      <c r="V725" s="401"/>
      <c r="W725" s="401"/>
      <c r="X725" s="401"/>
      <c r="Y725" s="401"/>
      <c r="Z725" s="401"/>
    </row>
    <row r="726">
      <c r="A726" s="401"/>
      <c r="B726" s="401"/>
      <c r="C726" s="401"/>
      <c r="D726" s="401"/>
      <c r="E726" s="401"/>
      <c r="F726" s="401"/>
      <c r="G726" s="401"/>
      <c r="H726" s="401"/>
      <c r="I726" s="401"/>
      <c r="J726" s="401"/>
      <c r="K726" s="401"/>
      <c r="L726" s="401"/>
      <c r="M726" s="401"/>
      <c r="N726" s="401"/>
      <c r="O726" s="401"/>
      <c r="P726" s="401"/>
      <c r="Q726" s="401"/>
      <c r="R726" s="401"/>
      <c r="S726" s="401"/>
      <c r="T726" s="401"/>
      <c r="U726" s="401"/>
      <c r="V726" s="401"/>
      <c r="W726" s="401"/>
      <c r="X726" s="401"/>
      <c r="Y726" s="401"/>
      <c r="Z726" s="401"/>
    </row>
    <row r="727">
      <c r="A727" s="401"/>
      <c r="B727" s="401"/>
      <c r="C727" s="401"/>
      <c r="D727" s="401"/>
      <c r="E727" s="401"/>
      <c r="F727" s="401"/>
      <c r="G727" s="401"/>
      <c r="H727" s="401"/>
      <c r="I727" s="401"/>
      <c r="J727" s="401"/>
      <c r="K727" s="401"/>
      <c r="L727" s="401"/>
      <c r="M727" s="401"/>
      <c r="N727" s="401"/>
      <c r="O727" s="401"/>
      <c r="P727" s="401"/>
      <c r="Q727" s="401"/>
      <c r="R727" s="401"/>
      <c r="S727" s="401"/>
      <c r="T727" s="401"/>
      <c r="U727" s="401"/>
      <c r="V727" s="401"/>
      <c r="W727" s="401"/>
      <c r="X727" s="401"/>
      <c r="Y727" s="401"/>
      <c r="Z727" s="401"/>
    </row>
    <row r="728">
      <c r="A728" s="401"/>
      <c r="B728" s="401"/>
      <c r="C728" s="401"/>
      <c r="D728" s="401"/>
      <c r="E728" s="401"/>
      <c r="F728" s="401"/>
      <c r="G728" s="401"/>
      <c r="H728" s="401"/>
      <c r="I728" s="401"/>
      <c r="J728" s="401"/>
      <c r="K728" s="401"/>
      <c r="L728" s="401"/>
      <c r="M728" s="401"/>
      <c r="N728" s="401"/>
      <c r="O728" s="401"/>
      <c r="P728" s="401"/>
      <c r="Q728" s="401"/>
      <c r="R728" s="401"/>
      <c r="S728" s="401"/>
      <c r="T728" s="401"/>
      <c r="U728" s="401"/>
      <c r="V728" s="401"/>
      <c r="W728" s="401"/>
      <c r="X728" s="401"/>
      <c r="Y728" s="401"/>
      <c r="Z728" s="401"/>
    </row>
    <row r="729">
      <c r="A729" s="401"/>
      <c r="B729" s="401"/>
      <c r="C729" s="401"/>
      <c r="D729" s="401"/>
      <c r="E729" s="401"/>
      <c r="F729" s="401"/>
      <c r="G729" s="401"/>
      <c r="H729" s="401"/>
      <c r="I729" s="401"/>
      <c r="J729" s="401"/>
      <c r="K729" s="401"/>
      <c r="L729" s="401"/>
      <c r="M729" s="401"/>
      <c r="N729" s="401"/>
      <c r="O729" s="401"/>
      <c r="P729" s="401"/>
      <c r="Q729" s="401"/>
      <c r="R729" s="401"/>
      <c r="S729" s="401"/>
      <c r="T729" s="401"/>
      <c r="U729" s="401"/>
      <c r="V729" s="401"/>
      <c r="W729" s="401"/>
      <c r="X729" s="401"/>
      <c r="Y729" s="401"/>
      <c r="Z729" s="401"/>
    </row>
    <row r="730">
      <c r="A730" s="401"/>
      <c r="B730" s="401"/>
      <c r="C730" s="401"/>
      <c r="D730" s="401"/>
      <c r="E730" s="401"/>
      <c r="F730" s="401"/>
      <c r="G730" s="401"/>
      <c r="H730" s="401"/>
      <c r="I730" s="401"/>
      <c r="J730" s="401"/>
      <c r="K730" s="401"/>
      <c r="L730" s="401"/>
      <c r="M730" s="401"/>
      <c r="N730" s="401"/>
      <c r="O730" s="401"/>
      <c r="P730" s="401"/>
      <c r="Q730" s="401"/>
      <c r="R730" s="401"/>
      <c r="S730" s="401"/>
      <c r="T730" s="401"/>
      <c r="U730" s="401"/>
      <c r="V730" s="401"/>
      <c r="W730" s="401"/>
      <c r="X730" s="401"/>
      <c r="Y730" s="401"/>
      <c r="Z730" s="401"/>
    </row>
    <row r="731">
      <c r="A731" s="401"/>
      <c r="B731" s="401"/>
      <c r="C731" s="401"/>
      <c r="D731" s="401"/>
      <c r="E731" s="401"/>
      <c r="F731" s="401"/>
      <c r="G731" s="401"/>
      <c r="H731" s="401"/>
      <c r="I731" s="401"/>
      <c r="J731" s="401"/>
      <c r="K731" s="401"/>
      <c r="L731" s="401"/>
      <c r="M731" s="401"/>
      <c r="N731" s="401"/>
      <c r="O731" s="401"/>
      <c r="P731" s="401"/>
      <c r="Q731" s="401"/>
      <c r="R731" s="401"/>
      <c r="S731" s="401"/>
      <c r="T731" s="401"/>
      <c r="U731" s="401"/>
      <c r="V731" s="401"/>
      <c r="W731" s="401"/>
      <c r="X731" s="401"/>
      <c r="Y731" s="401"/>
      <c r="Z731" s="401"/>
    </row>
    <row r="732">
      <c r="A732" s="401"/>
      <c r="B732" s="401"/>
      <c r="C732" s="401"/>
      <c r="D732" s="401"/>
      <c r="E732" s="401"/>
      <c r="F732" s="401"/>
      <c r="G732" s="401"/>
      <c r="H732" s="401"/>
      <c r="I732" s="401"/>
      <c r="J732" s="401"/>
      <c r="K732" s="401"/>
      <c r="L732" s="401"/>
      <c r="M732" s="401"/>
      <c r="N732" s="401"/>
      <c r="O732" s="401"/>
      <c r="P732" s="401"/>
      <c r="Q732" s="401"/>
      <c r="R732" s="401"/>
      <c r="S732" s="401"/>
      <c r="T732" s="401"/>
      <c r="U732" s="401"/>
      <c r="V732" s="401"/>
      <c r="W732" s="401"/>
      <c r="X732" s="401"/>
      <c r="Y732" s="401"/>
      <c r="Z732" s="401"/>
    </row>
    <row r="733">
      <c r="A733" s="401"/>
      <c r="B733" s="401"/>
      <c r="C733" s="401"/>
      <c r="D733" s="401"/>
      <c r="E733" s="401"/>
      <c r="F733" s="401"/>
      <c r="G733" s="401"/>
      <c r="H733" s="401"/>
      <c r="I733" s="401"/>
      <c r="J733" s="401"/>
      <c r="K733" s="401"/>
      <c r="L733" s="401"/>
      <c r="M733" s="401"/>
      <c r="N733" s="401"/>
      <c r="O733" s="401"/>
      <c r="P733" s="401"/>
      <c r="Q733" s="401"/>
      <c r="R733" s="401"/>
      <c r="S733" s="401"/>
      <c r="T733" s="401"/>
      <c r="U733" s="401"/>
      <c r="V733" s="401"/>
      <c r="W733" s="401"/>
      <c r="X733" s="401"/>
      <c r="Y733" s="401"/>
      <c r="Z733" s="401"/>
    </row>
    <row r="734">
      <c r="A734" s="401"/>
      <c r="B734" s="401"/>
      <c r="C734" s="401"/>
      <c r="D734" s="401"/>
      <c r="E734" s="401"/>
      <c r="F734" s="401"/>
      <c r="G734" s="401"/>
      <c r="H734" s="401"/>
      <c r="I734" s="401"/>
      <c r="J734" s="401"/>
      <c r="K734" s="401"/>
      <c r="L734" s="401"/>
      <c r="M734" s="401"/>
      <c r="N734" s="401"/>
      <c r="O734" s="401"/>
      <c r="P734" s="401"/>
      <c r="Q734" s="401"/>
      <c r="R734" s="401"/>
      <c r="S734" s="401"/>
      <c r="T734" s="401"/>
      <c r="U734" s="401"/>
      <c r="V734" s="401"/>
      <c r="W734" s="401"/>
      <c r="X734" s="401"/>
      <c r="Y734" s="401"/>
      <c r="Z734" s="401"/>
    </row>
    <row r="735">
      <c r="A735" s="401"/>
      <c r="B735" s="401"/>
      <c r="C735" s="401"/>
      <c r="D735" s="401"/>
      <c r="E735" s="401"/>
      <c r="F735" s="401"/>
      <c r="G735" s="401"/>
      <c r="H735" s="401"/>
      <c r="I735" s="401"/>
      <c r="J735" s="401"/>
      <c r="K735" s="401"/>
      <c r="L735" s="401"/>
      <c r="M735" s="401"/>
      <c r="N735" s="401"/>
      <c r="O735" s="401"/>
      <c r="P735" s="401"/>
      <c r="Q735" s="401"/>
      <c r="R735" s="401"/>
      <c r="S735" s="401"/>
      <c r="T735" s="401"/>
      <c r="U735" s="401"/>
      <c r="V735" s="401"/>
      <c r="W735" s="401"/>
      <c r="X735" s="401"/>
      <c r="Y735" s="401"/>
      <c r="Z735" s="401"/>
    </row>
    <row r="736">
      <c r="A736" s="401"/>
      <c r="B736" s="401"/>
      <c r="C736" s="401"/>
      <c r="D736" s="401"/>
      <c r="E736" s="401"/>
      <c r="F736" s="401"/>
      <c r="G736" s="401"/>
      <c r="H736" s="401"/>
      <c r="I736" s="401"/>
      <c r="J736" s="401"/>
      <c r="K736" s="401"/>
      <c r="L736" s="401"/>
      <c r="M736" s="401"/>
      <c r="N736" s="401"/>
      <c r="O736" s="401"/>
      <c r="P736" s="401"/>
      <c r="Q736" s="401"/>
      <c r="R736" s="401"/>
      <c r="S736" s="401"/>
      <c r="T736" s="401"/>
      <c r="U736" s="401"/>
      <c r="V736" s="401"/>
      <c r="W736" s="401"/>
      <c r="X736" s="401"/>
      <c r="Y736" s="401"/>
      <c r="Z736" s="401"/>
    </row>
    <row r="737">
      <c r="A737" s="401"/>
      <c r="B737" s="401"/>
      <c r="C737" s="401"/>
      <c r="D737" s="401"/>
      <c r="E737" s="401"/>
      <c r="F737" s="401"/>
      <c r="G737" s="401"/>
      <c r="H737" s="401"/>
      <c r="I737" s="401"/>
      <c r="J737" s="401"/>
      <c r="K737" s="401"/>
      <c r="L737" s="401"/>
      <c r="M737" s="401"/>
      <c r="N737" s="401"/>
      <c r="O737" s="401"/>
      <c r="P737" s="401"/>
      <c r="Q737" s="401"/>
      <c r="R737" s="401"/>
      <c r="S737" s="401"/>
      <c r="T737" s="401"/>
      <c r="U737" s="401"/>
      <c r="V737" s="401"/>
      <c r="W737" s="401"/>
      <c r="X737" s="401"/>
      <c r="Y737" s="401"/>
      <c r="Z737" s="401"/>
    </row>
    <row r="738">
      <c r="A738" s="401"/>
      <c r="B738" s="401"/>
      <c r="C738" s="401"/>
      <c r="D738" s="401"/>
      <c r="E738" s="401"/>
      <c r="F738" s="401"/>
      <c r="G738" s="401"/>
      <c r="H738" s="401"/>
      <c r="I738" s="401"/>
      <c r="J738" s="401"/>
      <c r="K738" s="401"/>
      <c r="L738" s="401"/>
      <c r="M738" s="401"/>
      <c r="N738" s="401"/>
      <c r="O738" s="401"/>
      <c r="P738" s="401"/>
      <c r="Q738" s="401"/>
      <c r="R738" s="401"/>
      <c r="S738" s="401"/>
      <c r="T738" s="401"/>
      <c r="U738" s="401"/>
      <c r="V738" s="401"/>
      <c r="W738" s="401"/>
      <c r="X738" s="401"/>
      <c r="Y738" s="401"/>
      <c r="Z738" s="401"/>
    </row>
    <row r="739">
      <c r="A739" s="401"/>
      <c r="B739" s="401"/>
      <c r="C739" s="401"/>
      <c r="D739" s="401"/>
      <c r="E739" s="401"/>
      <c r="F739" s="401"/>
      <c r="G739" s="401"/>
      <c r="H739" s="401"/>
      <c r="I739" s="401"/>
      <c r="J739" s="401"/>
      <c r="K739" s="401"/>
      <c r="L739" s="401"/>
      <c r="M739" s="401"/>
      <c r="N739" s="401"/>
      <c r="O739" s="401"/>
      <c r="P739" s="401"/>
      <c r="Q739" s="401"/>
      <c r="R739" s="401"/>
      <c r="S739" s="401"/>
      <c r="T739" s="401"/>
      <c r="U739" s="401"/>
      <c r="V739" s="401"/>
      <c r="W739" s="401"/>
      <c r="X739" s="401"/>
      <c r="Y739" s="401"/>
      <c r="Z739" s="401"/>
    </row>
    <row r="740">
      <c r="A740" s="401"/>
      <c r="B740" s="401"/>
      <c r="C740" s="401"/>
      <c r="D740" s="401"/>
      <c r="E740" s="401"/>
      <c r="F740" s="401"/>
      <c r="G740" s="401"/>
      <c r="H740" s="401"/>
      <c r="I740" s="401"/>
      <c r="J740" s="401"/>
      <c r="K740" s="401"/>
      <c r="L740" s="401"/>
      <c r="M740" s="401"/>
      <c r="N740" s="401"/>
      <c r="O740" s="401"/>
      <c r="P740" s="401"/>
      <c r="Q740" s="401"/>
      <c r="R740" s="401"/>
      <c r="S740" s="401"/>
      <c r="T740" s="401"/>
      <c r="U740" s="401"/>
      <c r="V740" s="401"/>
      <c r="W740" s="401"/>
      <c r="X740" s="401"/>
      <c r="Y740" s="401"/>
      <c r="Z740" s="401"/>
    </row>
    <row r="741">
      <c r="A741" s="401"/>
      <c r="B741" s="401"/>
      <c r="C741" s="401"/>
      <c r="D741" s="401"/>
      <c r="E741" s="401"/>
      <c r="F741" s="401"/>
      <c r="G741" s="401"/>
      <c r="H741" s="401"/>
      <c r="I741" s="401"/>
      <c r="J741" s="401"/>
      <c r="K741" s="401"/>
      <c r="L741" s="401"/>
      <c r="M741" s="401"/>
      <c r="N741" s="401"/>
      <c r="O741" s="401"/>
      <c r="P741" s="401"/>
      <c r="Q741" s="401"/>
      <c r="R741" s="401"/>
      <c r="S741" s="401"/>
      <c r="T741" s="401"/>
      <c r="U741" s="401"/>
      <c r="V741" s="401"/>
      <c r="W741" s="401"/>
      <c r="X741" s="401"/>
      <c r="Y741" s="401"/>
      <c r="Z741" s="401"/>
    </row>
    <row r="742">
      <c r="A742" s="401"/>
      <c r="B742" s="401"/>
      <c r="C742" s="401"/>
      <c r="D742" s="401"/>
      <c r="E742" s="401"/>
      <c r="F742" s="401"/>
      <c r="G742" s="401"/>
      <c r="H742" s="401"/>
      <c r="I742" s="401"/>
      <c r="J742" s="401"/>
      <c r="K742" s="401"/>
      <c r="L742" s="401"/>
      <c r="M742" s="401"/>
      <c r="N742" s="401"/>
      <c r="O742" s="401"/>
      <c r="P742" s="401"/>
      <c r="Q742" s="401"/>
      <c r="R742" s="401"/>
      <c r="S742" s="401"/>
      <c r="T742" s="401"/>
      <c r="U742" s="401"/>
      <c r="V742" s="401"/>
      <c r="W742" s="401"/>
      <c r="X742" s="401"/>
      <c r="Y742" s="401"/>
      <c r="Z742" s="401"/>
    </row>
    <row r="743">
      <c r="A743" s="401"/>
      <c r="B743" s="401"/>
      <c r="C743" s="401"/>
      <c r="D743" s="401"/>
      <c r="E743" s="401"/>
      <c r="F743" s="401"/>
      <c r="G743" s="401"/>
      <c r="H743" s="401"/>
      <c r="I743" s="401"/>
      <c r="J743" s="401"/>
      <c r="K743" s="401"/>
      <c r="L743" s="401"/>
      <c r="M743" s="401"/>
      <c r="N743" s="401"/>
      <c r="O743" s="401"/>
      <c r="P743" s="401"/>
      <c r="Q743" s="401"/>
      <c r="R743" s="401"/>
      <c r="S743" s="401"/>
      <c r="T743" s="401"/>
      <c r="U743" s="401"/>
      <c r="V743" s="401"/>
      <c r="W743" s="401"/>
      <c r="X743" s="401"/>
      <c r="Y743" s="401"/>
      <c r="Z743" s="401"/>
    </row>
    <row r="744">
      <c r="A744" s="401"/>
      <c r="B744" s="401"/>
      <c r="C744" s="401"/>
      <c r="D744" s="401"/>
      <c r="E744" s="401"/>
      <c r="F744" s="401"/>
      <c r="G744" s="401"/>
      <c r="H744" s="401"/>
      <c r="I744" s="401"/>
      <c r="J744" s="401"/>
      <c r="K744" s="401"/>
      <c r="L744" s="401"/>
      <c r="M744" s="401"/>
      <c r="N744" s="401"/>
      <c r="O744" s="401"/>
      <c r="P744" s="401"/>
      <c r="Q744" s="401"/>
      <c r="R744" s="401"/>
      <c r="S744" s="401"/>
      <c r="T744" s="401"/>
      <c r="U744" s="401"/>
      <c r="V744" s="401"/>
      <c r="W744" s="401"/>
      <c r="X744" s="401"/>
      <c r="Y744" s="401"/>
      <c r="Z744" s="401"/>
    </row>
    <row r="745">
      <c r="A745" s="401"/>
      <c r="B745" s="401"/>
      <c r="C745" s="401"/>
      <c r="D745" s="401"/>
      <c r="E745" s="401"/>
      <c r="F745" s="401"/>
      <c r="G745" s="401"/>
      <c r="H745" s="401"/>
      <c r="I745" s="401"/>
      <c r="J745" s="401"/>
      <c r="K745" s="401"/>
      <c r="L745" s="401"/>
      <c r="M745" s="401"/>
      <c r="N745" s="401"/>
      <c r="O745" s="401"/>
      <c r="P745" s="401"/>
      <c r="Q745" s="401"/>
      <c r="R745" s="401"/>
      <c r="S745" s="401"/>
      <c r="T745" s="401"/>
      <c r="U745" s="401"/>
      <c r="V745" s="401"/>
      <c r="W745" s="401"/>
      <c r="X745" s="401"/>
      <c r="Y745" s="401"/>
      <c r="Z745" s="401"/>
    </row>
    <row r="746">
      <c r="A746" s="401"/>
      <c r="B746" s="401"/>
      <c r="C746" s="401"/>
      <c r="D746" s="401"/>
      <c r="E746" s="401"/>
      <c r="F746" s="401"/>
      <c r="G746" s="401"/>
      <c r="H746" s="401"/>
      <c r="I746" s="401"/>
      <c r="J746" s="401"/>
      <c r="K746" s="401"/>
      <c r="L746" s="401"/>
      <c r="M746" s="401"/>
      <c r="N746" s="401"/>
      <c r="O746" s="401"/>
      <c r="P746" s="401"/>
      <c r="Q746" s="401"/>
      <c r="R746" s="401"/>
      <c r="S746" s="401"/>
      <c r="T746" s="401"/>
      <c r="U746" s="401"/>
      <c r="V746" s="401"/>
      <c r="W746" s="401"/>
      <c r="X746" s="401"/>
      <c r="Y746" s="401"/>
      <c r="Z746" s="401"/>
    </row>
    <row r="747">
      <c r="A747" s="401"/>
      <c r="B747" s="401"/>
      <c r="C747" s="401"/>
      <c r="D747" s="401"/>
      <c r="E747" s="401"/>
      <c r="F747" s="401"/>
      <c r="G747" s="401"/>
      <c r="H747" s="401"/>
      <c r="I747" s="401"/>
      <c r="J747" s="401"/>
      <c r="K747" s="401"/>
      <c r="L747" s="401"/>
      <c r="M747" s="401"/>
      <c r="N747" s="401"/>
      <c r="O747" s="401"/>
      <c r="P747" s="401"/>
      <c r="Q747" s="401"/>
      <c r="R747" s="401"/>
      <c r="S747" s="401"/>
      <c r="T747" s="401"/>
      <c r="U747" s="401"/>
      <c r="V747" s="401"/>
      <c r="W747" s="401"/>
      <c r="X747" s="401"/>
      <c r="Y747" s="401"/>
      <c r="Z747" s="401"/>
    </row>
    <row r="748">
      <c r="A748" s="401"/>
      <c r="B748" s="401"/>
      <c r="C748" s="401"/>
      <c r="D748" s="401"/>
      <c r="E748" s="401"/>
      <c r="F748" s="401"/>
      <c r="G748" s="401"/>
      <c r="H748" s="401"/>
      <c r="I748" s="401"/>
      <c r="J748" s="401"/>
      <c r="K748" s="401"/>
      <c r="L748" s="401"/>
      <c r="M748" s="401"/>
      <c r="N748" s="401"/>
      <c r="O748" s="401"/>
      <c r="P748" s="401"/>
      <c r="Q748" s="401"/>
      <c r="R748" s="401"/>
      <c r="S748" s="401"/>
      <c r="T748" s="401"/>
      <c r="U748" s="401"/>
      <c r="V748" s="401"/>
      <c r="W748" s="401"/>
      <c r="X748" s="401"/>
      <c r="Y748" s="401"/>
      <c r="Z748" s="401"/>
    </row>
    <row r="749">
      <c r="A749" s="401"/>
      <c r="B749" s="401"/>
      <c r="C749" s="401"/>
      <c r="D749" s="401"/>
      <c r="E749" s="401"/>
      <c r="F749" s="401"/>
      <c r="G749" s="401"/>
      <c r="H749" s="401"/>
      <c r="I749" s="401"/>
      <c r="J749" s="401"/>
      <c r="K749" s="401"/>
      <c r="L749" s="401"/>
      <c r="M749" s="401"/>
      <c r="N749" s="401"/>
      <c r="O749" s="401"/>
      <c r="P749" s="401"/>
      <c r="Q749" s="401"/>
      <c r="R749" s="401"/>
      <c r="S749" s="401"/>
      <c r="T749" s="401"/>
      <c r="U749" s="401"/>
      <c r="V749" s="401"/>
      <c r="W749" s="401"/>
      <c r="X749" s="401"/>
      <c r="Y749" s="401"/>
      <c r="Z749" s="401"/>
    </row>
    <row r="750">
      <c r="A750" s="401"/>
      <c r="B750" s="401"/>
      <c r="C750" s="401"/>
      <c r="D750" s="401"/>
      <c r="E750" s="401"/>
      <c r="F750" s="401"/>
      <c r="G750" s="401"/>
      <c r="H750" s="401"/>
      <c r="I750" s="401"/>
      <c r="J750" s="401"/>
      <c r="K750" s="401"/>
      <c r="L750" s="401"/>
      <c r="M750" s="401"/>
      <c r="N750" s="401"/>
      <c r="O750" s="401"/>
      <c r="P750" s="401"/>
      <c r="Q750" s="401"/>
      <c r="R750" s="401"/>
      <c r="S750" s="401"/>
      <c r="T750" s="401"/>
      <c r="U750" s="401"/>
      <c r="V750" s="401"/>
      <c r="W750" s="401"/>
      <c r="X750" s="401"/>
      <c r="Y750" s="401"/>
      <c r="Z750" s="401"/>
    </row>
    <row r="751">
      <c r="A751" s="401"/>
      <c r="B751" s="401"/>
      <c r="C751" s="401"/>
      <c r="D751" s="401"/>
      <c r="E751" s="401"/>
      <c r="F751" s="401"/>
      <c r="G751" s="401"/>
      <c r="H751" s="401"/>
      <c r="I751" s="401"/>
      <c r="J751" s="401"/>
      <c r="K751" s="401"/>
      <c r="L751" s="401"/>
      <c r="M751" s="401"/>
      <c r="N751" s="401"/>
      <c r="O751" s="401"/>
      <c r="P751" s="401"/>
      <c r="Q751" s="401"/>
      <c r="R751" s="401"/>
      <c r="S751" s="401"/>
      <c r="T751" s="401"/>
      <c r="U751" s="401"/>
      <c r="V751" s="401"/>
      <c r="W751" s="401"/>
      <c r="X751" s="401"/>
      <c r="Y751" s="401"/>
      <c r="Z751" s="401"/>
    </row>
    <row r="752">
      <c r="A752" s="401"/>
      <c r="B752" s="401"/>
      <c r="C752" s="401"/>
      <c r="D752" s="401"/>
      <c r="E752" s="401"/>
      <c r="F752" s="401"/>
      <c r="G752" s="401"/>
      <c r="H752" s="401"/>
      <c r="I752" s="401"/>
      <c r="J752" s="401"/>
      <c r="K752" s="401"/>
      <c r="L752" s="401"/>
      <c r="M752" s="401"/>
      <c r="N752" s="401"/>
      <c r="O752" s="401"/>
      <c r="P752" s="401"/>
      <c r="Q752" s="401"/>
      <c r="R752" s="401"/>
      <c r="S752" s="401"/>
      <c r="T752" s="401"/>
      <c r="U752" s="401"/>
      <c r="V752" s="401"/>
      <c r="W752" s="401"/>
      <c r="X752" s="401"/>
      <c r="Y752" s="401"/>
      <c r="Z752" s="401"/>
    </row>
    <row r="753">
      <c r="A753" s="401"/>
      <c r="B753" s="401"/>
      <c r="C753" s="401"/>
      <c r="D753" s="401"/>
      <c r="E753" s="401"/>
      <c r="F753" s="401"/>
      <c r="G753" s="401"/>
      <c r="H753" s="401"/>
      <c r="I753" s="401"/>
      <c r="J753" s="401"/>
      <c r="K753" s="401"/>
      <c r="L753" s="401"/>
      <c r="M753" s="401"/>
      <c r="N753" s="401"/>
      <c r="O753" s="401"/>
      <c r="P753" s="401"/>
      <c r="Q753" s="401"/>
      <c r="R753" s="401"/>
      <c r="S753" s="401"/>
      <c r="T753" s="401"/>
      <c r="U753" s="401"/>
      <c r="V753" s="401"/>
      <c r="W753" s="401"/>
      <c r="X753" s="401"/>
      <c r="Y753" s="401"/>
      <c r="Z753" s="401"/>
    </row>
    <row r="754">
      <c r="A754" s="401"/>
      <c r="B754" s="401"/>
      <c r="C754" s="401"/>
      <c r="D754" s="401"/>
      <c r="E754" s="401"/>
      <c r="F754" s="401"/>
      <c r="G754" s="401"/>
      <c r="H754" s="401"/>
      <c r="I754" s="401"/>
      <c r="J754" s="401"/>
      <c r="K754" s="401"/>
      <c r="L754" s="401"/>
      <c r="M754" s="401"/>
      <c r="N754" s="401"/>
      <c r="O754" s="401"/>
      <c r="P754" s="401"/>
      <c r="Q754" s="401"/>
      <c r="R754" s="401"/>
      <c r="S754" s="401"/>
      <c r="T754" s="401"/>
      <c r="U754" s="401"/>
      <c r="V754" s="401"/>
      <c r="W754" s="401"/>
      <c r="X754" s="401"/>
      <c r="Y754" s="401"/>
      <c r="Z754" s="401"/>
    </row>
    <row r="755">
      <c r="A755" s="401"/>
      <c r="B755" s="401"/>
      <c r="C755" s="401"/>
      <c r="D755" s="401"/>
      <c r="E755" s="401"/>
      <c r="F755" s="401"/>
      <c r="G755" s="401"/>
      <c r="H755" s="401"/>
      <c r="I755" s="401"/>
      <c r="J755" s="401"/>
      <c r="K755" s="401"/>
      <c r="L755" s="401"/>
      <c r="M755" s="401"/>
      <c r="N755" s="401"/>
      <c r="O755" s="401"/>
      <c r="P755" s="401"/>
      <c r="Q755" s="401"/>
      <c r="R755" s="401"/>
      <c r="S755" s="401"/>
      <c r="T755" s="401"/>
      <c r="U755" s="401"/>
      <c r="V755" s="401"/>
      <c r="W755" s="401"/>
      <c r="X755" s="401"/>
      <c r="Y755" s="401"/>
      <c r="Z755" s="401"/>
    </row>
    <row r="756">
      <c r="A756" s="401"/>
      <c r="B756" s="401"/>
      <c r="C756" s="401"/>
      <c r="D756" s="401"/>
      <c r="E756" s="401"/>
      <c r="F756" s="401"/>
      <c r="G756" s="401"/>
      <c r="H756" s="401"/>
      <c r="I756" s="401"/>
      <c r="J756" s="401"/>
      <c r="K756" s="401"/>
      <c r="L756" s="401"/>
      <c r="M756" s="401"/>
      <c r="N756" s="401"/>
      <c r="O756" s="401"/>
      <c r="P756" s="401"/>
      <c r="Q756" s="401"/>
      <c r="R756" s="401"/>
      <c r="S756" s="401"/>
      <c r="T756" s="401"/>
      <c r="U756" s="401"/>
      <c r="V756" s="401"/>
      <c r="W756" s="401"/>
      <c r="X756" s="401"/>
      <c r="Y756" s="401"/>
      <c r="Z756" s="401"/>
    </row>
    <row r="757">
      <c r="A757" s="401"/>
      <c r="B757" s="401"/>
      <c r="C757" s="401"/>
      <c r="D757" s="401"/>
      <c r="E757" s="401"/>
      <c r="F757" s="401"/>
      <c r="G757" s="401"/>
      <c r="H757" s="401"/>
      <c r="I757" s="401"/>
      <c r="J757" s="401"/>
      <c r="K757" s="401"/>
      <c r="L757" s="401"/>
      <c r="M757" s="401"/>
      <c r="N757" s="401"/>
      <c r="O757" s="401"/>
      <c r="P757" s="401"/>
      <c r="Q757" s="401"/>
      <c r="R757" s="401"/>
      <c r="S757" s="401"/>
      <c r="T757" s="401"/>
      <c r="U757" s="401"/>
      <c r="V757" s="401"/>
      <c r="W757" s="401"/>
      <c r="X757" s="401"/>
      <c r="Y757" s="401"/>
      <c r="Z757" s="401"/>
    </row>
    <row r="758">
      <c r="A758" s="401"/>
      <c r="B758" s="401"/>
      <c r="C758" s="401"/>
      <c r="D758" s="401"/>
      <c r="E758" s="401"/>
      <c r="F758" s="401"/>
      <c r="G758" s="401"/>
      <c r="H758" s="401"/>
      <c r="I758" s="401"/>
      <c r="J758" s="401"/>
      <c r="K758" s="401"/>
      <c r="L758" s="401"/>
      <c r="M758" s="401"/>
      <c r="N758" s="401"/>
      <c r="O758" s="401"/>
      <c r="P758" s="401"/>
      <c r="Q758" s="401"/>
      <c r="R758" s="401"/>
      <c r="S758" s="401"/>
      <c r="T758" s="401"/>
      <c r="U758" s="401"/>
      <c r="V758" s="401"/>
      <c r="W758" s="401"/>
      <c r="X758" s="401"/>
      <c r="Y758" s="401"/>
      <c r="Z758" s="401"/>
    </row>
    <row r="759">
      <c r="A759" s="401"/>
      <c r="B759" s="401"/>
      <c r="C759" s="401"/>
      <c r="D759" s="401"/>
      <c r="E759" s="401"/>
      <c r="F759" s="401"/>
      <c r="G759" s="401"/>
      <c r="H759" s="401"/>
      <c r="I759" s="401"/>
      <c r="J759" s="401"/>
      <c r="K759" s="401"/>
      <c r="L759" s="401"/>
      <c r="M759" s="401"/>
      <c r="N759" s="401"/>
      <c r="O759" s="401"/>
      <c r="P759" s="401"/>
      <c r="Q759" s="401"/>
      <c r="R759" s="401"/>
      <c r="S759" s="401"/>
      <c r="T759" s="401"/>
      <c r="U759" s="401"/>
      <c r="V759" s="401"/>
      <c r="W759" s="401"/>
      <c r="X759" s="401"/>
      <c r="Y759" s="401"/>
      <c r="Z759" s="401"/>
    </row>
    <row r="760">
      <c r="A760" s="401"/>
      <c r="B760" s="401"/>
      <c r="C760" s="401"/>
      <c r="D760" s="401"/>
      <c r="E760" s="401"/>
      <c r="F760" s="401"/>
      <c r="G760" s="401"/>
      <c r="H760" s="401"/>
      <c r="I760" s="401"/>
      <c r="J760" s="401"/>
      <c r="K760" s="401"/>
      <c r="L760" s="401"/>
      <c r="M760" s="401"/>
      <c r="N760" s="401"/>
      <c r="O760" s="401"/>
      <c r="P760" s="401"/>
      <c r="Q760" s="401"/>
      <c r="R760" s="401"/>
      <c r="S760" s="401"/>
      <c r="T760" s="401"/>
      <c r="U760" s="401"/>
      <c r="V760" s="401"/>
      <c r="W760" s="401"/>
      <c r="X760" s="401"/>
      <c r="Y760" s="401"/>
      <c r="Z760" s="401"/>
    </row>
    <row r="761">
      <c r="A761" s="401"/>
      <c r="B761" s="401"/>
      <c r="C761" s="401"/>
      <c r="D761" s="401"/>
      <c r="E761" s="401"/>
      <c r="F761" s="401"/>
      <c r="G761" s="401"/>
      <c r="H761" s="401"/>
      <c r="I761" s="401"/>
      <c r="J761" s="401"/>
      <c r="K761" s="401"/>
      <c r="L761" s="401"/>
      <c r="M761" s="401"/>
      <c r="N761" s="401"/>
      <c r="O761" s="401"/>
      <c r="P761" s="401"/>
      <c r="Q761" s="401"/>
      <c r="R761" s="401"/>
      <c r="S761" s="401"/>
      <c r="T761" s="401"/>
      <c r="U761" s="401"/>
      <c r="V761" s="401"/>
      <c r="W761" s="401"/>
      <c r="X761" s="401"/>
      <c r="Y761" s="401"/>
      <c r="Z761" s="401"/>
    </row>
    <row r="762">
      <c r="A762" s="401"/>
      <c r="B762" s="401"/>
      <c r="C762" s="401"/>
      <c r="D762" s="401"/>
      <c r="E762" s="401"/>
      <c r="F762" s="401"/>
      <c r="G762" s="401"/>
      <c r="H762" s="401"/>
      <c r="I762" s="401"/>
      <c r="J762" s="401"/>
      <c r="K762" s="401"/>
      <c r="L762" s="401"/>
      <c r="M762" s="401"/>
      <c r="N762" s="401"/>
      <c r="O762" s="401"/>
      <c r="P762" s="401"/>
      <c r="Q762" s="401"/>
      <c r="R762" s="401"/>
      <c r="S762" s="401"/>
      <c r="T762" s="401"/>
      <c r="U762" s="401"/>
      <c r="V762" s="401"/>
      <c r="W762" s="401"/>
      <c r="X762" s="401"/>
      <c r="Y762" s="401"/>
      <c r="Z762" s="401"/>
    </row>
    <row r="763">
      <c r="A763" s="401"/>
      <c r="B763" s="401"/>
      <c r="C763" s="401"/>
      <c r="D763" s="401"/>
      <c r="E763" s="401"/>
      <c r="F763" s="401"/>
      <c r="G763" s="401"/>
      <c r="H763" s="401"/>
      <c r="I763" s="401"/>
      <c r="J763" s="401"/>
      <c r="K763" s="401"/>
      <c r="L763" s="401"/>
      <c r="M763" s="401"/>
      <c r="N763" s="401"/>
      <c r="O763" s="401"/>
      <c r="P763" s="401"/>
      <c r="Q763" s="401"/>
      <c r="R763" s="401"/>
      <c r="S763" s="401"/>
      <c r="T763" s="401"/>
      <c r="U763" s="401"/>
      <c r="V763" s="401"/>
      <c r="W763" s="401"/>
      <c r="X763" s="401"/>
      <c r="Y763" s="401"/>
      <c r="Z763" s="401"/>
    </row>
    <row r="764">
      <c r="A764" s="401"/>
      <c r="B764" s="401"/>
      <c r="C764" s="401"/>
      <c r="D764" s="401"/>
      <c r="E764" s="401"/>
      <c r="F764" s="401"/>
      <c r="G764" s="401"/>
      <c r="H764" s="401"/>
      <c r="I764" s="401"/>
      <c r="J764" s="401"/>
      <c r="K764" s="401"/>
      <c r="L764" s="401"/>
      <c r="M764" s="401"/>
      <c r="N764" s="401"/>
      <c r="O764" s="401"/>
      <c r="P764" s="401"/>
      <c r="Q764" s="401"/>
      <c r="R764" s="401"/>
      <c r="S764" s="401"/>
      <c r="T764" s="401"/>
      <c r="U764" s="401"/>
      <c r="V764" s="401"/>
      <c r="W764" s="401"/>
      <c r="X764" s="401"/>
      <c r="Y764" s="401"/>
      <c r="Z764" s="401"/>
    </row>
    <row r="765">
      <c r="A765" s="401"/>
      <c r="B765" s="401"/>
      <c r="C765" s="401"/>
      <c r="D765" s="401"/>
      <c r="E765" s="401"/>
      <c r="F765" s="401"/>
      <c r="G765" s="401"/>
      <c r="H765" s="401"/>
      <c r="I765" s="401"/>
      <c r="J765" s="401"/>
      <c r="K765" s="401"/>
      <c r="L765" s="401"/>
      <c r="M765" s="401"/>
      <c r="N765" s="401"/>
      <c r="O765" s="401"/>
      <c r="P765" s="401"/>
      <c r="Q765" s="401"/>
      <c r="R765" s="401"/>
      <c r="S765" s="401"/>
      <c r="T765" s="401"/>
      <c r="U765" s="401"/>
      <c r="V765" s="401"/>
      <c r="W765" s="401"/>
      <c r="X765" s="401"/>
      <c r="Y765" s="401"/>
      <c r="Z765" s="401"/>
    </row>
    <row r="766">
      <c r="A766" s="401"/>
      <c r="B766" s="401"/>
      <c r="C766" s="401"/>
      <c r="D766" s="401"/>
      <c r="E766" s="401"/>
      <c r="F766" s="401"/>
      <c r="G766" s="401"/>
      <c r="H766" s="401"/>
      <c r="I766" s="401"/>
      <c r="J766" s="401"/>
      <c r="K766" s="401"/>
      <c r="L766" s="401"/>
      <c r="M766" s="401"/>
      <c r="N766" s="401"/>
      <c r="O766" s="401"/>
      <c r="P766" s="401"/>
      <c r="Q766" s="401"/>
      <c r="R766" s="401"/>
      <c r="S766" s="401"/>
      <c r="T766" s="401"/>
      <c r="U766" s="401"/>
      <c r="V766" s="401"/>
      <c r="W766" s="401"/>
      <c r="X766" s="401"/>
      <c r="Y766" s="401"/>
      <c r="Z766" s="401"/>
    </row>
    <row r="767">
      <c r="A767" s="401"/>
      <c r="B767" s="401"/>
      <c r="C767" s="401"/>
      <c r="D767" s="401"/>
      <c r="E767" s="401"/>
      <c r="F767" s="401"/>
      <c r="G767" s="401"/>
      <c r="H767" s="401"/>
      <c r="I767" s="401"/>
      <c r="J767" s="401"/>
      <c r="K767" s="401"/>
      <c r="L767" s="401"/>
      <c r="M767" s="401"/>
      <c r="N767" s="401"/>
      <c r="O767" s="401"/>
      <c r="P767" s="401"/>
      <c r="Q767" s="401"/>
      <c r="R767" s="401"/>
      <c r="S767" s="401"/>
      <c r="T767" s="401"/>
      <c r="U767" s="401"/>
      <c r="V767" s="401"/>
      <c r="W767" s="401"/>
      <c r="X767" s="401"/>
      <c r="Y767" s="401"/>
      <c r="Z767" s="401"/>
    </row>
    <row r="768">
      <c r="A768" s="401"/>
      <c r="B768" s="401"/>
      <c r="C768" s="401"/>
      <c r="D768" s="401"/>
      <c r="E768" s="401"/>
      <c r="F768" s="401"/>
      <c r="G768" s="401"/>
      <c r="H768" s="401"/>
      <c r="I768" s="401"/>
      <c r="J768" s="401"/>
      <c r="K768" s="401"/>
      <c r="L768" s="401"/>
      <c r="M768" s="401"/>
      <c r="N768" s="401"/>
      <c r="O768" s="401"/>
      <c r="P768" s="401"/>
      <c r="Q768" s="401"/>
      <c r="R768" s="401"/>
      <c r="S768" s="401"/>
      <c r="T768" s="401"/>
      <c r="U768" s="401"/>
      <c r="V768" s="401"/>
      <c r="W768" s="401"/>
      <c r="X768" s="401"/>
      <c r="Y768" s="401"/>
      <c r="Z768" s="401"/>
    </row>
    <row r="769">
      <c r="A769" s="401"/>
      <c r="B769" s="401"/>
      <c r="C769" s="401"/>
      <c r="D769" s="401"/>
      <c r="E769" s="401"/>
      <c r="F769" s="401"/>
      <c r="G769" s="401"/>
      <c r="H769" s="401"/>
      <c r="I769" s="401"/>
      <c r="J769" s="401"/>
      <c r="K769" s="401"/>
      <c r="L769" s="401"/>
      <c r="M769" s="401"/>
      <c r="N769" s="401"/>
      <c r="O769" s="401"/>
      <c r="P769" s="401"/>
      <c r="Q769" s="401"/>
      <c r="R769" s="401"/>
      <c r="S769" s="401"/>
      <c r="T769" s="401"/>
      <c r="U769" s="401"/>
      <c r="V769" s="401"/>
      <c r="W769" s="401"/>
      <c r="X769" s="401"/>
      <c r="Y769" s="401"/>
      <c r="Z769" s="401"/>
    </row>
    <row r="770">
      <c r="A770" s="401"/>
      <c r="B770" s="401"/>
      <c r="C770" s="401"/>
      <c r="D770" s="401"/>
      <c r="E770" s="401"/>
      <c r="F770" s="401"/>
      <c r="G770" s="401"/>
      <c r="H770" s="401"/>
      <c r="I770" s="401"/>
      <c r="J770" s="401"/>
      <c r="K770" s="401"/>
      <c r="L770" s="401"/>
      <c r="M770" s="401"/>
      <c r="N770" s="401"/>
      <c r="O770" s="401"/>
      <c r="P770" s="401"/>
      <c r="Q770" s="401"/>
      <c r="R770" s="401"/>
      <c r="S770" s="401"/>
      <c r="T770" s="401"/>
      <c r="U770" s="401"/>
      <c r="V770" s="401"/>
      <c r="W770" s="401"/>
      <c r="X770" s="401"/>
      <c r="Y770" s="401"/>
      <c r="Z770" s="401"/>
    </row>
    <row r="771">
      <c r="A771" s="401"/>
      <c r="B771" s="401"/>
      <c r="C771" s="401"/>
      <c r="D771" s="401"/>
      <c r="E771" s="401"/>
      <c r="F771" s="401"/>
      <c r="G771" s="401"/>
      <c r="H771" s="401"/>
      <c r="I771" s="401"/>
      <c r="J771" s="401"/>
      <c r="K771" s="401"/>
      <c r="L771" s="401"/>
      <c r="M771" s="401"/>
      <c r="N771" s="401"/>
      <c r="O771" s="401"/>
      <c r="P771" s="401"/>
      <c r="Q771" s="401"/>
      <c r="R771" s="401"/>
      <c r="S771" s="401"/>
      <c r="T771" s="401"/>
      <c r="U771" s="401"/>
      <c r="V771" s="401"/>
      <c r="W771" s="401"/>
      <c r="X771" s="401"/>
      <c r="Y771" s="401"/>
      <c r="Z771" s="401"/>
    </row>
    <row r="772">
      <c r="A772" s="401"/>
      <c r="B772" s="401"/>
      <c r="C772" s="401"/>
      <c r="D772" s="401"/>
      <c r="E772" s="401"/>
      <c r="F772" s="401"/>
      <c r="G772" s="401"/>
      <c r="H772" s="401"/>
      <c r="I772" s="401"/>
      <c r="J772" s="401"/>
      <c r="K772" s="401"/>
      <c r="L772" s="401"/>
      <c r="M772" s="401"/>
      <c r="N772" s="401"/>
      <c r="O772" s="401"/>
      <c r="P772" s="401"/>
      <c r="Q772" s="401"/>
      <c r="R772" s="401"/>
      <c r="S772" s="401"/>
      <c r="T772" s="401"/>
      <c r="U772" s="401"/>
      <c r="V772" s="401"/>
      <c r="W772" s="401"/>
      <c r="X772" s="401"/>
      <c r="Y772" s="401"/>
      <c r="Z772" s="401"/>
    </row>
    <row r="773">
      <c r="A773" s="401"/>
      <c r="B773" s="401"/>
      <c r="C773" s="401"/>
      <c r="D773" s="401"/>
      <c r="E773" s="401"/>
      <c r="F773" s="401"/>
      <c r="G773" s="401"/>
      <c r="H773" s="401"/>
      <c r="I773" s="401"/>
      <c r="J773" s="401"/>
      <c r="K773" s="401"/>
      <c r="L773" s="401"/>
      <c r="M773" s="401"/>
      <c r="N773" s="401"/>
      <c r="O773" s="401"/>
      <c r="P773" s="401"/>
      <c r="Q773" s="401"/>
      <c r="R773" s="401"/>
      <c r="S773" s="401"/>
      <c r="T773" s="401"/>
      <c r="U773" s="401"/>
      <c r="V773" s="401"/>
      <c r="W773" s="401"/>
      <c r="X773" s="401"/>
      <c r="Y773" s="401"/>
      <c r="Z773" s="401"/>
    </row>
    <row r="774">
      <c r="A774" s="401"/>
      <c r="B774" s="401"/>
      <c r="C774" s="401"/>
      <c r="D774" s="401"/>
      <c r="E774" s="401"/>
      <c r="F774" s="401"/>
      <c r="G774" s="401"/>
      <c r="H774" s="401"/>
      <c r="I774" s="401"/>
      <c r="J774" s="401"/>
      <c r="K774" s="401"/>
      <c r="L774" s="401"/>
      <c r="M774" s="401"/>
      <c r="N774" s="401"/>
      <c r="O774" s="401"/>
      <c r="P774" s="401"/>
      <c r="Q774" s="401"/>
      <c r="R774" s="401"/>
      <c r="S774" s="401"/>
      <c r="T774" s="401"/>
      <c r="U774" s="401"/>
      <c r="V774" s="401"/>
      <c r="W774" s="401"/>
      <c r="X774" s="401"/>
      <c r="Y774" s="401"/>
      <c r="Z774" s="401"/>
    </row>
    <row r="775">
      <c r="A775" s="401"/>
      <c r="B775" s="401"/>
      <c r="C775" s="401"/>
      <c r="D775" s="401"/>
      <c r="E775" s="401"/>
      <c r="F775" s="401"/>
      <c r="G775" s="401"/>
      <c r="H775" s="401"/>
      <c r="I775" s="401"/>
      <c r="J775" s="401"/>
      <c r="K775" s="401"/>
      <c r="L775" s="401"/>
      <c r="M775" s="401"/>
      <c r="N775" s="401"/>
      <c r="O775" s="401"/>
      <c r="P775" s="401"/>
      <c r="Q775" s="401"/>
      <c r="R775" s="401"/>
      <c r="S775" s="401"/>
      <c r="T775" s="401"/>
      <c r="U775" s="401"/>
      <c r="V775" s="401"/>
      <c r="W775" s="401"/>
      <c r="X775" s="401"/>
      <c r="Y775" s="401"/>
      <c r="Z775" s="401"/>
    </row>
    <row r="776">
      <c r="A776" s="401"/>
      <c r="B776" s="401"/>
      <c r="C776" s="401"/>
      <c r="D776" s="401"/>
      <c r="E776" s="401"/>
      <c r="F776" s="401"/>
      <c r="G776" s="401"/>
      <c r="H776" s="401"/>
      <c r="I776" s="401"/>
      <c r="J776" s="401"/>
      <c r="K776" s="401"/>
      <c r="L776" s="401"/>
      <c r="M776" s="401"/>
      <c r="N776" s="401"/>
      <c r="O776" s="401"/>
      <c r="P776" s="401"/>
      <c r="Q776" s="401"/>
      <c r="R776" s="401"/>
      <c r="S776" s="401"/>
      <c r="T776" s="401"/>
      <c r="U776" s="401"/>
      <c r="V776" s="401"/>
      <c r="W776" s="401"/>
      <c r="X776" s="401"/>
      <c r="Y776" s="401"/>
      <c r="Z776" s="401"/>
    </row>
    <row r="777">
      <c r="A777" s="401"/>
      <c r="B777" s="401"/>
      <c r="C777" s="401"/>
      <c r="D777" s="401"/>
      <c r="E777" s="401"/>
      <c r="F777" s="401"/>
      <c r="G777" s="401"/>
      <c r="H777" s="401"/>
      <c r="I777" s="401"/>
      <c r="J777" s="401"/>
      <c r="K777" s="401"/>
      <c r="L777" s="401"/>
      <c r="M777" s="401"/>
      <c r="N777" s="401"/>
      <c r="O777" s="401"/>
      <c r="P777" s="401"/>
      <c r="Q777" s="401"/>
      <c r="R777" s="401"/>
      <c r="S777" s="401"/>
      <c r="T777" s="401"/>
      <c r="U777" s="401"/>
      <c r="V777" s="401"/>
      <c r="W777" s="401"/>
      <c r="X777" s="401"/>
      <c r="Y777" s="401"/>
      <c r="Z777" s="401"/>
    </row>
    <row r="778">
      <c r="A778" s="401"/>
      <c r="B778" s="401"/>
      <c r="C778" s="401"/>
      <c r="D778" s="401"/>
      <c r="E778" s="401"/>
      <c r="F778" s="401"/>
      <c r="G778" s="401"/>
      <c r="H778" s="401"/>
      <c r="I778" s="401"/>
      <c r="J778" s="401"/>
      <c r="K778" s="401"/>
      <c r="L778" s="401"/>
      <c r="M778" s="401"/>
      <c r="N778" s="401"/>
      <c r="O778" s="401"/>
      <c r="P778" s="401"/>
      <c r="Q778" s="401"/>
      <c r="R778" s="401"/>
      <c r="S778" s="401"/>
      <c r="T778" s="401"/>
      <c r="U778" s="401"/>
      <c r="V778" s="401"/>
      <c r="W778" s="401"/>
      <c r="X778" s="401"/>
      <c r="Y778" s="401"/>
      <c r="Z778" s="401"/>
    </row>
    <row r="779">
      <c r="A779" s="401"/>
      <c r="B779" s="401"/>
      <c r="C779" s="401"/>
      <c r="D779" s="401"/>
      <c r="E779" s="401"/>
      <c r="F779" s="401"/>
      <c r="G779" s="401"/>
      <c r="H779" s="401"/>
      <c r="I779" s="401"/>
      <c r="J779" s="401"/>
      <c r="K779" s="401"/>
      <c r="L779" s="401"/>
      <c r="M779" s="401"/>
      <c r="N779" s="401"/>
      <c r="O779" s="401"/>
      <c r="P779" s="401"/>
      <c r="Q779" s="401"/>
      <c r="R779" s="401"/>
      <c r="S779" s="401"/>
      <c r="T779" s="401"/>
      <c r="U779" s="401"/>
      <c r="V779" s="401"/>
      <c r="W779" s="401"/>
      <c r="X779" s="401"/>
      <c r="Y779" s="401"/>
      <c r="Z779" s="401"/>
    </row>
    <row r="780">
      <c r="A780" s="401"/>
      <c r="B780" s="401"/>
      <c r="C780" s="401"/>
      <c r="D780" s="401"/>
      <c r="E780" s="401"/>
      <c r="F780" s="401"/>
      <c r="G780" s="401"/>
      <c r="H780" s="401"/>
      <c r="I780" s="401"/>
      <c r="J780" s="401"/>
      <c r="K780" s="401"/>
      <c r="L780" s="401"/>
      <c r="M780" s="401"/>
      <c r="N780" s="401"/>
      <c r="O780" s="401"/>
      <c r="P780" s="401"/>
      <c r="Q780" s="401"/>
      <c r="R780" s="401"/>
      <c r="S780" s="401"/>
      <c r="T780" s="401"/>
      <c r="U780" s="401"/>
      <c r="V780" s="401"/>
      <c r="W780" s="401"/>
      <c r="X780" s="401"/>
      <c r="Y780" s="401"/>
      <c r="Z780" s="401"/>
    </row>
    <row r="781">
      <c r="A781" s="401"/>
      <c r="B781" s="401"/>
      <c r="C781" s="401"/>
      <c r="D781" s="401"/>
      <c r="E781" s="401"/>
      <c r="F781" s="401"/>
      <c r="G781" s="401"/>
      <c r="H781" s="401"/>
      <c r="I781" s="401"/>
      <c r="J781" s="401"/>
      <c r="K781" s="401"/>
      <c r="L781" s="401"/>
      <c r="M781" s="401"/>
      <c r="N781" s="401"/>
      <c r="O781" s="401"/>
      <c r="P781" s="401"/>
      <c r="Q781" s="401"/>
      <c r="R781" s="401"/>
      <c r="S781" s="401"/>
      <c r="T781" s="401"/>
      <c r="U781" s="401"/>
      <c r="V781" s="401"/>
      <c r="W781" s="401"/>
      <c r="X781" s="401"/>
      <c r="Y781" s="401"/>
      <c r="Z781" s="401"/>
    </row>
    <row r="782">
      <c r="A782" s="401"/>
      <c r="B782" s="401"/>
      <c r="C782" s="401"/>
      <c r="D782" s="401"/>
      <c r="E782" s="401"/>
      <c r="F782" s="401"/>
      <c r="G782" s="401"/>
      <c r="H782" s="401"/>
      <c r="I782" s="401"/>
      <c r="J782" s="401"/>
      <c r="K782" s="401"/>
      <c r="L782" s="401"/>
      <c r="M782" s="401"/>
      <c r="N782" s="401"/>
      <c r="O782" s="401"/>
      <c r="P782" s="401"/>
      <c r="Q782" s="401"/>
      <c r="R782" s="401"/>
      <c r="S782" s="401"/>
      <c r="T782" s="401"/>
      <c r="U782" s="401"/>
      <c r="V782" s="401"/>
      <c r="W782" s="401"/>
      <c r="X782" s="401"/>
      <c r="Y782" s="401"/>
      <c r="Z782" s="401"/>
    </row>
    <row r="783">
      <c r="A783" s="401"/>
      <c r="B783" s="401"/>
      <c r="C783" s="401"/>
      <c r="D783" s="401"/>
      <c r="E783" s="401"/>
      <c r="F783" s="401"/>
      <c r="G783" s="401"/>
      <c r="H783" s="401"/>
      <c r="I783" s="401"/>
      <c r="J783" s="401"/>
      <c r="K783" s="401"/>
      <c r="L783" s="401"/>
      <c r="M783" s="401"/>
      <c r="N783" s="401"/>
      <c r="O783" s="401"/>
      <c r="P783" s="401"/>
      <c r="Q783" s="401"/>
      <c r="R783" s="401"/>
      <c r="S783" s="401"/>
      <c r="T783" s="401"/>
      <c r="U783" s="401"/>
      <c r="V783" s="401"/>
      <c r="W783" s="401"/>
      <c r="X783" s="401"/>
      <c r="Y783" s="401"/>
      <c r="Z783" s="401"/>
    </row>
    <row r="784">
      <c r="A784" s="401"/>
      <c r="B784" s="401"/>
      <c r="C784" s="401"/>
      <c r="D784" s="401"/>
      <c r="E784" s="401"/>
      <c r="F784" s="401"/>
      <c r="G784" s="401"/>
      <c r="H784" s="401"/>
      <c r="I784" s="401"/>
      <c r="J784" s="401"/>
      <c r="K784" s="401"/>
      <c r="L784" s="401"/>
      <c r="M784" s="401"/>
      <c r="N784" s="401"/>
      <c r="O784" s="401"/>
      <c r="P784" s="401"/>
      <c r="Q784" s="401"/>
      <c r="R784" s="401"/>
      <c r="S784" s="401"/>
      <c r="T784" s="401"/>
      <c r="U784" s="401"/>
      <c r="V784" s="401"/>
      <c r="W784" s="401"/>
      <c r="X784" s="401"/>
      <c r="Y784" s="401"/>
      <c r="Z784" s="401"/>
    </row>
    <row r="785">
      <c r="A785" s="401"/>
      <c r="B785" s="401"/>
      <c r="C785" s="401"/>
      <c r="D785" s="401"/>
      <c r="E785" s="401"/>
      <c r="F785" s="401"/>
      <c r="G785" s="401"/>
      <c r="H785" s="401"/>
      <c r="I785" s="401"/>
      <c r="J785" s="401"/>
      <c r="K785" s="401"/>
      <c r="L785" s="401"/>
      <c r="M785" s="401"/>
      <c r="N785" s="401"/>
      <c r="O785" s="401"/>
      <c r="P785" s="401"/>
      <c r="Q785" s="401"/>
      <c r="R785" s="401"/>
      <c r="S785" s="401"/>
      <c r="T785" s="401"/>
      <c r="U785" s="401"/>
      <c r="V785" s="401"/>
      <c r="W785" s="401"/>
      <c r="X785" s="401"/>
      <c r="Y785" s="401"/>
      <c r="Z785" s="401"/>
    </row>
    <row r="786">
      <c r="A786" s="401"/>
      <c r="B786" s="401"/>
      <c r="C786" s="401"/>
      <c r="D786" s="401"/>
      <c r="E786" s="401"/>
      <c r="F786" s="401"/>
      <c r="G786" s="401"/>
      <c r="H786" s="401"/>
      <c r="I786" s="401"/>
      <c r="J786" s="401"/>
      <c r="K786" s="401"/>
      <c r="L786" s="401"/>
      <c r="M786" s="401"/>
      <c r="N786" s="401"/>
      <c r="O786" s="401"/>
      <c r="P786" s="401"/>
      <c r="Q786" s="401"/>
      <c r="R786" s="401"/>
      <c r="S786" s="401"/>
      <c r="T786" s="401"/>
      <c r="U786" s="401"/>
      <c r="V786" s="401"/>
      <c r="W786" s="401"/>
      <c r="X786" s="401"/>
      <c r="Y786" s="401"/>
      <c r="Z786" s="401"/>
    </row>
    <row r="787">
      <c r="A787" s="401"/>
      <c r="B787" s="401"/>
      <c r="C787" s="401"/>
      <c r="D787" s="401"/>
      <c r="E787" s="401"/>
      <c r="F787" s="401"/>
      <c r="G787" s="401"/>
      <c r="H787" s="401"/>
      <c r="I787" s="401"/>
      <c r="J787" s="401"/>
      <c r="K787" s="401"/>
      <c r="L787" s="401"/>
      <c r="M787" s="401"/>
      <c r="N787" s="401"/>
      <c r="O787" s="401"/>
      <c r="P787" s="401"/>
      <c r="Q787" s="401"/>
      <c r="R787" s="401"/>
      <c r="S787" s="401"/>
      <c r="T787" s="401"/>
      <c r="U787" s="401"/>
      <c r="V787" s="401"/>
      <c r="W787" s="401"/>
      <c r="X787" s="401"/>
      <c r="Y787" s="401"/>
      <c r="Z787" s="401"/>
    </row>
    <row r="788">
      <c r="A788" s="401"/>
      <c r="B788" s="401"/>
      <c r="C788" s="401"/>
      <c r="D788" s="401"/>
      <c r="E788" s="401"/>
      <c r="F788" s="401"/>
      <c r="G788" s="401"/>
      <c r="H788" s="401"/>
      <c r="I788" s="401"/>
      <c r="J788" s="401"/>
      <c r="K788" s="401"/>
      <c r="L788" s="401"/>
      <c r="M788" s="401"/>
      <c r="N788" s="401"/>
      <c r="O788" s="401"/>
      <c r="P788" s="401"/>
      <c r="Q788" s="401"/>
      <c r="R788" s="401"/>
      <c r="S788" s="401"/>
      <c r="T788" s="401"/>
      <c r="U788" s="401"/>
      <c r="V788" s="401"/>
      <c r="W788" s="401"/>
      <c r="X788" s="401"/>
      <c r="Y788" s="401"/>
      <c r="Z788" s="401"/>
    </row>
    <row r="789">
      <c r="A789" s="401"/>
      <c r="B789" s="401"/>
      <c r="C789" s="401"/>
      <c r="D789" s="401"/>
      <c r="E789" s="401"/>
      <c r="F789" s="401"/>
      <c r="G789" s="401"/>
      <c r="H789" s="401"/>
      <c r="I789" s="401"/>
      <c r="J789" s="401"/>
      <c r="K789" s="401"/>
      <c r="L789" s="401"/>
      <c r="M789" s="401"/>
      <c r="N789" s="401"/>
      <c r="O789" s="401"/>
      <c r="P789" s="401"/>
      <c r="Q789" s="401"/>
      <c r="R789" s="401"/>
      <c r="S789" s="401"/>
      <c r="T789" s="401"/>
      <c r="U789" s="401"/>
      <c r="V789" s="401"/>
      <c r="W789" s="401"/>
      <c r="X789" s="401"/>
      <c r="Y789" s="401"/>
      <c r="Z789" s="401"/>
    </row>
    <row r="790">
      <c r="A790" s="401"/>
      <c r="B790" s="401"/>
      <c r="C790" s="401"/>
      <c r="D790" s="401"/>
      <c r="E790" s="401"/>
      <c r="F790" s="401"/>
      <c r="G790" s="401"/>
      <c r="H790" s="401"/>
      <c r="I790" s="401"/>
      <c r="J790" s="401"/>
      <c r="K790" s="401"/>
      <c r="L790" s="401"/>
      <c r="M790" s="401"/>
      <c r="N790" s="401"/>
      <c r="O790" s="401"/>
      <c r="P790" s="401"/>
      <c r="Q790" s="401"/>
      <c r="R790" s="401"/>
      <c r="S790" s="401"/>
      <c r="T790" s="401"/>
      <c r="U790" s="401"/>
      <c r="V790" s="401"/>
      <c r="W790" s="401"/>
      <c r="X790" s="401"/>
      <c r="Y790" s="401"/>
      <c r="Z790" s="401"/>
    </row>
    <row r="791">
      <c r="A791" s="401"/>
      <c r="B791" s="401"/>
      <c r="C791" s="401"/>
      <c r="D791" s="401"/>
      <c r="E791" s="401"/>
      <c r="F791" s="401"/>
      <c r="G791" s="401"/>
      <c r="H791" s="401"/>
      <c r="I791" s="401"/>
      <c r="J791" s="401"/>
      <c r="K791" s="401"/>
      <c r="L791" s="401"/>
      <c r="M791" s="401"/>
      <c r="N791" s="401"/>
      <c r="O791" s="401"/>
      <c r="P791" s="401"/>
      <c r="Q791" s="401"/>
      <c r="R791" s="401"/>
      <c r="S791" s="401"/>
      <c r="T791" s="401"/>
      <c r="U791" s="401"/>
      <c r="V791" s="401"/>
      <c r="W791" s="401"/>
      <c r="X791" s="401"/>
      <c r="Y791" s="401"/>
      <c r="Z791" s="401"/>
    </row>
    <row r="792">
      <c r="A792" s="401"/>
      <c r="B792" s="401"/>
      <c r="C792" s="401"/>
      <c r="D792" s="401"/>
      <c r="E792" s="401"/>
      <c r="F792" s="401"/>
      <c r="G792" s="401"/>
      <c r="H792" s="401"/>
      <c r="I792" s="401"/>
      <c r="J792" s="401"/>
      <c r="K792" s="401"/>
      <c r="L792" s="401"/>
      <c r="M792" s="401"/>
      <c r="N792" s="401"/>
      <c r="O792" s="401"/>
      <c r="P792" s="401"/>
      <c r="Q792" s="401"/>
      <c r="R792" s="401"/>
      <c r="S792" s="401"/>
      <c r="T792" s="401"/>
      <c r="U792" s="401"/>
      <c r="V792" s="401"/>
      <c r="W792" s="401"/>
      <c r="X792" s="401"/>
      <c r="Y792" s="401"/>
      <c r="Z792" s="401"/>
    </row>
    <row r="793">
      <c r="A793" s="401"/>
      <c r="B793" s="401"/>
      <c r="C793" s="401"/>
      <c r="D793" s="401"/>
      <c r="E793" s="401"/>
      <c r="F793" s="401"/>
      <c r="G793" s="401"/>
      <c r="H793" s="401"/>
      <c r="I793" s="401"/>
      <c r="J793" s="401"/>
      <c r="K793" s="401"/>
      <c r="L793" s="401"/>
      <c r="M793" s="401"/>
      <c r="N793" s="401"/>
      <c r="O793" s="401"/>
      <c r="P793" s="401"/>
      <c r="Q793" s="401"/>
      <c r="R793" s="401"/>
      <c r="S793" s="401"/>
      <c r="T793" s="401"/>
      <c r="U793" s="401"/>
      <c r="V793" s="401"/>
      <c r="W793" s="401"/>
      <c r="X793" s="401"/>
      <c r="Y793" s="401"/>
      <c r="Z793" s="401"/>
    </row>
    <row r="794">
      <c r="A794" s="401"/>
      <c r="B794" s="401"/>
      <c r="C794" s="401"/>
      <c r="D794" s="401"/>
      <c r="E794" s="401"/>
      <c r="F794" s="401"/>
      <c r="G794" s="401"/>
      <c r="H794" s="401"/>
      <c r="I794" s="401"/>
      <c r="J794" s="401"/>
      <c r="K794" s="401"/>
      <c r="L794" s="401"/>
      <c r="M794" s="401"/>
      <c r="N794" s="401"/>
      <c r="O794" s="401"/>
      <c r="P794" s="401"/>
      <c r="Q794" s="401"/>
      <c r="R794" s="401"/>
      <c r="S794" s="401"/>
      <c r="T794" s="401"/>
      <c r="U794" s="401"/>
      <c r="V794" s="401"/>
      <c r="W794" s="401"/>
      <c r="X794" s="401"/>
      <c r="Y794" s="401"/>
      <c r="Z794" s="401"/>
    </row>
    <row r="795">
      <c r="A795" s="401"/>
      <c r="B795" s="401"/>
      <c r="C795" s="401"/>
      <c r="D795" s="401"/>
      <c r="E795" s="401"/>
      <c r="F795" s="401"/>
      <c r="G795" s="401"/>
      <c r="H795" s="401"/>
      <c r="I795" s="401"/>
      <c r="J795" s="401"/>
      <c r="K795" s="401"/>
      <c r="L795" s="401"/>
      <c r="M795" s="401"/>
      <c r="N795" s="401"/>
      <c r="O795" s="401"/>
      <c r="P795" s="401"/>
      <c r="Q795" s="401"/>
      <c r="R795" s="401"/>
      <c r="S795" s="401"/>
      <c r="T795" s="401"/>
      <c r="U795" s="401"/>
      <c r="V795" s="401"/>
      <c r="W795" s="401"/>
      <c r="X795" s="401"/>
      <c r="Y795" s="401"/>
      <c r="Z795" s="401"/>
    </row>
    <row r="796">
      <c r="A796" s="401"/>
      <c r="B796" s="401"/>
      <c r="C796" s="401"/>
      <c r="D796" s="401"/>
      <c r="E796" s="401"/>
      <c r="F796" s="401"/>
      <c r="G796" s="401"/>
      <c r="H796" s="401"/>
      <c r="I796" s="401"/>
      <c r="J796" s="401"/>
      <c r="K796" s="401"/>
      <c r="L796" s="401"/>
      <c r="M796" s="401"/>
      <c r="N796" s="401"/>
      <c r="O796" s="401"/>
      <c r="P796" s="401"/>
      <c r="Q796" s="401"/>
      <c r="R796" s="401"/>
      <c r="S796" s="401"/>
      <c r="T796" s="401"/>
      <c r="U796" s="401"/>
      <c r="V796" s="401"/>
      <c r="W796" s="401"/>
      <c r="X796" s="401"/>
      <c r="Y796" s="401"/>
      <c r="Z796" s="401"/>
    </row>
    <row r="797">
      <c r="A797" s="401"/>
      <c r="B797" s="401"/>
      <c r="C797" s="401"/>
      <c r="D797" s="401"/>
      <c r="E797" s="401"/>
      <c r="F797" s="401"/>
      <c r="G797" s="401"/>
      <c r="H797" s="401"/>
      <c r="I797" s="401"/>
      <c r="J797" s="401"/>
      <c r="K797" s="401"/>
      <c r="L797" s="401"/>
      <c r="M797" s="401"/>
      <c r="N797" s="401"/>
      <c r="O797" s="401"/>
      <c r="P797" s="401"/>
      <c r="Q797" s="401"/>
      <c r="R797" s="401"/>
      <c r="S797" s="401"/>
      <c r="T797" s="401"/>
      <c r="U797" s="401"/>
      <c r="V797" s="401"/>
      <c r="W797" s="401"/>
      <c r="X797" s="401"/>
      <c r="Y797" s="401"/>
      <c r="Z797" s="401"/>
    </row>
    <row r="798">
      <c r="A798" s="401"/>
      <c r="B798" s="401"/>
      <c r="C798" s="401"/>
      <c r="D798" s="401"/>
      <c r="E798" s="401"/>
      <c r="F798" s="401"/>
      <c r="G798" s="401"/>
      <c r="H798" s="401"/>
      <c r="I798" s="401"/>
      <c r="J798" s="401"/>
      <c r="K798" s="401"/>
      <c r="L798" s="401"/>
      <c r="M798" s="401"/>
      <c r="N798" s="401"/>
      <c r="O798" s="401"/>
      <c r="P798" s="401"/>
      <c r="Q798" s="401"/>
      <c r="R798" s="401"/>
      <c r="S798" s="401"/>
      <c r="T798" s="401"/>
      <c r="U798" s="401"/>
      <c r="V798" s="401"/>
      <c r="W798" s="401"/>
      <c r="X798" s="401"/>
      <c r="Y798" s="401"/>
      <c r="Z798" s="401"/>
    </row>
    <row r="799">
      <c r="A799" s="401"/>
      <c r="B799" s="401"/>
      <c r="C799" s="401"/>
      <c r="D799" s="401"/>
      <c r="E799" s="401"/>
      <c r="F799" s="401"/>
      <c r="G799" s="401"/>
      <c r="H799" s="401"/>
      <c r="I799" s="401"/>
      <c r="J799" s="401"/>
      <c r="K799" s="401"/>
      <c r="L799" s="401"/>
      <c r="M799" s="401"/>
      <c r="N799" s="401"/>
      <c r="O799" s="401"/>
      <c r="P799" s="401"/>
      <c r="Q799" s="401"/>
      <c r="R799" s="401"/>
      <c r="S799" s="401"/>
      <c r="T799" s="401"/>
      <c r="U799" s="401"/>
      <c r="V799" s="401"/>
      <c r="W799" s="401"/>
      <c r="X799" s="401"/>
      <c r="Y799" s="401"/>
      <c r="Z799" s="401"/>
    </row>
    <row r="800">
      <c r="A800" s="401"/>
      <c r="B800" s="401"/>
      <c r="C800" s="401"/>
      <c r="D800" s="401"/>
      <c r="E800" s="401"/>
      <c r="F800" s="401"/>
      <c r="G800" s="401"/>
      <c r="H800" s="401"/>
      <c r="I800" s="401"/>
      <c r="J800" s="401"/>
      <c r="K800" s="401"/>
      <c r="L800" s="401"/>
      <c r="M800" s="401"/>
      <c r="N800" s="401"/>
      <c r="O800" s="401"/>
      <c r="P800" s="401"/>
      <c r="Q800" s="401"/>
      <c r="R800" s="401"/>
      <c r="S800" s="401"/>
      <c r="T800" s="401"/>
      <c r="U800" s="401"/>
      <c r="V800" s="401"/>
      <c r="W800" s="401"/>
      <c r="X800" s="401"/>
      <c r="Y800" s="401"/>
      <c r="Z800" s="401"/>
    </row>
    <row r="801">
      <c r="A801" s="401"/>
      <c r="B801" s="401"/>
      <c r="C801" s="401"/>
      <c r="D801" s="401"/>
      <c r="E801" s="401"/>
      <c r="F801" s="401"/>
      <c r="G801" s="401"/>
      <c r="H801" s="401"/>
      <c r="I801" s="401"/>
      <c r="J801" s="401"/>
      <c r="K801" s="401"/>
      <c r="L801" s="401"/>
      <c r="M801" s="401"/>
      <c r="N801" s="401"/>
      <c r="O801" s="401"/>
      <c r="P801" s="401"/>
      <c r="Q801" s="401"/>
      <c r="R801" s="401"/>
      <c r="S801" s="401"/>
      <c r="T801" s="401"/>
      <c r="U801" s="401"/>
      <c r="V801" s="401"/>
      <c r="W801" s="401"/>
      <c r="X801" s="401"/>
      <c r="Y801" s="401"/>
      <c r="Z801" s="401"/>
    </row>
    <row r="802">
      <c r="A802" s="401"/>
      <c r="B802" s="401"/>
      <c r="C802" s="401"/>
      <c r="D802" s="401"/>
      <c r="E802" s="401"/>
      <c r="F802" s="401"/>
      <c r="G802" s="401"/>
      <c r="H802" s="401"/>
      <c r="I802" s="401"/>
      <c r="J802" s="401"/>
      <c r="K802" s="401"/>
      <c r="L802" s="401"/>
      <c r="M802" s="401"/>
      <c r="N802" s="401"/>
      <c r="O802" s="401"/>
      <c r="P802" s="401"/>
      <c r="Q802" s="401"/>
      <c r="R802" s="401"/>
      <c r="S802" s="401"/>
      <c r="T802" s="401"/>
      <c r="U802" s="401"/>
      <c r="V802" s="401"/>
      <c r="W802" s="401"/>
      <c r="X802" s="401"/>
      <c r="Y802" s="401"/>
      <c r="Z802" s="401"/>
    </row>
    <row r="803">
      <c r="A803" s="401"/>
      <c r="B803" s="401"/>
      <c r="C803" s="401"/>
      <c r="D803" s="401"/>
      <c r="E803" s="401"/>
      <c r="F803" s="401"/>
      <c r="G803" s="401"/>
      <c r="H803" s="401"/>
      <c r="I803" s="401"/>
      <c r="J803" s="401"/>
      <c r="K803" s="401"/>
      <c r="L803" s="401"/>
      <c r="M803" s="401"/>
      <c r="N803" s="401"/>
      <c r="O803" s="401"/>
      <c r="P803" s="401"/>
      <c r="Q803" s="401"/>
      <c r="R803" s="401"/>
      <c r="S803" s="401"/>
      <c r="T803" s="401"/>
      <c r="U803" s="401"/>
      <c r="V803" s="401"/>
      <c r="W803" s="401"/>
      <c r="X803" s="401"/>
      <c r="Y803" s="401"/>
      <c r="Z803" s="401"/>
    </row>
    <row r="804">
      <c r="A804" s="401"/>
      <c r="B804" s="401"/>
      <c r="C804" s="401"/>
      <c r="D804" s="401"/>
      <c r="E804" s="401"/>
      <c r="F804" s="401"/>
      <c r="G804" s="401"/>
      <c r="H804" s="401"/>
      <c r="I804" s="401"/>
      <c r="J804" s="401"/>
      <c r="K804" s="401"/>
      <c r="L804" s="401"/>
      <c r="M804" s="401"/>
      <c r="N804" s="401"/>
      <c r="O804" s="401"/>
      <c r="P804" s="401"/>
      <c r="Q804" s="401"/>
      <c r="R804" s="401"/>
      <c r="S804" s="401"/>
      <c r="T804" s="401"/>
      <c r="U804" s="401"/>
      <c r="V804" s="401"/>
      <c r="W804" s="401"/>
      <c r="X804" s="401"/>
      <c r="Y804" s="401"/>
      <c r="Z804" s="401"/>
    </row>
    <row r="805">
      <c r="A805" s="401"/>
      <c r="B805" s="401"/>
      <c r="C805" s="401"/>
      <c r="D805" s="401"/>
      <c r="E805" s="401"/>
      <c r="F805" s="401"/>
      <c r="G805" s="401"/>
      <c r="H805" s="401"/>
      <c r="I805" s="401"/>
      <c r="J805" s="401"/>
      <c r="K805" s="401"/>
      <c r="L805" s="401"/>
      <c r="M805" s="401"/>
      <c r="N805" s="401"/>
      <c r="O805" s="401"/>
      <c r="P805" s="401"/>
      <c r="Q805" s="401"/>
      <c r="R805" s="401"/>
      <c r="S805" s="401"/>
      <c r="T805" s="401"/>
      <c r="U805" s="401"/>
      <c r="V805" s="401"/>
      <c r="W805" s="401"/>
      <c r="X805" s="401"/>
      <c r="Y805" s="401"/>
      <c r="Z805" s="401"/>
    </row>
    <row r="806">
      <c r="A806" s="401"/>
      <c r="B806" s="401"/>
      <c r="C806" s="401"/>
      <c r="D806" s="401"/>
      <c r="E806" s="401"/>
      <c r="F806" s="401"/>
      <c r="G806" s="401"/>
      <c r="H806" s="401"/>
      <c r="I806" s="401"/>
      <c r="J806" s="401"/>
      <c r="K806" s="401"/>
      <c r="L806" s="401"/>
      <c r="M806" s="401"/>
      <c r="N806" s="401"/>
      <c r="O806" s="401"/>
      <c r="P806" s="401"/>
      <c r="Q806" s="401"/>
      <c r="R806" s="401"/>
      <c r="S806" s="401"/>
      <c r="T806" s="401"/>
      <c r="U806" s="401"/>
      <c r="V806" s="401"/>
      <c r="W806" s="401"/>
      <c r="X806" s="401"/>
      <c r="Y806" s="401"/>
      <c r="Z806" s="401"/>
    </row>
    <row r="807">
      <c r="A807" s="401"/>
      <c r="B807" s="401"/>
      <c r="C807" s="401"/>
      <c r="D807" s="401"/>
      <c r="E807" s="401"/>
      <c r="F807" s="401"/>
      <c r="G807" s="401"/>
      <c r="H807" s="401"/>
      <c r="I807" s="401"/>
      <c r="J807" s="401"/>
      <c r="K807" s="401"/>
      <c r="L807" s="401"/>
      <c r="M807" s="401"/>
      <c r="N807" s="401"/>
      <c r="O807" s="401"/>
      <c r="P807" s="401"/>
      <c r="Q807" s="401"/>
      <c r="R807" s="401"/>
      <c r="S807" s="401"/>
      <c r="T807" s="401"/>
      <c r="U807" s="401"/>
      <c r="V807" s="401"/>
      <c r="W807" s="401"/>
      <c r="X807" s="401"/>
      <c r="Y807" s="401"/>
      <c r="Z807" s="401"/>
    </row>
    <row r="808">
      <c r="A808" s="401"/>
      <c r="B808" s="401"/>
      <c r="C808" s="401"/>
      <c r="D808" s="401"/>
      <c r="E808" s="401"/>
      <c r="F808" s="401"/>
      <c r="G808" s="401"/>
      <c r="H808" s="401"/>
      <c r="I808" s="401"/>
      <c r="J808" s="401"/>
      <c r="K808" s="401"/>
      <c r="L808" s="401"/>
      <c r="M808" s="401"/>
      <c r="N808" s="401"/>
      <c r="O808" s="401"/>
      <c r="P808" s="401"/>
      <c r="Q808" s="401"/>
      <c r="R808" s="401"/>
      <c r="S808" s="401"/>
      <c r="T808" s="401"/>
      <c r="U808" s="401"/>
      <c r="V808" s="401"/>
      <c r="W808" s="401"/>
      <c r="X808" s="401"/>
      <c r="Y808" s="401"/>
      <c r="Z808" s="401"/>
    </row>
    <row r="809">
      <c r="A809" s="401"/>
      <c r="B809" s="401"/>
      <c r="C809" s="401"/>
      <c r="D809" s="401"/>
      <c r="E809" s="401"/>
      <c r="F809" s="401"/>
      <c r="G809" s="401"/>
      <c r="H809" s="401"/>
      <c r="I809" s="401"/>
      <c r="J809" s="401"/>
      <c r="K809" s="401"/>
      <c r="L809" s="401"/>
      <c r="M809" s="401"/>
      <c r="N809" s="401"/>
      <c r="O809" s="401"/>
      <c r="P809" s="401"/>
      <c r="Q809" s="401"/>
      <c r="R809" s="401"/>
      <c r="S809" s="401"/>
      <c r="T809" s="401"/>
      <c r="U809" s="401"/>
      <c r="V809" s="401"/>
      <c r="W809" s="401"/>
      <c r="X809" s="401"/>
      <c r="Y809" s="401"/>
      <c r="Z809" s="401"/>
    </row>
    <row r="810">
      <c r="A810" s="401"/>
      <c r="B810" s="401"/>
      <c r="C810" s="401"/>
      <c r="D810" s="401"/>
      <c r="E810" s="401"/>
      <c r="F810" s="401"/>
      <c r="G810" s="401"/>
      <c r="H810" s="401"/>
      <c r="I810" s="401"/>
      <c r="J810" s="401"/>
      <c r="K810" s="401"/>
      <c r="L810" s="401"/>
      <c r="M810" s="401"/>
      <c r="N810" s="401"/>
      <c r="O810" s="401"/>
      <c r="P810" s="401"/>
      <c r="Q810" s="401"/>
      <c r="R810" s="401"/>
      <c r="S810" s="401"/>
      <c r="T810" s="401"/>
      <c r="U810" s="401"/>
      <c r="V810" s="401"/>
      <c r="W810" s="401"/>
      <c r="X810" s="401"/>
      <c r="Y810" s="401"/>
      <c r="Z810" s="401"/>
    </row>
    <row r="811">
      <c r="A811" s="401"/>
      <c r="B811" s="401"/>
      <c r="C811" s="401"/>
      <c r="D811" s="401"/>
      <c r="E811" s="401"/>
      <c r="F811" s="401"/>
      <c r="G811" s="401"/>
      <c r="H811" s="401"/>
      <c r="I811" s="401"/>
      <c r="J811" s="401"/>
      <c r="K811" s="401"/>
      <c r="L811" s="401"/>
      <c r="M811" s="401"/>
      <c r="N811" s="401"/>
      <c r="O811" s="401"/>
      <c r="P811" s="401"/>
      <c r="Q811" s="401"/>
      <c r="R811" s="401"/>
      <c r="S811" s="401"/>
      <c r="T811" s="401"/>
      <c r="U811" s="401"/>
      <c r="V811" s="401"/>
      <c r="W811" s="401"/>
      <c r="X811" s="401"/>
      <c r="Y811" s="401"/>
      <c r="Z811" s="401"/>
    </row>
    <row r="812">
      <c r="A812" s="401"/>
      <c r="B812" s="401"/>
      <c r="C812" s="401"/>
      <c r="D812" s="401"/>
      <c r="E812" s="401"/>
      <c r="F812" s="401"/>
      <c r="G812" s="401"/>
      <c r="H812" s="401"/>
      <c r="I812" s="401"/>
      <c r="J812" s="401"/>
      <c r="K812" s="401"/>
      <c r="L812" s="401"/>
      <c r="M812" s="401"/>
      <c r="N812" s="401"/>
      <c r="O812" s="401"/>
      <c r="P812" s="401"/>
      <c r="Q812" s="401"/>
      <c r="R812" s="401"/>
      <c r="S812" s="401"/>
      <c r="T812" s="401"/>
      <c r="U812" s="401"/>
      <c r="V812" s="401"/>
      <c r="W812" s="401"/>
      <c r="X812" s="401"/>
      <c r="Y812" s="401"/>
      <c r="Z812" s="401"/>
    </row>
    <row r="813">
      <c r="A813" s="401"/>
      <c r="B813" s="401"/>
      <c r="C813" s="401"/>
      <c r="D813" s="401"/>
      <c r="E813" s="401"/>
      <c r="F813" s="401"/>
      <c r="G813" s="401"/>
      <c r="H813" s="401"/>
      <c r="I813" s="401"/>
      <c r="J813" s="401"/>
      <c r="K813" s="401"/>
      <c r="L813" s="401"/>
      <c r="M813" s="401"/>
      <c r="N813" s="401"/>
      <c r="O813" s="401"/>
      <c r="P813" s="401"/>
      <c r="Q813" s="401"/>
      <c r="R813" s="401"/>
      <c r="S813" s="401"/>
      <c r="T813" s="401"/>
      <c r="U813" s="401"/>
      <c r="V813" s="401"/>
      <c r="W813" s="401"/>
      <c r="X813" s="401"/>
      <c r="Y813" s="401"/>
      <c r="Z813" s="401"/>
    </row>
    <row r="814">
      <c r="A814" s="401"/>
      <c r="B814" s="401"/>
      <c r="C814" s="401"/>
      <c r="D814" s="401"/>
      <c r="E814" s="401"/>
      <c r="F814" s="401"/>
      <c r="G814" s="401"/>
      <c r="H814" s="401"/>
      <c r="I814" s="401"/>
      <c r="J814" s="401"/>
      <c r="K814" s="401"/>
      <c r="L814" s="401"/>
      <c r="M814" s="401"/>
      <c r="N814" s="401"/>
      <c r="O814" s="401"/>
      <c r="P814" s="401"/>
      <c r="Q814" s="401"/>
      <c r="R814" s="401"/>
      <c r="S814" s="401"/>
      <c r="T814" s="401"/>
      <c r="U814" s="401"/>
      <c r="V814" s="401"/>
      <c r="W814" s="401"/>
      <c r="X814" s="401"/>
      <c r="Y814" s="401"/>
      <c r="Z814" s="401"/>
    </row>
    <row r="815">
      <c r="A815" s="401"/>
      <c r="B815" s="401"/>
      <c r="C815" s="401"/>
      <c r="D815" s="401"/>
      <c r="E815" s="401"/>
      <c r="F815" s="401"/>
      <c r="G815" s="401"/>
      <c r="H815" s="401"/>
      <c r="I815" s="401"/>
      <c r="J815" s="401"/>
      <c r="K815" s="401"/>
      <c r="L815" s="401"/>
      <c r="M815" s="401"/>
      <c r="N815" s="401"/>
      <c r="O815" s="401"/>
      <c r="P815" s="401"/>
      <c r="Q815" s="401"/>
      <c r="R815" s="401"/>
      <c r="S815" s="401"/>
      <c r="T815" s="401"/>
      <c r="U815" s="401"/>
      <c r="V815" s="401"/>
      <c r="W815" s="401"/>
      <c r="X815" s="401"/>
      <c r="Y815" s="401"/>
      <c r="Z815" s="401"/>
    </row>
    <row r="816">
      <c r="A816" s="401"/>
      <c r="B816" s="401"/>
      <c r="C816" s="401"/>
      <c r="D816" s="401"/>
      <c r="E816" s="401"/>
      <c r="F816" s="401"/>
      <c r="G816" s="401"/>
      <c r="H816" s="401"/>
      <c r="I816" s="401"/>
      <c r="J816" s="401"/>
      <c r="K816" s="401"/>
      <c r="L816" s="401"/>
      <c r="M816" s="401"/>
      <c r="N816" s="401"/>
      <c r="O816" s="401"/>
      <c r="P816" s="401"/>
      <c r="Q816" s="401"/>
      <c r="R816" s="401"/>
      <c r="S816" s="401"/>
      <c r="T816" s="401"/>
      <c r="U816" s="401"/>
      <c r="V816" s="401"/>
      <c r="W816" s="401"/>
      <c r="X816" s="401"/>
      <c r="Y816" s="401"/>
      <c r="Z816" s="401"/>
    </row>
    <row r="817">
      <c r="A817" s="401"/>
      <c r="B817" s="401"/>
      <c r="C817" s="401"/>
      <c r="D817" s="401"/>
      <c r="E817" s="401"/>
      <c r="F817" s="401"/>
      <c r="G817" s="401"/>
      <c r="H817" s="401"/>
      <c r="I817" s="401"/>
      <c r="J817" s="401"/>
      <c r="K817" s="401"/>
      <c r="L817" s="401"/>
      <c r="M817" s="401"/>
      <c r="N817" s="401"/>
      <c r="O817" s="401"/>
      <c r="P817" s="401"/>
      <c r="Q817" s="401"/>
      <c r="R817" s="401"/>
      <c r="S817" s="401"/>
      <c r="T817" s="401"/>
      <c r="U817" s="401"/>
      <c r="V817" s="401"/>
      <c r="W817" s="401"/>
      <c r="X817" s="401"/>
      <c r="Y817" s="401"/>
      <c r="Z817" s="401"/>
    </row>
    <row r="818">
      <c r="A818" s="401"/>
      <c r="B818" s="401"/>
      <c r="C818" s="401"/>
      <c r="D818" s="401"/>
      <c r="E818" s="401"/>
      <c r="F818" s="401"/>
      <c r="G818" s="401"/>
      <c r="H818" s="401"/>
      <c r="I818" s="401"/>
      <c r="J818" s="401"/>
      <c r="K818" s="401"/>
      <c r="L818" s="401"/>
      <c r="M818" s="401"/>
      <c r="N818" s="401"/>
      <c r="O818" s="401"/>
      <c r="P818" s="401"/>
      <c r="Q818" s="401"/>
      <c r="R818" s="401"/>
      <c r="S818" s="401"/>
      <c r="T818" s="401"/>
      <c r="U818" s="401"/>
      <c r="V818" s="401"/>
      <c r="W818" s="401"/>
      <c r="X818" s="401"/>
      <c r="Y818" s="401"/>
      <c r="Z818" s="401"/>
    </row>
    <row r="819">
      <c r="A819" s="401"/>
      <c r="B819" s="401"/>
      <c r="C819" s="401"/>
      <c r="D819" s="401"/>
      <c r="E819" s="401"/>
      <c r="F819" s="401"/>
      <c r="G819" s="401"/>
      <c r="H819" s="401"/>
      <c r="I819" s="401"/>
      <c r="J819" s="401"/>
      <c r="K819" s="401"/>
      <c r="L819" s="401"/>
      <c r="M819" s="401"/>
      <c r="N819" s="401"/>
      <c r="O819" s="401"/>
      <c r="P819" s="401"/>
      <c r="Q819" s="401"/>
      <c r="R819" s="401"/>
      <c r="S819" s="401"/>
      <c r="T819" s="401"/>
      <c r="U819" s="401"/>
      <c r="V819" s="401"/>
      <c r="W819" s="401"/>
      <c r="X819" s="401"/>
      <c r="Y819" s="401"/>
      <c r="Z819" s="401"/>
    </row>
    <row r="820">
      <c r="A820" s="401"/>
      <c r="B820" s="401"/>
      <c r="C820" s="401"/>
      <c r="D820" s="401"/>
      <c r="E820" s="401"/>
      <c r="F820" s="401"/>
      <c r="G820" s="401"/>
      <c r="H820" s="401"/>
      <c r="I820" s="401"/>
      <c r="J820" s="401"/>
      <c r="K820" s="401"/>
      <c r="L820" s="401"/>
      <c r="M820" s="401"/>
      <c r="N820" s="401"/>
      <c r="O820" s="401"/>
      <c r="P820" s="401"/>
      <c r="Q820" s="401"/>
      <c r="R820" s="401"/>
      <c r="S820" s="401"/>
      <c r="T820" s="401"/>
      <c r="U820" s="401"/>
      <c r="V820" s="401"/>
      <c r="W820" s="401"/>
      <c r="X820" s="401"/>
      <c r="Y820" s="401"/>
      <c r="Z820" s="401"/>
    </row>
    <row r="821">
      <c r="A821" s="401"/>
      <c r="B821" s="401"/>
      <c r="C821" s="401"/>
      <c r="D821" s="401"/>
      <c r="E821" s="401"/>
      <c r="F821" s="401"/>
      <c r="G821" s="401"/>
      <c r="H821" s="401"/>
      <c r="I821" s="401"/>
      <c r="J821" s="401"/>
      <c r="K821" s="401"/>
      <c r="L821" s="401"/>
      <c r="M821" s="401"/>
      <c r="N821" s="401"/>
      <c r="O821" s="401"/>
      <c r="P821" s="401"/>
      <c r="Q821" s="401"/>
      <c r="R821" s="401"/>
      <c r="S821" s="401"/>
      <c r="T821" s="401"/>
      <c r="U821" s="401"/>
      <c r="V821" s="401"/>
      <c r="W821" s="401"/>
      <c r="X821" s="401"/>
      <c r="Y821" s="401"/>
      <c r="Z821" s="401"/>
    </row>
    <row r="822">
      <c r="A822" s="401"/>
      <c r="B822" s="401"/>
      <c r="C822" s="401"/>
      <c r="D822" s="401"/>
      <c r="E822" s="401"/>
      <c r="F822" s="401"/>
      <c r="G822" s="401"/>
      <c r="H822" s="401"/>
      <c r="I822" s="401"/>
      <c r="J822" s="401"/>
      <c r="K822" s="401"/>
      <c r="L822" s="401"/>
      <c r="M822" s="401"/>
      <c r="N822" s="401"/>
      <c r="O822" s="401"/>
      <c r="P822" s="401"/>
      <c r="Q822" s="401"/>
      <c r="R822" s="401"/>
      <c r="S822" s="401"/>
      <c r="T822" s="401"/>
      <c r="U822" s="401"/>
      <c r="V822" s="401"/>
      <c r="W822" s="401"/>
      <c r="X822" s="401"/>
      <c r="Y822" s="401"/>
      <c r="Z822" s="401"/>
    </row>
    <row r="823">
      <c r="A823" s="401"/>
      <c r="B823" s="401"/>
      <c r="C823" s="401"/>
      <c r="D823" s="401"/>
      <c r="E823" s="401"/>
      <c r="F823" s="401"/>
      <c r="G823" s="401"/>
      <c r="H823" s="401"/>
      <c r="I823" s="401"/>
      <c r="J823" s="401"/>
      <c r="K823" s="401"/>
      <c r="L823" s="401"/>
      <c r="M823" s="401"/>
      <c r="N823" s="401"/>
      <c r="O823" s="401"/>
      <c r="P823" s="401"/>
      <c r="Q823" s="401"/>
      <c r="R823" s="401"/>
      <c r="S823" s="401"/>
      <c r="T823" s="401"/>
      <c r="U823" s="401"/>
      <c r="V823" s="401"/>
      <c r="W823" s="401"/>
      <c r="X823" s="401"/>
      <c r="Y823" s="401"/>
      <c r="Z823" s="401"/>
    </row>
    <row r="824">
      <c r="A824" s="401"/>
      <c r="B824" s="401"/>
      <c r="C824" s="401"/>
      <c r="D824" s="401"/>
      <c r="E824" s="401"/>
      <c r="F824" s="401"/>
      <c r="G824" s="401"/>
      <c r="H824" s="401"/>
      <c r="I824" s="401"/>
      <c r="J824" s="401"/>
      <c r="K824" s="401"/>
      <c r="L824" s="401"/>
      <c r="M824" s="401"/>
      <c r="N824" s="401"/>
      <c r="O824" s="401"/>
      <c r="P824" s="401"/>
      <c r="Q824" s="401"/>
      <c r="R824" s="401"/>
      <c r="S824" s="401"/>
      <c r="T824" s="401"/>
      <c r="U824" s="401"/>
      <c r="V824" s="401"/>
      <c r="W824" s="401"/>
      <c r="X824" s="401"/>
      <c r="Y824" s="401"/>
      <c r="Z824" s="401"/>
    </row>
    <row r="825">
      <c r="A825" s="401"/>
      <c r="B825" s="401"/>
      <c r="C825" s="401"/>
      <c r="D825" s="401"/>
      <c r="E825" s="401"/>
      <c r="F825" s="401"/>
      <c r="G825" s="401"/>
      <c r="H825" s="401"/>
      <c r="I825" s="401"/>
      <c r="J825" s="401"/>
      <c r="K825" s="401"/>
      <c r="L825" s="401"/>
      <c r="M825" s="401"/>
      <c r="N825" s="401"/>
      <c r="O825" s="401"/>
      <c r="P825" s="401"/>
      <c r="Q825" s="401"/>
      <c r="R825" s="401"/>
      <c r="S825" s="401"/>
      <c r="T825" s="401"/>
      <c r="U825" s="401"/>
      <c r="V825" s="401"/>
      <c r="W825" s="401"/>
      <c r="X825" s="401"/>
      <c r="Y825" s="401"/>
      <c r="Z825" s="401"/>
    </row>
    <row r="826">
      <c r="A826" s="401"/>
      <c r="B826" s="401"/>
      <c r="C826" s="401"/>
      <c r="D826" s="401"/>
      <c r="E826" s="401"/>
      <c r="F826" s="401"/>
      <c r="G826" s="401"/>
      <c r="H826" s="401"/>
      <c r="I826" s="401"/>
      <c r="J826" s="401"/>
      <c r="K826" s="401"/>
      <c r="L826" s="401"/>
      <c r="M826" s="401"/>
      <c r="N826" s="401"/>
      <c r="O826" s="401"/>
      <c r="P826" s="401"/>
      <c r="Q826" s="401"/>
      <c r="R826" s="401"/>
      <c r="S826" s="401"/>
      <c r="T826" s="401"/>
      <c r="U826" s="401"/>
      <c r="V826" s="401"/>
      <c r="W826" s="401"/>
      <c r="X826" s="401"/>
      <c r="Y826" s="401"/>
      <c r="Z826" s="401"/>
    </row>
    <row r="827">
      <c r="A827" s="401"/>
      <c r="B827" s="401"/>
      <c r="C827" s="401"/>
      <c r="D827" s="401"/>
      <c r="E827" s="401"/>
      <c r="F827" s="401"/>
      <c r="G827" s="401"/>
      <c r="H827" s="401"/>
      <c r="I827" s="401"/>
      <c r="J827" s="401"/>
      <c r="K827" s="401"/>
      <c r="L827" s="401"/>
      <c r="M827" s="401"/>
      <c r="N827" s="401"/>
      <c r="O827" s="401"/>
      <c r="P827" s="401"/>
      <c r="Q827" s="401"/>
      <c r="R827" s="401"/>
      <c r="S827" s="401"/>
      <c r="T827" s="401"/>
      <c r="U827" s="401"/>
      <c r="V827" s="401"/>
      <c r="W827" s="401"/>
      <c r="X827" s="401"/>
      <c r="Y827" s="401"/>
      <c r="Z827" s="401"/>
    </row>
    <row r="828">
      <c r="A828" s="401"/>
      <c r="B828" s="401"/>
      <c r="C828" s="401"/>
      <c r="D828" s="401"/>
      <c r="E828" s="401"/>
      <c r="F828" s="401"/>
      <c r="G828" s="401"/>
      <c r="H828" s="401"/>
      <c r="I828" s="401"/>
      <c r="J828" s="401"/>
      <c r="K828" s="401"/>
      <c r="L828" s="401"/>
      <c r="M828" s="401"/>
      <c r="N828" s="401"/>
      <c r="O828" s="401"/>
      <c r="P828" s="401"/>
      <c r="Q828" s="401"/>
      <c r="R828" s="401"/>
      <c r="S828" s="401"/>
      <c r="T828" s="401"/>
      <c r="U828" s="401"/>
      <c r="V828" s="401"/>
      <c r="W828" s="401"/>
      <c r="X828" s="401"/>
      <c r="Y828" s="401"/>
      <c r="Z828" s="401"/>
    </row>
    <row r="829">
      <c r="A829" s="401"/>
      <c r="B829" s="401"/>
      <c r="C829" s="401"/>
      <c r="D829" s="401"/>
      <c r="E829" s="401"/>
      <c r="F829" s="401"/>
      <c r="G829" s="401"/>
      <c r="H829" s="401"/>
      <c r="I829" s="401"/>
      <c r="J829" s="401"/>
      <c r="K829" s="401"/>
      <c r="L829" s="401"/>
      <c r="M829" s="401"/>
      <c r="N829" s="401"/>
      <c r="O829" s="401"/>
      <c r="P829" s="401"/>
      <c r="Q829" s="401"/>
      <c r="R829" s="401"/>
      <c r="S829" s="401"/>
      <c r="T829" s="401"/>
      <c r="U829" s="401"/>
      <c r="V829" s="401"/>
      <c r="W829" s="401"/>
      <c r="X829" s="401"/>
      <c r="Y829" s="401"/>
      <c r="Z829" s="401"/>
    </row>
    <row r="830">
      <c r="A830" s="401"/>
      <c r="B830" s="401"/>
      <c r="C830" s="401"/>
      <c r="D830" s="401"/>
      <c r="E830" s="401"/>
      <c r="F830" s="401"/>
      <c r="G830" s="401"/>
      <c r="H830" s="401"/>
      <c r="I830" s="401"/>
      <c r="J830" s="401"/>
      <c r="K830" s="401"/>
      <c r="L830" s="401"/>
      <c r="M830" s="401"/>
      <c r="N830" s="401"/>
      <c r="O830" s="401"/>
      <c r="P830" s="401"/>
      <c r="Q830" s="401"/>
      <c r="R830" s="401"/>
      <c r="S830" s="401"/>
      <c r="T830" s="401"/>
      <c r="U830" s="401"/>
      <c r="V830" s="401"/>
      <c r="W830" s="401"/>
      <c r="X830" s="401"/>
      <c r="Y830" s="401"/>
      <c r="Z830" s="401"/>
    </row>
    <row r="831">
      <c r="A831" s="401"/>
      <c r="B831" s="401"/>
      <c r="C831" s="401"/>
      <c r="D831" s="401"/>
      <c r="E831" s="401"/>
      <c r="F831" s="401"/>
      <c r="G831" s="401"/>
      <c r="H831" s="401"/>
      <c r="I831" s="401"/>
      <c r="J831" s="401"/>
      <c r="K831" s="401"/>
      <c r="L831" s="401"/>
      <c r="M831" s="401"/>
      <c r="N831" s="401"/>
      <c r="O831" s="401"/>
      <c r="P831" s="401"/>
      <c r="Q831" s="401"/>
      <c r="R831" s="401"/>
      <c r="S831" s="401"/>
      <c r="T831" s="401"/>
      <c r="U831" s="401"/>
      <c r="V831" s="401"/>
      <c r="W831" s="401"/>
      <c r="X831" s="401"/>
      <c r="Y831" s="401"/>
      <c r="Z831" s="401"/>
    </row>
    <row r="832">
      <c r="A832" s="401"/>
      <c r="B832" s="401"/>
      <c r="C832" s="401"/>
      <c r="D832" s="401"/>
      <c r="E832" s="401"/>
      <c r="F832" s="401"/>
      <c r="G832" s="401"/>
      <c r="H832" s="401"/>
      <c r="I832" s="401"/>
      <c r="J832" s="401"/>
      <c r="K832" s="401"/>
      <c r="L832" s="401"/>
      <c r="M832" s="401"/>
      <c r="N832" s="401"/>
      <c r="O832" s="401"/>
      <c r="P832" s="401"/>
      <c r="Q832" s="401"/>
      <c r="R832" s="401"/>
      <c r="S832" s="401"/>
      <c r="T832" s="401"/>
      <c r="U832" s="401"/>
      <c r="V832" s="401"/>
      <c r="W832" s="401"/>
      <c r="X832" s="401"/>
      <c r="Y832" s="401"/>
      <c r="Z832" s="401"/>
    </row>
    <row r="833">
      <c r="A833" s="401"/>
      <c r="B833" s="401"/>
      <c r="C833" s="401"/>
      <c r="D833" s="401"/>
      <c r="E833" s="401"/>
      <c r="F833" s="401"/>
      <c r="G833" s="401"/>
      <c r="H833" s="401"/>
      <c r="I833" s="401"/>
      <c r="J833" s="401"/>
      <c r="K833" s="401"/>
      <c r="L833" s="401"/>
      <c r="M833" s="401"/>
      <c r="N833" s="401"/>
      <c r="O833" s="401"/>
      <c r="P833" s="401"/>
      <c r="Q833" s="401"/>
      <c r="R833" s="401"/>
      <c r="S833" s="401"/>
      <c r="T833" s="401"/>
      <c r="U833" s="401"/>
      <c r="V833" s="401"/>
      <c r="W833" s="401"/>
      <c r="X833" s="401"/>
      <c r="Y833" s="401"/>
      <c r="Z833" s="401"/>
    </row>
    <row r="834">
      <c r="A834" s="401"/>
      <c r="B834" s="401"/>
      <c r="C834" s="401"/>
      <c r="D834" s="401"/>
      <c r="E834" s="401"/>
      <c r="F834" s="401"/>
      <c r="G834" s="401"/>
      <c r="H834" s="401"/>
      <c r="I834" s="401"/>
      <c r="J834" s="401"/>
      <c r="K834" s="401"/>
      <c r="L834" s="401"/>
      <c r="M834" s="401"/>
      <c r="N834" s="401"/>
      <c r="O834" s="401"/>
      <c r="P834" s="401"/>
      <c r="Q834" s="401"/>
      <c r="R834" s="401"/>
      <c r="S834" s="401"/>
      <c r="T834" s="401"/>
      <c r="U834" s="401"/>
      <c r="V834" s="401"/>
      <c r="W834" s="401"/>
      <c r="X834" s="401"/>
      <c r="Y834" s="401"/>
      <c r="Z834" s="401"/>
    </row>
    <row r="835">
      <c r="A835" s="401"/>
      <c r="B835" s="401"/>
      <c r="C835" s="401"/>
      <c r="D835" s="401"/>
      <c r="E835" s="401"/>
      <c r="F835" s="401"/>
      <c r="G835" s="401"/>
      <c r="H835" s="401"/>
      <c r="I835" s="401"/>
      <c r="J835" s="401"/>
      <c r="K835" s="401"/>
      <c r="L835" s="401"/>
      <c r="M835" s="401"/>
      <c r="N835" s="401"/>
      <c r="O835" s="401"/>
      <c r="P835" s="401"/>
      <c r="Q835" s="401"/>
      <c r="R835" s="401"/>
      <c r="S835" s="401"/>
      <c r="T835" s="401"/>
      <c r="U835" s="401"/>
      <c r="V835" s="401"/>
      <c r="W835" s="401"/>
      <c r="X835" s="401"/>
      <c r="Y835" s="401"/>
      <c r="Z835" s="401"/>
    </row>
    <row r="836">
      <c r="A836" s="401"/>
      <c r="B836" s="401"/>
      <c r="C836" s="401"/>
      <c r="D836" s="401"/>
      <c r="E836" s="401"/>
      <c r="F836" s="401"/>
      <c r="G836" s="401"/>
      <c r="H836" s="401"/>
      <c r="I836" s="401"/>
      <c r="J836" s="401"/>
      <c r="K836" s="401"/>
      <c r="L836" s="401"/>
      <c r="M836" s="401"/>
      <c r="N836" s="401"/>
      <c r="O836" s="401"/>
      <c r="P836" s="401"/>
      <c r="Q836" s="401"/>
      <c r="R836" s="401"/>
      <c r="S836" s="401"/>
      <c r="T836" s="401"/>
      <c r="U836" s="401"/>
      <c r="V836" s="401"/>
      <c r="W836" s="401"/>
      <c r="X836" s="401"/>
      <c r="Y836" s="401"/>
      <c r="Z836" s="401"/>
    </row>
    <row r="837">
      <c r="A837" s="401"/>
      <c r="B837" s="401"/>
      <c r="C837" s="401"/>
      <c r="D837" s="401"/>
      <c r="E837" s="401"/>
      <c r="F837" s="401"/>
      <c r="G837" s="401"/>
      <c r="H837" s="401"/>
      <c r="I837" s="401"/>
      <c r="J837" s="401"/>
      <c r="K837" s="401"/>
      <c r="L837" s="401"/>
      <c r="M837" s="401"/>
      <c r="N837" s="401"/>
      <c r="O837" s="401"/>
      <c r="P837" s="401"/>
      <c r="Q837" s="401"/>
      <c r="R837" s="401"/>
      <c r="S837" s="401"/>
      <c r="T837" s="401"/>
      <c r="U837" s="401"/>
      <c r="V837" s="401"/>
      <c r="W837" s="401"/>
      <c r="X837" s="401"/>
      <c r="Y837" s="401"/>
      <c r="Z837" s="401"/>
    </row>
    <row r="838">
      <c r="A838" s="401"/>
      <c r="B838" s="401"/>
      <c r="C838" s="401"/>
      <c r="D838" s="401"/>
      <c r="E838" s="401"/>
      <c r="F838" s="401"/>
      <c r="G838" s="401"/>
      <c r="H838" s="401"/>
      <c r="I838" s="401"/>
      <c r="J838" s="401"/>
      <c r="K838" s="401"/>
      <c r="L838" s="401"/>
      <c r="M838" s="401"/>
      <c r="N838" s="401"/>
      <c r="O838" s="401"/>
      <c r="P838" s="401"/>
      <c r="Q838" s="401"/>
      <c r="R838" s="401"/>
      <c r="S838" s="401"/>
      <c r="T838" s="401"/>
      <c r="U838" s="401"/>
      <c r="V838" s="401"/>
      <c r="W838" s="401"/>
      <c r="X838" s="401"/>
      <c r="Y838" s="401"/>
      <c r="Z838" s="401"/>
    </row>
    <row r="839">
      <c r="A839" s="401"/>
      <c r="B839" s="401"/>
      <c r="C839" s="401"/>
      <c r="D839" s="401"/>
      <c r="E839" s="401"/>
      <c r="F839" s="401"/>
      <c r="G839" s="401"/>
      <c r="H839" s="401"/>
      <c r="I839" s="401"/>
      <c r="J839" s="401"/>
      <c r="K839" s="401"/>
      <c r="L839" s="401"/>
      <c r="M839" s="401"/>
      <c r="N839" s="401"/>
      <c r="O839" s="401"/>
      <c r="P839" s="401"/>
      <c r="Q839" s="401"/>
      <c r="R839" s="401"/>
      <c r="S839" s="401"/>
      <c r="T839" s="401"/>
      <c r="U839" s="401"/>
      <c r="V839" s="401"/>
      <c r="W839" s="401"/>
      <c r="X839" s="401"/>
      <c r="Y839" s="401"/>
      <c r="Z839" s="401"/>
    </row>
    <row r="840">
      <c r="A840" s="401"/>
      <c r="B840" s="401"/>
      <c r="C840" s="401"/>
      <c r="D840" s="401"/>
      <c r="E840" s="401"/>
      <c r="F840" s="401"/>
      <c r="G840" s="401"/>
      <c r="H840" s="401"/>
      <c r="I840" s="401"/>
      <c r="J840" s="401"/>
      <c r="K840" s="401"/>
      <c r="L840" s="401"/>
      <c r="M840" s="401"/>
      <c r="N840" s="401"/>
      <c r="O840" s="401"/>
      <c r="P840" s="401"/>
      <c r="Q840" s="401"/>
      <c r="R840" s="401"/>
      <c r="S840" s="401"/>
      <c r="T840" s="401"/>
      <c r="U840" s="401"/>
      <c r="V840" s="401"/>
      <c r="W840" s="401"/>
      <c r="X840" s="401"/>
      <c r="Y840" s="401"/>
      <c r="Z840" s="401"/>
    </row>
    <row r="841">
      <c r="A841" s="401"/>
      <c r="B841" s="401"/>
      <c r="C841" s="401"/>
      <c r="D841" s="401"/>
      <c r="E841" s="401"/>
      <c r="F841" s="401"/>
      <c r="G841" s="401"/>
      <c r="H841" s="401"/>
      <c r="I841" s="401"/>
      <c r="J841" s="401"/>
      <c r="K841" s="401"/>
      <c r="L841" s="401"/>
      <c r="M841" s="401"/>
      <c r="N841" s="401"/>
      <c r="O841" s="401"/>
      <c r="P841" s="401"/>
      <c r="Q841" s="401"/>
      <c r="R841" s="401"/>
      <c r="S841" s="401"/>
      <c r="T841" s="401"/>
      <c r="U841" s="401"/>
      <c r="V841" s="401"/>
      <c r="W841" s="401"/>
      <c r="X841" s="401"/>
      <c r="Y841" s="401"/>
      <c r="Z841" s="401"/>
    </row>
    <row r="842">
      <c r="A842" s="401"/>
      <c r="B842" s="401"/>
      <c r="C842" s="401"/>
      <c r="D842" s="401"/>
      <c r="E842" s="401"/>
      <c r="F842" s="401"/>
      <c r="G842" s="401"/>
      <c r="H842" s="401"/>
      <c r="I842" s="401"/>
      <c r="J842" s="401"/>
      <c r="K842" s="401"/>
      <c r="L842" s="401"/>
      <c r="M842" s="401"/>
      <c r="N842" s="401"/>
      <c r="O842" s="401"/>
      <c r="P842" s="401"/>
      <c r="Q842" s="401"/>
      <c r="R842" s="401"/>
      <c r="S842" s="401"/>
      <c r="T842" s="401"/>
      <c r="U842" s="401"/>
      <c r="V842" s="401"/>
      <c r="W842" s="401"/>
      <c r="X842" s="401"/>
      <c r="Y842" s="401"/>
      <c r="Z842" s="401"/>
    </row>
    <row r="843">
      <c r="A843" s="401"/>
      <c r="B843" s="401"/>
      <c r="C843" s="401"/>
      <c r="D843" s="401"/>
      <c r="E843" s="401"/>
      <c r="F843" s="401"/>
      <c r="G843" s="401"/>
      <c r="H843" s="401"/>
      <c r="I843" s="401"/>
      <c r="J843" s="401"/>
      <c r="K843" s="401"/>
      <c r="L843" s="401"/>
      <c r="M843" s="401"/>
      <c r="N843" s="401"/>
      <c r="O843" s="401"/>
      <c r="P843" s="401"/>
      <c r="Q843" s="401"/>
      <c r="R843" s="401"/>
      <c r="S843" s="401"/>
      <c r="T843" s="401"/>
      <c r="U843" s="401"/>
      <c r="V843" s="401"/>
      <c r="W843" s="401"/>
      <c r="X843" s="401"/>
      <c r="Y843" s="401"/>
      <c r="Z843" s="401"/>
    </row>
    <row r="844">
      <c r="A844" s="401"/>
      <c r="B844" s="401"/>
      <c r="C844" s="401"/>
      <c r="D844" s="401"/>
      <c r="E844" s="401"/>
      <c r="F844" s="401"/>
      <c r="G844" s="401"/>
      <c r="H844" s="401"/>
      <c r="I844" s="401"/>
      <c r="J844" s="401"/>
      <c r="K844" s="401"/>
      <c r="L844" s="401"/>
      <c r="M844" s="401"/>
      <c r="N844" s="401"/>
      <c r="O844" s="401"/>
      <c r="P844" s="401"/>
      <c r="Q844" s="401"/>
      <c r="R844" s="401"/>
      <c r="S844" s="401"/>
      <c r="T844" s="401"/>
      <c r="U844" s="401"/>
      <c r="V844" s="401"/>
      <c r="W844" s="401"/>
      <c r="X844" s="401"/>
      <c r="Y844" s="401"/>
      <c r="Z844" s="401"/>
    </row>
    <row r="845">
      <c r="A845" s="401"/>
      <c r="B845" s="401"/>
      <c r="C845" s="401"/>
      <c r="D845" s="401"/>
      <c r="E845" s="401"/>
      <c r="F845" s="401"/>
      <c r="G845" s="401"/>
      <c r="H845" s="401"/>
      <c r="I845" s="401"/>
      <c r="J845" s="401"/>
      <c r="K845" s="401"/>
      <c r="L845" s="401"/>
      <c r="M845" s="401"/>
      <c r="N845" s="401"/>
      <c r="O845" s="401"/>
      <c r="P845" s="401"/>
      <c r="Q845" s="401"/>
      <c r="R845" s="401"/>
      <c r="S845" s="401"/>
      <c r="T845" s="401"/>
      <c r="U845" s="401"/>
      <c r="V845" s="401"/>
      <c r="W845" s="401"/>
      <c r="X845" s="401"/>
      <c r="Y845" s="401"/>
      <c r="Z845" s="401"/>
    </row>
    <row r="846">
      <c r="A846" s="401"/>
      <c r="B846" s="401"/>
      <c r="C846" s="401"/>
      <c r="D846" s="401"/>
      <c r="E846" s="401"/>
      <c r="F846" s="401"/>
      <c r="G846" s="401"/>
      <c r="H846" s="401"/>
      <c r="I846" s="401"/>
      <c r="J846" s="401"/>
      <c r="K846" s="401"/>
      <c r="L846" s="401"/>
      <c r="M846" s="401"/>
      <c r="N846" s="401"/>
      <c r="O846" s="401"/>
      <c r="P846" s="401"/>
      <c r="Q846" s="401"/>
      <c r="R846" s="401"/>
      <c r="S846" s="401"/>
      <c r="T846" s="401"/>
      <c r="U846" s="401"/>
      <c r="V846" s="401"/>
      <c r="W846" s="401"/>
      <c r="X846" s="401"/>
      <c r="Y846" s="401"/>
      <c r="Z846" s="401"/>
    </row>
    <row r="847">
      <c r="A847" s="401"/>
      <c r="B847" s="401"/>
      <c r="C847" s="401"/>
      <c r="D847" s="401"/>
      <c r="E847" s="401"/>
      <c r="F847" s="401"/>
      <c r="G847" s="401"/>
      <c r="H847" s="401"/>
      <c r="I847" s="401"/>
      <c r="J847" s="401"/>
      <c r="K847" s="401"/>
      <c r="L847" s="401"/>
      <c r="M847" s="401"/>
      <c r="N847" s="401"/>
      <c r="O847" s="401"/>
      <c r="P847" s="401"/>
      <c r="Q847" s="401"/>
      <c r="R847" s="401"/>
      <c r="S847" s="401"/>
      <c r="T847" s="401"/>
      <c r="U847" s="401"/>
      <c r="V847" s="401"/>
      <c r="W847" s="401"/>
      <c r="X847" s="401"/>
      <c r="Y847" s="401"/>
      <c r="Z847" s="401"/>
    </row>
    <row r="848">
      <c r="A848" s="401"/>
      <c r="B848" s="401"/>
      <c r="C848" s="401"/>
      <c r="D848" s="401"/>
      <c r="E848" s="401"/>
      <c r="F848" s="401"/>
      <c r="G848" s="401"/>
      <c r="H848" s="401"/>
      <c r="I848" s="401"/>
      <c r="J848" s="401"/>
      <c r="K848" s="401"/>
      <c r="L848" s="401"/>
      <c r="M848" s="401"/>
      <c r="N848" s="401"/>
      <c r="O848" s="401"/>
      <c r="P848" s="401"/>
      <c r="Q848" s="401"/>
      <c r="R848" s="401"/>
      <c r="S848" s="401"/>
      <c r="T848" s="401"/>
      <c r="U848" s="401"/>
      <c r="V848" s="401"/>
      <c r="W848" s="401"/>
      <c r="X848" s="401"/>
      <c r="Y848" s="401"/>
      <c r="Z848" s="401"/>
    </row>
    <row r="849">
      <c r="A849" s="401"/>
      <c r="B849" s="401"/>
      <c r="C849" s="401"/>
      <c r="D849" s="401"/>
      <c r="E849" s="401"/>
      <c r="F849" s="401"/>
      <c r="G849" s="401"/>
      <c r="H849" s="401"/>
      <c r="I849" s="401"/>
      <c r="J849" s="401"/>
      <c r="K849" s="401"/>
      <c r="L849" s="401"/>
      <c r="M849" s="401"/>
      <c r="N849" s="401"/>
      <c r="O849" s="401"/>
      <c r="P849" s="401"/>
      <c r="Q849" s="401"/>
      <c r="R849" s="401"/>
      <c r="S849" s="401"/>
      <c r="T849" s="401"/>
      <c r="U849" s="401"/>
      <c r="V849" s="401"/>
      <c r="W849" s="401"/>
      <c r="X849" s="401"/>
      <c r="Y849" s="401"/>
      <c r="Z849" s="401"/>
    </row>
    <row r="850">
      <c r="A850" s="401"/>
      <c r="B850" s="401"/>
      <c r="C850" s="401"/>
      <c r="D850" s="401"/>
      <c r="E850" s="401"/>
      <c r="F850" s="401"/>
      <c r="G850" s="401"/>
      <c r="H850" s="401"/>
      <c r="I850" s="401"/>
      <c r="J850" s="401"/>
      <c r="K850" s="401"/>
      <c r="L850" s="401"/>
      <c r="M850" s="401"/>
      <c r="N850" s="401"/>
      <c r="O850" s="401"/>
      <c r="P850" s="401"/>
      <c r="Q850" s="401"/>
      <c r="R850" s="401"/>
      <c r="S850" s="401"/>
      <c r="T850" s="401"/>
      <c r="U850" s="401"/>
      <c r="V850" s="401"/>
      <c r="W850" s="401"/>
      <c r="X850" s="401"/>
      <c r="Y850" s="401"/>
      <c r="Z850" s="401"/>
    </row>
    <row r="851">
      <c r="A851" s="401"/>
      <c r="B851" s="401"/>
      <c r="C851" s="401"/>
      <c r="D851" s="401"/>
      <c r="E851" s="401"/>
      <c r="F851" s="401"/>
      <c r="G851" s="401"/>
      <c r="H851" s="401"/>
      <c r="I851" s="401"/>
      <c r="J851" s="401"/>
      <c r="K851" s="401"/>
      <c r="L851" s="401"/>
      <c r="M851" s="401"/>
      <c r="N851" s="401"/>
      <c r="O851" s="401"/>
      <c r="P851" s="401"/>
      <c r="Q851" s="401"/>
      <c r="R851" s="401"/>
      <c r="S851" s="401"/>
      <c r="T851" s="401"/>
      <c r="U851" s="401"/>
      <c r="V851" s="401"/>
      <c r="W851" s="401"/>
      <c r="X851" s="401"/>
      <c r="Y851" s="401"/>
      <c r="Z851" s="401"/>
    </row>
    <row r="852">
      <c r="A852" s="401"/>
      <c r="B852" s="401"/>
      <c r="C852" s="401"/>
      <c r="D852" s="401"/>
      <c r="E852" s="401"/>
      <c r="F852" s="401"/>
      <c r="G852" s="401"/>
      <c r="H852" s="401"/>
      <c r="I852" s="401"/>
      <c r="J852" s="401"/>
      <c r="K852" s="401"/>
      <c r="L852" s="401"/>
      <c r="M852" s="401"/>
      <c r="N852" s="401"/>
      <c r="O852" s="401"/>
      <c r="P852" s="401"/>
      <c r="Q852" s="401"/>
      <c r="R852" s="401"/>
      <c r="S852" s="401"/>
      <c r="T852" s="401"/>
      <c r="U852" s="401"/>
      <c r="V852" s="401"/>
      <c r="W852" s="401"/>
      <c r="X852" s="401"/>
      <c r="Y852" s="401"/>
      <c r="Z852" s="401"/>
    </row>
    <row r="853">
      <c r="A853" s="401"/>
      <c r="B853" s="401"/>
      <c r="C853" s="401"/>
      <c r="D853" s="401"/>
      <c r="E853" s="401"/>
      <c r="F853" s="401"/>
      <c r="G853" s="401"/>
      <c r="H853" s="401"/>
      <c r="I853" s="401"/>
      <c r="J853" s="401"/>
      <c r="K853" s="401"/>
      <c r="L853" s="401"/>
      <c r="M853" s="401"/>
      <c r="N853" s="401"/>
      <c r="O853" s="401"/>
      <c r="P853" s="401"/>
      <c r="Q853" s="401"/>
      <c r="R853" s="401"/>
      <c r="S853" s="401"/>
      <c r="T853" s="401"/>
      <c r="U853" s="401"/>
      <c r="V853" s="401"/>
      <c r="W853" s="401"/>
      <c r="X853" s="401"/>
      <c r="Y853" s="401"/>
      <c r="Z853" s="401"/>
    </row>
    <row r="854">
      <c r="A854" s="401"/>
      <c r="B854" s="401"/>
      <c r="C854" s="401"/>
      <c r="D854" s="401"/>
      <c r="E854" s="401"/>
      <c r="F854" s="401"/>
      <c r="G854" s="401"/>
      <c r="H854" s="401"/>
      <c r="I854" s="401"/>
      <c r="J854" s="401"/>
      <c r="K854" s="401"/>
      <c r="L854" s="401"/>
      <c r="M854" s="401"/>
      <c r="N854" s="401"/>
      <c r="O854" s="401"/>
      <c r="P854" s="401"/>
      <c r="Q854" s="401"/>
      <c r="R854" s="401"/>
      <c r="S854" s="401"/>
      <c r="T854" s="401"/>
      <c r="U854" s="401"/>
      <c r="V854" s="401"/>
      <c r="W854" s="401"/>
      <c r="X854" s="401"/>
      <c r="Y854" s="401"/>
      <c r="Z854" s="401"/>
    </row>
    <row r="855">
      <c r="A855" s="401"/>
      <c r="B855" s="401"/>
      <c r="C855" s="401"/>
      <c r="D855" s="401"/>
      <c r="E855" s="401"/>
      <c r="F855" s="401"/>
      <c r="G855" s="401"/>
      <c r="H855" s="401"/>
      <c r="I855" s="401"/>
      <c r="J855" s="401"/>
      <c r="K855" s="401"/>
      <c r="L855" s="401"/>
      <c r="M855" s="401"/>
      <c r="N855" s="401"/>
      <c r="O855" s="401"/>
      <c r="P855" s="401"/>
      <c r="Q855" s="401"/>
      <c r="R855" s="401"/>
      <c r="S855" s="401"/>
      <c r="T855" s="401"/>
      <c r="U855" s="401"/>
      <c r="V855" s="401"/>
      <c r="W855" s="401"/>
      <c r="X855" s="401"/>
      <c r="Y855" s="401"/>
      <c r="Z855" s="401"/>
    </row>
    <row r="856">
      <c r="A856" s="401"/>
      <c r="B856" s="401"/>
      <c r="C856" s="401"/>
      <c r="D856" s="401"/>
      <c r="E856" s="401"/>
      <c r="F856" s="401"/>
      <c r="G856" s="401"/>
      <c r="H856" s="401"/>
      <c r="I856" s="401"/>
      <c r="J856" s="401"/>
      <c r="K856" s="401"/>
      <c r="L856" s="401"/>
      <c r="M856" s="401"/>
      <c r="N856" s="401"/>
      <c r="O856" s="401"/>
      <c r="P856" s="401"/>
      <c r="Q856" s="401"/>
      <c r="R856" s="401"/>
      <c r="S856" s="401"/>
      <c r="T856" s="401"/>
      <c r="U856" s="401"/>
      <c r="V856" s="401"/>
      <c r="W856" s="401"/>
      <c r="X856" s="401"/>
      <c r="Y856" s="401"/>
      <c r="Z856" s="401"/>
    </row>
    <row r="857">
      <c r="A857" s="401"/>
      <c r="B857" s="401"/>
      <c r="C857" s="401"/>
      <c r="D857" s="401"/>
      <c r="E857" s="401"/>
      <c r="F857" s="401"/>
      <c r="G857" s="401"/>
      <c r="H857" s="401"/>
      <c r="I857" s="401"/>
      <c r="J857" s="401"/>
      <c r="K857" s="401"/>
      <c r="L857" s="401"/>
      <c r="M857" s="401"/>
      <c r="N857" s="401"/>
      <c r="O857" s="401"/>
      <c r="P857" s="401"/>
      <c r="Q857" s="401"/>
      <c r="R857" s="401"/>
      <c r="S857" s="401"/>
      <c r="T857" s="401"/>
      <c r="U857" s="401"/>
      <c r="V857" s="401"/>
      <c r="W857" s="401"/>
      <c r="X857" s="401"/>
      <c r="Y857" s="401"/>
      <c r="Z857" s="401"/>
    </row>
    <row r="858">
      <c r="A858" s="401"/>
      <c r="B858" s="401"/>
      <c r="C858" s="401"/>
      <c r="D858" s="401"/>
      <c r="E858" s="401"/>
      <c r="F858" s="401"/>
      <c r="G858" s="401"/>
      <c r="H858" s="401"/>
      <c r="I858" s="401"/>
      <c r="J858" s="401"/>
      <c r="K858" s="401"/>
      <c r="L858" s="401"/>
      <c r="M858" s="401"/>
      <c r="N858" s="401"/>
      <c r="O858" s="401"/>
      <c r="P858" s="401"/>
      <c r="Q858" s="401"/>
      <c r="R858" s="401"/>
      <c r="S858" s="401"/>
      <c r="T858" s="401"/>
      <c r="U858" s="401"/>
      <c r="V858" s="401"/>
      <c r="W858" s="401"/>
      <c r="X858" s="401"/>
      <c r="Y858" s="401"/>
      <c r="Z858" s="401"/>
    </row>
    <row r="859">
      <c r="A859" s="401"/>
      <c r="B859" s="401"/>
      <c r="C859" s="401"/>
      <c r="D859" s="401"/>
      <c r="E859" s="401"/>
      <c r="F859" s="401"/>
      <c r="G859" s="401"/>
      <c r="H859" s="401"/>
      <c r="I859" s="401"/>
      <c r="J859" s="401"/>
      <c r="K859" s="401"/>
      <c r="L859" s="401"/>
      <c r="M859" s="401"/>
      <c r="N859" s="401"/>
      <c r="O859" s="401"/>
      <c r="P859" s="401"/>
      <c r="Q859" s="401"/>
      <c r="R859" s="401"/>
      <c r="S859" s="401"/>
      <c r="T859" s="401"/>
      <c r="U859" s="401"/>
      <c r="V859" s="401"/>
      <c r="W859" s="401"/>
      <c r="X859" s="401"/>
      <c r="Y859" s="401"/>
      <c r="Z859" s="401"/>
    </row>
    <row r="860">
      <c r="A860" s="401"/>
      <c r="B860" s="401"/>
      <c r="C860" s="401"/>
      <c r="D860" s="401"/>
      <c r="E860" s="401"/>
      <c r="F860" s="401"/>
      <c r="G860" s="401"/>
      <c r="H860" s="401"/>
      <c r="I860" s="401"/>
      <c r="J860" s="401"/>
      <c r="K860" s="401"/>
      <c r="L860" s="401"/>
      <c r="M860" s="401"/>
      <c r="N860" s="401"/>
      <c r="O860" s="401"/>
      <c r="P860" s="401"/>
      <c r="Q860" s="401"/>
      <c r="R860" s="401"/>
      <c r="S860" s="401"/>
      <c r="T860" s="401"/>
      <c r="U860" s="401"/>
      <c r="V860" s="401"/>
      <c r="W860" s="401"/>
      <c r="X860" s="401"/>
      <c r="Y860" s="401"/>
      <c r="Z860" s="401"/>
    </row>
    <row r="861">
      <c r="A861" s="401"/>
      <c r="B861" s="401"/>
      <c r="C861" s="401"/>
      <c r="D861" s="401"/>
      <c r="E861" s="401"/>
      <c r="F861" s="401"/>
      <c r="G861" s="401"/>
      <c r="H861" s="401"/>
      <c r="I861" s="401"/>
      <c r="J861" s="401"/>
      <c r="K861" s="401"/>
      <c r="L861" s="401"/>
      <c r="M861" s="401"/>
      <c r="N861" s="401"/>
      <c r="O861" s="401"/>
      <c r="P861" s="401"/>
      <c r="Q861" s="401"/>
      <c r="R861" s="401"/>
      <c r="S861" s="401"/>
      <c r="T861" s="401"/>
      <c r="U861" s="401"/>
      <c r="V861" s="401"/>
      <c r="W861" s="401"/>
      <c r="X861" s="401"/>
      <c r="Y861" s="401"/>
      <c r="Z861" s="401"/>
    </row>
    <row r="862">
      <c r="A862" s="401"/>
      <c r="B862" s="401"/>
      <c r="C862" s="401"/>
      <c r="D862" s="401"/>
      <c r="E862" s="401"/>
      <c r="F862" s="401"/>
      <c r="G862" s="401"/>
      <c r="H862" s="401"/>
      <c r="I862" s="401"/>
      <c r="J862" s="401"/>
      <c r="K862" s="401"/>
      <c r="L862" s="401"/>
      <c r="M862" s="401"/>
      <c r="N862" s="401"/>
      <c r="O862" s="401"/>
      <c r="P862" s="401"/>
      <c r="Q862" s="401"/>
      <c r="R862" s="401"/>
      <c r="S862" s="401"/>
      <c r="T862" s="401"/>
      <c r="U862" s="401"/>
      <c r="V862" s="401"/>
      <c r="W862" s="401"/>
      <c r="X862" s="401"/>
      <c r="Y862" s="401"/>
      <c r="Z862" s="401"/>
    </row>
    <row r="863">
      <c r="A863" s="401"/>
      <c r="B863" s="401"/>
      <c r="C863" s="401"/>
      <c r="D863" s="401"/>
      <c r="E863" s="401"/>
      <c r="F863" s="401"/>
      <c r="G863" s="401"/>
      <c r="H863" s="401"/>
      <c r="I863" s="401"/>
      <c r="J863" s="401"/>
      <c r="K863" s="401"/>
      <c r="L863" s="401"/>
      <c r="M863" s="401"/>
      <c r="N863" s="401"/>
      <c r="O863" s="401"/>
      <c r="P863" s="401"/>
      <c r="Q863" s="401"/>
      <c r="R863" s="401"/>
      <c r="S863" s="401"/>
      <c r="T863" s="401"/>
      <c r="U863" s="401"/>
      <c r="V863" s="401"/>
      <c r="W863" s="401"/>
      <c r="X863" s="401"/>
      <c r="Y863" s="401"/>
      <c r="Z863" s="401"/>
    </row>
    <row r="864">
      <c r="A864" s="401"/>
      <c r="B864" s="401"/>
      <c r="C864" s="401"/>
      <c r="D864" s="401"/>
      <c r="E864" s="401"/>
      <c r="F864" s="401"/>
      <c r="G864" s="401"/>
      <c r="H864" s="401"/>
      <c r="I864" s="401"/>
      <c r="J864" s="401"/>
      <c r="K864" s="401"/>
      <c r="L864" s="401"/>
      <c r="M864" s="401"/>
      <c r="N864" s="401"/>
      <c r="O864" s="401"/>
      <c r="P864" s="401"/>
      <c r="Q864" s="401"/>
      <c r="R864" s="401"/>
      <c r="S864" s="401"/>
      <c r="T864" s="401"/>
      <c r="U864" s="401"/>
      <c r="V864" s="401"/>
      <c r="W864" s="401"/>
      <c r="X864" s="401"/>
      <c r="Y864" s="401"/>
      <c r="Z864" s="401"/>
    </row>
    <row r="865">
      <c r="A865" s="401"/>
      <c r="B865" s="401"/>
      <c r="C865" s="401"/>
      <c r="D865" s="401"/>
      <c r="E865" s="401"/>
      <c r="F865" s="401"/>
      <c r="G865" s="401"/>
      <c r="H865" s="401"/>
      <c r="I865" s="401"/>
      <c r="J865" s="401"/>
      <c r="K865" s="401"/>
      <c r="L865" s="401"/>
      <c r="M865" s="401"/>
      <c r="N865" s="401"/>
      <c r="O865" s="401"/>
      <c r="P865" s="401"/>
      <c r="Q865" s="401"/>
      <c r="R865" s="401"/>
      <c r="S865" s="401"/>
      <c r="T865" s="401"/>
      <c r="U865" s="401"/>
      <c r="V865" s="401"/>
      <c r="W865" s="401"/>
      <c r="X865" s="401"/>
      <c r="Y865" s="401"/>
      <c r="Z865" s="401"/>
    </row>
    <row r="866">
      <c r="A866" s="401"/>
      <c r="B866" s="401"/>
      <c r="C866" s="401"/>
      <c r="D866" s="401"/>
      <c r="E866" s="401"/>
      <c r="F866" s="401"/>
      <c r="G866" s="401"/>
      <c r="H866" s="401"/>
      <c r="I866" s="401"/>
      <c r="J866" s="401"/>
      <c r="K866" s="401"/>
      <c r="L866" s="401"/>
      <c r="M866" s="401"/>
      <c r="N866" s="401"/>
      <c r="O866" s="401"/>
      <c r="P866" s="401"/>
      <c r="Q866" s="401"/>
      <c r="R866" s="401"/>
      <c r="S866" s="401"/>
      <c r="T866" s="401"/>
      <c r="U866" s="401"/>
      <c r="V866" s="401"/>
      <c r="W866" s="401"/>
      <c r="X866" s="401"/>
      <c r="Y866" s="401"/>
      <c r="Z866" s="401"/>
    </row>
    <row r="867">
      <c r="A867" s="401"/>
      <c r="B867" s="401"/>
      <c r="C867" s="401"/>
      <c r="D867" s="401"/>
      <c r="E867" s="401"/>
      <c r="F867" s="401"/>
      <c r="G867" s="401"/>
      <c r="H867" s="401"/>
      <c r="I867" s="401"/>
      <c r="J867" s="401"/>
      <c r="K867" s="401"/>
      <c r="L867" s="401"/>
      <c r="M867" s="401"/>
      <c r="N867" s="401"/>
      <c r="O867" s="401"/>
      <c r="P867" s="401"/>
      <c r="Q867" s="401"/>
      <c r="R867" s="401"/>
      <c r="S867" s="401"/>
      <c r="T867" s="401"/>
      <c r="U867" s="401"/>
      <c r="V867" s="401"/>
      <c r="W867" s="401"/>
      <c r="X867" s="401"/>
      <c r="Y867" s="401"/>
      <c r="Z867" s="401"/>
    </row>
    <row r="868">
      <c r="A868" s="401"/>
      <c r="B868" s="401"/>
      <c r="C868" s="401"/>
      <c r="D868" s="401"/>
      <c r="E868" s="401"/>
      <c r="F868" s="401"/>
      <c r="G868" s="401"/>
      <c r="H868" s="401"/>
      <c r="I868" s="401"/>
      <c r="J868" s="401"/>
      <c r="K868" s="401"/>
      <c r="L868" s="401"/>
      <c r="M868" s="401"/>
      <c r="N868" s="401"/>
      <c r="O868" s="401"/>
      <c r="P868" s="401"/>
      <c r="Q868" s="401"/>
      <c r="R868" s="401"/>
      <c r="S868" s="401"/>
      <c r="T868" s="401"/>
      <c r="U868" s="401"/>
      <c r="V868" s="401"/>
      <c r="W868" s="401"/>
      <c r="X868" s="401"/>
      <c r="Y868" s="401"/>
      <c r="Z868" s="401"/>
    </row>
    <row r="869">
      <c r="A869" s="401"/>
      <c r="B869" s="401"/>
      <c r="C869" s="401"/>
      <c r="D869" s="401"/>
      <c r="E869" s="401"/>
      <c r="F869" s="401"/>
      <c r="G869" s="401"/>
      <c r="H869" s="401"/>
      <c r="I869" s="401"/>
      <c r="J869" s="401"/>
      <c r="K869" s="401"/>
      <c r="L869" s="401"/>
      <c r="M869" s="401"/>
      <c r="N869" s="401"/>
      <c r="O869" s="401"/>
      <c r="P869" s="401"/>
      <c r="Q869" s="401"/>
      <c r="R869" s="401"/>
      <c r="S869" s="401"/>
      <c r="T869" s="401"/>
      <c r="U869" s="401"/>
      <c r="V869" s="401"/>
      <c r="W869" s="401"/>
      <c r="X869" s="401"/>
      <c r="Y869" s="401"/>
      <c r="Z869" s="401"/>
    </row>
    <row r="870">
      <c r="A870" s="401"/>
      <c r="B870" s="401"/>
      <c r="C870" s="401"/>
      <c r="D870" s="401"/>
      <c r="E870" s="401"/>
      <c r="F870" s="401"/>
      <c r="G870" s="401"/>
      <c r="H870" s="401"/>
      <c r="I870" s="401"/>
      <c r="J870" s="401"/>
      <c r="K870" s="401"/>
      <c r="L870" s="401"/>
      <c r="M870" s="401"/>
      <c r="N870" s="401"/>
      <c r="O870" s="401"/>
      <c r="P870" s="401"/>
      <c r="Q870" s="401"/>
      <c r="R870" s="401"/>
      <c r="S870" s="401"/>
      <c r="T870" s="401"/>
      <c r="U870" s="401"/>
      <c r="V870" s="401"/>
      <c r="W870" s="401"/>
      <c r="X870" s="401"/>
      <c r="Y870" s="401"/>
      <c r="Z870" s="401"/>
    </row>
    <row r="871">
      <c r="A871" s="401"/>
      <c r="B871" s="401"/>
      <c r="C871" s="401"/>
      <c r="D871" s="401"/>
      <c r="E871" s="401"/>
      <c r="F871" s="401"/>
      <c r="G871" s="401"/>
      <c r="H871" s="401"/>
      <c r="I871" s="401"/>
      <c r="J871" s="401"/>
      <c r="K871" s="401"/>
      <c r="L871" s="401"/>
      <c r="M871" s="401"/>
      <c r="N871" s="401"/>
      <c r="O871" s="401"/>
      <c r="P871" s="401"/>
      <c r="Q871" s="401"/>
      <c r="R871" s="401"/>
      <c r="S871" s="401"/>
      <c r="T871" s="401"/>
      <c r="U871" s="401"/>
      <c r="V871" s="401"/>
      <c r="W871" s="401"/>
      <c r="X871" s="401"/>
      <c r="Y871" s="401"/>
      <c r="Z871" s="401"/>
    </row>
    <row r="872">
      <c r="A872" s="401"/>
      <c r="B872" s="401"/>
      <c r="C872" s="401"/>
      <c r="D872" s="401"/>
      <c r="E872" s="401"/>
      <c r="F872" s="401"/>
      <c r="G872" s="401"/>
      <c r="H872" s="401"/>
      <c r="I872" s="401"/>
      <c r="J872" s="401"/>
      <c r="K872" s="401"/>
      <c r="L872" s="401"/>
      <c r="M872" s="401"/>
      <c r="N872" s="401"/>
      <c r="O872" s="401"/>
      <c r="P872" s="401"/>
      <c r="Q872" s="401"/>
      <c r="R872" s="401"/>
      <c r="S872" s="401"/>
      <c r="T872" s="401"/>
      <c r="U872" s="401"/>
      <c r="V872" s="401"/>
      <c r="W872" s="401"/>
      <c r="X872" s="401"/>
      <c r="Y872" s="401"/>
      <c r="Z872" s="401"/>
    </row>
    <row r="873">
      <c r="A873" s="401"/>
      <c r="B873" s="401"/>
      <c r="C873" s="401"/>
      <c r="D873" s="401"/>
      <c r="E873" s="401"/>
      <c r="F873" s="401"/>
      <c r="G873" s="401"/>
      <c r="H873" s="401"/>
      <c r="I873" s="401"/>
      <c r="J873" s="401"/>
      <c r="K873" s="401"/>
      <c r="L873" s="401"/>
      <c r="M873" s="401"/>
      <c r="N873" s="401"/>
      <c r="O873" s="401"/>
      <c r="P873" s="401"/>
      <c r="Q873" s="401"/>
      <c r="R873" s="401"/>
      <c r="S873" s="401"/>
      <c r="T873" s="401"/>
      <c r="U873" s="401"/>
      <c r="V873" s="401"/>
      <c r="W873" s="401"/>
      <c r="X873" s="401"/>
      <c r="Y873" s="401"/>
      <c r="Z873" s="401"/>
    </row>
    <row r="874">
      <c r="A874" s="401"/>
      <c r="B874" s="401"/>
      <c r="C874" s="401"/>
      <c r="D874" s="401"/>
      <c r="E874" s="401"/>
      <c r="F874" s="401"/>
      <c r="G874" s="401"/>
      <c r="H874" s="401"/>
      <c r="I874" s="401"/>
      <c r="J874" s="401"/>
      <c r="K874" s="401"/>
      <c r="L874" s="401"/>
      <c r="M874" s="401"/>
      <c r="N874" s="401"/>
      <c r="O874" s="401"/>
      <c r="P874" s="401"/>
      <c r="Q874" s="401"/>
      <c r="R874" s="401"/>
      <c r="S874" s="401"/>
      <c r="T874" s="401"/>
      <c r="U874" s="401"/>
      <c r="V874" s="401"/>
      <c r="W874" s="401"/>
      <c r="X874" s="401"/>
      <c r="Y874" s="401"/>
      <c r="Z874" s="401"/>
    </row>
    <row r="875">
      <c r="A875" s="401"/>
      <c r="B875" s="401"/>
      <c r="C875" s="401"/>
      <c r="D875" s="401"/>
      <c r="E875" s="401"/>
      <c r="F875" s="401"/>
      <c r="G875" s="401"/>
      <c r="H875" s="401"/>
      <c r="I875" s="401"/>
      <c r="J875" s="401"/>
      <c r="K875" s="401"/>
      <c r="L875" s="401"/>
      <c r="M875" s="401"/>
      <c r="N875" s="401"/>
      <c r="O875" s="401"/>
      <c r="P875" s="401"/>
      <c r="Q875" s="401"/>
      <c r="R875" s="401"/>
      <c r="S875" s="401"/>
      <c r="T875" s="401"/>
      <c r="U875" s="401"/>
      <c r="V875" s="401"/>
      <c r="W875" s="401"/>
      <c r="X875" s="401"/>
      <c r="Y875" s="401"/>
      <c r="Z875" s="401"/>
    </row>
    <row r="876">
      <c r="A876" s="401"/>
      <c r="B876" s="401"/>
      <c r="C876" s="401"/>
      <c r="D876" s="401"/>
      <c r="E876" s="401"/>
      <c r="F876" s="401"/>
      <c r="G876" s="401"/>
      <c r="H876" s="401"/>
      <c r="I876" s="401"/>
      <c r="J876" s="401"/>
      <c r="K876" s="401"/>
      <c r="L876" s="401"/>
      <c r="M876" s="401"/>
      <c r="N876" s="401"/>
      <c r="O876" s="401"/>
      <c r="P876" s="401"/>
      <c r="Q876" s="401"/>
      <c r="R876" s="401"/>
      <c r="S876" s="401"/>
      <c r="T876" s="401"/>
      <c r="U876" s="401"/>
      <c r="V876" s="401"/>
      <c r="W876" s="401"/>
      <c r="X876" s="401"/>
      <c r="Y876" s="401"/>
      <c r="Z876" s="401"/>
    </row>
    <row r="877">
      <c r="A877" s="401"/>
      <c r="B877" s="401"/>
      <c r="C877" s="401"/>
      <c r="D877" s="401"/>
      <c r="E877" s="401"/>
      <c r="F877" s="401"/>
      <c r="G877" s="401"/>
      <c r="H877" s="401"/>
      <c r="I877" s="401"/>
      <c r="J877" s="401"/>
      <c r="K877" s="401"/>
      <c r="L877" s="401"/>
      <c r="M877" s="401"/>
      <c r="N877" s="401"/>
      <c r="O877" s="401"/>
      <c r="P877" s="401"/>
      <c r="Q877" s="401"/>
      <c r="R877" s="401"/>
      <c r="S877" s="401"/>
      <c r="T877" s="401"/>
      <c r="U877" s="401"/>
      <c r="V877" s="401"/>
      <c r="W877" s="401"/>
      <c r="X877" s="401"/>
      <c r="Y877" s="401"/>
      <c r="Z877" s="401"/>
    </row>
    <row r="878">
      <c r="A878" s="401"/>
      <c r="B878" s="401"/>
      <c r="C878" s="401"/>
      <c r="D878" s="401"/>
      <c r="E878" s="401"/>
      <c r="F878" s="401"/>
      <c r="G878" s="401"/>
      <c r="H878" s="401"/>
      <c r="I878" s="401"/>
      <c r="J878" s="401"/>
      <c r="K878" s="401"/>
      <c r="L878" s="401"/>
      <c r="M878" s="401"/>
      <c r="N878" s="401"/>
      <c r="O878" s="401"/>
      <c r="P878" s="401"/>
      <c r="Q878" s="401"/>
      <c r="R878" s="401"/>
      <c r="S878" s="401"/>
      <c r="T878" s="401"/>
      <c r="U878" s="401"/>
      <c r="V878" s="401"/>
      <c r="W878" s="401"/>
      <c r="X878" s="401"/>
      <c r="Y878" s="401"/>
      <c r="Z878" s="401"/>
    </row>
    <row r="879">
      <c r="A879" s="401"/>
      <c r="B879" s="401"/>
      <c r="C879" s="401"/>
      <c r="D879" s="401"/>
      <c r="E879" s="401"/>
      <c r="F879" s="401"/>
      <c r="G879" s="401"/>
      <c r="H879" s="401"/>
      <c r="I879" s="401"/>
      <c r="J879" s="401"/>
      <c r="K879" s="401"/>
      <c r="L879" s="401"/>
      <c r="M879" s="401"/>
      <c r="N879" s="401"/>
      <c r="O879" s="401"/>
      <c r="P879" s="401"/>
      <c r="Q879" s="401"/>
      <c r="R879" s="401"/>
      <c r="S879" s="401"/>
      <c r="T879" s="401"/>
      <c r="U879" s="401"/>
      <c r="V879" s="401"/>
      <c r="W879" s="401"/>
      <c r="X879" s="401"/>
      <c r="Y879" s="401"/>
      <c r="Z879" s="401"/>
    </row>
    <row r="880">
      <c r="A880" s="401"/>
      <c r="B880" s="401"/>
      <c r="C880" s="401"/>
      <c r="D880" s="401"/>
      <c r="E880" s="401"/>
      <c r="F880" s="401"/>
      <c r="G880" s="401"/>
      <c r="H880" s="401"/>
      <c r="I880" s="401"/>
      <c r="J880" s="401"/>
      <c r="K880" s="401"/>
      <c r="L880" s="401"/>
      <c r="M880" s="401"/>
      <c r="N880" s="401"/>
      <c r="O880" s="401"/>
      <c r="P880" s="401"/>
      <c r="Q880" s="401"/>
      <c r="R880" s="401"/>
      <c r="S880" s="401"/>
      <c r="T880" s="401"/>
      <c r="U880" s="401"/>
      <c r="V880" s="401"/>
      <c r="W880" s="401"/>
      <c r="X880" s="401"/>
      <c r="Y880" s="401"/>
      <c r="Z880" s="401"/>
    </row>
    <row r="881">
      <c r="A881" s="401"/>
      <c r="B881" s="401"/>
      <c r="C881" s="401"/>
      <c r="D881" s="401"/>
      <c r="E881" s="401"/>
      <c r="F881" s="401"/>
      <c r="G881" s="401"/>
      <c r="H881" s="401"/>
      <c r="I881" s="401"/>
      <c r="J881" s="401"/>
      <c r="K881" s="401"/>
      <c r="L881" s="401"/>
      <c r="M881" s="401"/>
      <c r="N881" s="401"/>
      <c r="O881" s="401"/>
      <c r="P881" s="401"/>
      <c r="Q881" s="401"/>
      <c r="R881" s="401"/>
      <c r="S881" s="401"/>
      <c r="T881" s="401"/>
      <c r="U881" s="401"/>
      <c r="V881" s="401"/>
      <c r="W881" s="401"/>
      <c r="X881" s="401"/>
      <c r="Y881" s="401"/>
      <c r="Z881" s="401"/>
    </row>
    <row r="882">
      <c r="A882" s="401"/>
      <c r="B882" s="401"/>
      <c r="C882" s="401"/>
      <c r="D882" s="401"/>
      <c r="E882" s="401"/>
      <c r="F882" s="401"/>
      <c r="G882" s="401"/>
      <c r="H882" s="401"/>
      <c r="I882" s="401"/>
      <c r="J882" s="401"/>
      <c r="K882" s="401"/>
      <c r="L882" s="401"/>
      <c r="M882" s="401"/>
      <c r="N882" s="401"/>
      <c r="O882" s="401"/>
      <c r="P882" s="401"/>
      <c r="Q882" s="401"/>
      <c r="R882" s="401"/>
      <c r="S882" s="401"/>
      <c r="T882" s="401"/>
      <c r="U882" s="401"/>
      <c r="V882" s="401"/>
      <c r="W882" s="401"/>
      <c r="X882" s="401"/>
      <c r="Y882" s="401"/>
      <c r="Z882" s="401"/>
    </row>
    <row r="883">
      <c r="A883" s="401"/>
      <c r="B883" s="401"/>
      <c r="C883" s="401"/>
      <c r="D883" s="401"/>
      <c r="E883" s="401"/>
      <c r="F883" s="401"/>
      <c r="G883" s="401"/>
      <c r="H883" s="401"/>
      <c r="I883" s="401"/>
      <c r="J883" s="401"/>
      <c r="K883" s="401"/>
      <c r="L883" s="401"/>
      <c r="M883" s="401"/>
      <c r="N883" s="401"/>
      <c r="O883" s="401"/>
      <c r="P883" s="401"/>
      <c r="Q883" s="401"/>
      <c r="R883" s="401"/>
      <c r="S883" s="401"/>
      <c r="T883" s="401"/>
      <c r="U883" s="401"/>
      <c r="V883" s="401"/>
      <c r="W883" s="401"/>
      <c r="X883" s="401"/>
      <c r="Y883" s="401"/>
      <c r="Z883" s="401"/>
    </row>
    <row r="884">
      <c r="A884" s="401"/>
      <c r="B884" s="401"/>
      <c r="C884" s="401"/>
      <c r="D884" s="401"/>
      <c r="E884" s="401"/>
      <c r="F884" s="401"/>
      <c r="G884" s="401"/>
      <c r="H884" s="401"/>
      <c r="I884" s="401"/>
      <c r="J884" s="401"/>
      <c r="K884" s="401"/>
      <c r="L884" s="401"/>
      <c r="M884" s="401"/>
      <c r="N884" s="401"/>
      <c r="O884" s="401"/>
      <c r="P884" s="401"/>
      <c r="Q884" s="401"/>
      <c r="R884" s="401"/>
      <c r="S884" s="401"/>
      <c r="T884" s="401"/>
      <c r="U884" s="401"/>
      <c r="V884" s="401"/>
      <c r="W884" s="401"/>
      <c r="X884" s="401"/>
      <c r="Y884" s="401"/>
      <c r="Z884" s="401"/>
    </row>
    <row r="885">
      <c r="A885" s="401"/>
      <c r="B885" s="401"/>
      <c r="C885" s="401"/>
      <c r="D885" s="401"/>
      <c r="E885" s="401"/>
      <c r="F885" s="401"/>
      <c r="G885" s="401"/>
      <c r="H885" s="401"/>
      <c r="I885" s="401"/>
      <c r="J885" s="401"/>
      <c r="K885" s="401"/>
      <c r="L885" s="401"/>
      <c r="M885" s="401"/>
      <c r="N885" s="401"/>
      <c r="O885" s="401"/>
      <c r="P885" s="401"/>
      <c r="Q885" s="401"/>
      <c r="R885" s="401"/>
      <c r="S885" s="401"/>
      <c r="T885" s="401"/>
      <c r="U885" s="401"/>
      <c r="V885" s="401"/>
      <c r="W885" s="401"/>
      <c r="X885" s="401"/>
      <c r="Y885" s="401"/>
      <c r="Z885" s="401"/>
    </row>
    <row r="886">
      <c r="A886" s="401"/>
      <c r="B886" s="401"/>
      <c r="C886" s="401"/>
      <c r="D886" s="401"/>
      <c r="E886" s="401"/>
      <c r="F886" s="401"/>
      <c r="G886" s="401"/>
      <c r="H886" s="401"/>
      <c r="I886" s="401"/>
      <c r="J886" s="401"/>
      <c r="K886" s="401"/>
      <c r="L886" s="401"/>
      <c r="M886" s="401"/>
      <c r="N886" s="401"/>
      <c r="O886" s="401"/>
      <c r="P886" s="401"/>
      <c r="Q886" s="401"/>
      <c r="R886" s="401"/>
      <c r="S886" s="401"/>
      <c r="T886" s="401"/>
      <c r="U886" s="401"/>
      <c r="V886" s="401"/>
      <c r="W886" s="401"/>
      <c r="X886" s="401"/>
      <c r="Y886" s="401"/>
      <c r="Z886" s="401"/>
    </row>
    <row r="887">
      <c r="A887" s="401"/>
      <c r="B887" s="401"/>
      <c r="C887" s="401"/>
      <c r="D887" s="401"/>
      <c r="E887" s="401"/>
      <c r="F887" s="401"/>
      <c r="G887" s="401"/>
      <c r="H887" s="401"/>
      <c r="I887" s="401"/>
      <c r="J887" s="401"/>
      <c r="K887" s="401"/>
      <c r="L887" s="401"/>
      <c r="M887" s="401"/>
      <c r="N887" s="401"/>
      <c r="O887" s="401"/>
      <c r="P887" s="401"/>
      <c r="Q887" s="401"/>
      <c r="R887" s="401"/>
      <c r="S887" s="401"/>
      <c r="T887" s="401"/>
      <c r="U887" s="401"/>
      <c r="V887" s="401"/>
      <c r="W887" s="401"/>
      <c r="X887" s="401"/>
      <c r="Y887" s="401"/>
      <c r="Z887" s="401"/>
    </row>
    <row r="888">
      <c r="A888" s="401"/>
      <c r="B888" s="401"/>
      <c r="C888" s="401"/>
      <c r="D888" s="401"/>
      <c r="E888" s="401"/>
      <c r="F888" s="401"/>
      <c r="G888" s="401"/>
      <c r="H888" s="401"/>
      <c r="I888" s="401"/>
      <c r="J888" s="401"/>
      <c r="K888" s="401"/>
      <c r="L888" s="401"/>
      <c r="M888" s="401"/>
      <c r="N888" s="401"/>
      <c r="O888" s="401"/>
      <c r="P888" s="401"/>
      <c r="Q888" s="401"/>
      <c r="R888" s="401"/>
      <c r="S888" s="401"/>
      <c r="T888" s="401"/>
      <c r="U888" s="401"/>
      <c r="V888" s="401"/>
      <c r="W888" s="401"/>
      <c r="X888" s="401"/>
      <c r="Y888" s="401"/>
      <c r="Z888" s="401"/>
    </row>
    <row r="889">
      <c r="A889" s="401"/>
      <c r="B889" s="401"/>
      <c r="C889" s="401"/>
      <c r="D889" s="401"/>
      <c r="E889" s="401"/>
      <c r="F889" s="401"/>
      <c r="G889" s="401"/>
      <c r="H889" s="401"/>
      <c r="I889" s="401"/>
      <c r="J889" s="401"/>
      <c r="K889" s="401"/>
      <c r="L889" s="401"/>
      <c r="M889" s="401"/>
      <c r="N889" s="401"/>
      <c r="O889" s="401"/>
      <c r="P889" s="401"/>
      <c r="Q889" s="401"/>
      <c r="R889" s="401"/>
      <c r="S889" s="401"/>
      <c r="T889" s="401"/>
      <c r="U889" s="401"/>
      <c r="V889" s="401"/>
      <c r="W889" s="401"/>
      <c r="X889" s="401"/>
      <c r="Y889" s="401"/>
      <c r="Z889" s="401"/>
    </row>
    <row r="890">
      <c r="A890" s="401"/>
      <c r="B890" s="401"/>
      <c r="C890" s="401"/>
      <c r="D890" s="401"/>
      <c r="E890" s="401"/>
      <c r="F890" s="401"/>
      <c r="G890" s="401"/>
      <c r="H890" s="401"/>
      <c r="I890" s="401"/>
      <c r="J890" s="401"/>
      <c r="K890" s="401"/>
      <c r="L890" s="401"/>
      <c r="M890" s="401"/>
      <c r="N890" s="401"/>
      <c r="O890" s="401"/>
      <c r="P890" s="401"/>
      <c r="Q890" s="401"/>
      <c r="R890" s="401"/>
      <c r="S890" s="401"/>
      <c r="T890" s="401"/>
      <c r="U890" s="401"/>
      <c r="V890" s="401"/>
      <c r="W890" s="401"/>
      <c r="X890" s="401"/>
      <c r="Y890" s="401"/>
      <c r="Z890" s="401"/>
    </row>
    <row r="891">
      <c r="A891" s="401"/>
      <c r="B891" s="401"/>
      <c r="C891" s="401"/>
      <c r="D891" s="401"/>
      <c r="E891" s="401"/>
      <c r="F891" s="401"/>
      <c r="G891" s="401"/>
      <c r="H891" s="401"/>
      <c r="I891" s="401"/>
      <c r="J891" s="401"/>
      <c r="K891" s="401"/>
      <c r="L891" s="401"/>
      <c r="M891" s="401"/>
      <c r="N891" s="401"/>
      <c r="O891" s="401"/>
      <c r="P891" s="401"/>
      <c r="Q891" s="401"/>
      <c r="R891" s="401"/>
      <c r="S891" s="401"/>
      <c r="T891" s="401"/>
      <c r="U891" s="401"/>
      <c r="V891" s="401"/>
      <c r="W891" s="401"/>
      <c r="X891" s="401"/>
      <c r="Y891" s="401"/>
      <c r="Z891" s="401"/>
    </row>
    <row r="892">
      <c r="A892" s="401"/>
      <c r="B892" s="401"/>
      <c r="C892" s="401"/>
      <c r="D892" s="401"/>
      <c r="E892" s="401"/>
      <c r="F892" s="401"/>
      <c r="G892" s="401"/>
      <c r="H892" s="401"/>
      <c r="I892" s="401"/>
      <c r="J892" s="401"/>
      <c r="K892" s="401"/>
      <c r="L892" s="401"/>
      <c r="M892" s="401"/>
      <c r="N892" s="401"/>
      <c r="O892" s="401"/>
      <c r="P892" s="401"/>
      <c r="Q892" s="401"/>
      <c r="R892" s="401"/>
      <c r="S892" s="401"/>
      <c r="T892" s="401"/>
      <c r="U892" s="401"/>
      <c r="V892" s="401"/>
      <c r="W892" s="401"/>
      <c r="X892" s="401"/>
      <c r="Y892" s="401"/>
      <c r="Z892" s="401"/>
    </row>
    <row r="893">
      <c r="A893" s="401"/>
      <c r="B893" s="401"/>
      <c r="C893" s="401"/>
      <c r="D893" s="401"/>
      <c r="E893" s="401"/>
      <c r="F893" s="401"/>
      <c r="G893" s="401"/>
      <c r="H893" s="401"/>
      <c r="I893" s="401"/>
      <c r="J893" s="401"/>
      <c r="K893" s="401"/>
      <c r="L893" s="401"/>
      <c r="M893" s="401"/>
      <c r="N893" s="401"/>
      <c r="O893" s="401"/>
      <c r="P893" s="401"/>
      <c r="Q893" s="401"/>
      <c r="R893" s="401"/>
      <c r="S893" s="401"/>
      <c r="T893" s="401"/>
      <c r="U893" s="401"/>
      <c r="V893" s="401"/>
      <c r="W893" s="401"/>
      <c r="X893" s="401"/>
      <c r="Y893" s="401"/>
      <c r="Z893" s="401"/>
    </row>
    <row r="894">
      <c r="A894" s="401"/>
      <c r="B894" s="401"/>
      <c r="C894" s="401"/>
      <c r="D894" s="401"/>
      <c r="E894" s="401"/>
      <c r="F894" s="401"/>
      <c r="G894" s="401"/>
      <c r="H894" s="401"/>
      <c r="I894" s="401"/>
      <c r="J894" s="401"/>
      <c r="K894" s="401"/>
      <c r="L894" s="401"/>
      <c r="M894" s="401"/>
      <c r="N894" s="401"/>
      <c r="O894" s="401"/>
      <c r="P894" s="401"/>
      <c r="Q894" s="401"/>
      <c r="R894" s="401"/>
      <c r="S894" s="401"/>
      <c r="T894" s="401"/>
      <c r="U894" s="401"/>
      <c r="V894" s="401"/>
      <c r="W894" s="401"/>
      <c r="X894" s="401"/>
      <c r="Y894" s="401"/>
      <c r="Z894" s="401"/>
    </row>
    <row r="895">
      <c r="A895" s="401"/>
      <c r="B895" s="401"/>
      <c r="C895" s="401"/>
      <c r="D895" s="401"/>
      <c r="E895" s="401"/>
      <c r="F895" s="401"/>
      <c r="G895" s="401"/>
      <c r="H895" s="401"/>
      <c r="I895" s="401"/>
      <c r="J895" s="401"/>
      <c r="K895" s="401"/>
      <c r="L895" s="401"/>
      <c r="M895" s="401"/>
      <c r="N895" s="401"/>
      <c r="O895" s="401"/>
      <c r="P895" s="401"/>
      <c r="Q895" s="401"/>
      <c r="R895" s="401"/>
      <c r="S895" s="401"/>
      <c r="T895" s="401"/>
      <c r="U895" s="401"/>
      <c r="V895" s="401"/>
      <c r="W895" s="401"/>
      <c r="X895" s="401"/>
      <c r="Y895" s="401"/>
      <c r="Z895" s="401"/>
    </row>
    <row r="896">
      <c r="A896" s="401"/>
      <c r="B896" s="401"/>
      <c r="C896" s="401"/>
      <c r="D896" s="401"/>
      <c r="E896" s="401"/>
      <c r="F896" s="401"/>
      <c r="G896" s="401"/>
      <c r="H896" s="401"/>
      <c r="I896" s="401"/>
      <c r="J896" s="401"/>
      <c r="K896" s="401"/>
      <c r="L896" s="401"/>
      <c r="M896" s="401"/>
      <c r="N896" s="401"/>
      <c r="O896" s="401"/>
      <c r="P896" s="401"/>
      <c r="Q896" s="401"/>
      <c r="R896" s="401"/>
      <c r="S896" s="401"/>
      <c r="T896" s="401"/>
      <c r="U896" s="401"/>
      <c r="V896" s="401"/>
      <c r="W896" s="401"/>
      <c r="X896" s="401"/>
      <c r="Y896" s="401"/>
      <c r="Z896" s="401"/>
    </row>
    <row r="897">
      <c r="A897" s="401"/>
      <c r="B897" s="401"/>
      <c r="C897" s="401"/>
      <c r="D897" s="401"/>
      <c r="E897" s="401"/>
      <c r="F897" s="401"/>
      <c r="G897" s="401"/>
      <c r="H897" s="401"/>
      <c r="I897" s="401"/>
      <c r="J897" s="401"/>
      <c r="K897" s="401"/>
      <c r="L897" s="401"/>
      <c r="M897" s="401"/>
      <c r="N897" s="401"/>
      <c r="O897" s="401"/>
      <c r="P897" s="401"/>
      <c r="Q897" s="401"/>
      <c r="R897" s="401"/>
      <c r="S897" s="401"/>
      <c r="T897" s="401"/>
      <c r="U897" s="401"/>
      <c r="V897" s="401"/>
      <c r="W897" s="401"/>
      <c r="X897" s="401"/>
      <c r="Y897" s="401"/>
      <c r="Z897" s="401"/>
    </row>
    <row r="898">
      <c r="A898" s="401"/>
      <c r="B898" s="401"/>
      <c r="C898" s="401"/>
      <c r="D898" s="401"/>
      <c r="E898" s="401"/>
      <c r="F898" s="401"/>
      <c r="G898" s="401"/>
      <c r="H898" s="401"/>
      <c r="I898" s="401"/>
      <c r="J898" s="401"/>
      <c r="K898" s="401"/>
      <c r="L898" s="401"/>
      <c r="M898" s="401"/>
      <c r="N898" s="401"/>
      <c r="O898" s="401"/>
      <c r="P898" s="401"/>
      <c r="Q898" s="401"/>
      <c r="R898" s="401"/>
      <c r="S898" s="401"/>
      <c r="T898" s="401"/>
      <c r="U898" s="401"/>
      <c r="V898" s="401"/>
      <c r="W898" s="401"/>
      <c r="X898" s="401"/>
      <c r="Y898" s="401"/>
      <c r="Z898" s="401"/>
    </row>
    <row r="899">
      <c r="A899" s="401"/>
      <c r="B899" s="401"/>
      <c r="C899" s="401"/>
      <c r="D899" s="401"/>
      <c r="E899" s="401"/>
      <c r="F899" s="401"/>
      <c r="G899" s="401"/>
      <c r="H899" s="401"/>
      <c r="I899" s="401"/>
      <c r="J899" s="401"/>
      <c r="K899" s="401"/>
      <c r="L899" s="401"/>
      <c r="M899" s="401"/>
      <c r="N899" s="401"/>
      <c r="O899" s="401"/>
      <c r="P899" s="401"/>
      <c r="Q899" s="401"/>
      <c r="R899" s="401"/>
      <c r="S899" s="401"/>
      <c r="T899" s="401"/>
      <c r="U899" s="401"/>
      <c r="V899" s="401"/>
      <c r="W899" s="401"/>
      <c r="X899" s="401"/>
      <c r="Y899" s="401"/>
      <c r="Z899" s="401"/>
    </row>
    <row r="900">
      <c r="A900" s="401"/>
      <c r="B900" s="401"/>
      <c r="C900" s="401"/>
      <c r="D900" s="401"/>
      <c r="E900" s="401"/>
      <c r="F900" s="401"/>
      <c r="G900" s="401"/>
      <c r="H900" s="401"/>
      <c r="I900" s="401"/>
      <c r="J900" s="401"/>
      <c r="K900" s="401"/>
      <c r="L900" s="401"/>
      <c r="M900" s="401"/>
      <c r="N900" s="401"/>
      <c r="O900" s="401"/>
      <c r="P900" s="401"/>
      <c r="Q900" s="401"/>
      <c r="R900" s="401"/>
      <c r="S900" s="401"/>
      <c r="T900" s="401"/>
      <c r="U900" s="401"/>
      <c r="V900" s="401"/>
      <c r="W900" s="401"/>
      <c r="X900" s="401"/>
      <c r="Y900" s="401"/>
      <c r="Z900" s="401"/>
    </row>
    <row r="901">
      <c r="A901" s="401"/>
      <c r="B901" s="401"/>
      <c r="C901" s="401"/>
      <c r="D901" s="401"/>
      <c r="E901" s="401"/>
      <c r="F901" s="401"/>
      <c r="G901" s="401"/>
      <c r="H901" s="401"/>
      <c r="I901" s="401"/>
      <c r="J901" s="401"/>
      <c r="K901" s="401"/>
      <c r="L901" s="401"/>
      <c r="M901" s="401"/>
      <c r="N901" s="401"/>
      <c r="O901" s="401"/>
      <c r="P901" s="401"/>
      <c r="Q901" s="401"/>
      <c r="R901" s="401"/>
      <c r="S901" s="401"/>
      <c r="T901" s="401"/>
      <c r="U901" s="401"/>
      <c r="V901" s="401"/>
      <c r="W901" s="401"/>
      <c r="X901" s="401"/>
      <c r="Y901" s="401"/>
      <c r="Z901" s="401"/>
    </row>
    <row r="902">
      <c r="A902" s="401"/>
      <c r="B902" s="401"/>
      <c r="C902" s="401"/>
      <c r="D902" s="401"/>
      <c r="E902" s="401"/>
      <c r="F902" s="401"/>
      <c r="G902" s="401"/>
      <c r="H902" s="401"/>
      <c r="I902" s="401"/>
      <c r="J902" s="401"/>
      <c r="K902" s="401"/>
      <c r="L902" s="401"/>
      <c r="M902" s="401"/>
      <c r="N902" s="401"/>
      <c r="O902" s="401"/>
      <c r="P902" s="401"/>
      <c r="Q902" s="401"/>
      <c r="R902" s="401"/>
      <c r="S902" s="401"/>
      <c r="T902" s="401"/>
      <c r="U902" s="401"/>
      <c r="V902" s="401"/>
      <c r="W902" s="401"/>
      <c r="X902" s="401"/>
      <c r="Y902" s="401"/>
      <c r="Z902" s="401"/>
    </row>
    <row r="903">
      <c r="A903" s="401"/>
      <c r="B903" s="401"/>
      <c r="C903" s="401"/>
      <c r="D903" s="401"/>
      <c r="E903" s="401"/>
      <c r="F903" s="401"/>
      <c r="G903" s="401"/>
      <c r="H903" s="401"/>
      <c r="I903" s="401"/>
      <c r="J903" s="401"/>
      <c r="K903" s="401"/>
      <c r="L903" s="401"/>
      <c r="M903" s="401"/>
      <c r="N903" s="401"/>
      <c r="O903" s="401"/>
      <c r="P903" s="401"/>
      <c r="Q903" s="401"/>
      <c r="R903" s="401"/>
      <c r="S903" s="401"/>
      <c r="T903" s="401"/>
      <c r="U903" s="401"/>
      <c r="V903" s="401"/>
      <c r="W903" s="401"/>
      <c r="X903" s="401"/>
      <c r="Y903" s="401"/>
      <c r="Z903" s="401"/>
    </row>
    <row r="904">
      <c r="A904" s="401"/>
      <c r="B904" s="401"/>
      <c r="C904" s="401"/>
      <c r="D904" s="401"/>
      <c r="E904" s="401"/>
      <c r="F904" s="401"/>
      <c r="G904" s="401"/>
      <c r="H904" s="401"/>
      <c r="I904" s="401"/>
      <c r="J904" s="401"/>
      <c r="K904" s="401"/>
      <c r="L904" s="401"/>
      <c r="M904" s="401"/>
      <c r="N904" s="401"/>
      <c r="O904" s="401"/>
      <c r="P904" s="401"/>
      <c r="Q904" s="401"/>
      <c r="R904" s="401"/>
      <c r="S904" s="401"/>
      <c r="T904" s="401"/>
      <c r="U904" s="401"/>
      <c r="V904" s="401"/>
      <c r="W904" s="401"/>
      <c r="X904" s="401"/>
      <c r="Y904" s="401"/>
      <c r="Z904" s="401"/>
    </row>
    <row r="905">
      <c r="A905" s="401"/>
      <c r="B905" s="401"/>
      <c r="C905" s="401"/>
      <c r="D905" s="401"/>
      <c r="E905" s="401"/>
      <c r="F905" s="401"/>
      <c r="G905" s="401"/>
      <c r="H905" s="401"/>
      <c r="I905" s="401"/>
      <c r="J905" s="401"/>
      <c r="K905" s="401"/>
      <c r="L905" s="401"/>
      <c r="M905" s="401"/>
      <c r="N905" s="401"/>
      <c r="O905" s="401"/>
      <c r="P905" s="401"/>
      <c r="Q905" s="401"/>
      <c r="R905" s="401"/>
      <c r="S905" s="401"/>
      <c r="T905" s="401"/>
      <c r="U905" s="401"/>
      <c r="V905" s="401"/>
      <c r="W905" s="401"/>
      <c r="X905" s="401"/>
      <c r="Y905" s="401"/>
      <c r="Z905" s="401"/>
    </row>
    <row r="906">
      <c r="A906" s="401"/>
      <c r="B906" s="401"/>
      <c r="C906" s="401"/>
      <c r="D906" s="401"/>
      <c r="E906" s="401"/>
      <c r="F906" s="401"/>
      <c r="G906" s="401"/>
      <c r="H906" s="401"/>
      <c r="I906" s="401"/>
      <c r="J906" s="401"/>
      <c r="K906" s="401"/>
      <c r="L906" s="401"/>
      <c r="M906" s="401"/>
      <c r="N906" s="401"/>
      <c r="O906" s="401"/>
      <c r="P906" s="401"/>
      <c r="Q906" s="401"/>
      <c r="R906" s="401"/>
      <c r="S906" s="401"/>
      <c r="T906" s="401"/>
      <c r="U906" s="401"/>
      <c r="V906" s="401"/>
      <c r="W906" s="401"/>
      <c r="X906" s="401"/>
      <c r="Y906" s="401"/>
      <c r="Z906" s="401"/>
    </row>
    <row r="907">
      <c r="A907" s="401"/>
      <c r="B907" s="401"/>
      <c r="C907" s="401"/>
      <c r="D907" s="401"/>
      <c r="E907" s="401"/>
      <c r="F907" s="401"/>
      <c r="G907" s="401"/>
      <c r="H907" s="401"/>
      <c r="I907" s="401"/>
      <c r="J907" s="401"/>
      <c r="K907" s="401"/>
      <c r="L907" s="401"/>
      <c r="M907" s="401"/>
      <c r="N907" s="401"/>
      <c r="O907" s="401"/>
      <c r="P907" s="401"/>
      <c r="Q907" s="401"/>
      <c r="R907" s="401"/>
      <c r="S907" s="401"/>
      <c r="T907" s="401"/>
      <c r="U907" s="401"/>
      <c r="V907" s="401"/>
      <c r="W907" s="401"/>
      <c r="X907" s="401"/>
      <c r="Y907" s="401"/>
      <c r="Z907" s="401"/>
    </row>
    <row r="908">
      <c r="A908" s="401"/>
      <c r="B908" s="401"/>
      <c r="C908" s="401"/>
      <c r="D908" s="401"/>
      <c r="E908" s="401"/>
      <c r="F908" s="401"/>
      <c r="G908" s="401"/>
      <c r="H908" s="401"/>
      <c r="I908" s="401"/>
      <c r="J908" s="401"/>
      <c r="K908" s="401"/>
      <c r="L908" s="401"/>
      <c r="M908" s="401"/>
      <c r="N908" s="401"/>
      <c r="O908" s="401"/>
      <c r="P908" s="401"/>
      <c r="Q908" s="401"/>
      <c r="R908" s="401"/>
      <c r="S908" s="401"/>
      <c r="T908" s="401"/>
      <c r="U908" s="401"/>
      <c r="V908" s="401"/>
      <c r="W908" s="401"/>
      <c r="X908" s="401"/>
      <c r="Y908" s="401"/>
      <c r="Z908" s="401"/>
    </row>
    <row r="909">
      <c r="A909" s="401"/>
      <c r="B909" s="401"/>
      <c r="C909" s="401"/>
      <c r="D909" s="401"/>
      <c r="E909" s="401"/>
      <c r="F909" s="401"/>
      <c r="G909" s="401"/>
      <c r="H909" s="401"/>
      <c r="I909" s="401"/>
      <c r="J909" s="401"/>
      <c r="K909" s="401"/>
      <c r="L909" s="401"/>
      <c r="M909" s="401"/>
      <c r="N909" s="401"/>
      <c r="O909" s="401"/>
      <c r="P909" s="401"/>
      <c r="Q909" s="401"/>
      <c r="R909" s="401"/>
      <c r="S909" s="401"/>
      <c r="T909" s="401"/>
      <c r="U909" s="401"/>
      <c r="V909" s="401"/>
      <c r="W909" s="401"/>
      <c r="X909" s="401"/>
      <c r="Y909" s="401"/>
      <c r="Z909" s="401"/>
    </row>
    <row r="910">
      <c r="A910" s="401"/>
      <c r="B910" s="401"/>
      <c r="C910" s="401"/>
      <c r="D910" s="401"/>
      <c r="E910" s="401"/>
      <c r="F910" s="401"/>
      <c r="G910" s="401"/>
      <c r="H910" s="401"/>
      <c r="I910" s="401"/>
      <c r="J910" s="401"/>
      <c r="K910" s="401"/>
      <c r="L910" s="401"/>
      <c r="M910" s="401"/>
      <c r="N910" s="401"/>
      <c r="O910" s="401"/>
      <c r="P910" s="401"/>
      <c r="Q910" s="401"/>
      <c r="R910" s="401"/>
      <c r="S910" s="401"/>
      <c r="T910" s="401"/>
      <c r="U910" s="401"/>
      <c r="V910" s="401"/>
      <c r="W910" s="401"/>
      <c r="X910" s="401"/>
      <c r="Y910" s="401"/>
      <c r="Z910" s="401"/>
    </row>
    <row r="911">
      <c r="A911" s="401"/>
      <c r="B911" s="401"/>
      <c r="C911" s="401"/>
      <c r="D911" s="401"/>
      <c r="E911" s="401"/>
      <c r="F911" s="401"/>
      <c r="G911" s="401"/>
      <c r="H911" s="401"/>
      <c r="I911" s="401"/>
      <c r="J911" s="401"/>
      <c r="K911" s="401"/>
      <c r="L911" s="401"/>
      <c r="M911" s="401"/>
      <c r="N911" s="401"/>
      <c r="O911" s="401"/>
      <c r="P911" s="401"/>
      <c r="Q911" s="401"/>
      <c r="R911" s="401"/>
      <c r="S911" s="401"/>
      <c r="T911" s="401"/>
      <c r="U911" s="401"/>
      <c r="V911" s="401"/>
      <c r="W911" s="401"/>
      <c r="X911" s="401"/>
      <c r="Y911" s="401"/>
      <c r="Z911" s="401"/>
    </row>
    <row r="912">
      <c r="A912" s="401"/>
      <c r="B912" s="401"/>
      <c r="C912" s="401"/>
      <c r="D912" s="401"/>
      <c r="E912" s="401"/>
      <c r="F912" s="401"/>
      <c r="G912" s="401"/>
      <c r="H912" s="401"/>
      <c r="I912" s="401"/>
      <c r="J912" s="401"/>
      <c r="K912" s="401"/>
      <c r="L912" s="401"/>
      <c r="M912" s="401"/>
      <c r="N912" s="401"/>
      <c r="O912" s="401"/>
      <c r="P912" s="401"/>
      <c r="Q912" s="401"/>
      <c r="R912" s="401"/>
      <c r="S912" s="401"/>
      <c r="T912" s="401"/>
      <c r="U912" s="401"/>
      <c r="V912" s="401"/>
      <c r="W912" s="401"/>
      <c r="X912" s="401"/>
      <c r="Y912" s="401"/>
      <c r="Z912" s="401"/>
    </row>
    <row r="913">
      <c r="A913" s="401"/>
      <c r="B913" s="401"/>
      <c r="C913" s="401"/>
      <c r="D913" s="401"/>
      <c r="E913" s="401"/>
      <c r="F913" s="401"/>
      <c r="G913" s="401"/>
      <c r="H913" s="401"/>
      <c r="I913" s="401"/>
      <c r="J913" s="401"/>
      <c r="K913" s="401"/>
      <c r="L913" s="401"/>
      <c r="M913" s="401"/>
      <c r="N913" s="401"/>
      <c r="O913" s="401"/>
      <c r="P913" s="401"/>
      <c r="Q913" s="401"/>
      <c r="R913" s="401"/>
      <c r="S913" s="401"/>
      <c r="T913" s="401"/>
      <c r="U913" s="401"/>
      <c r="V913" s="401"/>
      <c r="W913" s="401"/>
      <c r="X913" s="401"/>
      <c r="Y913" s="401"/>
      <c r="Z913" s="401"/>
    </row>
    <row r="914">
      <c r="A914" s="401"/>
      <c r="B914" s="401"/>
      <c r="C914" s="401"/>
      <c r="D914" s="401"/>
      <c r="E914" s="401"/>
      <c r="F914" s="401"/>
      <c r="G914" s="401"/>
      <c r="H914" s="401"/>
      <c r="I914" s="401"/>
      <c r="J914" s="401"/>
      <c r="K914" s="401"/>
      <c r="L914" s="401"/>
      <c r="M914" s="401"/>
      <c r="N914" s="401"/>
      <c r="O914" s="401"/>
      <c r="P914" s="401"/>
      <c r="Q914" s="401"/>
      <c r="R914" s="401"/>
      <c r="S914" s="401"/>
      <c r="T914" s="401"/>
      <c r="U914" s="401"/>
      <c r="V914" s="401"/>
      <c r="W914" s="401"/>
      <c r="X914" s="401"/>
      <c r="Y914" s="401"/>
      <c r="Z914" s="401"/>
    </row>
    <row r="915">
      <c r="A915" s="401"/>
      <c r="B915" s="401"/>
      <c r="C915" s="401"/>
      <c r="D915" s="401"/>
      <c r="E915" s="401"/>
      <c r="F915" s="401"/>
      <c r="G915" s="401"/>
      <c r="H915" s="401"/>
      <c r="I915" s="401"/>
      <c r="J915" s="401"/>
      <c r="K915" s="401"/>
      <c r="L915" s="401"/>
      <c r="M915" s="401"/>
      <c r="N915" s="401"/>
      <c r="O915" s="401"/>
      <c r="P915" s="401"/>
      <c r="Q915" s="401"/>
      <c r="R915" s="401"/>
      <c r="S915" s="401"/>
      <c r="T915" s="401"/>
      <c r="U915" s="401"/>
      <c r="V915" s="401"/>
      <c r="W915" s="401"/>
      <c r="X915" s="401"/>
      <c r="Y915" s="401"/>
      <c r="Z915" s="401"/>
    </row>
    <row r="916">
      <c r="A916" s="401"/>
      <c r="B916" s="401"/>
      <c r="C916" s="401"/>
      <c r="D916" s="401"/>
      <c r="E916" s="401"/>
      <c r="F916" s="401"/>
      <c r="G916" s="401"/>
      <c r="H916" s="401"/>
      <c r="I916" s="401"/>
      <c r="J916" s="401"/>
      <c r="K916" s="401"/>
      <c r="L916" s="401"/>
      <c r="M916" s="401"/>
      <c r="N916" s="401"/>
      <c r="O916" s="401"/>
      <c r="P916" s="401"/>
      <c r="Q916" s="401"/>
      <c r="R916" s="401"/>
      <c r="S916" s="401"/>
      <c r="T916" s="401"/>
      <c r="U916" s="401"/>
      <c r="V916" s="401"/>
      <c r="W916" s="401"/>
      <c r="X916" s="401"/>
      <c r="Y916" s="401"/>
      <c r="Z916" s="401"/>
    </row>
    <row r="917">
      <c r="A917" s="401"/>
      <c r="B917" s="401"/>
      <c r="C917" s="401"/>
      <c r="D917" s="401"/>
      <c r="E917" s="401"/>
      <c r="F917" s="401"/>
      <c r="G917" s="401"/>
      <c r="H917" s="401"/>
      <c r="I917" s="401"/>
      <c r="J917" s="401"/>
      <c r="K917" s="401"/>
      <c r="L917" s="401"/>
      <c r="M917" s="401"/>
      <c r="N917" s="401"/>
      <c r="O917" s="401"/>
      <c r="P917" s="401"/>
      <c r="Q917" s="401"/>
      <c r="R917" s="401"/>
      <c r="S917" s="401"/>
      <c r="T917" s="401"/>
      <c r="U917" s="401"/>
      <c r="V917" s="401"/>
      <c r="W917" s="401"/>
      <c r="X917" s="401"/>
      <c r="Y917" s="401"/>
      <c r="Z917" s="401"/>
    </row>
    <row r="918">
      <c r="A918" s="401"/>
      <c r="B918" s="401"/>
      <c r="C918" s="401"/>
      <c r="D918" s="401"/>
      <c r="E918" s="401"/>
      <c r="F918" s="401"/>
      <c r="G918" s="401"/>
      <c r="H918" s="401"/>
      <c r="I918" s="401"/>
      <c r="J918" s="401"/>
      <c r="K918" s="401"/>
      <c r="L918" s="401"/>
      <c r="M918" s="401"/>
      <c r="N918" s="401"/>
      <c r="O918" s="401"/>
      <c r="P918" s="401"/>
      <c r="Q918" s="401"/>
      <c r="R918" s="401"/>
      <c r="S918" s="401"/>
      <c r="T918" s="401"/>
      <c r="U918" s="401"/>
      <c r="V918" s="401"/>
      <c r="W918" s="401"/>
      <c r="X918" s="401"/>
      <c r="Y918" s="401"/>
      <c r="Z918" s="401"/>
    </row>
    <row r="919">
      <c r="A919" s="401"/>
      <c r="B919" s="401"/>
      <c r="C919" s="401"/>
      <c r="D919" s="401"/>
      <c r="E919" s="401"/>
      <c r="F919" s="401"/>
      <c r="G919" s="401"/>
      <c r="H919" s="401"/>
      <c r="I919" s="401"/>
      <c r="J919" s="401"/>
      <c r="K919" s="401"/>
      <c r="L919" s="401"/>
      <c r="M919" s="401"/>
      <c r="N919" s="401"/>
      <c r="O919" s="401"/>
      <c r="P919" s="401"/>
      <c r="Q919" s="401"/>
      <c r="R919" s="401"/>
      <c r="S919" s="401"/>
      <c r="T919" s="401"/>
      <c r="U919" s="401"/>
      <c r="V919" s="401"/>
      <c r="W919" s="401"/>
      <c r="X919" s="401"/>
      <c r="Y919" s="401"/>
      <c r="Z919" s="401"/>
    </row>
    <row r="920">
      <c r="A920" s="401"/>
      <c r="B920" s="401"/>
      <c r="C920" s="401"/>
      <c r="D920" s="401"/>
      <c r="E920" s="401"/>
      <c r="F920" s="401"/>
      <c r="G920" s="401"/>
      <c r="H920" s="401"/>
      <c r="I920" s="401"/>
      <c r="J920" s="401"/>
      <c r="K920" s="401"/>
      <c r="L920" s="401"/>
      <c r="M920" s="401"/>
      <c r="N920" s="401"/>
      <c r="O920" s="401"/>
      <c r="P920" s="401"/>
      <c r="Q920" s="401"/>
      <c r="R920" s="401"/>
      <c r="S920" s="401"/>
      <c r="T920" s="401"/>
      <c r="U920" s="401"/>
      <c r="V920" s="401"/>
      <c r="W920" s="401"/>
      <c r="X920" s="401"/>
      <c r="Y920" s="401"/>
      <c r="Z920" s="401"/>
    </row>
    <row r="921">
      <c r="A921" s="401"/>
      <c r="B921" s="401"/>
      <c r="C921" s="401"/>
      <c r="D921" s="401"/>
      <c r="E921" s="401"/>
      <c r="F921" s="401"/>
      <c r="G921" s="401"/>
      <c r="H921" s="401"/>
      <c r="I921" s="401"/>
      <c r="J921" s="401"/>
      <c r="K921" s="401"/>
      <c r="L921" s="401"/>
      <c r="M921" s="401"/>
      <c r="N921" s="401"/>
      <c r="O921" s="401"/>
      <c r="P921" s="401"/>
      <c r="Q921" s="401"/>
      <c r="R921" s="401"/>
      <c r="S921" s="401"/>
      <c r="T921" s="401"/>
      <c r="U921" s="401"/>
      <c r="V921" s="401"/>
      <c r="W921" s="401"/>
      <c r="X921" s="401"/>
      <c r="Y921" s="401"/>
      <c r="Z921" s="401"/>
    </row>
    <row r="922">
      <c r="A922" s="401"/>
      <c r="B922" s="401"/>
      <c r="C922" s="401"/>
      <c r="D922" s="401"/>
      <c r="E922" s="401"/>
      <c r="F922" s="401"/>
      <c r="G922" s="401"/>
      <c r="H922" s="401"/>
      <c r="I922" s="401"/>
      <c r="J922" s="401"/>
      <c r="K922" s="401"/>
      <c r="L922" s="401"/>
      <c r="M922" s="401"/>
      <c r="N922" s="401"/>
      <c r="O922" s="401"/>
      <c r="P922" s="401"/>
      <c r="Q922" s="401"/>
      <c r="R922" s="401"/>
      <c r="S922" s="401"/>
      <c r="T922" s="401"/>
      <c r="U922" s="401"/>
      <c r="V922" s="401"/>
      <c r="W922" s="401"/>
      <c r="X922" s="401"/>
      <c r="Y922" s="401"/>
      <c r="Z922" s="401"/>
    </row>
    <row r="923">
      <c r="A923" s="401"/>
      <c r="B923" s="401"/>
      <c r="C923" s="401"/>
      <c r="D923" s="401"/>
      <c r="E923" s="401"/>
      <c r="F923" s="401"/>
      <c r="G923" s="401"/>
      <c r="H923" s="401"/>
      <c r="I923" s="401"/>
      <c r="J923" s="401"/>
      <c r="K923" s="401"/>
      <c r="L923" s="401"/>
      <c r="M923" s="401"/>
      <c r="N923" s="401"/>
      <c r="O923" s="401"/>
      <c r="P923" s="401"/>
      <c r="Q923" s="401"/>
      <c r="R923" s="401"/>
      <c r="S923" s="401"/>
      <c r="T923" s="401"/>
      <c r="U923" s="401"/>
      <c r="V923" s="401"/>
      <c r="W923" s="401"/>
      <c r="X923" s="401"/>
      <c r="Y923" s="401"/>
      <c r="Z923" s="401"/>
    </row>
    <row r="924">
      <c r="A924" s="401"/>
      <c r="B924" s="401"/>
      <c r="C924" s="401"/>
      <c r="D924" s="401"/>
      <c r="E924" s="401"/>
      <c r="F924" s="401"/>
      <c r="G924" s="401"/>
      <c r="H924" s="401"/>
      <c r="I924" s="401"/>
      <c r="J924" s="401"/>
      <c r="K924" s="401"/>
      <c r="L924" s="401"/>
      <c r="M924" s="401"/>
      <c r="N924" s="401"/>
      <c r="O924" s="401"/>
      <c r="P924" s="401"/>
      <c r="Q924" s="401"/>
      <c r="R924" s="401"/>
      <c r="S924" s="401"/>
      <c r="T924" s="401"/>
      <c r="U924" s="401"/>
      <c r="V924" s="401"/>
      <c r="W924" s="401"/>
      <c r="X924" s="401"/>
      <c r="Y924" s="401"/>
      <c r="Z924" s="401"/>
    </row>
    <row r="925">
      <c r="A925" s="401"/>
      <c r="B925" s="401"/>
      <c r="C925" s="401"/>
      <c r="D925" s="401"/>
      <c r="E925" s="401"/>
      <c r="F925" s="401"/>
      <c r="G925" s="401"/>
      <c r="H925" s="401"/>
      <c r="I925" s="401"/>
      <c r="J925" s="401"/>
      <c r="K925" s="401"/>
      <c r="L925" s="401"/>
      <c r="M925" s="401"/>
      <c r="N925" s="401"/>
      <c r="O925" s="401"/>
      <c r="P925" s="401"/>
      <c r="Q925" s="401"/>
      <c r="R925" s="401"/>
      <c r="S925" s="401"/>
      <c r="T925" s="401"/>
      <c r="U925" s="401"/>
      <c r="V925" s="401"/>
      <c r="W925" s="401"/>
      <c r="X925" s="401"/>
      <c r="Y925" s="401"/>
      <c r="Z925" s="401"/>
    </row>
    <row r="926">
      <c r="A926" s="401"/>
      <c r="B926" s="401"/>
      <c r="C926" s="401"/>
      <c r="D926" s="401"/>
      <c r="E926" s="401"/>
      <c r="F926" s="401"/>
      <c r="G926" s="401"/>
      <c r="H926" s="401"/>
      <c r="I926" s="401"/>
      <c r="J926" s="401"/>
      <c r="K926" s="401"/>
      <c r="L926" s="401"/>
      <c r="M926" s="401"/>
      <c r="N926" s="401"/>
      <c r="O926" s="401"/>
      <c r="P926" s="401"/>
      <c r="Q926" s="401"/>
      <c r="R926" s="401"/>
      <c r="S926" s="401"/>
      <c r="T926" s="401"/>
      <c r="U926" s="401"/>
      <c r="V926" s="401"/>
      <c r="W926" s="401"/>
      <c r="X926" s="401"/>
      <c r="Y926" s="401"/>
      <c r="Z926" s="401"/>
    </row>
    <row r="927">
      <c r="A927" s="401"/>
      <c r="B927" s="401"/>
      <c r="C927" s="401"/>
      <c r="D927" s="401"/>
      <c r="E927" s="401"/>
      <c r="F927" s="401"/>
      <c r="G927" s="401"/>
      <c r="H927" s="401"/>
      <c r="I927" s="401"/>
      <c r="J927" s="401"/>
      <c r="K927" s="401"/>
      <c r="L927" s="401"/>
      <c r="M927" s="401"/>
      <c r="N927" s="401"/>
      <c r="O927" s="401"/>
      <c r="P927" s="401"/>
      <c r="Q927" s="401"/>
      <c r="R927" s="401"/>
      <c r="S927" s="401"/>
      <c r="T927" s="401"/>
      <c r="U927" s="401"/>
      <c r="V927" s="401"/>
      <c r="W927" s="401"/>
      <c r="X927" s="401"/>
      <c r="Y927" s="401"/>
      <c r="Z927" s="401"/>
    </row>
    <row r="928">
      <c r="A928" s="401"/>
      <c r="B928" s="401"/>
      <c r="C928" s="401"/>
      <c r="D928" s="401"/>
      <c r="E928" s="401"/>
      <c r="F928" s="401"/>
      <c r="G928" s="401"/>
      <c r="H928" s="401"/>
      <c r="I928" s="401"/>
      <c r="J928" s="401"/>
      <c r="K928" s="401"/>
      <c r="L928" s="401"/>
      <c r="M928" s="401"/>
      <c r="N928" s="401"/>
      <c r="O928" s="401"/>
      <c r="P928" s="401"/>
      <c r="Q928" s="401"/>
      <c r="R928" s="401"/>
      <c r="S928" s="401"/>
      <c r="T928" s="401"/>
      <c r="U928" s="401"/>
      <c r="V928" s="401"/>
      <c r="W928" s="401"/>
      <c r="X928" s="401"/>
      <c r="Y928" s="401"/>
      <c r="Z928" s="401"/>
    </row>
    <row r="929">
      <c r="A929" s="401"/>
      <c r="B929" s="401"/>
      <c r="C929" s="401"/>
      <c r="D929" s="401"/>
      <c r="E929" s="401"/>
      <c r="F929" s="401"/>
      <c r="G929" s="401"/>
      <c r="H929" s="401"/>
      <c r="I929" s="401"/>
      <c r="J929" s="401"/>
      <c r="K929" s="401"/>
      <c r="L929" s="401"/>
      <c r="M929" s="401"/>
      <c r="N929" s="401"/>
      <c r="O929" s="401"/>
      <c r="P929" s="401"/>
      <c r="Q929" s="401"/>
      <c r="R929" s="401"/>
      <c r="S929" s="401"/>
      <c r="T929" s="401"/>
      <c r="U929" s="401"/>
      <c r="V929" s="401"/>
      <c r="W929" s="401"/>
      <c r="X929" s="401"/>
      <c r="Y929" s="401"/>
      <c r="Z929" s="401"/>
    </row>
    <row r="930">
      <c r="A930" s="401"/>
      <c r="B930" s="401"/>
      <c r="C930" s="401"/>
      <c r="D930" s="401"/>
      <c r="E930" s="401"/>
      <c r="F930" s="401"/>
      <c r="G930" s="401"/>
      <c r="H930" s="401"/>
      <c r="I930" s="401"/>
      <c r="J930" s="401"/>
      <c r="K930" s="401"/>
      <c r="L930" s="401"/>
      <c r="M930" s="401"/>
      <c r="N930" s="401"/>
      <c r="O930" s="401"/>
      <c r="P930" s="401"/>
      <c r="Q930" s="401"/>
      <c r="R930" s="401"/>
      <c r="S930" s="401"/>
      <c r="T930" s="401"/>
      <c r="U930" s="401"/>
      <c r="V930" s="401"/>
      <c r="W930" s="401"/>
      <c r="X930" s="401"/>
      <c r="Y930" s="401"/>
      <c r="Z930" s="401"/>
    </row>
    <row r="931">
      <c r="A931" s="401"/>
      <c r="B931" s="401"/>
      <c r="C931" s="401"/>
      <c r="D931" s="401"/>
      <c r="E931" s="401"/>
      <c r="F931" s="401"/>
      <c r="G931" s="401"/>
      <c r="H931" s="401"/>
      <c r="I931" s="401"/>
      <c r="J931" s="401"/>
      <c r="K931" s="401"/>
      <c r="L931" s="401"/>
      <c r="M931" s="401"/>
      <c r="N931" s="401"/>
      <c r="O931" s="401"/>
      <c r="P931" s="401"/>
      <c r="Q931" s="401"/>
      <c r="R931" s="401"/>
      <c r="S931" s="401"/>
      <c r="T931" s="401"/>
      <c r="U931" s="401"/>
      <c r="V931" s="401"/>
      <c r="W931" s="401"/>
      <c r="X931" s="401"/>
      <c r="Y931" s="401"/>
      <c r="Z931" s="401"/>
    </row>
    <row r="932">
      <c r="A932" s="401"/>
      <c r="B932" s="401"/>
      <c r="C932" s="401"/>
      <c r="D932" s="401"/>
      <c r="E932" s="401"/>
      <c r="F932" s="401"/>
      <c r="G932" s="401"/>
      <c r="H932" s="401"/>
      <c r="I932" s="401"/>
      <c r="J932" s="401"/>
      <c r="K932" s="401"/>
      <c r="L932" s="401"/>
      <c r="M932" s="401"/>
      <c r="N932" s="401"/>
      <c r="O932" s="401"/>
      <c r="P932" s="401"/>
      <c r="Q932" s="401"/>
      <c r="R932" s="401"/>
      <c r="S932" s="401"/>
      <c r="T932" s="401"/>
      <c r="U932" s="401"/>
      <c r="V932" s="401"/>
      <c r="W932" s="401"/>
      <c r="X932" s="401"/>
      <c r="Y932" s="401"/>
      <c r="Z932" s="401"/>
    </row>
    <row r="933">
      <c r="A933" s="401"/>
      <c r="B933" s="401"/>
      <c r="C933" s="401"/>
      <c r="D933" s="401"/>
      <c r="E933" s="401"/>
      <c r="F933" s="401"/>
      <c r="G933" s="401"/>
      <c r="H933" s="401"/>
      <c r="I933" s="401"/>
      <c r="J933" s="401"/>
      <c r="K933" s="401"/>
      <c r="L933" s="401"/>
      <c r="M933" s="401"/>
      <c r="N933" s="401"/>
      <c r="O933" s="401"/>
      <c r="P933" s="401"/>
      <c r="Q933" s="401"/>
      <c r="R933" s="401"/>
      <c r="S933" s="401"/>
      <c r="T933" s="401"/>
      <c r="U933" s="401"/>
      <c r="V933" s="401"/>
      <c r="W933" s="401"/>
      <c r="X933" s="401"/>
      <c r="Y933" s="401"/>
      <c r="Z933" s="401"/>
    </row>
    <row r="934">
      <c r="A934" s="401"/>
      <c r="B934" s="401"/>
      <c r="C934" s="401"/>
      <c r="D934" s="401"/>
      <c r="E934" s="401"/>
      <c r="F934" s="401"/>
      <c r="G934" s="401"/>
      <c r="H934" s="401"/>
      <c r="I934" s="401"/>
      <c r="J934" s="401"/>
      <c r="K934" s="401"/>
      <c r="L934" s="401"/>
      <c r="M934" s="401"/>
      <c r="N934" s="401"/>
      <c r="O934" s="401"/>
      <c r="P934" s="401"/>
      <c r="Q934" s="401"/>
      <c r="R934" s="401"/>
      <c r="S934" s="401"/>
      <c r="T934" s="401"/>
      <c r="U934" s="401"/>
      <c r="V934" s="401"/>
      <c r="W934" s="401"/>
      <c r="X934" s="401"/>
      <c r="Y934" s="401"/>
      <c r="Z934" s="401"/>
    </row>
    <row r="935">
      <c r="A935" s="401"/>
      <c r="B935" s="401"/>
      <c r="C935" s="401"/>
      <c r="D935" s="401"/>
      <c r="E935" s="401"/>
      <c r="F935" s="401"/>
      <c r="G935" s="401"/>
      <c r="H935" s="401"/>
      <c r="I935" s="401"/>
      <c r="J935" s="401"/>
      <c r="K935" s="401"/>
      <c r="L935" s="401"/>
      <c r="M935" s="401"/>
      <c r="N935" s="401"/>
      <c r="O935" s="401"/>
      <c r="P935" s="401"/>
      <c r="Q935" s="401"/>
      <c r="R935" s="401"/>
      <c r="S935" s="401"/>
      <c r="T935" s="401"/>
      <c r="U935" s="401"/>
      <c r="V935" s="401"/>
      <c r="W935" s="401"/>
      <c r="X935" s="401"/>
      <c r="Y935" s="401"/>
      <c r="Z935" s="401"/>
    </row>
    <row r="936">
      <c r="A936" s="401"/>
      <c r="B936" s="401"/>
      <c r="C936" s="401"/>
      <c r="D936" s="401"/>
      <c r="E936" s="401"/>
      <c r="F936" s="401"/>
      <c r="G936" s="401"/>
      <c r="H936" s="401"/>
      <c r="I936" s="401"/>
      <c r="J936" s="401"/>
      <c r="K936" s="401"/>
      <c r="L936" s="401"/>
      <c r="M936" s="401"/>
      <c r="N936" s="401"/>
      <c r="O936" s="401"/>
      <c r="P936" s="401"/>
      <c r="Q936" s="401"/>
      <c r="R936" s="401"/>
      <c r="S936" s="401"/>
      <c r="T936" s="401"/>
      <c r="U936" s="401"/>
      <c r="V936" s="401"/>
      <c r="W936" s="401"/>
      <c r="X936" s="401"/>
      <c r="Y936" s="401"/>
      <c r="Z936" s="401"/>
    </row>
    <row r="937">
      <c r="A937" s="401"/>
      <c r="B937" s="401"/>
      <c r="C937" s="401"/>
      <c r="D937" s="401"/>
      <c r="E937" s="401"/>
      <c r="F937" s="401"/>
      <c r="G937" s="401"/>
      <c r="H937" s="401"/>
      <c r="I937" s="401"/>
      <c r="J937" s="401"/>
      <c r="K937" s="401"/>
      <c r="L937" s="401"/>
      <c r="M937" s="401"/>
      <c r="N937" s="401"/>
      <c r="O937" s="401"/>
      <c r="P937" s="401"/>
      <c r="Q937" s="401"/>
      <c r="R937" s="401"/>
      <c r="S937" s="401"/>
      <c r="T937" s="401"/>
      <c r="U937" s="401"/>
      <c r="V937" s="401"/>
      <c r="W937" s="401"/>
      <c r="X937" s="401"/>
      <c r="Y937" s="401"/>
      <c r="Z937" s="401"/>
    </row>
    <row r="938">
      <c r="A938" s="401"/>
      <c r="B938" s="401"/>
      <c r="C938" s="401"/>
      <c r="D938" s="401"/>
      <c r="E938" s="401"/>
      <c r="F938" s="401"/>
      <c r="G938" s="401"/>
      <c r="H938" s="401"/>
      <c r="I938" s="401"/>
      <c r="J938" s="401"/>
      <c r="K938" s="401"/>
      <c r="L938" s="401"/>
      <c r="M938" s="401"/>
      <c r="N938" s="401"/>
      <c r="O938" s="401"/>
      <c r="P938" s="401"/>
      <c r="Q938" s="401"/>
      <c r="R938" s="401"/>
      <c r="S938" s="401"/>
      <c r="T938" s="401"/>
      <c r="U938" s="401"/>
      <c r="V938" s="401"/>
      <c r="W938" s="401"/>
      <c r="X938" s="401"/>
      <c r="Y938" s="401"/>
      <c r="Z938" s="401"/>
    </row>
    <row r="939">
      <c r="A939" s="401"/>
      <c r="B939" s="401"/>
      <c r="C939" s="401"/>
      <c r="D939" s="401"/>
      <c r="E939" s="401"/>
      <c r="F939" s="401"/>
      <c r="G939" s="401"/>
      <c r="H939" s="401"/>
      <c r="I939" s="401"/>
      <c r="J939" s="401"/>
      <c r="K939" s="401"/>
      <c r="L939" s="401"/>
      <c r="M939" s="401"/>
      <c r="N939" s="401"/>
      <c r="O939" s="401"/>
      <c r="P939" s="401"/>
      <c r="Q939" s="401"/>
      <c r="R939" s="401"/>
      <c r="S939" s="401"/>
      <c r="T939" s="401"/>
      <c r="U939" s="401"/>
      <c r="V939" s="401"/>
      <c r="W939" s="401"/>
      <c r="X939" s="401"/>
      <c r="Y939" s="401"/>
      <c r="Z939" s="401"/>
    </row>
    <row r="940">
      <c r="A940" s="401"/>
      <c r="B940" s="401"/>
      <c r="C940" s="401"/>
      <c r="D940" s="401"/>
      <c r="E940" s="401"/>
      <c r="F940" s="401"/>
      <c r="G940" s="401"/>
      <c r="H940" s="401"/>
      <c r="I940" s="401"/>
      <c r="J940" s="401"/>
      <c r="K940" s="401"/>
      <c r="L940" s="401"/>
      <c r="M940" s="401"/>
      <c r="N940" s="401"/>
      <c r="O940" s="401"/>
      <c r="P940" s="401"/>
      <c r="Q940" s="401"/>
      <c r="R940" s="401"/>
      <c r="S940" s="401"/>
      <c r="T940" s="401"/>
      <c r="U940" s="401"/>
      <c r="V940" s="401"/>
      <c r="W940" s="401"/>
      <c r="X940" s="401"/>
      <c r="Y940" s="401"/>
      <c r="Z940" s="401"/>
    </row>
    <row r="941">
      <c r="A941" s="401"/>
      <c r="B941" s="401"/>
      <c r="C941" s="401"/>
      <c r="D941" s="401"/>
      <c r="E941" s="401"/>
      <c r="F941" s="401"/>
      <c r="G941" s="401"/>
      <c r="H941" s="401"/>
      <c r="I941" s="401"/>
      <c r="J941" s="401"/>
      <c r="K941" s="401"/>
      <c r="L941" s="401"/>
      <c r="M941" s="401"/>
      <c r="N941" s="401"/>
      <c r="O941" s="401"/>
      <c r="P941" s="401"/>
      <c r="Q941" s="401"/>
      <c r="R941" s="401"/>
      <c r="S941" s="401"/>
      <c r="T941" s="401"/>
      <c r="U941" s="401"/>
      <c r="V941" s="401"/>
      <c r="W941" s="401"/>
      <c r="X941" s="401"/>
      <c r="Y941" s="401"/>
      <c r="Z941" s="401"/>
    </row>
    <row r="942">
      <c r="A942" s="401"/>
      <c r="B942" s="401"/>
      <c r="C942" s="401"/>
      <c r="D942" s="401"/>
      <c r="E942" s="401"/>
      <c r="F942" s="401"/>
      <c r="G942" s="401"/>
      <c r="H942" s="401"/>
      <c r="I942" s="401"/>
      <c r="J942" s="401"/>
      <c r="K942" s="401"/>
      <c r="L942" s="401"/>
      <c r="M942" s="401"/>
      <c r="N942" s="401"/>
      <c r="O942" s="401"/>
      <c r="P942" s="401"/>
      <c r="Q942" s="401"/>
      <c r="R942" s="401"/>
      <c r="S942" s="401"/>
      <c r="T942" s="401"/>
      <c r="U942" s="401"/>
      <c r="V942" s="401"/>
      <c r="W942" s="401"/>
      <c r="X942" s="401"/>
      <c r="Y942" s="401"/>
      <c r="Z942" s="401"/>
    </row>
    <row r="943">
      <c r="A943" s="401"/>
      <c r="B943" s="401"/>
      <c r="C943" s="401"/>
      <c r="D943" s="401"/>
      <c r="E943" s="401"/>
      <c r="F943" s="401"/>
      <c r="G943" s="401"/>
      <c r="H943" s="401"/>
      <c r="I943" s="401"/>
      <c r="J943" s="401"/>
      <c r="K943" s="401"/>
      <c r="L943" s="401"/>
      <c r="M943" s="401"/>
      <c r="N943" s="401"/>
      <c r="O943" s="401"/>
      <c r="P943" s="401"/>
      <c r="Q943" s="401"/>
      <c r="R943" s="401"/>
      <c r="S943" s="401"/>
      <c r="T943" s="401"/>
      <c r="U943" s="401"/>
      <c r="V943" s="401"/>
      <c r="W943" s="401"/>
      <c r="X943" s="401"/>
      <c r="Y943" s="401"/>
      <c r="Z943" s="401"/>
    </row>
    <row r="944">
      <c r="A944" s="401"/>
      <c r="B944" s="401"/>
      <c r="C944" s="401"/>
      <c r="D944" s="401"/>
      <c r="E944" s="401"/>
      <c r="F944" s="401"/>
      <c r="G944" s="401"/>
      <c r="H944" s="401"/>
      <c r="I944" s="401"/>
      <c r="J944" s="401"/>
      <c r="K944" s="401"/>
      <c r="L944" s="401"/>
      <c r="M944" s="401"/>
      <c r="N944" s="401"/>
      <c r="O944" s="401"/>
      <c r="P944" s="401"/>
      <c r="Q944" s="401"/>
      <c r="R944" s="401"/>
      <c r="S944" s="401"/>
      <c r="T944" s="401"/>
      <c r="U944" s="401"/>
      <c r="V944" s="401"/>
      <c r="W944" s="401"/>
      <c r="X944" s="401"/>
      <c r="Y944" s="401"/>
      <c r="Z944" s="401"/>
    </row>
    <row r="945">
      <c r="A945" s="401"/>
      <c r="B945" s="401"/>
      <c r="C945" s="401"/>
      <c r="D945" s="401"/>
      <c r="E945" s="401"/>
      <c r="F945" s="401"/>
      <c r="G945" s="401"/>
      <c r="H945" s="401"/>
      <c r="I945" s="401"/>
      <c r="J945" s="401"/>
      <c r="K945" s="401"/>
      <c r="L945" s="401"/>
      <c r="M945" s="401"/>
      <c r="N945" s="401"/>
      <c r="O945" s="401"/>
      <c r="P945" s="401"/>
      <c r="Q945" s="401"/>
      <c r="R945" s="401"/>
      <c r="S945" s="401"/>
      <c r="T945" s="401"/>
      <c r="U945" s="401"/>
      <c r="V945" s="401"/>
      <c r="W945" s="401"/>
      <c r="X945" s="401"/>
      <c r="Y945" s="401"/>
      <c r="Z945" s="401"/>
    </row>
    <row r="946">
      <c r="A946" s="401"/>
      <c r="B946" s="401"/>
      <c r="C946" s="401"/>
      <c r="D946" s="401"/>
      <c r="E946" s="401"/>
      <c r="F946" s="401"/>
      <c r="G946" s="401"/>
      <c r="H946" s="401"/>
      <c r="I946" s="401"/>
      <c r="J946" s="401"/>
      <c r="K946" s="401"/>
      <c r="L946" s="401"/>
      <c r="M946" s="401"/>
      <c r="N946" s="401"/>
      <c r="O946" s="401"/>
      <c r="P946" s="401"/>
      <c r="Q946" s="401"/>
      <c r="R946" s="401"/>
      <c r="S946" s="401"/>
      <c r="T946" s="401"/>
      <c r="U946" s="401"/>
      <c r="V946" s="401"/>
      <c r="W946" s="401"/>
      <c r="X946" s="401"/>
      <c r="Y946" s="401"/>
      <c r="Z946" s="401"/>
    </row>
    <row r="947">
      <c r="A947" s="401"/>
      <c r="B947" s="401"/>
      <c r="C947" s="401"/>
      <c r="D947" s="401"/>
      <c r="E947" s="401"/>
      <c r="F947" s="401"/>
      <c r="G947" s="401"/>
      <c r="H947" s="401"/>
      <c r="I947" s="401"/>
      <c r="J947" s="401"/>
      <c r="K947" s="401"/>
      <c r="L947" s="401"/>
      <c r="M947" s="401"/>
      <c r="N947" s="401"/>
      <c r="O947" s="401"/>
      <c r="P947" s="401"/>
      <c r="Q947" s="401"/>
      <c r="R947" s="401"/>
      <c r="S947" s="401"/>
      <c r="T947" s="401"/>
      <c r="U947" s="401"/>
      <c r="V947" s="401"/>
      <c r="W947" s="401"/>
      <c r="X947" s="401"/>
      <c r="Y947" s="401"/>
      <c r="Z947" s="401"/>
    </row>
    <row r="948">
      <c r="A948" s="401"/>
      <c r="B948" s="401"/>
      <c r="C948" s="401"/>
      <c r="D948" s="401"/>
      <c r="E948" s="401"/>
      <c r="F948" s="401"/>
      <c r="G948" s="401"/>
      <c r="H948" s="401"/>
      <c r="I948" s="401"/>
      <c r="J948" s="401"/>
      <c r="K948" s="401"/>
      <c r="L948" s="401"/>
      <c r="M948" s="401"/>
      <c r="N948" s="401"/>
      <c r="O948" s="401"/>
      <c r="P948" s="401"/>
      <c r="Q948" s="401"/>
      <c r="R948" s="401"/>
      <c r="S948" s="401"/>
      <c r="T948" s="401"/>
      <c r="U948" s="401"/>
      <c r="V948" s="401"/>
      <c r="W948" s="401"/>
      <c r="X948" s="401"/>
      <c r="Y948" s="401"/>
      <c r="Z948" s="401"/>
    </row>
    <row r="949">
      <c r="A949" s="401"/>
      <c r="B949" s="401"/>
      <c r="C949" s="401"/>
      <c r="D949" s="401"/>
      <c r="E949" s="401"/>
      <c r="F949" s="401"/>
      <c r="G949" s="401"/>
      <c r="H949" s="401"/>
      <c r="I949" s="401"/>
      <c r="J949" s="401"/>
      <c r="K949" s="401"/>
      <c r="L949" s="401"/>
      <c r="M949" s="401"/>
      <c r="N949" s="401"/>
      <c r="O949" s="401"/>
      <c r="P949" s="401"/>
      <c r="Q949" s="401"/>
      <c r="R949" s="401"/>
      <c r="S949" s="401"/>
      <c r="T949" s="401"/>
      <c r="U949" s="401"/>
      <c r="V949" s="401"/>
      <c r="W949" s="401"/>
      <c r="X949" s="401"/>
      <c r="Y949" s="401"/>
      <c r="Z949" s="401"/>
    </row>
    <row r="950">
      <c r="A950" s="401"/>
      <c r="B950" s="401"/>
      <c r="C950" s="401"/>
      <c r="D950" s="401"/>
      <c r="E950" s="401"/>
      <c r="F950" s="401"/>
      <c r="G950" s="401"/>
      <c r="H950" s="401"/>
      <c r="I950" s="401"/>
      <c r="J950" s="401"/>
      <c r="K950" s="401"/>
      <c r="L950" s="401"/>
      <c r="M950" s="401"/>
      <c r="N950" s="401"/>
      <c r="O950" s="401"/>
      <c r="P950" s="401"/>
      <c r="Q950" s="401"/>
      <c r="R950" s="401"/>
      <c r="S950" s="401"/>
      <c r="T950" s="401"/>
      <c r="U950" s="401"/>
      <c r="V950" s="401"/>
      <c r="W950" s="401"/>
      <c r="X950" s="401"/>
      <c r="Y950" s="401"/>
      <c r="Z950" s="401"/>
    </row>
    <row r="951">
      <c r="A951" s="401"/>
      <c r="B951" s="401"/>
      <c r="C951" s="401"/>
      <c r="D951" s="401"/>
      <c r="E951" s="401"/>
      <c r="F951" s="401"/>
      <c r="G951" s="401"/>
      <c r="H951" s="401"/>
      <c r="I951" s="401"/>
      <c r="J951" s="401"/>
      <c r="K951" s="401"/>
      <c r="L951" s="401"/>
      <c r="M951" s="401"/>
      <c r="N951" s="401"/>
      <c r="O951" s="401"/>
      <c r="P951" s="401"/>
      <c r="Q951" s="401"/>
      <c r="R951" s="401"/>
      <c r="S951" s="401"/>
      <c r="T951" s="401"/>
      <c r="U951" s="401"/>
      <c r="V951" s="401"/>
      <c r="W951" s="401"/>
      <c r="X951" s="401"/>
      <c r="Y951" s="401"/>
      <c r="Z951" s="401"/>
    </row>
    <row r="952">
      <c r="A952" s="401"/>
      <c r="B952" s="401"/>
      <c r="C952" s="401"/>
      <c r="D952" s="401"/>
      <c r="E952" s="401"/>
      <c r="F952" s="401"/>
      <c r="G952" s="401"/>
      <c r="H952" s="401"/>
      <c r="I952" s="401"/>
      <c r="J952" s="401"/>
      <c r="K952" s="401"/>
      <c r="L952" s="401"/>
      <c r="M952" s="401"/>
      <c r="N952" s="401"/>
      <c r="O952" s="401"/>
      <c r="P952" s="401"/>
      <c r="Q952" s="401"/>
      <c r="R952" s="401"/>
      <c r="S952" s="401"/>
      <c r="T952" s="401"/>
      <c r="U952" s="401"/>
      <c r="V952" s="401"/>
      <c r="W952" s="401"/>
      <c r="X952" s="401"/>
      <c r="Y952" s="401"/>
      <c r="Z952" s="401"/>
    </row>
    <row r="953">
      <c r="A953" s="401"/>
      <c r="B953" s="401"/>
      <c r="C953" s="401"/>
      <c r="D953" s="401"/>
      <c r="E953" s="401"/>
      <c r="F953" s="401"/>
      <c r="G953" s="401"/>
      <c r="H953" s="401"/>
      <c r="I953" s="401"/>
      <c r="J953" s="401"/>
      <c r="K953" s="401"/>
      <c r="L953" s="401"/>
      <c r="M953" s="401"/>
      <c r="N953" s="401"/>
      <c r="O953" s="401"/>
      <c r="P953" s="401"/>
      <c r="Q953" s="401"/>
      <c r="R953" s="401"/>
      <c r="S953" s="401"/>
      <c r="T953" s="401"/>
      <c r="U953" s="401"/>
      <c r="V953" s="401"/>
      <c r="W953" s="401"/>
      <c r="X953" s="401"/>
      <c r="Y953" s="401"/>
      <c r="Z953" s="401"/>
    </row>
    <row r="954">
      <c r="A954" s="401"/>
      <c r="B954" s="401"/>
      <c r="C954" s="401"/>
      <c r="D954" s="401"/>
      <c r="E954" s="401"/>
      <c r="F954" s="401"/>
      <c r="G954" s="401"/>
      <c r="H954" s="401"/>
      <c r="I954" s="401"/>
      <c r="J954" s="401"/>
      <c r="K954" s="401"/>
      <c r="L954" s="401"/>
      <c r="M954" s="401"/>
      <c r="N954" s="401"/>
      <c r="O954" s="401"/>
      <c r="P954" s="401"/>
      <c r="Q954" s="401"/>
      <c r="R954" s="401"/>
      <c r="S954" s="401"/>
      <c r="T954" s="401"/>
      <c r="U954" s="401"/>
      <c r="V954" s="401"/>
      <c r="W954" s="401"/>
      <c r="X954" s="401"/>
      <c r="Y954" s="401"/>
      <c r="Z954" s="401"/>
    </row>
    <row r="955">
      <c r="A955" s="401"/>
      <c r="B955" s="401"/>
      <c r="C955" s="401"/>
      <c r="D955" s="401"/>
      <c r="E955" s="401"/>
      <c r="F955" s="401"/>
      <c r="G955" s="401"/>
      <c r="H955" s="401"/>
      <c r="I955" s="401"/>
      <c r="J955" s="401"/>
      <c r="K955" s="401"/>
      <c r="L955" s="401"/>
      <c r="M955" s="401"/>
      <c r="N955" s="401"/>
      <c r="O955" s="401"/>
      <c r="P955" s="401"/>
      <c r="Q955" s="401"/>
      <c r="R955" s="401"/>
      <c r="S955" s="401"/>
      <c r="T955" s="401"/>
      <c r="U955" s="401"/>
      <c r="V955" s="401"/>
      <c r="W955" s="401"/>
      <c r="X955" s="401"/>
      <c r="Y955" s="401"/>
      <c r="Z955" s="401"/>
    </row>
    <row r="956">
      <c r="A956" s="401"/>
      <c r="B956" s="401"/>
      <c r="C956" s="401"/>
      <c r="D956" s="401"/>
      <c r="E956" s="401"/>
      <c r="F956" s="401"/>
      <c r="G956" s="401"/>
      <c r="H956" s="401"/>
      <c r="I956" s="401"/>
      <c r="J956" s="401"/>
      <c r="K956" s="401"/>
      <c r="L956" s="401"/>
      <c r="M956" s="401"/>
      <c r="N956" s="401"/>
      <c r="O956" s="401"/>
      <c r="P956" s="401"/>
      <c r="Q956" s="401"/>
      <c r="R956" s="401"/>
      <c r="S956" s="401"/>
      <c r="T956" s="401"/>
      <c r="U956" s="401"/>
      <c r="V956" s="401"/>
      <c r="W956" s="401"/>
      <c r="X956" s="401"/>
      <c r="Y956" s="401"/>
      <c r="Z956" s="401"/>
    </row>
    <row r="957">
      <c r="A957" s="401"/>
      <c r="B957" s="401"/>
      <c r="C957" s="401"/>
      <c r="D957" s="401"/>
      <c r="E957" s="401"/>
      <c r="F957" s="401"/>
      <c r="G957" s="401"/>
      <c r="H957" s="401"/>
      <c r="I957" s="401"/>
      <c r="J957" s="401"/>
      <c r="K957" s="401"/>
      <c r="L957" s="401"/>
      <c r="M957" s="401"/>
      <c r="N957" s="401"/>
      <c r="O957" s="401"/>
      <c r="P957" s="401"/>
      <c r="Q957" s="401"/>
      <c r="R957" s="401"/>
      <c r="S957" s="401"/>
      <c r="T957" s="401"/>
      <c r="U957" s="401"/>
      <c r="V957" s="401"/>
      <c r="W957" s="401"/>
      <c r="X957" s="401"/>
      <c r="Y957" s="401"/>
      <c r="Z957" s="401"/>
    </row>
    <row r="958">
      <c r="A958" s="401"/>
      <c r="B958" s="401"/>
      <c r="C958" s="401"/>
      <c r="D958" s="401"/>
      <c r="E958" s="401"/>
      <c r="F958" s="401"/>
      <c r="G958" s="401"/>
      <c r="H958" s="401"/>
      <c r="I958" s="401"/>
      <c r="J958" s="401"/>
      <c r="K958" s="401"/>
      <c r="L958" s="401"/>
      <c r="M958" s="401"/>
      <c r="N958" s="401"/>
      <c r="O958" s="401"/>
      <c r="P958" s="401"/>
      <c r="Q958" s="401"/>
      <c r="R958" s="401"/>
      <c r="S958" s="401"/>
      <c r="T958" s="401"/>
      <c r="U958" s="401"/>
      <c r="V958" s="401"/>
      <c r="W958" s="401"/>
      <c r="X958" s="401"/>
      <c r="Y958" s="401"/>
      <c r="Z958" s="401"/>
    </row>
    <row r="959">
      <c r="A959" s="401"/>
      <c r="B959" s="401"/>
      <c r="C959" s="401"/>
      <c r="D959" s="401"/>
      <c r="E959" s="401"/>
      <c r="F959" s="401"/>
      <c r="G959" s="401"/>
      <c r="H959" s="401"/>
      <c r="I959" s="401"/>
      <c r="J959" s="401"/>
      <c r="K959" s="401"/>
      <c r="L959" s="401"/>
      <c r="M959" s="401"/>
      <c r="N959" s="401"/>
      <c r="O959" s="401"/>
      <c r="P959" s="401"/>
      <c r="Q959" s="401"/>
      <c r="R959" s="401"/>
      <c r="S959" s="401"/>
      <c r="T959" s="401"/>
      <c r="U959" s="401"/>
      <c r="V959" s="401"/>
      <c r="W959" s="401"/>
      <c r="X959" s="401"/>
      <c r="Y959" s="401"/>
      <c r="Z959" s="401"/>
    </row>
    <row r="960">
      <c r="A960" s="401"/>
      <c r="B960" s="401"/>
      <c r="C960" s="401"/>
      <c r="D960" s="401"/>
      <c r="E960" s="401"/>
      <c r="F960" s="401"/>
      <c r="G960" s="401"/>
      <c r="H960" s="401"/>
      <c r="I960" s="401"/>
      <c r="J960" s="401"/>
      <c r="K960" s="401"/>
      <c r="L960" s="401"/>
      <c r="M960" s="401"/>
      <c r="N960" s="401"/>
      <c r="O960" s="401"/>
      <c r="P960" s="401"/>
      <c r="Q960" s="401"/>
      <c r="R960" s="401"/>
      <c r="S960" s="401"/>
      <c r="T960" s="401"/>
      <c r="U960" s="401"/>
      <c r="V960" s="401"/>
      <c r="W960" s="401"/>
      <c r="X960" s="401"/>
      <c r="Y960" s="401"/>
      <c r="Z960" s="401"/>
    </row>
    <row r="961">
      <c r="A961" s="401"/>
      <c r="B961" s="401"/>
      <c r="C961" s="401"/>
      <c r="D961" s="401"/>
      <c r="E961" s="401"/>
      <c r="F961" s="401"/>
      <c r="G961" s="401"/>
      <c r="H961" s="401"/>
      <c r="I961" s="401"/>
      <c r="J961" s="401"/>
      <c r="K961" s="401"/>
      <c r="L961" s="401"/>
      <c r="M961" s="401"/>
      <c r="N961" s="401"/>
      <c r="O961" s="401"/>
      <c r="P961" s="401"/>
      <c r="Q961" s="401"/>
      <c r="R961" s="401"/>
      <c r="S961" s="401"/>
      <c r="T961" s="401"/>
      <c r="U961" s="401"/>
      <c r="V961" s="401"/>
      <c r="W961" s="401"/>
      <c r="X961" s="401"/>
      <c r="Y961" s="401"/>
      <c r="Z961" s="401"/>
    </row>
    <row r="962">
      <c r="A962" s="401"/>
      <c r="B962" s="401"/>
      <c r="C962" s="401"/>
      <c r="D962" s="401"/>
      <c r="E962" s="401"/>
      <c r="F962" s="401"/>
      <c r="G962" s="401"/>
      <c r="H962" s="401"/>
      <c r="I962" s="401"/>
      <c r="J962" s="401"/>
      <c r="K962" s="401"/>
      <c r="L962" s="401"/>
      <c r="M962" s="401"/>
      <c r="N962" s="401"/>
      <c r="O962" s="401"/>
      <c r="P962" s="401"/>
      <c r="Q962" s="401"/>
      <c r="R962" s="401"/>
      <c r="S962" s="401"/>
      <c r="T962" s="401"/>
      <c r="U962" s="401"/>
      <c r="V962" s="401"/>
      <c r="W962" s="401"/>
      <c r="X962" s="401"/>
      <c r="Y962" s="401"/>
      <c r="Z962" s="401"/>
    </row>
    <row r="963">
      <c r="A963" s="401"/>
      <c r="B963" s="401"/>
      <c r="C963" s="401"/>
      <c r="D963" s="401"/>
      <c r="E963" s="401"/>
      <c r="F963" s="401"/>
      <c r="G963" s="401"/>
      <c r="H963" s="401"/>
      <c r="I963" s="401"/>
      <c r="J963" s="401"/>
      <c r="K963" s="401"/>
      <c r="L963" s="401"/>
      <c r="M963" s="401"/>
      <c r="N963" s="401"/>
      <c r="O963" s="401"/>
      <c r="P963" s="401"/>
      <c r="Q963" s="401"/>
      <c r="R963" s="401"/>
      <c r="S963" s="401"/>
      <c r="T963" s="401"/>
      <c r="U963" s="401"/>
      <c r="V963" s="401"/>
      <c r="W963" s="401"/>
      <c r="X963" s="401"/>
      <c r="Y963" s="401"/>
      <c r="Z963" s="401"/>
    </row>
    <row r="964">
      <c r="A964" s="401"/>
      <c r="B964" s="401"/>
      <c r="C964" s="401"/>
      <c r="D964" s="401"/>
      <c r="E964" s="401"/>
      <c r="F964" s="401"/>
      <c r="G964" s="401"/>
      <c r="H964" s="401"/>
      <c r="I964" s="401"/>
      <c r="J964" s="401"/>
      <c r="K964" s="401"/>
      <c r="L964" s="401"/>
      <c r="M964" s="401"/>
      <c r="N964" s="401"/>
      <c r="O964" s="401"/>
      <c r="P964" s="401"/>
      <c r="Q964" s="401"/>
      <c r="R964" s="401"/>
      <c r="S964" s="401"/>
      <c r="T964" s="401"/>
      <c r="U964" s="401"/>
      <c r="V964" s="401"/>
      <c r="W964" s="401"/>
      <c r="X964" s="401"/>
      <c r="Y964" s="401"/>
      <c r="Z964" s="401"/>
    </row>
    <row r="965">
      <c r="A965" s="401"/>
      <c r="B965" s="401"/>
      <c r="C965" s="401"/>
      <c r="D965" s="401"/>
      <c r="E965" s="401"/>
      <c r="F965" s="401"/>
      <c r="G965" s="401"/>
      <c r="H965" s="401"/>
      <c r="I965" s="401"/>
      <c r="J965" s="401"/>
      <c r="K965" s="401"/>
      <c r="L965" s="401"/>
      <c r="M965" s="401"/>
      <c r="N965" s="401"/>
      <c r="O965" s="401"/>
      <c r="P965" s="401"/>
      <c r="Q965" s="401"/>
      <c r="R965" s="401"/>
      <c r="S965" s="401"/>
      <c r="T965" s="401"/>
      <c r="U965" s="401"/>
      <c r="V965" s="401"/>
      <c r="W965" s="401"/>
      <c r="X965" s="401"/>
      <c r="Y965" s="401"/>
      <c r="Z965" s="401"/>
    </row>
    <row r="966">
      <c r="A966" s="401"/>
      <c r="B966" s="401"/>
      <c r="C966" s="401"/>
      <c r="D966" s="401"/>
      <c r="E966" s="401"/>
      <c r="F966" s="401"/>
      <c r="G966" s="401"/>
      <c r="H966" s="401"/>
      <c r="I966" s="401"/>
      <c r="J966" s="401"/>
      <c r="K966" s="401"/>
      <c r="L966" s="401"/>
      <c r="M966" s="401"/>
      <c r="N966" s="401"/>
      <c r="O966" s="401"/>
      <c r="P966" s="401"/>
      <c r="Q966" s="401"/>
      <c r="R966" s="401"/>
      <c r="S966" s="401"/>
      <c r="T966" s="401"/>
      <c r="U966" s="401"/>
      <c r="V966" s="401"/>
      <c r="W966" s="401"/>
      <c r="X966" s="401"/>
      <c r="Y966" s="401"/>
      <c r="Z966" s="401"/>
    </row>
    <row r="967">
      <c r="A967" s="401"/>
      <c r="B967" s="401"/>
      <c r="C967" s="401"/>
      <c r="D967" s="401"/>
      <c r="E967" s="401"/>
      <c r="F967" s="401"/>
      <c r="G967" s="401"/>
      <c r="H967" s="401"/>
      <c r="I967" s="401"/>
      <c r="J967" s="401"/>
      <c r="K967" s="401"/>
      <c r="L967" s="401"/>
      <c r="M967" s="401"/>
      <c r="N967" s="401"/>
      <c r="O967" s="401"/>
      <c r="P967" s="401"/>
      <c r="Q967" s="401"/>
      <c r="R967" s="401"/>
      <c r="S967" s="401"/>
      <c r="T967" s="401"/>
      <c r="U967" s="401"/>
      <c r="V967" s="401"/>
      <c r="W967" s="401"/>
      <c r="X967" s="401"/>
      <c r="Y967" s="401"/>
      <c r="Z967" s="401"/>
    </row>
    <row r="968">
      <c r="A968" s="401"/>
      <c r="B968" s="401"/>
      <c r="C968" s="401"/>
      <c r="D968" s="401"/>
      <c r="E968" s="401"/>
      <c r="F968" s="401"/>
      <c r="G968" s="401"/>
      <c r="H968" s="401"/>
      <c r="I968" s="401"/>
      <c r="J968" s="401"/>
      <c r="K968" s="401"/>
      <c r="L968" s="401"/>
      <c r="M968" s="401"/>
      <c r="N968" s="401"/>
      <c r="O968" s="401"/>
      <c r="P968" s="401"/>
      <c r="Q968" s="401"/>
      <c r="R968" s="401"/>
      <c r="S968" s="401"/>
      <c r="T968" s="401"/>
      <c r="U968" s="401"/>
      <c r="V968" s="401"/>
      <c r="W968" s="401"/>
      <c r="X968" s="401"/>
      <c r="Y968" s="401"/>
      <c r="Z968" s="401"/>
    </row>
    <row r="969">
      <c r="A969" s="401"/>
      <c r="B969" s="401"/>
      <c r="C969" s="401"/>
      <c r="D969" s="401"/>
      <c r="E969" s="401"/>
      <c r="F969" s="401"/>
      <c r="G969" s="401"/>
      <c r="H969" s="401"/>
      <c r="I969" s="401"/>
      <c r="J969" s="401"/>
      <c r="K969" s="401"/>
      <c r="L969" s="401"/>
      <c r="M969" s="401"/>
      <c r="N969" s="401"/>
      <c r="O969" s="401"/>
      <c r="P969" s="401"/>
      <c r="Q969" s="401"/>
      <c r="R969" s="401"/>
      <c r="S969" s="401"/>
      <c r="T969" s="401"/>
      <c r="U969" s="401"/>
      <c r="V969" s="401"/>
      <c r="W969" s="401"/>
      <c r="X969" s="401"/>
      <c r="Y969" s="401"/>
      <c r="Z969" s="401"/>
    </row>
    <row r="970">
      <c r="A970" s="401"/>
      <c r="B970" s="401"/>
      <c r="C970" s="401"/>
      <c r="D970" s="401"/>
      <c r="E970" s="401"/>
      <c r="F970" s="401"/>
      <c r="G970" s="401"/>
      <c r="H970" s="401"/>
      <c r="I970" s="401"/>
      <c r="J970" s="401"/>
      <c r="K970" s="401"/>
      <c r="L970" s="401"/>
      <c r="M970" s="401"/>
      <c r="N970" s="401"/>
      <c r="O970" s="401"/>
      <c r="P970" s="401"/>
      <c r="Q970" s="401"/>
      <c r="R970" s="401"/>
      <c r="S970" s="401"/>
      <c r="T970" s="401"/>
      <c r="U970" s="401"/>
      <c r="V970" s="401"/>
      <c r="W970" s="401"/>
      <c r="X970" s="401"/>
      <c r="Y970" s="401"/>
      <c r="Z970" s="401"/>
    </row>
    <row r="971">
      <c r="A971" s="401"/>
      <c r="B971" s="401"/>
      <c r="C971" s="401"/>
      <c r="D971" s="401"/>
      <c r="E971" s="401"/>
      <c r="F971" s="401"/>
      <c r="G971" s="401"/>
      <c r="H971" s="401"/>
      <c r="I971" s="401"/>
      <c r="J971" s="401"/>
      <c r="K971" s="401"/>
      <c r="L971" s="401"/>
      <c r="M971" s="401"/>
      <c r="N971" s="401"/>
      <c r="O971" s="401"/>
      <c r="P971" s="401"/>
      <c r="Q971" s="401"/>
      <c r="R971" s="401"/>
      <c r="S971" s="401"/>
      <c r="T971" s="401"/>
      <c r="U971" s="401"/>
      <c r="V971" s="401"/>
      <c r="W971" s="401"/>
      <c r="X971" s="401"/>
      <c r="Y971" s="401"/>
      <c r="Z971" s="401"/>
    </row>
    <row r="972">
      <c r="A972" s="401"/>
      <c r="B972" s="401"/>
      <c r="C972" s="401"/>
      <c r="D972" s="401"/>
      <c r="E972" s="401"/>
      <c r="F972" s="401"/>
      <c r="G972" s="401"/>
      <c r="H972" s="401"/>
      <c r="I972" s="401"/>
      <c r="J972" s="401"/>
      <c r="K972" s="401"/>
      <c r="L972" s="401"/>
      <c r="M972" s="401"/>
      <c r="N972" s="401"/>
      <c r="O972" s="401"/>
      <c r="P972" s="401"/>
      <c r="Q972" s="401"/>
      <c r="R972" s="401"/>
      <c r="S972" s="401"/>
      <c r="T972" s="401"/>
      <c r="U972" s="401"/>
      <c r="V972" s="401"/>
      <c r="W972" s="401"/>
      <c r="X972" s="401"/>
      <c r="Y972" s="401"/>
      <c r="Z972" s="401"/>
    </row>
    <row r="973">
      <c r="A973" s="401"/>
      <c r="B973" s="401"/>
      <c r="C973" s="401"/>
      <c r="D973" s="401"/>
      <c r="E973" s="401"/>
      <c r="F973" s="401"/>
      <c r="G973" s="401"/>
      <c r="H973" s="401"/>
      <c r="I973" s="401"/>
      <c r="J973" s="401"/>
      <c r="K973" s="401"/>
      <c r="L973" s="401"/>
      <c r="M973" s="401"/>
      <c r="N973" s="401"/>
      <c r="O973" s="401"/>
      <c r="P973" s="401"/>
      <c r="Q973" s="401"/>
      <c r="R973" s="401"/>
      <c r="S973" s="401"/>
      <c r="T973" s="401"/>
      <c r="U973" s="401"/>
      <c r="V973" s="401"/>
      <c r="W973" s="401"/>
      <c r="X973" s="401"/>
      <c r="Y973" s="401"/>
      <c r="Z973" s="401"/>
    </row>
    <row r="974">
      <c r="A974" s="401"/>
      <c r="B974" s="401"/>
      <c r="C974" s="401"/>
      <c r="D974" s="401"/>
      <c r="E974" s="401"/>
      <c r="F974" s="401"/>
      <c r="G974" s="401"/>
      <c r="H974" s="401"/>
      <c r="I974" s="401"/>
      <c r="J974" s="401"/>
      <c r="K974" s="401"/>
      <c r="L974" s="401"/>
      <c r="M974" s="401"/>
      <c r="N974" s="401"/>
      <c r="O974" s="401"/>
      <c r="P974" s="401"/>
      <c r="Q974" s="401"/>
      <c r="R974" s="401"/>
      <c r="S974" s="401"/>
      <c r="T974" s="401"/>
      <c r="U974" s="401"/>
      <c r="V974" s="401"/>
      <c r="W974" s="401"/>
      <c r="X974" s="401"/>
      <c r="Y974" s="401"/>
      <c r="Z974" s="401"/>
    </row>
    <row r="975">
      <c r="A975" s="401"/>
      <c r="B975" s="401"/>
      <c r="C975" s="401"/>
      <c r="D975" s="401"/>
      <c r="E975" s="401"/>
      <c r="F975" s="401"/>
      <c r="G975" s="401"/>
      <c r="H975" s="401"/>
      <c r="I975" s="401"/>
      <c r="J975" s="401"/>
      <c r="K975" s="401"/>
      <c r="L975" s="401"/>
      <c r="M975" s="401"/>
      <c r="N975" s="401"/>
      <c r="O975" s="401"/>
      <c r="P975" s="401"/>
      <c r="Q975" s="401"/>
      <c r="R975" s="401"/>
      <c r="S975" s="401"/>
      <c r="T975" s="401"/>
      <c r="U975" s="401"/>
      <c r="V975" s="401"/>
      <c r="W975" s="401"/>
      <c r="X975" s="401"/>
      <c r="Y975" s="401"/>
      <c r="Z975" s="401"/>
    </row>
    <row r="976">
      <c r="A976" s="401"/>
      <c r="B976" s="401"/>
      <c r="C976" s="401"/>
      <c r="D976" s="401"/>
      <c r="E976" s="401"/>
      <c r="F976" s="401"/>
      <c r="G976" s="401"/>
      <c r="H976" s="401"/>
      <c r="I976" s="401"/>
      <c r="J976" s="401"/>
      <c r="K976" s="401"/>
      <c r="L976" s="401"/>
      <c r="M976" s="401"/>
      <c r="N976" s="401"/>
      <c r="O976" s="401"/>
      <c r="P976" s="401"/>
      <c r="Q976" s="401"/>
      <c r="R976" s="401"/>
      <c r="S976" s="401"/>
      <c r="T976" s="401"/>
      <c r="U976" s="401"/>
      <c r="V976" s="401"/>
      <c r="W976" s="401"/>
      <c r="X976" s="401"/>
      <c r="Y976" s="401"/>
      <c r="Z976" s="401"/>
    </row>
    <row r="977">
      <c r="A977" s="401"/>
      <c r="B977" s="401"/>
      <c r="C977" s="401"/>
      <c r="D977" s="401"/>
      <c r="E977" s="401"/>
      <c r="F977" s="401"/>
      <c r="G977" s="401"/>
      <c r="H977" s="401"/>
      <c r="I977" s="401"/>
      <c r="J977" s="401"/>
      <c r="K977" s="401"/>
      <c r="L977" s="401"/>
      <c r="M977" s="401"/>
      <c r="N977" s="401"/>
      <c r="O977" s="401"/>
      <c r="P977" s="401"/>
      <c r="Q977" s="401"/>
      <c r="R977" s="401"/>
      <c r="S977" s="401"/>
      <c r="T977" s="401"/>
      <c r="U977" s="401"/>
      <c r="V977" s="401"/>
      <c r="W977" s="401"/>
      <c r="X977" s="401"/>
      <c r="Y977" s="401"/>
      <c r="Z977" s="401"/>
    </row>
    <row r="978">
      <c r="A978" s="401"/>
      <c r="B978" s="401"/>
      <c r="C978" s="401"/>
      <c r="D978" s="401"/>
      <c r="E978" s="401"/>
      <c r="F978" s="401"/>
      <c r="G978" s="401"/>
      <c r="H978" s="401"/>
      <c r="I978" s="401"/>
      <c r="J978" s="401"/>
      <c r="K978" s="401"/>
      <c r="L978" s="401"/>
      <c r="M978" s="401"/>
      <c r="N978" s="401"/>
      <c r="O978" s="401"/>
      <c r="P978" s="401"/>
      <c r="Q978" s="401"/>
      <c r="R978" s="401"/>
      <c r="S978" s="401"/>
      <c r="T978" s="401"/>
      <c r="U978" s="401"/>
      <c r="V978" s="401"/>
      <c r="W978" s="401"/>
      <c r="X978" s="401"/>
      <c r="Y978" s="401"/>
      <c r="Z978" s="401"/>
    </row>
    <row r="979">
      <c r="A979" s="401"/>
      <c r="B979" s="401"/>
      <c r="C979" s="401"/>
      <c r="D979" s="401"/>
      <c r="E979" s="401"/>
      <c r="F979" s="401"/>
      <c r="G979" s="401"/>
      <c r="H979" s="401"/>
      <c r="I979" s="401"/>
      <c r="J979" s="401"/>
      <c r="K979" s="401"/>
      <c r="L979" s="401"/>
      <c r="M979" s="401"/>
      <c r="N979" s="401"/>
      <c r="O979" s="401"/>
      <c r="P979" s="401"/>
      <c r="Q979" s="401"/>
      <c r="R979" s="401"/>
      <c r="S979" s="401"/>
      <c r="T979" s="401"/>
      <c r="U979" s="401"/>
      <c r="V979" s="401"/>
      <c r="W979" s="401"/>
      <c r="X979" s="401"/>
      <c r="Y979" s="401"/>
      <c r="Z979" s="401"/>
    </row>
    <row r="980">
      <c r="A980" s="401"/>
      <c r="B980" s="401"/>
      <c r="C980" s="401"/>
      <c r="D980" s="401"/>
      <c r="E980" s="401"/>
      <c r="F980" s="401"/>
      <c r="G980" s="401"/>
      <c r="H980" s="401"/>
      <c r="I980" s="401"/>
      <c r="J980" s="401"/>
      <c r="K980" s="401"/>
      <c r="L980" s="401"/>
      <c r="M980" s="401"/>
      <c r="N980" s="401"/>
      <c r="O980" s="401"/>
      <c r="P980" s="401"/>
      <c r="Q980" s="401"/>
      <c r="R980" s="401"/>
      <c r="S980" s="401"/>
      <c r="T980" s="401"/>
      <c r="U980" s="401"/>
      <c r="V980" s="401"/>
      <c r="W980" s="401"/>
      <c r="X980" s="401"/>
      <c r="Y980" s="401"/>
      <c r="Z980" s="401"/>
    </row>
    <row r="981">
      <c r="A981" s="401"/>
      <c r="B981" s="401"/>
      <c r="C981" s="401"/>
      <c r="D981" s="401"/>
      <c r="E981" s="401"/>
      <c r="F981" s="401"/>
      <c r="G981" s="401"/>
      <c r="H981" s="401"/>
      <c r="I981" s="401"/>
      <c r="J981" s="401"/>
      <c r="K981" s="401"/>
      <c r="L981" s="401"/>
      <c r="M981" s="401"/>
      <c r="N981" s="401"/>
      <c r="O981" s="401"/>
      <c r="P981" s="401"/>
      <c r="Q981" s="401"/>
      <c r="R981" s="401"/>
      <c r="S981" s="401"/>
      <c r="T981" s="401"/>
      <c r="U981" s="401"/>
      <c r="V981" s="401"/>
      <c r="W981" s="401"/>
      <c r="X981" s="401"/>
      <c r="Y981" s="401"/>
      <c r="Z981" s="401"/>
    </row>
    <row r="982">
      <c r="A982" s="401"/>
      <c r="B982" s="401"/>
      <c r="C982" s="401"/>
      <c r="D982" s="401"/>
      <c r="E982" s="401"/>
      <c r="F982" s="401"/>
      <c r="G982" s="401"/>
      <c r="H982" s="401"/>
      <c r="I982" s="401"/>
      <c r="J982" s="401"/>
      <c r="K982" s="401"/>
      <c r="L982" s="401"/>
      <c r="M982" s="401"/>
      <c r="N982" s="401"/>
      <c r="O982" s="401"/>
      <c r="P982" s="401"/>
      <c r="Q982" s="401"/>
      <c r="R982" s="401"/>
      <c r="S982" s="401"/>
      <c r="T982" s="401"/>
      <c r="U982" s="401"/>
      <c r="V982" s="401"/>
      <c r="W982" s="401"/>
      <c r="X982" s="401"/>
      <c r="Y982" s="401"/>
      <c r="Z982" s="401"/>
    </row>
    <row r="983">
      <c r="A983" s="401"/>
      <c r="B983" s="401"/>
      <c r="C983" s="401"/>
      <c r="D983" s="401"/>
      <c r="E983" s="401"/>
      <c r="F983" s="401"/>
      <c r="G983" s="401"/>
      <c r="H983" s="401"/>
      <c r="I983" s="401"/>
      <c r="J983" s="401"/>
      <c r="K983" s="401"/>
      <c r="L983" s="401"/>
      <c r="M983" s="401"/>
      <c r="N983" s="401"/>
      <c r="O983" s="401"/>
      <c r="P983" s="401"/>
      <c r="Q983" s="401"/>
      <c r="R983" s="401"/>
      <c r="S983" s="401"/>
      <c r="T983" s="401"/>
      <c r="U983" s="401"/>
      <c r="V983" s="401"/>
      <c r="W983" s="401"/>
      <c r="X983" s="401"/>
      <c r="Y983" s="401"/>
      <c r="Z983" s="401"/>
    </row>
    <row r="984">
      <c r="A984" s="401"/>
      <c r="B984" s="401"/>
      <c r="C984" s="401"/>
      <c r="D984" s="401"/>
      <c r="E984" s="401"/>
      <c r="F984" s="401"/>
      <c r="G984" s="401"/>
      <c r="H984" s="401"/>
      <c r="I984" s="401"/>
      <c r="J984" s="401"/>
      <c r="K984" s="401"/>
      <c r="L984" s="401"/>
      <c r="M984" s="401"/>
      <c r="N984" s="401"/>
      <c r="O984" s="401"/>
      <c r="P984" s="401"/>
      <c r="Q984" s="401"/>
      <c r="R984" s="401"/>
      <c r="S984" s="401"/>
      <c r="T984" s="401"/>
      <c r="U984" s="401"/>
      <c r="V984" s="401"/>
      <c r="W984" s="401"/>
      <c r="X984" s="401"/>
      <c r="Y984" s="401"/>
      <c r="Z984" s="401"/>
    </row>
    <row r="985">
      <c r="A985" s="401"/>
      <c r="B985" s="401"/>
      <c r="C985" s="401"/>
      <c r="D985" s="401"/>
      <c r="E985" s="401"/>
      <c r="F985" s="401"/>
      <c r="G985" s="401"/>
      <c r="H985" s="401"/>
      <c r="I985" s="401"/>
      <c r="J985" s="401"/>
      <c r="K985" s="401"/>
      <c r="L985" s="401"/>
      <c r="M985" s="401"/>
      <c r="N985" s="401"/>
      <c r="O985" s="401"/>
      <c r="P985" s="401"/>
      <c r="Q985" s="401"/>
      <c r="R985" s="401"/>
      <c r="S985" s="401"/>
      <c r="T985" s="401"/>
      <c r="U985" s="401"/>
      <c r="V985" s="401"/>
      <c r="W985" s="401"/>
      <c r="X985" s="401"/>
      <c r="Y985" s="401"/>
      <c r="Z985" s="401"/>
    </row>
    <row r="986">
      <c r="A986" s="401"/>
      <c r="B986" s="401"/>
      <c r="C986" s="401"/>
      <c r="D986" s="401"/>
      <c r="E986" s="401"/>
      <c r="F986" s="401"/>
      <c r="G986" s="401"/>
      <c r="H986" s="401"/>
      <c r="I986" s="401"/>
      <c r="J986" s="401"/>
      <c r="K986" s="401"/>
      <c r="L986" s="401"/>
      <c r="M986" s="401"/>
      <c r="N986" s="401"/>
      <c r="O986" s="401"/>
      <c r="P986" s="401"/>
      <c r="Q986" s="401"/>
      <c r="R986" s="401"/>
      <c r="S986" s="401"/>
      <c r="T986" s="401"/>
      <c r="U986" s="401"/>
      <c r="V986" s="401"/>
      <c r="W986" s="401"/>
      <c r="X986" s="401"/>
      <c r="Y986" s="401"/>
      <c r="Z986" s="401"/>
    </row>
    <row r="987">
      <c r="A987" s="401"/>
      <c r="B987" s="401"/>
      <c r="C987" s="401"/>
      <c r="D987" s="401"/>
      <c r="E987" s="401"/>
      <c r="F987" s="401"/>
      <c r="G987" s="401"/>
      <c r="H987" s="401"/>
      <c r="I987" s="401"/>
      <c r="J987" s="401"/>
      <c r="K987" s="401"/>
      <c r="L987" s="401"/>
      <c r="M987" s="401"/>
      <c r="N987" s="401"/>
      <c r="O987" s="401"/>
      <c r="P987" s="401"/>
      <c r="Q987" s="401"/>
      <c r="R987" s="401"/>
      <c r="S987" s="401"/>
      <c r="T987" s="401"/>
      <c r="U987" s="401"/>
      <c r="V987" s="401"/>
      <c r="W987" s="401"/>
      <c r="X987" s="401"/>
      <c r="Y987" s="401"/>
      <c r="Z987" s="401"/>
    </row>
    <row r="988">
      <c r="A988" s="401"/>
      <c r="B988" s="401"/>
      <c r="C988" s="401"/>
      <c r="D988" s="401"/>
      <c r="E988" s="401"/>
      <c r="F988" s="401"/>
      <c r="G988" s="401"/>
      <c r="H988" s="401"/>
      <c r="I988" s="401"/>
      <c r="J988" s="401"/>
      <c r="K988" s="401"/>
      <c r="L988" s="401"/>
      <c r="M988" s="401"/>
      <c r="N988" s="401"/>
      <c r="O988" s="401"/>
      <c r="P988" s="401"/>
      <c r="Q988" s="401"/>
      <c r="R988" s="401"/>
      <c r="S988" s="401"/>
      <c r="T988" s="401"/>
      <c r="U988" s="401"/>
      <c r="V988" s="401"/>
      <c r="W988" s="401"/>
      <c r="X988" s="401"/>
      <c r="Y988" s="401"/>
      <c r="Z988" s="401"/>
    </row>
    <row r="989">
      <c r="A989" s="401"/>
      <c r="B989" s="401"/>
      <c r="C989" s="401"/>
      <c r="D989" s="401"/>
      <c r="E989" s="401"/>
      <c r="F989" s="401"/>
      <c r="G989" s="401"/>
      <c r="H989" s="401"/>
      <c r="I989" s="401"/>
      <c r="J989" s="401"/>
      <c r="K989" s="401"/>
      <c r="L989" s="401"/>
      <c r="M989" s="401"/>
      <c r="N989" s="401"/>
      <c r="O989" s="401"/>
      <c r="P989" s="401"/>
      <c r="Q989" s="401"/>
      <c r="R989" s="401"/>
      <c r="S989" s="401"/>
      <c r="T989" s="401"/>
      <c r="U989" s="401"/>
      <c r="V989" s="401"/>
      <c r="W989" s="401"/>
      <c r="X989" s="401"/>
      <c r="Y989" s="401"/>
      <c r="Z989" s="401"/>
    </row>
    <row r="990">
      <c r="A990" s="401"/>
      <c r="B990" s="401"/>
      <c r="C990" s="401"/>
      <c r="D990" s="401"/>
      <c r="E990" s="401"/>
      <c r="F990" s="401"/>
      <c r="G990" s="401"/>
      <c r="H990" s="401"/>
      <c r="I990" s="401"/>
      <c r="J990" s="401"/>
      <c r="K990" s="401"/>
      <c r="L990" s="401"/>
      <c r="M990" s="401"/>
      <c r="N990" s="401"/>
      <c r="O990" s="401"/>
      <c r="P990" s="401"/>
      <c r="Q990" s="401"/>
      <c r="R990" s="401"/>
      <c r="S990" s="401"/>
      <c r="T990" s="401"/>
      <c r="U990" s="401"/>
      <c r="V990" s="401"/>
      <c r="W990" s="401"/>
      <c r="X990" s="401"/>
      <c r="Y990" s="401"/>
      <c r="Z990" s="401"/>
    </row>
    <row r="991">
      <c r="A991" s="401"/>
      <c r="B991" s="401"/>
      <c r="C991" s="401"/>
      <c r="D991" s="401"/>
      <c r="E991" s="401"/>
      <c r="F991" s="401"/>
      <c r="G991" s="401"/>
      <c r="H991" s="401"/>
      <c r="I991" s="401"/>
      <c r="J991" s="401"/>
      <c r="K991" s="401"/>
      <c r="L991" s="401"/>
      <c r="M991" s="401"/>
      <c r="N991" s="401"/>
      <c r="O991" s="401"/>
      <c r="P991" s="401"/>
      <c r="Q991" s="401"/>
      <c r="R991" s="401"/>
      <c r="S991" s="401"/>
      <c r="T991" s="401"/>
      <c r="U991" s="401"/>
      <c r="V991" s="401"/>
      <c r="W991" s="401"/>
      <c r="X991" s="401"/>
      <c r="Y991" s="401"/>
      <c r="Z991" s="401"/>
    </row>
    <row r="992">
      <c r="A992" s="401"/>
      <c r="B992" s="401"/>
      <c r="C992" s="401"/>
      <c r="D992" s="401"/>
      <c r="E992" s="401"/>
      <c r="F992" s="401"/>
      <c r="G992" s="401"/>
      <c r="H992" s="401"/>
      <c r="I992" s="401"/>
      <c r="J992" s="401"/>
      <c r="K992" s="401"/>
      <c r="L992" s="401"/>
      <c r="M992" s="401"/>
      <c r="N992" s="401"/>
      <c r="O992" s="401"/>
      <c r="P992" s="401"/>
      <c r="Q992" s="401"/>
      <c r="R992" s="401"/>
      <c r="S992" s="401"/>
      <c r="T992" s="401"/>
      <c r="U992" s="401"/>
      <c r="V992" s="401"/>
      <c r="W992" s="401"/>
      <c r="X992" s="401"/>
      <c r="Y992" s="401"/>
      <c r="Z992" s="401"/>
    </row>
    <row r="993">
      <c r="A993" s="401"/>
      <c r="B993" s="401"/>
      <c r="C993" s="401"/>
      <c r="D993" s="401"/>
      <c r="E993" s="401"/>
      <c r="F993" s="401"/>
      <c r="G993" s="401"/>
      <c r="H993" s="401"/>
      <c r="I993" s="401"/>
      <c r="J993" s="401"/>
      <c r="K993" s="401"/>
      <c r="L993" s="401"/>
      <c r="M993" s="401"/>
      <c r="N993" s="401"/>
      <c r="O993" s="401"/>
      <c r="P993" s="401"/>
      <c r="Q993" s="401"/>
      <c r="R993" s="401"/>
      <c r="S993" s="401"/>
      <c r="T993" s="401"/>
      <c r="U993" s="401"/>
      <c r="V993" s="401"/>
      <c r="W993" s="401"/>
      <c r="X993" s="401"/>
      <c r="Y993" s="401"/>
      <c r="Z993" s="401"/>
    </row>
    <row r="994">
      <c r="A994" s="401"/>
      <c r="B994" s="401"/>
      <c r="C994" s="401"/>
      <c r="D994" s="401"/>
      <c r="E994" s="401"/>
      <c r="F994" s="401"/>
      <c r="G994" s="401"/>
      <c r="H994" s="401"/>
      <c r="I994" s="401"/>
      <c r="J994" s="401"/>
      <c r="K994" s="401"/>
      <c r="L994" s="401"/>
      <c r="M994" s="401"/>
      <c r="N994" s="401"/>
      <c r="O994" s="401"/>
      <c r="P994" s="401"/>
      <c r="Q994" s="401"/>
      <c r="R994" s="401"/>
      <c r="S994" s="401"/>
      <c r="T994" s="401"/>
      <c r="U994" s="401"/>
      <c r="V994" s="401"/>
      <c r="W994" s="401"/>
      <c r="X994" s="401"/>
      <c r="Y994" s="401"/>
      <c r="Z994" s="401"/>
    </row>
    <row r="995">
      <c r="A995" s="401"/>
      <c r="B995" s="401"/>
      <c r="C995" s="401"/>
      <c r="D995" s="401"/>
      <c r="E995" s="401"/>
      <c r="F995" s="401"/>
      <c r="G995" s="401"/>
      <c r="H995" s="401"/>
      <c r="I995" s="401"/>
      <c r="J995" s="401"/>
      <c r="K995" s="401"/>
      <c r="L995" s="401"/>
      <c r="M995" s="401"/>
      <c r="N995" s="401"/>
      <c r="O995" s="401"/>
      <c r="P995" s="401"/>
      <c r="Q995" s="401"/>
      <c r="R995" s="401"/>
      <c r="S995" s="401"/>
      <c r="T995" s="401"/>
      <c r="U995" s="401"/>
      <c r="V995" s="401"/>
      <c r="W995" s="401"/>
      <c r="X995" s="401"/>
      <c r="Y995" s="401"/>
      <c r="Z995" s="401"/>
    </row>
    <row r="996">
      <c r="A996" s="401"/>
      <c r="B996" s="401"/>
      <c r="C996" s="401"/>
      <c r="D996" s="401"/>
      <c r="E996" s="401"/>
      <c r="F996" s="401"/>
      <c r="G996" s="401"/>
      <c r="H996" s="401"/>
      <c r="I996" s="401"/>
      <c r="J996" s="401"/>
      <c r="K996" s="401"/>
      <c r="L996" s="401"/>
      <c r="M996" s="401"/>
      <c r="N996" s="401"/>
      <c r="O996" s="401"/>
      <c r="P996" s="401"/>
      <c r="Q996" s="401"/>
      <c r="R996" s="401"/>
      <c r="S996" s="401"/>
      <c r="T996" s="401"/>
      <c r="U996" s="401"/>
      <c r="V996" s="401"/>
      <c r="W996" s="401"/>
      <c r="X996" s="401"/>
      <c r="Y996" s="401"/>
      <c r="Z996" s="401"/>
    </row>
    <row r="997">
      <c r="A997" s="401"/>
      <c r="B997" s="401"/>
      <c r="C997" s="401"/>
      <c r="D997" s="401"/>
      <c r="E997" s="401"/>
      <c r="F997" s="401"/>
      <c r="G997" s="401"/>
      <c r="H997" s="401"/>
      <c r="I997" s="401"/>
      <c r="J997" s="401"/>
      <c r="K997" s="401"/>
      <c r="L997" s="401"/>
      <c r="M997" s="401"/>
      <c r="N997" s="401"/>
      <c r="O997" s="401"/>
      <c r="P997" s="401"/>
      <c r="Q997" s="401"/>
      <c r="R997" s="401"/>
      <c r="S997" s="401"/>
      <c r="T997" s="401"/>
      <c r="U997" s="401"/>
      <c r="V997" s="401"/>
      <c r="W997" s="401"/>
      <c r="X997" s="401"/>
      <c r="Y997" s="401"/>
      <c r="Z997" s="401"/>
    </row>
    <row r="998">
      <c r="A998" s="401"/>
      <c r="B998" s="401"/>
      <c r="C998" s="401"/>
      <c r="D998" s="401"/>
      <c r="E998" s="401"/>
      <c r="F998" s="401"/>
      <c r="G998" s="401"/>
      <c r="H998" s="401"/>
      <c r="I998" s="401"/>
      <c r="J998" s="401"/>
      <c r="K998" s="401"/>
      <c r="L998" s="401"/>
      <c r="M998" s="401"/>
      <c r="N998" s="401"/>
      <c r="O998" s="401"/>
      <c r="P998" s="401"/>
      <c r="Q998" s="401"/>
      <c r="R998" s="401"/>
      <c r="S998" s="401"/>
      <c r="T998" s="401"/>
      <c r="U998" s="401"/>
      <c r="V998" s="401"/>
      <c r="W998" s="401"/>
      <c r="X998" s="401"/>
      <c r="Y998" s="401"/>
      <c r="Z998" s="401"/>
    </row>
    <row r="999">
      <c r="A999" s="401"/>
      <c r="B999" s="401"/>
      <c r="C999" s="401"/>
      <c r="D999" s="401"/>
      <c r="E999" s="401"/>
      <c r="F999" s="401"/>
      <c r="G999" s="401"/>
      <c r="H999" s="401"/>
      <c r="I999" s="401"/>
      <c r="J999" s="401"/>
      <c r="K999" s="401"/>
      <c r="L999" s="401"/>
      <c r="M999" s="401"/>
      <c r="N999" s="401"/>
      <c r="O999" s="401"/>
      <c r="P999" s="401"/>
      <c r="Q999" s="401"/>
      <c r="R999" s="401"/>
      <c r="S999" s="401"/>
      <c r="T999" s="401"/>
      <c r="U999" s="401"/>
      <c r="V999" s="401"/>
      <c r="W999" s="401"/>
      <c r="X999" s="401"/>
      <c r="Y999" s="401"/>
      <c r="Z999" s="401"/>
    </row>
    <row r="1000">
      <c r="A1000" s="401"/>
      <c r="B1000" s="401"/>
      <c r="C1000" s="401"/>
      <c r="D1000" s="401"/>
      <c r="E1000" s="401"/>
      <c r="F1000" s="401"/>
      <c r="G1000" s="401"/>
      <c r="H1000" s="401"/>
      <c r="I1000" s="401"/>
      <c r="J1000" s="401"/>
      <c r="K1000" s="401"/>
      <c r="L1000" s="401"/>
      <c r="M1000" s="401"/>
      <c r="N1000" s="401"/>
      <c r="O1000" s="401"/>
      <c r="P1000" s="401"/>
      <c r="Q1000" s="401"/>
      <c r="R1000" s="401"/>
      <c r="S1000" s="401"/>
      <c r="T1000" s="401"/>
      <c r="U1000" s="401"/>
      <c r="V1000" s="401"/>
      <c r="W1000" s="401"/>
      <c r="X1000" s="401"/>
      <c r="Y1000" s="401"/>
      <c r="Z1000" s="401"/>
    </row>
    <row r="1001">
      <c r="A1001" s="401"/>
      <c r="B1001" s="401"/>
      <c r="C1001" s="401"/>
      <c r="D1001" s="401"/>
      <c r="E1001" s="401"/>
      <c r="F1001" s="401"/>
      <c r="G1001" s="401"/>
      <c r="H1001" s="401"/>
      <c r="I1001" s="401"/>
      <c r="J1001" s="401"/>
      <c r="K1001" s="401"/>
      <c r="L1001" s="401"/>
      <c r="M1001" s="401"/>
      <c r="N1001" s="401"/>
      <c r="O1001" s="401"/>
      <c r="P1001" s="401"/>
      <c r="Q1001" s="401"/>
      <c r="R1001" s="401"/>
      <c r="S1001" s="401"/>
      <c r="T1001" s="401"/>
      <c r="U1001" s="401"/>
      <c r="V1001" s="401"/>
      <c r="W1001" s="401"/>
      <c r="X1001" s="401"/>
      <c r="Y1001" s="401"/>
      <c r="Z1001" s="401"/>
    </row>
    <row r="1002">
      <c r="A1002" s="401"/>
      <c r="B1002" s="401"/>
      <c r="C1002" s="401"/>
      <c r="D1002" s="401"/>
      <c r="E1002" s="401"/>
      <c r="F1002" s="401"/>
      <c r="G1002" s="401"/>
      <c r="H1002" s="401"/>
      <c r="I1002" s="401"/>
      <c r="J1002" s="401"/>
      <c r="K1002" s="401"/>
      <c r="L1002" s="401"/>
      <c r="M1002" s="401"/>
      <c r="N1002" s="401"/>
      <c r="O1002" s="401"/>
      <c r="P1002" s="401"/>
      <c r="Q1002" s="401"/>
      <c r="R1002" s="401"/>
      <c r="S1002" s="401"/>
      <c r="T1002" s="401"/>
      <c r="U1002" s="401"/>
      <c r="V1002" s="401"/>
      <c r="W1002" s="401"/>
      <c r="X1002" s="401"/>
      <c r="Y1002" s="401"/>
      <c r="Z1002" s="401"/>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pane ySplit="1.0" topLeftCell="A2" activePane="bottomLeft" state="frozen"/>
      <selection activeCell="B3" sqref="B3" pane="bottomLeft"/>
    </sheetView>
  </sheetViews>
  <sheetFormatPr customHeight="1" defaultColWidth="17.29" defaultRowHeight="15.0"/>
  <cols>
    <col customWidth="1" min="1" max="1" width="49.71"/>
    <col customWidth="1" min="2" max="2" width="14.29"/>
  </cols>
  <sheetData>
    <row r="1">
      <c r="A1" s="413"/>
      <c r="B1" s="414" t="s">
        <v>74</v>
      </c>
      <c r="C1" s="414" t="s">
        <v>75</v>
      </c>
      <c r="D1" s="414" t="s">
        <v>76</v>
      </c>
      <c r="E1" s="414" t="s">
        <v>77</v>
      </c>
      <c r="F1" s="414" t="s">
        <v>78</v>
      </c>
      <c r="G1" s="414"/>
      <c r="I1" s="413"/>
      <c r="J1" s="413"/>
      <c r="K1" s="413"/>
      <c r="L1" s="413"/>
      <c r="M1" s="413"/>
      <c r="N1" s="413"/>
      <c r="O1" s="413"/>
      <c r="P1" s="413"/>
      <c r="Q1" s="413"/>
      <c r="R1" s="413"/>
      <c r="S1" s="413"/>
      <c r="T1" s="413"/>
      <c r="U1" s="413"/>
      <c r="V1" s="413"/>
      <c r="W1" s="413"/>
      <c r="X1" s="413"/>
      <c r="Y1" s="413"/>
      <c r="Z1" s="413"/>
      <c r="AA1" s="413"/>
      <c r="AB1" s="413"/>
    </row>
    <row r="2" hidden="1">
      <c r="A2" s="415" t="s">
        <v>1450</v>
      </c>
      <c r="B2" s="416">
        <v>3.85</v>
      </c>
      <c r="C2" s="416">
        <v>4.28</v>
      </c>
      <c r="D2" s="416"/>
      <c r="E2" s="416">
        <v>4.33</v>
      </c>
      <c r="F2" s="416">
        <v>6.25</v>
      </c>
      <c r="G2" s="417"/>
      <c r="H2" s="417"/>
      <c r="I2" s="417"/>
      <c r="J2" s="417"/>
      <c r="K2" s="417"/>
      <c r="L2" s="417"/>
      <c r="M2" s="417"/>
      <c r="N2" s="417"/>
      <c r="O2" s="417"/>
      <c r="P2" s="417"/>
      <c r="Q2" s="417"/>
      <c r="R2" s="417"/>
      <c r="S2" s="417"/>
      <c r="T2" s="417"/>
      <c r="U2" s="417"/>
      <c r="V2" s="417"/>
      <c r="W2" s="417"/>
      <c r="X2" s="417"/>
      <c r="Y2" s="417"/>
      <c r="Z2" s="417"/>
      <c r="AA2" s="417"/>
      <c r="AB2" s="417"/>
    </row>
    <row r="3">
      <c r="A3" s="418" t="s">
        <v>157</v>
      </c>
      <c r="B3" s="419"/>
      <c r="C3" s="419"/>
      <c r="D3" s="419"/>
      <c r="E3" s="419"/>
      <c r="F3" s="419"/>
      <c r="G3" s="420"/>
      <c r="H3" s="420"/>
      <c r="I3" s="420"/>
      <c r="J3" s="420"/>
      <c r="K3" s="420"/>
      <c r="L3" s="420"/>
      <c r="M3" s="420"/>
      <c r="N3" s="420"/>
      <c r="O3" s="420"/>
      <c r="P3" s="420"/>
      <c r="Q3" s="420"/>
      <c r="R3" s="420"/>
      <c r="S3" s="420"/>
      <c r="T3" s="420"/>
      <c r="U3" s="420"/>
      <c r="V3" s="420"/>
      <c r="W3" s="420"/>
      <c r="X3" s="420"/>
      <c r="Y3" s="420"/>
      <c r="Z3" s="420"/>
      <c r="AA3" s="420"/>
      <c r="AB3" s="420"/>
    </row>
    <row r="4">
      <c r="A4" s="421" t="s">
        <v>158</v>
      </c>
      <c r="B4" s="416">
        <v>4.2</v>
      </c>
      <c r="C4" s="416">
        <v>4.5</v>
      </c>
      <c r="D4" s="422">
        <v>4.4</v>
      </c>
      <c r="E4" s="416">
        <v>4.3</v>
      </c>
      <c r="F4" s="416">
        <v>4.8</v>
      </c>
      <c r="G4" s="420"/>
      <c r="H4" s="420"/>
      <c r="I4" s="420"/>
      <c r="J4" s="420"/>
      <c r="K4" s="420"/>
      <c r="L4" s="420"/>
      <c r="M4" s="420"/>
      <c r="N4" s="420"/>
      <c r="O4" s="420"/>
      <c r="P4" s="420"/>
      <c r="Q4" s="420"/>
      <c r="R4" s="420"/>
      <c r="S4" s="420"/>
      <c r="T4" s="420"/>
      <c r="U4" s="420"/>
      <c r="V4" s="420"/>
      <c r="W4" s="420"/>
      <c r="X4" s="420"/>
      <c r="Y4" s="420"/>
      <c r="Z4" s="420"/>
      <c r="AA4" s="420"/>
      <c r="AB4" s="420"/>
    </row>
    <row r="5">
      <c r="A5" s="421" t="s">
        <v>1451</v>
      </c>
      <c r="B5" s="416">
        <v>3.9</v>
      </c>
      <c r="C5" s="416">
        <v>4.7</v>
      </c>
      <c r="D5" s="416"/>
      <c r="E5" s="416">
        <v>4.3</v>
      </c>
      <c r="F5" s="416">
        <v>5.9</v>
      </c>
      <c r="G5" s="420"/>
      <c r="H5" s="420"/>
      <c r="I5" s="420"/>
      <c r="J5" s="420"/>
      <c r="K5" s="420"/>
      <c r="L5" s="420"/>
      <c r="M5" s="420"/>
      <c r="N5" s="420"/>
      <c r="O5" s="420"/>
      <c r="P5" s="420"/>
      <c r="Q5" s="420"/>
      <c r="R5" s="420"/>
      <c r="S5" s="420"/>
      <c r="T5" s="420"/>
      <c r="U5" s="420"/>
      <c r="V5" s="420"/>
      <c r="W5" s="420"/>
      <c r="X5" s="420"/>
      <c r="Y5" s="420"/>
      <c r="Z5" s="420"/>
      <c r="AA5" s="420"/>
      <c r="AB5" s="420"/>
    </row>
    <row r="6">
      <c r="A6" s="421" t="s">
        <v>1452</v>
      </c>
      <c r="B6" s="423">
        <v>0.129</v>
      </c>
      <c r="C6" s="423">
        <v>0.154</v>
      </c>
      <c r="D6" s="423"/>
      <c r="E6" s="423">
        <v>0.149</v>
      </c>
      <c r="F6" s="423">
        <v>0.184</v>
      </c>
      <c r="G6" s="420"/>
      <c r="H6" s="420"/>
      <c r="I6" s="420"/>
      <c r="J6" s="420"/>
      <c r="K6" s="420"/>
      <c r="L6" s="420"/>
      <c r="M6" s="420"/>
      <c r="N6" s="420"/>
      <c r="O6" s="420"/>
      <c r="P6" s="420"/>
      <c r="Q6" s="420"/>
      <c r="R6" s="420"/>
      <c r="S6" s="420"/>
      <c r="T6" s="420"/>
      <c r="U6" s="420"/>
      <c r="V6" s="420"/>
      <c r="W6" s="420"/>
      <c r="X6" s="420"/>
      <c r="Y6" s="420"/>
      <c r="Z6" s="420"/>
      <c r="AA6" s="420"/>
      <c r="AB6" s="420"/>
    </row>
    <row r="7">
      <c r="A7" s="420"/>
      <c r="B7" s="419"/>
      <c r="C7" s="419"/>
      <c r="D7" s="419"/>
      <c r="E7" s="419"/>
      <c r="F7" s="419"/>
      <c r="G7" s="420"/>
      <c r="H7" s="420"/>
      <c r="I7" s="420"/>
      <c r="J7" s="420"/>
      <c r="K7" s="420"/>
      <c r="L7" s="420"/>
      <c r="M7" s="420"/>
      <c r="N7" s="420"/>
      <c r="O7" s="420"/>
      <c r="P7" s="420"/>
      <c r="Q7" s="420"/>
      <c r="R7" s="420"/>
      <c r="S7" s="420"/>
      <c r="T7" s="420"/>
      <c r="U7" s="420"/>
      <c r="V7" s="420"/>
      <c r="W7" s="420"/>
      <c r="X7" s="420"/>
      <c r="Y7" s="420"/>
      <c r="Z7" s="420"/>
      <c r="AA7" s="420"/>
      <c r="AB7" s="420"/>
    </row>
    <row r="8">
      <c r="A8" s="418" t="s">
        <v>178</v>
      </c>
      <c r="B8" s="419"/>
      <c r="C8" s="419"/>
      <c r="D8" s="419"/>
      <c r="E8" s="419"/>
      <c r="F8" s="419"/>
      <c r="G8" s="420"/>
      <c r="H8" s="420"/>
      <c r="I8" s="420"/>
      <c r="J8" s="420"/>
      <c r="K8" s="420"/>
      <c r="L8" s="420"/>
      <c r="M8" s="420"/>
      <c r="N8" s="420"/>
      <c r="O8" s="420"/>
      <c r="P8" s="420"/>
      <c r="Q8" s="420"/>
      <c r="R8" s="420"/>
      <c r="S8" s="420"/>
      <c r="T8" s="420"/>
      <c r="U8" s="420"/>
      <c r="V8" s="420"/>
      <c r="W8" s="420"/>
      <c r="X8" s="420"/>
      <c r="Y8" s="420"/>
      <c r="Z8" s="420"/>
      <c r="AA8" s="420"/>
      <c r="AB8" s="420"/>
    </row>
    <row r="9">
      <c r="A9" s="421" t="s">
        <v>179</v>
      </c>
      <c r="B9" s="424">
        <f>(2536/B4)/1.871</f>
        <v>322.7202158</v>
      </c>
      <c r="C9" s="424">
        <f>((13.96+19.18)/C4)*12</f>
        <v>88.37333333</v>
      </c>
      <c r="D9" s="424"/>
      <c r="E9" s="424">
        <f>10.7*12</f>
        <v>128.4</v>
      </c>
      <c r="F9" s="424">
        <f>((249.02*12)/F4)/(2828/1000)</f>
        <v>220.1379066</v>
      </c>
      <c r="G9" s="420"/>
      <c r="H9" s="420"/>
      <c r="I9" s="420"/>
      <c r="J9" s="420"/>
      <c r="K9" s="420"/>
      <c r="L9" s="420"/>
      <c r="M9" s="420"/>
      <c r="N9" s="420"/>
      <c r="O9" s="420"/>
      <c r="P9" s="420"/>
      <c r="Q9" s="420"/>
      <c r="R9" s="420"/>
      <c r="S9" s="420"/>
      <c r="T9" s="420"/>
      <c r="U9" s="420"/>
      <c r="V9" s="420"/>
      <c r="W9" s="420"/>
      <c r="X9" s="420"/>
      <c r="Y9" s="420"/>
      <c r="Z9" s="420"/>
      <c r="AA9" s="420"/>
      <c r="AB9" s="420"/>
    </row>
    <row r="10">
      <c r="A10" s="420"/>
      <c r="B10" s="419"/>
      <c r="C10" s="419"/>
      <c r="D10" s="419"/>
      <c r="E10" s="419"/>
      <c r="F10" s="419"/>
      <c r="G10" s="413"/>
      <c r="H10" s="413"/>
      <c r="I10" s="413"/>
      <c r="J10" s="413"/>
      <c r="K10" s="413"/>
      <c r="L10" s="413"/>
      <c r="M10" s="413"/>
      <c r="N10" s="413"/>
      <c r="O10" s="413"/>
      <c r="P10" s="413"/>
      <c r="Q10" s="413"/>
      <c r="R10" s="413"/>
      <c r="S10" s="413"/>
      <c r="T10" s="413"/>
      <c r="U10" s="413"/>
      <c r="V10" s="413"/>
      <c r="W10" s="413"/>
      <c r="X10" s="413"/>
      <c r="Y10" s="413"/>
      <c r="Z10" s="413"/>
      <c r="AA10" s="413"/>
      <c r="AB10" s="413"/>
    </row>
    <row r="11">
      <c r="A11" s="418" t="s">
        <v>1453</v>
      </c>
      <c r="B11" s="425"/>
      <c r="C11" s="425"/>
      <c r="D11" s="425"/>
      <c r="E11" s="425"/>
      <c r="F11" s="425"/>
      <c r="G11" s="413"/>
      <c r="H11" s="413"/>
      <c r="I11" s="413"/>
      <c r="J11" s="413"/>
      <c r="K11" s="413"/>
      <c r="L11" s="413"/>
      <c r="M11" s="413"/>
      <c r="N11" s="413"/>
      <c r="O11" s="413"/>
      <c r="P11" s="413"/>
      <c r="Q11" s="413"/>
      <c r="R11" s="413"/>
      <c r="S11" s="413"/>
      <c r="T11" s="413"/>
      <c r="U11" s="413"/>
      <c r="V11" s="413"/>
      <c r="W11" s="413"/>
      <c r="X11" s="413"/>
      <c r="Y11" s="413"/>
      <c r="Z11" s="413"/>
      <c r="AA11" s="413"/>
      <c r="AB11" s="413"/>
    </row>
    <row r="12">
      <c r="A12" s="421" t="s">
        <v>1454</v>
      </c>
      <c r="B12" s="426">
        <v>40776.0</v>
      </c>
      <c r="C12" s="426">
        <v>76823.0</v>
      </c>
      <c r="D12" s="426"/>
      <c r="E12" s="426">
        <v>86000.0</v>
      </c>
      <c r="F12" s="426">
        <v>366372.0</v>
      </c>
      <c r="G12" s="413"/>
      <c r="H12" s="413"/>
      <c r="I12" s="413"/>
      <c r="J12" s="413"/>
      <c r="K12" s="413"/>
      <c r="L12" s="413"/>
      <c r="M12" s="413"/>
      <c r="N12" s="413"/>
      <c r="O12" s="413"/>
      <c r="P12" s="413"/>
      <c r="Q12" s="413"/>
      <c r="R12" s="413"/>
      <c r="S12" s="413"/>
      <c r="T12" s="413"/>
      <c r="U12" s="413"/>
      <c r="V12" s="413"/>
      <c r="W12" s="413"/>
      <c r="X12" s="413"/>
      <c r="Y12" s="413"/>
      <c r="Z12" s="413"/>
      <c r="AA12" s="413"/>
      <c r="AB12" s="413"/>
    </row>
    <row r="13">
      <c r="A13" s="421" t="s">
        <v>179</v>
      </c>
      <c r="B13" s="424">
        <f>B12/109.7</f>
        <v>371.704649</v>
      </c>
      <c r="C13" s="424">
        <f>C12/744</f>
        <v>103.2567204</v>
      </c>
      <c r="D13" s="424"/>
      <c r="E13" s="424">
        <f>E12/685</f>
        <v>125.5474453</v>
      </c>
      <c r="F13" s="424">
        <f>F12/1708</f>
        <v>214.5035129</v>
      </c>
      <c r="G13" s="413"/>
      <c r="H13" s="413"/>
      <c r="I13" s="413"/>
      <c r="J13" s="413"/>
      <c r="K13" s="413"/>
      <c r="L13" s="413"/>
      <c r="M13" s="413"/>
      <c r="N13" s="413"/>
      <c r="O13" s="413"/>
      <c r="P13" s="413"/>
      <c r="Q13" s="413"/>
      <c r="R13" s="413"/>
      <c r="S13" s="413"/>
      <c r="T13" s="413"/>
      <c r="U13" s="413"/>
      <c r="V13" s="413"/>
      <c r="W13" s="413"/>
      <c r="X13" s="413"/>
      <c r="Y13" s="413"/>
      <c r="Z13" s="413"/>
      <c r="AA13" s="413"/>
      <c r="AB13" s="413"/>
    </row>
    <row r="14">
      <c r="A14" s="421" t="s">
        <v>1455</v>
      </c>
      <c r="B14" s="424">
        <f>B12/46.41</f>
        <v>878.6037492</v>
      </c>
      <c r="C14" s="424">
        <f>C12/306.03</f>
        <v>251.0309447</v>
      </c>
      <c r="D14" s="424"/>
      <c r="E14" s="424">
        <f>E12/265.95</f>
        <v>323.3690543</v>
      </c>
      <c r="F14" s="424">
        <f>F12/835.65</f>
        <v>438.4275714</v>
      </c>
      <c r="G14" s="413"/>
      <c r="H14" s="413"/>
      <c r="I14" s="427"/>
      <c r="J14" s="427"/>
      <c r="K14" s="427"/>
      <c r="L14" s="427"/>
      <c r="M14" s="413"/>
      <c r="N14" s="413"/>
      <c r="O14" s="413"/>
      <c r="P14" s="413"/>
      <c r="Q14" s="413"/>
      <c r="R14" s="413"/>
      <c r="S14" s="413"/>
      <c r="T14" s="413"/>
      <c r="U14" s="413"/>
      <c r="V14" s="413"/>
      <c r="W14" s="413"/>
      <c r="X14" s="413"/>
      <c r="Y14" s="413"/>
      <c r="Z14" s="413"/>
      <c r="AA14" s="413"/>
      <c r="AB14" s="413"/>
    </row>
    <row r="15">
      <c r="A15" s="420"/>
      <c r="B15" s="419"/>
      <c r="C15" s="419"/>
      <c r="D15" s="419"/>
      <c r="E15" s="419"/>
      <c r="F15" s="419"/>
      <c r="G15" s="413"/>
      <c r="H15" s="413"/>
      <c r="I15" s="427"/>
      <c r="J15" s="413"/>
      <c r="K15" s="413"/>
      <c r="L15" s="413"/>
      <c r="M15" s="413"/>
      <c r="N15" s="413"/>
      <c r="O15" s="413"/>
      <c r="P15" s="413"/>
      <c r="Q15" s="413"/>
      <c r="R15" s="413"/>
      <c r="S15" s="413"/>
      <c r="T15" s="413"/>
      <c r="U15" s="413"/>
      <c r="V15" s="413"/>
      <c r="W15" s="413"/>
      <c r="X15" s="413"/>
      <c r="Y15" s="413"/>
      <c r="Z15" s="413"/>
      <c r="AA15" s="413"/>
      <c r="AB15" s="413"/>
    </row>
    <row r="16">
      <c r="A16" s="418" t="s">
        <v>1456</v>
      </c>
      <c r="B16" s="425"/>
      <c r="C16" s="425"/>
      <c r="D16" s="425"/>
      <c r="E16" s="425"/>
      <c r="F16" s="425"/>
      <c r="G16" s="413"/>
      <c r="H16" s="413"/>
      <c r="I16" s="413"/>
      <c r="J16" s="413"/>
      <c r="K16" s="413"/>
      <c r="L16" s="413"/>
      <c r="M16" s="413"/>
      <c r="N16" s="413"/>
      <c r="O16" s="413"/>
      <c r="P16" s="413"/>
      <c r="Q16" s="413"/>
      <c r="R16" s="413"/>
      <c r="S16" s="413"/>
      <c r="T16" s="413"/>
      <c r="U16" s="413"/>
      <c r="V16" s="413"/>
      <c r="W16" s="413"/>
      <c r="X16" s="413"/>
      <c r="Y16" s="413"/>
      <c r="Z16" s="413"/>
      <c r="AA16" s="413"/>
      <c r="AB16" s="413"/>
    </row>
    <row r="17">
      <c r="A17" s="421" t="s">
        <v>1457</v>
      </c>
      <c r="B17" s="426">
        <v>29832.0176</v>
      </c>
      <c r="C17" s="426">
        <v>129259.494</v>
      </c>
      <c r="D17" s="426"/>
      <c r="E17" s="426">
        <v>66959.6462</v>
      </c>
      <c r="F17" s="426">
        <v>388978.5772</v>
      </c>
      <c r="G17" s="413"/>
      <c r="H17" s="413"/>
      <c r="I17" s="413"/>
      <c r="J17" s="413"/>
      <c r="K17" s="413"/>
      <c r="L17" s="413"/>
      <c r="M17" s="413"/>
      <c r="N17" s="413"/>
      <c r="O17" s="413"/>
      <c r="P17" s="413"/>
      <c r="Q17" s="413"/>
      <c r="R17" s="413"/>
      <c r="S17" s="413"/>
      <c r="T17" s="413"/>
      <c r="U17" s="413"/>
      <c r="V17" s="413"/>
      <c r="W17" s="413"/>
      <c r="X17" s="413"/>
      <c r="Y17" s="413"/>
      <c r="Z17" s="413"/>
      <c r="AA17" s="413"/>
      <c r="AB17" s="413"/>
    </row>
    <row r="18">
      <c r="A18" s="421" t="s">
        <v>1458</v>
      </c>
      <c r="B18" s="424">
        <v>220.13</v>
      </c>
      <c r="C18" s="424">
        <v>94.9</v>
      </c>
      <c r="D18" s="424"/>
      <c r="E18" s="424">
        <v>56.57</v>
      </c>
      <c r="F18" s="424">
        <v>104.59</v>
      </c>
      <c r="G18" s="413"/>
      <c r="H18" s="413"/>
      <c r="I18" s="413"/>
      <c r="J18" s="413"/>
      <c r="K18" s="413"/>
      <c r="L18" s="413"/>
      <c r="M18" s="413"/>
      <c r="N18" s="413"/>
      <c r="O18" s="413"/>
      <c r="P18" s="413"/>
      <c r="Q18" s="413"/>
      <c r="R18" s="413"/>
      <c r="S18" s="413"/>
      <c r="T18" s="413"/>
      <c r="U18" s="413"/>
      <c r="V18" s="413"/>
      <c r="W18" s="413"/>
      <c r="X18" s="413"/>
      <c r="Y18" s="413"/>
      <c r="Z18" s="413"/>
      <c r="AA18" s="413"/>
      <c r="AB18" s="413"/>
    </row>
    <row r="19">
      <c r="A19" s="421" t="s">
        <v>1459</v>
      </c>
      <c r="B19" s="424">
        <f>B17/46.26</f>
        <v>644.8771639</v>
      </c>
      <c r="C19" s="424">
        <f>C17/357.89</f>
        <v>361.1710134</v>
      </c>
      <c r="D19" s="424"/>
      <c r="E19" s="424">
        <f>E17/326.27</f>
        <v>205.2277139</v>
      </c>
      <c r="F19" s="424">
        <f>F17/1221.99</f>
        <v>318.3156795</v>
      </c>
      <c r="G19" s="413"/>
      <c r="H19" s="413"/>
      <c r="I19" s="413"/>
      <c r="J19" s="413"/>
      <c r="K19" s="413"/>
      <c r="L19" s="413"/>
      <c r="M19" s="413"/>
      <c r="N19" s="413"/>
      <c r="O19" s="413"/>
      <c r="P19" s="413"/>
      <c r="Q19" s="413"/>
      <c r="R19" s="413"/>
      <c r="S19" s="413"/>
      <c r="T19" s="413"/>
      <c r="U19" s="413"/>
      <c r="V19" s="413"/>
      <c r="W19" s="413"/>
      <c r="X19" s="413"/>
      <c r="Y19" s="413"/>
      <c r="Z19" s="413"/>
      <c r="AA19" s="413"/>
      <c r="AB19" s="413"/>
    </row>
    <row r="20">
      <c r="A20" s="420"/>
      <c r="B20" s="427"/>
      <c r="C20" s="427"/>
      <c r="D20" s="427"/>
      <c r="E20" s="427"/>
      <c r="F20" s="427"/>
      <c r="G20" s="413"/>
      <c r="H20" s="413"/>
      <c r="I20" s="413"/>
      <c r="J20" s="413"/>
      <c r="K20" s="413"/>
      <c r="L20" s="413"/>
      <c r="M20" s="413"/>
      <c r="N20" s="413"/>
      <c r="O20" s="413"/>
      <c r="P20" s="413"/>
      <c r="Q20" s="413"/>
      <c r="R20" s="413"/>
      <c r="S20" s="413"/>
      <c r="T20" s="413"/>
      <c r="U20" s="413"/>
      <c r="V20" s="413"/>
      <c r="W20" s="413"/>
      <c r="X20" s="413"/>
      <c r="Y20" s="413"/>
      <c r="Z20" s="413"/>
      <c r="AA20" s="413"/>
      <c r="AB20" s="413"/>
    </row>
    <row r="21">
      <c r="A21" s="418" t="s">
        <v>1460</v>
      </c>
      <c r="B21" s="419"/>
      <c r="C21" s="419"/>
      <c r="D21" s="419"/>
      <c r="E21" s="419"/>
      <c r="F21" s="419"/>
      <c r="G21" s="413"/>
      <c r="H21" s="413"/>
      <c r="I21" s="413"/>
      <c r="J21" s="413"/>
      <c r="K21" s="413"/>
      <c r="L21" s="413"/>
      <c r="M21" s="413"/>
      <c r="N21" s="413"/>
      <c r="O21" s="413"/>
      <c r="P21" s="413"/>
      <c r="Q21" s="413"/>
      <c r="R21" s="413"/>
      <c r="S21" s="413"/>
      <c r="T21" s="413"/>
      <c r="U21" s="413"/>
      <c r="V21" s="413"/>
      <c r="W21" s="413"/>
      <c r="X21" s="413"/>
      <c r="Y21" s="413"/>
      <c r="Z21" s="413"/>
      <c r="AA21" s="413"/>
      <c r="AB21" s="413"/>
    </row>
    <row r="22">
      <c r="A22" s="421" t="s">
        <v>1461</v>
      </c>
      <c r="B22" s="428">
        <v>865.0</v>
      </c>
      <c r="C22" s="424">
        <v>1100.0</v>
      </c>
      <c r="D22" s="424"/>
      <c r="E22" s="424">
        <v>1100.0</v>
      </c>
      <c r="F22" s="424">
        <v>955.0</v>
      </c>
      <c r="G22" s="413"/>
      <c r="H22" s="413"/>
      <c r="I22" s="413"/>
      <c r="J22" s="413"/>
      <c r="K22" s="413"/>
      <c r="L22" s="413"/>
      <c r="M22" s="413"/>
      <c r="N22" s="413"/>
      <c r="O22" s="413"/>
      <c r="P22" s="413"/>
      <c r="Q22" s="413"/>
      <c r="R22" s="413"/>
      <c r="S22" s="413"/>
      <c r="T22" s="413"/>
      <c r="U22" s="413"/>
      <c r="V22" s="413"/>
      <c r="W22" s="413"/>
      <c r="X22" s="413"/>
      <c r="Y22" s="413"/>
      <c r="Z22" s="413"/>
      <c r="AA22" s="413"/>
      <c r="AB22" s="413"/>
    </row>
    <row r="23">
      <c r="A23" s="421" t="s">
        <v>1462</v>
      </c>
      <c r="B23" s="421" t="s">
        <v>1463</v>
      </c>
      <c r="C23" s="421" t="s">
        <v>1464</v>
      </c>
      <c r="D23" s="429"/>
      <c r="E23" s="429" t="s">
        <v>1465</v>
      </c>
      <c r="F23" s="421" t="s">
        <v>1466</v>
      </c>
      <c r="G23" s="413"/>
      <c r="H23" s="413"/>
      <c r="I23" s="413"/>
      <c r="J23" s="413"/>
      <c r="K23" s="413"/>
      <c r="L23" s="413"/>
      <c r="M23" s="413"/>
      <c r="N23" s="413"/>
      <c r="O23" s="413"/>
      <c r="P23" s="413"/>
      <c r="Q23" s="413"/>
      <c r="R23" s="413"/>
      <c r="S23" s="413"/>
      <c r="T23" s="413"/>
      <c r="U23" s="413"/>
      <c r="V23" s="413"/>
      <c r="W23" s="413"/>
      <c r="X23" s="413"/>
      <c r="Y23" s="413"/>
      <c r="Z23" s="413"/>
      <c r="AA23" s="413"/>
      <c r="AB23" s="413"/>
    </row>
    <row r="24">
      <c r="A24" s="421" t="s">
        <v>1467</v>
      </c>
      <c r="B24" s="430" t="s">
        <v>1468</v>
      </c>
      <c r="C24" s="431" t="s">
        <v>1469</v>
      </c>
      <c r="D24" s="430"/>
      <c r="E24" s="430" t="s">
        <v>1470</v>
      </c>
      <c r="F24" s="430" t="s">
        <v>1471</v>
      </c>
      <c r="G24" s="413"/>
      <c r="H24" s="413"/>
      <c r="I24" s="413"/>
      <c r="J24" s="413"/>
      <c r="K24" s="413"/>
      <c r="L24" s="413"/>
      <c r="M24" s="413"/>
      <c r="N24" s="413"/>
      <c r="O24" s="413"/>
      <c r="P24" s="413"/>
      <c r="Q24" s="413"/>
      <c r="R24" s="413"/>
      <c r="S24" s="413"/>
      <c r="T24" s="413"/>
      <c r="U24" s="413"/>
      <c r="V24" s="413"/>
      <c r="W24" s="413"/>
      <c r="X24" s="413"/>
      <c r="Y24" s="413"/>
      <c r="Z24" s="413"/>
      <c r="AA24" s="413"/>
      <c r="AB24" s="413"/>
    </row>
    <row r="25">
      <c r="A25" s="432"/>
      <c r="B25" s="432"/>
      <c r="C25" s="432"/>
      <c r="D25" s="432"/>
      <c r="E25" s="432"/>
      <c r="F25" s="432"/>
      <c r="G25" s="432"/>
      <c r="H25" s="432"/>
      <c r="I25" s="432"/>
      <c r="J25" s="432"/>
      <c r="K25" s="432"/>
      <c r="L25" s="432"/>
      <c r="M25" s="432"/>
      <c r="N25" s="432"/>
      <c r="O25" s="432"/>
      <c r="P25" s="432"/>
      <c r="Q25" s="432"/>
      <c r="R25" s="432"/>
      <c r="S25" s="432"/>
      <c r="T25" s="432"/>
      <c r="U25" s="432"/>
      <c r="V25" s="432"/>
      <c r="W25" s="432"/>
      <c r="X25" s="432"/>
      <c r="Y25" s="432"/>
      <c r="Z25" s="432"/>
      <c r="AA25" s="432"/>
      <c r="AB25" s="432"/>
    </row>
    <row r="26">
      <c r="A26" s="418" t="s">
        <v>1472</v>
      </c>
      <c r="B26" s="413"/>
      <c r="C26" s="413"/>
      <c r="D26" s="413"/>
      <c r="E26" s="413"/>
      <c r="F26" s="413"/>
      <c r="G26" s="418" t="s">
        <v>1473</v>
      </c>
      <c r="H26" s="432"/>
      <c r="I26" s="432"/>
      <c r="J26" s="432"/>
      <c r="K26" s="432"/>
      <c r="L26" s="432"/>
      <c r="M26" s="432"/>
      <c r="N26" s="432"/>
      <c r="O26" s="432"/>
      <c r="P26" s="432"/>
      <c r="Q26" s="432"/>
      <c r="R26" s="432"/>
      <c r="S26" s="432"/>
      <c r="T26" s="432"/>
      <c r="U26" s="432"/>
      <c r="V26" s="432"/>
      <c r="W26" s="432"/>
      <c r="X26" s="432"/>
      <c r="Y26" s="432"/>
      <c r="Z26" s="432"/>
      <c r="AA26" s="432"/>
      <c r="AB26" s="432"/>
    </row>
    <row r="27">
      <c r="A27" s="433" t="s">
        <v>1474</v>
      </c>
      <c r="B27" s="434">
        <v>406932.0</v>
      </c>
      <c r="C27" s="434">
        <v>186900.0</v>
      </c>
      <c r="D27" s="434"/>
      <c r="E27" s="434">
        <v>221157.0</v>
      </c>
      <c r="F27" s="434">
        <v>120520.0</v>
      </c>
      <c r="G27" s="435" t="s">
        <v>1475</v>
      </c>
      <c r="H27" s="432"/>
      <c r="I27" s="432"/>
      <c r="J27" s="432"/>
      <c r="K27" s="432"/>
      <c r="L27" s="432"/>
      <c r="M27" s="432"/>
      <c r="N27" s="432"/>
      <c r="O27" s="432"/>
      <c r="P27" s="432"/>
      <c r="Q27" s="432"/>
      <c r="R27" s="432"/>
      <c r="S27" s="432"/>
      <c r="T27" s="432"/>
      <c r="U27" s="432"/>
      <c r="V27" s="432"/>
      <c r="W27" s="432"/>
      <c r="X27" s="432"/>
      <c r="Y27" s="432"/>
      <c r="Z27" s="432"/>
      <c r="AA27" s="432"/>
      <c r="AB27" s="432"/>
    </row>
    <row r="28">
      <c r="A28" s="436" t="s">
        <v>1476</v>
      </c>
      <c r="B28" s="434">
        <v>122997.0</v>
      </c>
      <c r="C28" s="434">
        <v>78579.0</v>
      </c>
      <c r="D28" s="434">
        <v>5485.0</v>
      </c>
      <c r="E28" s="434">
        <v>120393.0</v>
      </c>
      <c r="F28" s="434">
        <v>78929.0</v>
      </c>
      <c r="G28" s="435" t="s">
        <v>1475</v>
      </c>
      <c r="I28" s="432"/>
      <c r="J28" s="432"/>
      <c r="K28" s="432"/>
      <c r="L28" s="432"/>
      <c r="M28" s="432"/>
      <c r="N28" s="432"/>
      <c r="O28" s="432"/>
      <c r="P28" s="432"/>
      <c r="Q28" s="432"/>
      <c r="R28" s="432"/>
      <c r="S28" s="432"/>
      <c r="T28" s="432"/>
      <c r="U28" s="432"/>
      <c r="V28" s="432"/>
      <c r="W28" s="432"/>
      <c r="X28" s="432"/>
      <c r="Y28" s="432"/>
      <c r="Z28" s="432"/>
      <c r="AA28" s="432"/>
      <c r="AB28" s="432"/>
    </row>
    <row r="29">
      <c r="A29" s="433" t="s">
        <v>355</v>
      </c>
      <c r="B29" s="437">
        <v>54.0</v>
      </c>
      <c r="C29" s="437">
        <v>20.4</v>
      </c>
      <c r="D29" s="437">
        <v>33.9</v>
      </c>
      <c r="E29" s="437">
        <v>14.1</v>
      </c>
      <c r="F29" s="437">
        <v>47.2</v>
      </c>
      <c r="G29" s="438" t="s">
        <v>1024</v>
      </c>
      <c r="H29" s="432"/>
      <c r="I29" s="432"/>
      <c r="J29" s="432"/>
      <c r="K29" s="432"/>
      <c r="L29" s="432"/>
      <c r="M29" s="432"/>
      <c r="N29" s="432"/>
      <c r="O29" s="432"/>
      <c r="P29" s="432"/>
      <c r="Q29" s="432"/>
      <c r="R29" s="432"/>
      <c r="S29" s="432"/>
      <c r="T29" s="432"/>
      <c r="U29" s="432"/>
      <c r="V29" s="432"/>
      <c r="W29" s="432"/>
      <c r="X29" s="432"/>
      <c r="Y29" s="432"/>
      <c r="Z29" s="432"/>
      <c r="AA29" s="432"/>
      <c r="AB29" s="432"/>
    </row>
    <row r="30">
      <c r="A30" s="433" t="s">
        <v>1477</v>
      </c>
      <c r="B30" s="437">
        <f t="shared" ref="B30:F30" si="1">B4</f>
        <v>4.2</v>
      </c>
      <c r="C30" s="437">
        <f t="shared" si="1"/>
        <v>4.5</v>
      </c>
      <c r="D30" s="437">
        <f t="shared" si="1"/>
        <v>4.4</v>
      </c>
      <c r="E30" s="437">
        <f t="shared" si="1"/>
        <v>4.3</v>
      </c>
      <c r="F30" s="437">
        <f t="shared" si="1"/>
        <v>4.8</v>
      </c>
      <c r="G30" s="432"/>
      <c r="H30" s="432"/>
      <c r="I30" s="432"/>
      <c r="J30" s="432"/>
      <c r="K30" s="432"/>
      <c r="L30" s="432"/>
      <c r="M30" s="432"/>
      <c r="N30" s="432"/>
      <c r="O30" s="432"/>
      <c r="P30" s="432"/>
      <c r="Q30" s="432"/>
      <c r="R30" s="432"/>
      <c r="S30" s="432"/>
      <c r="T30" s="432"/>
      <c r="U30" s="432"/>
      <c r="V30" s="432"/>
      <c r="W30" s="432"/>
      <c r="X30" s="432"/>
      <c r="Y30" s="432"/>
      <c r="Z30" s="432"/>
      <c r="AA30" s="432"/>
      <c r="AB30" s="432"/>
    </row>
    <row r="31">
      <c r="A31" s="433" t="s">
        <v>356</v>
      </c>
      <c r="B31" s="437">
        <f t="shared" ref="B31:F31" si="2">B29/B30</f>
        <v>12.85714286</v>
      </c>
      <c r="C31" s="437">
        <f t="shared" si="2"/>
        <v>4.533333333</v>
      </c>
      <c r="D31" s="437">
        <f t="shared" si="2"/>
        <v>7.704545455</v>
      </c>
      <c r="E31" s="437">
        <f t="shared" si="2"/>
        <v>3.279069767</v>
      </c>
      <c r="F31" s="437">
        <f t="shared" si="2"/>
        <v>9.833333333</v>
      </c>
      <c r="G31" s="432"/>
      <c r="H31" s="432"/>
      <c r="I31" s="432"/>
      <c r="J31" s="432"/>
      <c r="K31" s="432"/>
      <c r="L31" s="432"/>
      <c r="M31" s="432"/>
      <c r="N31" s="432"/>
      <c r="O31" s="432"/>
      <c r="P31" s="432"/>
      <c r="Q31" s="432"/>
      <c r="R31" s="432"/>
      <c r="S31" s="432"/>
      <c r="T31" s="432"/>
      <c r="U31" s="432"/>
      <c r="V31" s="432"/>
      <c r="W31" s="432"/>
      <c r="X31" s="432"/>
      <c r="Y31" s="432"/>
      <c r="Z31" s="432"/>
      <c r="AA31" s="432"/>
      <c r="AB31" s="432"/>
    </row>
    <row r="32">
      <c r="A32" s="439" t="s">
        <v>1478</v>
      </c>
      <c r="B32" s="440">
        <v>0.29</v>
      </c>
      <c r="C32" s="440">
        <v>0.7</v>
      </c>
      <c r="D32" s="440">
        <v>0.75</v>
      </c>
      <c r="E32" s="440">
        <v>0.52</v>
      </c>
      <c r="F32" s="440">
        <v>0.43</v>
      </c>
      <c r="G32" s="441" t="s">
        <v>1479</v>
      </c>
      <c r="H32" s="432"/>
      <c r="I32" s="432"/>
      <c r="J32" s="432"/>
      <c r="K32" s="432"/>
      <c r="L32" s="432"/>
      <c r="M32" s="432"/>
      <c r="N32" s="432"/>
      <c r="O32" s="432"/>
      <c r="P32" s="432"/>
      <c r="Q32" s="432"/>
      <c r="R32" s="432"/>
      <c r="S32" s="432"/>
      <c r="T32" s="432"/>
      <c r="U32" s="432"/>
      <c r="V32" s="432"/>
      <c r="W32" s="432"/>
      <c r="X32" s="432"/>
      <c r="Y32" s="432"/>
      <c r="Z32" s="432"/>
      <c r="AA32" s="432"/>
      <c r="AB32" s="432"/>
    </row>
    <row r="33">
      <c r="A33" s="439" t="s">
        <v>1480</v>
      </c>
      <c r="B33" s="434">
        <f t="shared" ref="B33:F33" si="3">B31*1000000*B32</f>
        <v>3728571.429</v>
      </c>
      <c r="C33" s="434">
        <f t="shared" si="3"/>
        <v>3173333.333</v>
      </c>
      <c r="D33" s="434">
        <f t="shared" si="3"/>
        <v>5778409.091</v>
      </c>
      <c r="E33" s="434">
        <f t="shared" si="3"/>
        <v>1705116.279</v>
      </c>
      <c r="F33" s="434">
        <f t="shared" si="3"/>
        <v>4228333.333</v>
      </c>
      <c r="G33" s="432"/>
      <c r="H33" s="432"/>
      <c r="I33" s="432"/>
      <c r="J33" s="432"/>
      <c r="K33" s="432"/>
      <c r="L33" s="432"/>
      <c r="M33" s="432"/>
      <c r="N33" s="432"/>
      <c r="O33" s="432"/>
      <c r="P33" s="432"/>
      <c r="Q33" s="432"/>
      <c r="R33" s="432"/>
      <c r="S33" s="432"/>
      <c r="T33" s="432"/>
      <c r="U33" s="432"/>
      <c r="V33" s="432"/>
      <c r="W33" s="432"/>
      <c r="X33" s="432"/>
      <c r="Y33" s="432"/>
      <c r="Z33" s="432"/>
      <c r="AA33" s="432"/>
      <c r="AB33" s="432"/>
    </row>
    <row r="34">
      <c r="A34" s="439" t="s">
        <v>1481</v>
      </c>
      <c r="B34" s="442">
        <f t="shared" ref="B34:F34" si="4">B28/B33</f>
        <v>0.03298770115</v>
      </c>
      <c r="C34" s="442">
        <f t="shared" si="4"/>
        <v>0.02476228992</v>
      </c>
      <c r="D34" s="442">
        <f t="shared" si="4"/>
        <v>0.0009492232055</v>
      </c>
      <c r="E34" s="442">
        <f t="shared" si="4"/>
        <v>0.07060691489</v>
      </c>
      <c r="F34" s="442">
        <f t="shared" si="4"/>
        <v>0.01866669294</v>
      </c>
      <c r="G34" s="432"/>
      <c r="H34" s="432"/>
      <c r="I34" s="432"/>
      <c r="J34" s="432"/>
      <c r="K34" s="432"/>
      <c r="L34" s="432"/>
      <c r="M34" s="432"/>
      <c r="N34" s="432"/>
      <c r="O34" s="432"/>
      <c r="P34" s="432"/>
      <c r="Q34" s="432"/>
      <c r="R34" s="432"/>
      <c r="S34" s="432"/>
      <c r="T34" s="432"/>
      <c r="U34" s="432"/>
      <c r="V34" s="432"/>
      <c r="W34" s="432"/>
      <c r="X34" s="432"/>
      <c r="Y34" s="432"/>
      <c r="Z34" s="432"/>
      <c r="AA34" s="432"/>
      <c r="AB34" s="432"/>
    </row>
    <row r="35">
      <c r="A35" s="432"/>
      <c r="B35" s="432"/>
      <c r="C35" s="432"/>
      <c r="D35" s="432"/>
      <c r="E35" s="432"/>
      <c r="F35" s="432"/>
      <c r="G35" s="432"/>
      <c r="H35" s="432"/>
      <c r="I35" s="432"/>
      <c r="J35" s="432"/>
      <c r="K35" s="432"/>
      <c r="L35" s="432"/>
      <c r="M35" s="432"/>
      <c r="N35" s="432"/>
      <c r="O35" s="432"/>
      <c r="P35" s="432"/>
      <c r="Q35" s="432"/>
      <c r="R35" s="432"/>
      <c r="S35" s="432"/>
      <c r="T35" s="432"/>
      <c r="U35" s="432"/>
      <c r="V35" s="432"/>
      <c r="W35" s="432"/>
      <c r="X35" s="432"/>
      <c r="Y35" s="432"/>
      <c r="Z35" s="432"/>
      <c r="AA35" s="432"/>
      <c r="AB35" s="432"/>
    </row>
    <row r="36">
      <c r="A36" s="432"/>
      <c r="B36" s="432"/>
      <c r="C36" s="432"/>
      <c r="D36" s="432"/>
      <c r="E36" s="432"/>
      <c r="F36" s="432"/>
      <c r="G36" s="432"/>
      <c r="H36" s="432"/>
      <c r="I36" s="432"/>
      <c r="J36" s="432"/>
      <c r="K36" s="432"/>
      <c r="L36" s="432"/>
      <c r="M36" s="432"/>
      <c r="N36" s="432"/>
      <c r="O36" s="432"/>
      <c r="P36" s="432"/>
      <c r="Q36" s="432"/>
      <c r="R36" s="432"/>
      <c r="S36" s="432"/>
      <c r="T36" s="432"/>
      <c r="U36" s="432"/>
      <c r="V36" s="432"/>
      <c r="W36" s="432"/>
      <c r="X36" s="432"/>
      <c r="Y36" s="432"/>
      <c r="Z36" s="432"/>
      <c r="AA36" s="432"/>
      <c r="AB36" s="432"/>
    </row>
    <row r="37">
      <c r="A37" s="432"/>
      <c r="B37" s="432"/>
      <c r="C37" s="432"/>
      <c r="D37" s="432"/>
      <c r="E37" s="432"/>
      <c r="F37" s="432"/>
      <c r="G37" s="432"/>
      <c r="H37" s="432"/>
      <c r="I37" s="432"/>
      <c r="J37" s="432"/>
      <c r="K37" s="432"/>
      <c r="L37" s="432"/>
      <c r="M37" s="432"/>
      <c r="N37" s="432"/>
      <c r="O37" s="432"/>
      <c r="P37" s="432"/>
      <c r="Q37" s="432"/>
      <c r="R37" s="432"/>
      <c r="S37" s="432"/>
      <c r="T37" s="432"/>
      <c r="U37" s="432"/>
      <c r="V37" s="432"/>
      <c r="W37" s="432"/>
      <c r="X37" s="432"/>
      <c r="Y37" s="432"/>
      <c r="Z37" s="432"/>
      <c r="AA37" s="432"/>
      <c r="AB37" s="432"/>
    </row>
    <row r="38">
      <c r="A38" s="432"/>
      <c r="B38" s="432"/>
      <c r="C38" s="432"/>
      <c r="D38" s="432"/>
      <c r="E38" s="432"/>
      <c r="F38" s="432"/>
      <c r="G38" s="432"/>
      <c r="H38" s="432"/>
      <c r="I38" s="432"/>
      <c r="J38" s="432"/>
      <c r="K38" s="432"/>
      <c r="L38" s="432"/>
      <c r="M38" s="432"/>
      <c r="N38" s="432"/>
      <c r="O38" s="432"/>
      <c r="P38" s="432"/>
      <c r="Q38" s="432"/>
      <c r="R38" s="432"/>
      <c r="S38" s="432"/>
      <c r="T38" s="432"/>
      <c r="U38" s="432"/>
      <c r="V38" s="432"/>
      <c r="W38" s="432"/>
      <c r="X38" s="432"/>
      <c r="Y38" s="432"/>
      <c r="Z38" s="432"/>
      <c r="AA38" s="432"/>
      <c r="AB38" s="432"/>
    </row>
    <row r="39">
      <c r="A39" s="432"/>
      <c r="B39" s="432"/>
      <c r="C39" s="432"/>
      <c r="D39" s="432"/>
      <c r="E39" s="432"/>
      <c r="F39" s="432"/>
      <c r="G39" s="432"/>
      <c r="H39" s="432"/>
      <c r="I39" s="432"/>
      <c r="J39" s="432"/>
      <c r="K39" s="432"/>
      <c r="L39" s="432"/>
      <c r="M39" s="432"/>
      <c r="N39" s="432"/>
      <c r="O39" s="432"/>
      <c r="P39" s="432"/>
      <c r="Q39" s="432"/>
      <c r="R39" s="432"/>
      <c r="S39" s="432"/>
      <c r="T39" s="432"/>
      <c r="U39" s="432"/>
      <c r="V39" s="432"/>
      <c r="W39" s="432"/>
      <c r="X39" s="432"/>
      <c r="Y39" s="432"/>
      <c r="Z39" s="432"/>
      <c r="AA39" s="432"/>
      <c r="AB39" s="432"/>
    </row>
    <row r="40">
      <c r="A40" s="432"/>
      <c r="B40" s="432"/>
      <c r="C40" s="432"/>
      <c r="D40" s="432"/>
      <c r="E40" s="432"/>
      <c r="F40" s="432"/>
      <c r="G40" s="432"/>
      <c r="H40" s="432"/>
      <c r="I40" s="432"/>
      <c r="J40" s="432"/>
      <c r="K40" s="432"/>
      <c r="L40" s="432"/>
      <c r="M40" s="432"/>
      <c r="N40" s="432"/>
      <c r="O40" s="432"/>
      <c r="P40" s="432"/>
      <c r="Q40" s="432"/>
      <c r="R40" s="432"/>
      <c r="S40" s="432"/>
      <c r="T40" s="432"/>
      <c r="U40" s="432"/>
      <c r="V40" s="432"/>
      <c r="W40" s="432"/>
      <c r="X40" s="432"/>
      <c r="Y40" s="432"/>
      <c r="Z40" s="432"/>
      <c r="AA40" s="432"/>
      <c r="AB40" s="432"/>
    </row>
    <row r="41">
      <c r="A41" s="432"/>
      <c r="B41" s="432"/>
      <c r="C41" s="432"/>
      <c r="D41" s="432"/>
      <c r="E41" s="432"/>
      <c r="F41" s="432"/>
      <c r="G41" s="432"/>
      <c r="H41" s="432"/>
      <c r="I41" s="432"/>
      <c r="J41" s="432"/>
      <c r="K41" s="432"/>
      <c r="L41" s="432"/>
      <c r="M41" s="432"/>
      <c r="N41" s="432"/>
      <c r="O41" s="432"/>
      <c r="P41" s="432"/>
      <c r="Q41" s="432"/>
      <c r="R41" s="432"/>
      <c r="S41" s="432"/>
      <c r="T41" s="432"/>
      <c r="U41" s="432"/>
      <c r="V41" s="432"/>
      <c r="W41" s="432"/>
      <c r="X41" s="432"/>
      <c r="Y41" s="432"/>
      <c r="Z41" s="432"/>
      <c r="AA41" s="432"/>
      <c r="AB41" s="432"/>
    </row>
    <row r="42">
      <c r="A42" s="432"/>
      <c r="B42" s="432"/>
      <c r="C42" s="432"/>
      <c r="D42" s="432"/>
      <c r="E42" s="432"/>
      <c r="F42" s="432"/>
      <c r="G42" s="432"/>
      <c r="H42" s="432"/>
      <c r="I42" s="432"/>
      <c r="J42" s="432"/>
      <c r="K42" s="432"/>
      <c r="L42" s="432"/>
      <c r="M42" s="432"/>
      <c r="N42" s="432"/>
      <c r="O42" s="432"/>
      <c r="P42" s="432"/>
      <c r="Q42" s="432"/>
      <c r="R42" s="432"/>
      <c r="S42" s="432"/>
      <c r="T42" s="432"/>
      <c r="U42" s="432"/>
      <c r="V42" s="432"/>
      <c r="W42" s="432"/>
      <c r="X42" s="432"/>
      <c r="Y42" s="432"/>
      <c r="Z42" s="432"/>
      <c r="AA42" s="432"/>
      <c r="AB42" s="432"/>
    </row>
    <row r="43">
      <c r="A43" s="432"/>
      <c r="B43" s="432"/>
      <c r="C43" s="432"/>
      <c r="D43" s="432"/>
      <c r="E43" s="432"/>
      <c r="F43" s="432"/>
      <c r="G43" s="432"/>
      <c r="H43" s="432"/>
      <c r="I43" s="432"/>
      <c r="J43" s="432"/>
      <c r="K43" s="432"/>
      <c r="L43" s="432"/>
      <c r="M43" s="432"/>
      <c r="N43" s="432"/>
      <c r="O43" s="432"/>
      <c r="P43" s="432"/>
      <c r="Q43" s="432"/>
      <c r="R43" s="432"/>
      <c r="S43" s="432"/>
      <c r="T43" s="432"/>
      <c r="U43" s="432"/>
      <c r="V43" s="432"/>
      <c r="W43" s="432"/>
      <c r="X43" s="432"/>
      <c r="Y43" s="432"/>
      <c r="Z43" s="432"/>
      <c r="AA43" s="432"/>
      <c r="AB43" s="432"/>
    </row>
    <row r="44">
      <c r="A44" s="432"/>
      <c r="B44" s="432"/>
      <c r="C44" s="432"/>
      <c r="D44" s="432"/>
      <c r="E44" s="432"/>
      <c r="F44" s="432"/>
      <c r="G44" s="432"/>
      <c r="H44" s="432"/>
      <c r="I44" s="432"/>
      <c r="J44" s="432"/>
      <c r="K44" s="432"/>
      <c r="L44" s="432"/>
      <c r="M44" s="432"/>
      <c r="N44" s="432"/>
      <c r="O44" s="432"/>
      <c r="P44" s="432"/>
      <c r="Q44" s="432"/>
      <c r="R44" s="432"/>
      <c r="S44" s="432"/>
      <c r="T44" s="432"/>
      <c r="U44" s="432"/>
      <c r="V44" s="432"/>
      <c r="W44" s="432"/>
      <c r="X44" s="432"/>
      <c r="Y44" s="432"/>
      <c r="Z44" s="432"/>
      <c r="AA44" s="432"/>
      <c r="AB44" s="432"/>
    </row>
    <row r="45">
      <c r="A45" s="432"/>
      <c r="B45" s="432"/>
      <c r="C45" s="432"/>
      <c r="D45" s="432"/>
      <c r="E45" s="432"/>
      <c r="F45" s="432"/>
      <c r="G45" s="432"/>
      <c r="H45" s="432"/>
      <c r="I45" s="432"/>
      <c r="J45" s="432"/>
      <c r="K45" s="432"/>
      <c r="L45" s="432"/>
      <c r="M45" s="432"/>
      <c r="N45" s="432"/>
      <c r="O45" s="432"/>
      <c r="P45" s="432"/>
      <c r="Q45" s="432"/>
      <c r="R45" s="432"/>
      <c r="S45" s="432"/>
      <c r="T45" s="432"/>
      <c r="U45" s="432"/>
      <c r="V45" s="432"/>
      <c r="W45" s="432"/>
      <c r="X45" s="432"/>
      <c r="Y45" s="432"/>
      <c r="Z45" s="432"/>
      <c r="AA45" s="432"/>
      <c r="AB45" s="432"/>
    </row>
    <row r="46">
      <c r="A46" s="432"/>
      <c r="B46" s="432"/>
      <c r="C46" s="432"/>
      <c r="D46" s="432"/>
      <c r="E46" s="432"/>
      <c r="F46" s="432"/>
      <c r="G46" s="432"/>
      <c r="H46" s="432"/>
      <c r="I46" s="432"/>
      <c r="J46" s="432"/>
      <c r="K46" s="432"/>
      <c r="L46" s="432"/>
      <c r="M46" s="432"/>
      <c r="N46" s="432"/>
      <c r="O46" s="432"/>
      <c r="P46" s="432"/>
      <c r="Q46" s="432"/>
      <c r="R46" s="432"/>
      <c r="S46" s="432"/>
      <c r="T46" s="432"/>
      <c r="U46" s="432"/>
      <c r="V46" s="432"/>
      <c r="W46" s="432"/>
      <c r="X46" s="432"/>
      <c r="Y46" s="432"/>
      <c r="Z46" s="432"/>
      <c r="AA46" s="432"/>
      <c r="AB46" s="432"/>
    </row>
    <row r="47">
      <c r="A47" s="432"/>
      <c r="B47" s="432"/>
      <c r="C47" s="432"/>
      <c r="D47" s="432"/>
      <c r="E47" s="432"/>
      <c r="F47" s="432"/>
      <c r="G47" s="432"/>
      <c r="H47" s="432"/>
      <c r="I47" s="432"/>
      <c r="J47" s="432"/>
      <c r="K47" s="432"/>
      <c r="L47" s="432"/>
      <c r="M47" s="432"/>
      <c r="N47" s="432"/>
      <c r="O47" s="432"/>
      <c r="P47" s="432"/>
      <c r="Q47" s="432"/>
      <c r="R47" s="432"/>
      <c r="S47" s="432"/>
      <c r="T47" s="432"/>
      <c r="U47" s="432"/>
      <c r="V47" s="432"/>
      <c r="W47" s="432"/>
      <c r="X47" s="432"/>
      <c r="Y47" s="432"/>
      <c r="Z47" s="432"/>
      <c r="AA47" s="432"/>
      <c r="AB47" s="432"/>
    </row>
    <row r="48">
      <c r="A48" s="432"/>
      <c r="B48" s="432"/>
      <c r="C48" s="432"/>
      <c r="D48" s="432"/>
      <c r="E48" s="432"/>
      <c r="F48" s="432"/>
      <c r="G48" s="432"/>
      <c r="H48" s="432"/>
      <c r="I48" s="432"/>
      <c r="J48" s="432"/>
      <c r="K48" s="432"/>
      <c r="L48" s="432"/>
      <c r="M48" s="432"/>
      <c r="N48" s="432"/>
      <c r="O48" s="432"/>
      <c r="P48" s="432"/>
      <c r="Q48" s="432"/>
      <c r="R48" s="432"/>
      <c r="S48" s="432"/>
      <c r="T48" s="432"/>
      <c r="U48" s="432"/>
      <c r="V48" s="432"/>
      <c r="W48" s="432"/>
      <c r="X48" s="432"/>
      <c r="Y48" s="432"/>
      <c r="Z48" s="432"/>
      <c r="AA48" s="432"/>
      <c r="AB48" s="432"/>
    </row>
    <row r="49">
      <c r="A49" s="432"/>
      <c r="B49" s="432"/>
      <c r="C49" s="432"/>
      <c r="D49" s="432"/>
      <c r="E49" s="432"/>
      <c r="F49" s="432"/>
      <c r="G49" s="432"/>
      <c r="H49" s="432"/>
      <c r="I49" s="432"/>
      <c r="J49" s="432"/>
      <c r="K49" s="432"/>
      <c r="L49" s="432"/>
      <c r="M49" s="432"/>
      <c r="N49" s="432"/>
      <c r="O49" s="432"/>
      <c r="P49" s="432"/>
      <c r="Q49" s="432"/>
      <c r="R49" s="432"/>
      <c r="S49" s="432"/>
      <c r="T49" s="432"/>
      <c r="U49" s="432"/>
      <c r="V49" s="432"/>
      <c r="W49" s="432"/>
      <c r="X49" s="432"/>
      <c r="Y49" s="432"/>
      <c r="Z49" s="432"/>
      <c r="AA49" s="432"/>
      <c r="AB49" s="432"/>
    </row>
    <row r="50">
      <c r="A50" s="432"/>
      <c r="B50" s="432"/>
      <c r="C50" s="432"/>
      <c r="D50" s="432"/>
      <c r="E50" s="432"/>
      <c r="F50" s="432"/>
      <c r="G50" s="432"/>
      <c r="H50" s="432"/>
      <c r="I50" s="432"/>
      <c r="J50" s="432"/>
      <c r="K50" s="432"/>
      <c r="L50" s="432"/>
      <c r="M50" s="432"/>
      <c r="N50" s="432"/>
      <c r="O50" s="432"/>
      <c r="P50" s="432"/>
      <c r="Q50" s="432"/>
      <c r="R50" s="432"/>
      <c r="S50" s="432"/>
      <c r="T50" s="432"/>
      <c r="U50" s="432"/>
      <c r="V50" s="432"/>
      <c r="W50" s="432"/>
      <c r="X50" s="432"/>
      <c r="Y50" s="432"/>
      <c r="Z50" s="432"/>
      <c r="AA50" s="432"/>
      <c r="AB50" s="432"/>
    </row>
    <row r="51">
      <c r="A51" s="432"/>
      <c r="B51" s="432"/>
      <c r="C51" s="432"/>
      <c r="D51" s="432"/>
      <c r="E51" s="432"/>
      <c r="F51" s="432"/>
      <c r="G51" s="432"/>
      <c r="H51" s="432"/>
      <c r="I51" s="432"/>
      <c r="J51" s="432"/>
      <c r="K51" s="432"/>
      <c r="L51" s="432"/>
      <c r="M51" s="432"/>
      <c r="N51" s="432"/>
      <c r="O51" s="432"/>
      <c r="P51" s="432"/>
      <c r="Q51" s="432"/>
      <c r="R51" s="432"/>
      <c r="S51" s="432"/>
      <c r="T51" s="432"/>
      <c r="U51" s="432"/>
      <c r="V51" s="432"/>
      <c r="W51" s="432"/>
      <c r="X51" s="432"/>
      <c r="Y51" s="432"/>
      <c r="Z51" s="432"/>
      <c r="AA51" s="432"/>
      <c r="AB51" s="432"/>
    </row>
    <row r="52">
      <c r="A52" s="432"/>
      <c r="B52" s="432"/>
      <c r="C52" s="432"/>
      <c r="D52" s="432"/>
      <c r="E52" s="432"/>
      <c r="F52" s="432"/>
      <c r="G52" s="432"/>
      <c r="H52" s="432"/>
      <c r="I52" s="432"/>
      <c r="J52" s="432"/>
      <c r="K52" s="432"/>
      <c r="L52" s="432"/>
      <c r="M52" s="432"/>
      <c r="N52" s="432"/>
      <c r="O52" s="432"/>
      <c r="P52" s="432"/>
      <c r="Q52" s="432"/>
      <c r="R52" s="432"/>
      <c r="S52" s="432"/>
      <c r="T52" s="432"/>
      <c r="U52" s="432"/>
      <c r="V52" s="432"/>
      <c r="W52" s="432"/>
      <c r="X52" s="432"/>
      <c r="Y52" s="432"/>
      <c r="Z52" s="432"/>
      <c r="AA52" s="432"/>
      <c r="AB52" s="432"/>
    </row>
    <row r="53">
      <c r="A53" s="432"/>
      <c r="B53" s="432"/>
      <c r="C53" s="432"/>
      <c r="D53" s="432"/>
      <c r="E53" s="432"/>
      <c r="F53" s="432"/>
      <c r="G53" s="432"/>
      <c r="H53" s="432"/>
      <c r="I53" s="432"/>
      <c r="J53" s="432"/>
      <c r="K53" s="432"/>
      <c r="L53" s="432"/>
      <c r="M53" s="432"/>
      <c r="N53" s="432"/>
      <c r="O53" s="432"/>
      <c r="P53" s="432"/>
      <c r="Q53" s="432"/>
      <c r="R53" s="432"/>
      <c r="S53" s="432"/>
      <c r="T53" s="432"/>
      <c r="U53" s="432"/>
      <c r="V53" s="432"/>
      <c r="W53" s="432"/>
      <c r="X53" s="432"/>
      <c r="Y53" s="432"/>
      <c r="Z53" s="432"/>
      <c r="AA53" s="432"/>
      <c r="AB53" s="432"/>
    </row>
    <row r="54">
      <c r="A54" s="432"/>
      <c r="B54" s="432"/>
      <c r="C54" s="432"/>
      <c r="D54" s="432"/>
      <c r="E54" s="432"/>
      <c r="F54" s="432"/>
      <c r="G54" s="432"/>
      <c r="H54" s="432"/>
      <c r="I54" s="432"/>
      <c r="J54" s="432"/>
      <c r="K54" s="432"/>
      <c r="L54" s="432"/>
      <c r="M54" s="432"/>
      <c r="N54" s="432"/>
      <c r="O54" s="432"/>
      <c r="P54" s="432"/>
      <c r="Q54" s="432"/>
      <c r="R54" s="432"/>
      <c r="S54" s="432"/>
      <c r="T54" s="432"/>
      <c r="U54" s="432"/>
      <c r="V54" s="432"/>
      <c r="W54" s="432"/>
      <c r="X54" s="432"/>
      <c r="Y54" s="432"/>
      <c r="Z54" s="432"/>
      <c r="AA54" s="432"/>
      <c r="AB54" s="432"/>
    </row>
    <row r="55">
      <c r="A55" s="432"/>
      <c r="B55" s="432"/>
      <c r="C55" s="432"/>
      <c r="D55" s="432"/>
      <c r="E55" s="432"/>
      <c r="F55" s="432"/>
      <c r="G55" s="432"/>
      <c r="H55" s="432"/>
      <c r="I55" s="432"/>
      <c r="J55" s="432"/>
      <c r="K55" s="432"/>
      <c r="L55" s="432"/>
      <c r="M55" s="432"/>
      <c r="N55" s="432"/>
      <c r="O55" s="432"/>
      <c r="P55" s="432"/>
      <c r="Q55" s="432"/>
      <c r="R55" s="432"/>
      <c r="S55" s="432"/>
      <c r="T55" s="432"/>
      <c r="U55" s="432"/>
      <c r="V55" s="432"/>
      <c r="W55" s="432"/>
      <c r="X55" s="432"/>
      <c r="Y55" s="432"/>
      <c r="Z55" s="432"/>
      <c r="AA55" s="432"/>
      <c r="AB55" s="432"/>
    </row>
    <row r="56">
      <c r="A56" s="432"/>
      <c r="B56" s="432"/>
      <c r="C56" s="432"/>
      <c r="D56" s="432"/>
      <c r="E56" s="432"/>
      <c r="F56" s="432"/>
      <c r="G56" s="432"/>
      <c r="H56" s="432"/>
      <c r="I56" s="432"/>
      <c r="J56" s="432"/>
      <c r="K56" s="432"/>
      <c r="L56" s="432"/>
      <c r="M56" s="432"/>
      <c r="N56" s="432"/>
      <c r="O56" s="432"/>
      <c r="P56" s="432"/>
      <c r="Q56" s="432"/>
      <c r="R56" s="432"/>
      <c r="S56" s="432"/>
      <c r="T56" s="432"/>
      <c r="U56" s="432"/>
      <c r="V56" s="432"/>
      <c r="W56" s="432"/>
      <c r="X56" s="432"/>
      <c r="Y56" s="432"/>
      <c r="Z56" s="432"/>
      <c r="AA56" s="432"/>
      <c r="AB56" s="432"/>
    </row>
    <row r="57">
      <c r="A57" s="432"/>
      <c r="B57" s="432"/>
      <c r="C57" s="432"/>
      <c r="D57" s="432"/>
      <c r="E57" s="432"/>
      <c r="F57" s="432"/>
      <c r="G57" s="432"/>
      <c r="H57" s="432"/>
      <c r="I57" s="432"/>
      <c r="J57" s="432"/>
      <c r="K57" s="432"/>
      <c r="L57" s="432"/>
      <c r="M57" s="432"/>
      <c r="N57" s="432"/>
      <c r="O57" s="432"/>
      <c r="P57" s="432"/>
      <c r="Q57" s="432"/>
      <c r="R57" s="432"/>
      <c r="S57" s="432"/>
      <c r="T57" s="432"/>
      <c r="U57" s="432"/>
      <c r="V57" s="432"/>
      <c r="W57" s="432"/>
      <c r="X57" s="432"/>
      <c r="Y57" s="432"/>
      <c r="Z57" s="432"/>
      <c r="AA57" s="432"/>
      <c r="AB57" s="432"/>
    </row>
    <row r="58">
      <c r="A58" s="432"/>
      <c r="B58" s="432"/>
      <c r="C58" s="432"/>
      <c r="D58" s="432"/>
      <c r="E58" s="432"/>
      <c r="F58" s="432"/>
      <c r="G58" s="432"/>
      <c r="H58" s="432"/>
      <c r="I58" s="432"/>
      <c r="J58" s="432"/>
      <c r="K58" s="432"/>
      <c r="L58" s="432"/>
      <c r="M58" s="432"/>
      <c r="N58" s="432"/>
      <c r="O58" s="432"/>
      <c r="P58" s="432"/>
      <c r="Q58" s="432"/>
      <c r="R58" s="432"/>
      <c r="S58" s="432"/>
      <c r="T58" s="432"/>
      <c r="U58" s="432"/>
      <c r="V58" s="432"/>
      <c r="W58" s="432"/>
      <c r="X58" s="432"/>
      <c r="Y58" s="432"/>
      <c r="Z58" s="432"/>
      <c r="AA58" s="432"/>
      <c r="AB58" s="432"/>
    </row>
    <row r="59">
      <c r="A59" s="432"/>
      <c r="B59" s="432"/>
      <c r="C59" s="432"/>
      <c r="D59" s="432"/>
      <c r="E59" s="432"/>
      <c r="F59" s="432"/>
      <c r="G59" s="432"/>
      <c r="H59" s="432"/>
      <c r="I59" s="432"/>
      <c r="J59" s="432"/>
      <c r="K59" s="432"/>
      <c r="L59" s="432"/>
      <c r="M59" s="432"/>
      <c r="N59" s="432"/>
      <c r="O59" s="432"/>
      <c r="P59" s="432"/>
      <c r="Q59" s="432"/>
      <c r="R59" s="432"/>
      <c r="S59" s="432"/>
      <c r="T59" s="432"/>
      <c r="U59" s="432"/>
      <c r="V59" s="432"/>
      <c r="W59" s="432"/>
      <c r="X59" s="432"/>
      <c r="Y59" s="432"/>
      <c r="Z59" s="432"/>
      <c r="AA59" s="432"/>
      <c r="AB59" s="432"/>
    </row>
    <row r="60">
      <c r="A60" s="432"/>
      <c r="B60" s="432"/>
      <c r="C60" s="432"/>
      <c r="D60" s="432"/>
      <c r="E60" s="432"/>
      <c r="F60" s="432"/>
      <c r="G60" s="432"/>
      <c r="H60" s="432"/>
      <c r="I60" s="432"/>
      <c r="J60" s="432"/>
      <c r="K60" s="432"/>
      <c r="L60" s="432"/>
      <c r="M60" s="432"/>
      <c r="N60" s="432"/>
      <c r="O60" s="432"/>
      <c r="P60" s="432"/>
      <c r="Q60" s="432"/>
      <c r="R60" s="432"/>
      <c r="S60" s="432"/>
      <c r="T60" s="432"/>
      <c r="U60" s="432"/>
      <c r="V60" s="432"/>
      <c r="W60" s="432"/>
      <c r="X60" s="432"/>
      <c r="Y60" s="432"/>
      <c r="Z60" s="432"/>
      <c r="AA60" s="432"/>
      <c r="AB60" s="432"/>
    </row>
    <row r="61">
      <c r="A61" s="432"/>
      <c r="B61" s="432"/>
      <c r="C61" s="432"/>
      <c r="D61" s="432"/>
      <c r="E61" s="432"/>
      <c r="F61" s="432"/>
      <c r="G61" s="432"/>
      <c r="H61" s="432"/>
      <c r="I61" s="432"/>
      <c r="J61" s="432"/>
      <c r="K61" s="432"/>
      <c r="L61" s="432"/>
      <c r="M61" s="432"/>
      <c r="N61" s="432"/>
      <c r="O61" s="432"/>
      <c r="P61" s="432"/>
      <c r="Q61" s="432"/>
      <c r="R61" s="432"/>
      <c r="S61" s="432"/>
      <c r="T61" s="432"/>
      <c r="U61" s="432"/>
      <c r="V61" s="432"/>
      <c r="W61" s="432"/>
      <c r="X61" s="432"/>
      <c r="Y61" s="432"/>
      <c r="Z61" s="432"/>
      <c r="AA61" s="432"/>
      <c r="AB61" s="432"/>
    </row>
    <row r="62">
      <c r="A62" s="432"/>
      <c r="B62" s="432"/>
      <c r="C62" s="432"/>
      <c r="D62" s="432"/>
      <c r="E62" s="432"/>
      <c r="F62" s="432"/>
      <c r="G62" s="432"/>
      <c r="H62" s="432"/>
      <c r="I62" s="432"/>
      <c r="J62" s="432"/>
      <c r="K62" s="432"/>
      <c r="L62" s="432"/>
      <c r="M62" s="432"/>
      <c r="N62" s="432"/>
      <c r="O62" s="432"/>
      <c r="P62" s="432"/>
      <c r="Q62" s="432"/>
      <c r="R62" s="432"/>
      <c r="S62" s="432"/>
      <c r="T62" s="432"/>
      <c r="U62" s="432"/>
      <c r="V62" s="432"/>
      <c r="W62" s="432"/>
      <c r="X62" s="432"/>
      <c r="Y62" s="432"/>
      <c r="Z62" s="432"/>
      <c r="AA62" s="432"/>
      <c r="AB62" s="432"/>
    </row>
    <row r="63">
      <c r="A63" s="432"/>
      <c r="B63" s="432"/>
      <c r="C63" s="432"/>
      <c r="D63" s="432"/>
      <c r="E63" s="432"/>
      <c r="F63" s="432"/>
      <c r="G63" s="432"/>
      <c r="H63" s="432"/>
      <c r="I63" s="432"/>
      <c r="J63" s="432"/>
      <c r="K63" s="432"/>
      <c r="L63" s="432"/>
      <c r="M63" s="432"/>
      <c r="N63" s="432"/>
      <c r="O63" s="432"/>
      <c r="P63" s="432"/>
      <c r="Q63" s="432"/>
      <c r="R63" s="432"/>
      <c r="S63" s="432"/>
      <c r="T63" s="432"/>
      <c r="U63" s="432"/>
      <c r="V63" s="432"/>
      <c r="W63" s="432"/>
      <c r="X63" s="432"/>
      <c r="Y63" s="432"/>
      <c r="Z63" s="432"/>
      <c r="AA63" s="432"/>
      <c r="AB63" s="432"/>
    </row>
    <row r="64">
      <c r="A64" s="432"/>
      <c r="B64" s="432"/>
      <c r="C64" s="432"/>
      <c r="D64" s="432"/>
      <c r="E64" s="432"/>
      <c r="F64" s="432"/>
      <c r="G64" s="432"/>
      <c r="H64" s="432"/>
      <c r="I64" s="432"/>
      <c r="J64" s="432"/>
      <c r="K64" s="432"/>
      <c r="L64" s="432"/>
      <c r="M64" s="432"/>
      <c r="N64" s="432"/>
      <c r="O64" s="432"/>
      <c r="P64" s="432"/>
      <c r="Q64" s="432"/>
      <c r="R64" s="432"/>
      <c r="S64" s="432"/>
      <c r="T64" s="432"/>
      <c r="U64" s="432"/>
      <c r="V64" s="432"/>
      <c r="W64" s="432"/>
      <c r="X64" s="432"/>
      <c r="Y64" s="432"/>
      <c r="Z64" s="432"/>
      <c r="AA64" s="432"/>
      <c r="AB64" s="432"/>
    </row>
    <row r="65">
      <c r="A65" s="432"/>
      <c r="B65" s="432"/>
      <c r="C65" s="432"/>
      <c r="D65" s="432"/>
      <c r="E65" s="432"/>
      <c r="F65" s="432"/>
      <c r="G65" s="432"/>
      <c r="H65" s="432"/>
      <c r="I65" s="432"/>
      <c r="J65" s="432"/>
      <c r="K65" s="432"/>
      <c r="L65" s="432"/>
      <c r="M65" s="432"/>
      <c r="N65" s="432"/>
      <c r="O65" s="432"/>
      <c r="P65" s="432"/>
      <c r="Q65" s="432"/>
      <c r="R65" s="432"/>
      <c r="S65" s="432"/>
      <c r="T65" s="432"/>
      <c r="U65" s="432"/>
      <c r="V65" s="432"/>
      <c r="W65" s="432"/>
      <c r="X65" s="432"/>
      <c r="Y65" s="432"/>
      <c r="Z65" s="432"/>
      <c r="AA65" s="432"/>
      <c r="AB65" s="432"/>
    </row>
    <row r="66">
      <c r="A66" s="432"/>
      <c r="B66" s="432"/>
      <c r="C66" s="432"/>
      <c r="D66" s="432"/>
      <c r="E66" s="432"/>
      <c r="F66" s="432"/>
      <c r="G66" s="432"/>
      <c r="H66" s="432"/>
      <c r="I66" s="432"/>
      <c r="J66" s="432"/>
      <c r="K66" s="432"/>
      <c r="L66" s="432"/>
      <c r="M66" s="432"/>
      <c r="N66" s="432"/>
      <c r="O66" s="432"/>
      <c r="P66" s="432"/>
      <c r="Q66" s="432"/>
      <c r="R66" s="432"/>
      <c r="S66" s="432"/>
      <c r="T66" s="432"/>
      <c r="U66" s="432"/>
      <c r="V66" s="432"/>
      <c r="W66" s="432"/>
      <c r="X66" s="432"/>
      <c r="Y66" s="432"/>
      <c r="Z66" s="432"/>
      <c r="AA66" s="432"/>
      <c r="AB66" s="432"/>
    </row>
    <row r="67">
      <c r="A67" s="432"/>
      <c r="B67" s="432"/>
      <c r="C67" s="432"/>
      <c r="D67" s="432"/>
      <c r="E67" s="432"/>
      <c r="F67" s="432"/>
      <c r="G67" s="432"/>
      <c r="H67" s="432"/>
      <c r="I67" s="432"/>
      <c r="J67" s="432"/>
      <c r="K67" s="432"/>
      <c r="L67" s="432"/>
      <c r="M67" s="432"/>
      <c r="N67" s="432"/>
      <c r="O67" s="432"/>
      <c r="P67" s="432"/>
      <c r="Q67" s="432"/>
      <c r="R67" s="432"/>
      <c r="S67" s="432"/>
      <c r="T67" s="432"/>
      <c r="U67" s="432"/>
      <c r="V67" s="432"/>
      <c r="W67" s="432"/>
      <c r="X67" s="432"/>
      <c r="Y67" s="432"/>
      <c r="Z67" s="432"/>
      <c r="AA67" s="432"/>
      <c r="AB67" s="432"/>
    </row>
    <row r="68">
      <c r="A68" s="432"/>
      <c r="B68" s="432"/>
      <c r="C68" s="432"/>
      <c r="D68" s="432"/>
      <c r="E68" s="432"/>
      <c r="F68" s="432"/>
      <c r="G68" s="432"/>
      <c r="H68" s="432"/>
      <c r="I68" s="432"/>
      <c r="J68" s="432"/>
      <c r="K68" s="432"/>
      <c r="L68" s="432"/>
      <c r="M68" s="432"/>
      <c r="N68" s="432"/>
      <c r="O68" s="432"/>
      <c r="P68" s="432"/>
      <c r="Q68" s="432"/>
      <c r="R68" s="432"/>
      <c r="S68" s="432"/>
      <c r="T68" s="432"/>
      <c r="U68" s="432"/>
      <c r="V68" s="432"/>
      <c r="W68" s="432"/>
      <c r="X68" s="432"/>
      <c r="Y68" s="432"/>
      <c r="Z68" s="432"/>
      <c r="AA68" s="432"/>
      <c r="AB68" s="432"/>
    </row>
    <row r="69">
      <c r="A69" s="432"/>
      <c r="B69" s="432"/>
      <c r="C69" s="432"/>
      <c r="D69" s="432"/>
      <c r="E69" s="432"/>
      <c r="F69" s="432"/>
      <c r="G69" s="432"/>
      <c r="H69" s="432"/>
      <c r="I69" s="432"/>
      <c r="J69" s="432"/>
      <c r="K69" s="432"/>
      <c r="L69" s="432"/>
      <c r="M69" s="432"/>
      <c r="N69" s="432"/>
      <c r="O69" s="432"/>
      <c r="P69" s="432"/>
      <c r="Q69" s="432"/>
      <c r="R69" s="432"/>
      <c r="S69" s="432"/>
      <c r="T69" s="432"/>
      <c r="U69" s="432"/>
      <c r="V69" s="432"/>
      <c r="W69" s="432"/>
      <c r="X69" s="432"/>
      <c r="Y69" s="432"/>
      <c r="Z69" s="432"/>
      <c r="AA69" s="432"/>
      <c r="AB69" s="432"/>
    </row>
    <row r="70">
      <c r="A70" s="432"/>
      <c r="B70" s="432"/>
      <c r="C70" s="432"/>
      <c r="D70" s="432"/>
      <c r="E70" s="432"/>
      <c r="F70" s="432"/>
      <c r="G70" s="432"/>
      <c r="H70" s="432"/>
      <c r="I70" s="432"/>
      <c r="J70" s="432"/>
      <c r="K70" s="432"/>
      <c r="L70" s="432"/>
      <c r="M70" s="432"/>
      <c r="N70" s="432"/>
      <c r="O70" s="432"/>
      <c r="P70" s="432"/>
      <c r="Q70" s="432"/>
      <c r="R70" s="432"/>
      <c r="S70" s="432"/>
      <c r="T70" s="432"/>
      <c r="U70" s="432"/>
      <c r="V70" s="432"/>
      <c r="W70" s="432"/>
      <c r="X70" s="432"/>
      <c r="Y70" s="432"/>
      <c r="Z70" s="432"/>
      <c r="AA70" s="432"/>
      <c r="AB70" s="432"/>
    </row>
    <row r="71">
      <c r="A71" s="432"/>
      <c r="B71" s="432"/>
      <c r="C71" s="432"/>
      <c r="D71" s="432"/>
      <c r="E71" s="432"/>
      <c r="F71" s="432"/>
      <c r="G71" s="432"/>
      <c r="H71" s="432"/>
      <c r="I71" s="432"/>
      <c r="J71" s="432"/>
      <c r="K71" s="432"/>
      <c r="L71" s="432"/>
      <c r="M71" s="432"/>
      <c r="N71" s="432"/>
      <c r="O71" s="432"/>
      <c r="P71" s="432"/>
      <c r="Q71" s="432"/>
      <c r="R71" s="432"/>
      <c r="S71" s="432"/>
      <c r="T71" s="432"/>
      <c r="U71" s="432"/>
      <c r="V71" s="432"/>
      <c r="W71" s="432"/>
      <c r="X71" s="432"/>
      <c r="Y71" s="432"/>
      <c r="Z71" s="432"/>
      <c r="AA71" s="432"/>
      <c r="AB71" s="432"/>
    </row>
    <row r="72">
      <c r="A72" s="432"/>
      <c r="B72" s="432"/>
      <c r="C72" s="432"/>
      <c r="D72" s="432"/>
      <c r="E72" s="432"/>
      <c r="F72" s="432"/>
      <c r="G72" s="432"/>
      <c r="H72" s="432"/>
      <c r="I72" s="432"/>
      <c r="J72" s="432"/>
      <c r="K72" s="432"/>
      <c r="L72" s="432"/>
      <c r="M72" s="432"/>
      <c r="N72" s="432"/>
      <c r="O72" s="432"/>
      <c r="P72" s="432"/>
      <c r="Q72" s="432"/>
      <c r="R72" s="432"/>
      <c r="S72" s="432"/>
      <c r="T72" s="432"/>
      <c r="U72" s="432"/>
      <c r="V72" s="432"/>
      <c r="W72" s="432"/>
      <c r="X72" s="432"/>
      <c r="Y72" s="432"/>
      <c r="Z72" s="432"/>
      <c r="AA72" s="432"/>
      <c r="AB72" s="432"/>
    </row>
    <row r="73">
      <c r="A73" s="432"/>
      <c r="B73" s="432"/>
      <c r="C73" s="432"/>
      <c r="D73" s="432"/>
      <c r="E73" s="432"/>
      <c r="F73" s="432"/>
      <c r="G73" s="432"/>
      <c r="H73" s="432"/>
      <c r="I73" s="432"/>
      <c r="J73" s="432"/>
      <c r="K73" s="432"/>
      <c r="L73" s="432"/>
      <c r="M73" s="432"/>
      <c r="N73" s="432"/>
      <c r="O73" s="432"/>
      <c r="P73" s="432"/>
      <c r="Q73" s="432"/>
      <c r="R73" s="432"/>
      <c r="S73" s="432"/>
      <c r="T73" s="432"/>
      <c r="U73" s="432"/>
      <c r="V73" s="432"/>
      <c r="W73" s="432"/>
      <c r="X73" s="432"/>
      <c r="Y73" s="432"/>
      <c r="Z73" s="432"/>
      <c r="AA73" s="432"/>
      <c r="AB73" s="432"/>
    </row>
    <row r="74">
      <c r="A74" s="432"/>
      <c r="B74" s="432"/>
      <c r="C74" s="432"/>
      <c r="D74" s="432"/>
      <c r="E74" s="432"/>
      <c r="F74" s="432"/>
      <c r="G74" s="432"/>
      <c r="H74" s="432"/>
      <c r="I74" s="432"/>
      <c r="J74" s="432"/>
      <c r="K74" s="432"/>
      <c r="L74" s="432"/>
      <c r="M74" s="432"/>
      <c r="N74" s="432"/>
      <c r="O74" s="432"/>
      <c r="P74" s="432"/>
      <c r="Q74" s="432"/>
      <c r="R74" s="432"/>
      <c r="S74" s="432"/>
      <c r="T74" s="432"/>
      <c r="U74" s="432"/>
      <c r="V74" s="432"/>
      <c r="W74" s="432"/>
      <c r="X74" s="432"/>
      <c r="Y74" s="432"/>
      <c r="Z74" s="432"/>
      <c r="AA74" s="432"/>
      <c r="AB74" s="432"/>
    </row>
    <row r="75">
      <c r="A75" s="432"/>
      <c r="B75" s="432"/>
      <c r="C75" s="432"/>
      <c r="D75" s="432"/>
      <c r="E75" s="432"/>
      <c r="F75" s="432"/>
      <c r="G75" s="432"/>
      <c r="H75" s="432"/>
      <c r="I75" s="432"/>
      <c r="J75" s="432"/>
      <c r="K75" s="432"/>
      <c r="L75" s="432"/>
      <c r="M75" s="432"/>
      <c r="N75" s="432"/>
      <c r="O75" s="432"/>
      <c r="P75" s="432"/>
      <c r="Q75" s="432"/>
      <c r="R75" s="432"/>
      <c r="S75" s="432"/>
      <c r="T75" s="432"/>
      <c r="U75" s="432"/>
      <c r="V75" s="432"/>
      <c r="W75" s="432"/>
      <c r="X75" s="432"/>
      <c r="Y75" s="432"/>
      <c r="Z75" s="432"/>
      <c r="AA75" s="432"/>
      <c r="AB75" s="432"/>
    </row>
    <row r="76">
      <c r="A76" s="432"/>
      <c r="B76" s="432"/>
      <c r="C76" s="432"/>
      <c r="D76" s="432"/>
      <c r="E76" s="432"/>
      <c r="F76" s="432"/>
      <c r="G76" s="432"/>
      <c r="H76" s="432"/>
      <c r="I76" s="432"/>
      <c r="J76" s="432"/>
      <c r="K76" s="432"/>
      <c r="L76" s="432"/>
      <c r="M76" s="432"/>
      <c r="N76" s="432"/>
      <c r="O76" s="432"/>
      <c r="P76" s="432"/>
      <c r="Q76" s="432"/>
      <c r="R76" s="432"/>
      <c r="S76" s="432"/>
      <c r="T76" s="432"/>
      <c r="U76" s="432"/>
      <c r="V76" s="432"/>
      <c r="W76" s="432"/>
      <c r="X76" s="432"/>
      <c r="Y76" s="432"/>
      <c r="Z76" s="432"/>
      <c r="AA76" s="432"/>
      <c r="AB76" s="432"/>
    </row>
    <row r="77">
      <c r="A77" s="432"/>
      <c r="B77" s="432"/>
      <c r="C77" s="432"/>
      <c r="D77" s="432"/>
      <c r="E77" s="432"/>
      <c r="F77" s="432"/>
      <c r="G77" s="432"/>
      <c r="H77" s="432"/>
      <c r="I77" s="432"/>
      <c r="J77" s="432"/>
      <c r="K77" s="432"/>
      <c r="L77" s="432"/>
      <c r="M77" s="432"/>
      <c r="N77" s="432"/>
      <c r="O77" s="432"/>
      <c r="P77" s="432"/>
      <c r="Q77" s="432"/>
      <c r="R77" s="432"/>
      <c r="S77" s="432"/>
      <c r="T77" s="432"/>
      <c r="U77" s="432"/>
      <c r="V77" s="432"/>
      <c r="W77" s="432"/>
      <c r="X77" s="432"/>
      <c r="Y77" s="432"/>
      <c r="Z77" s="432"/>
      <c r="AA77" s="432"/>
      <c r="AB77" s="432"/>
    </row>
    <row r="78">
      <c r="A78" s="432"/>
      <c r="B78" s="432"/>
      <c r="C78" s="432"/>
      <c r="D78" s="432"/>
      <c r="E78" s="432"/>
      <c r="F78" s="432"/>
      <c r="G78" s="432"/>
      <c r="H78" s="432"/>
      <c r="I78" s="432"/>
      <c r="J78" s="432"/>
      <c r="K78" s="432"/>
      <c r="L78" s="432"/>
      <c r="M78" s="432"/>
      <c r="N78" s="432"/>
      <c r="O78" s="432"/>
      <c r="P78" s="432"/>
      <c r="Q78" s="432"/>
      <c r="R78" s="432"/>
      <c r="S78" s="432"/>
      <c r="T78" s="432"/>
      <c r="U78" s="432"/>
      <c r="V78" s="432"/>
      <c r="W78" s="432"/>
      <c r="X78" s="432"/>
      <c r="Y78" s="432"/>
      <c r="Z78" s="432"/>
      <c r="AA78" s="432"/>
      <c r="AB78" s="432"/>
    </row>
    <row r="79">
      <c r="A79" s="432"/>
      <c r="B79" s="432"/>
      <c r="C79" s="432"/>
      <c r="D79" s="432"/>
      <c r="E79" s="432"/>
      <c r="F79" s="432"/>
      <c r="G79" s="432"/>
      <c r="H79" s="432"/>
      <c r="I79" s="432"/>
      <c r="J79" s="432"/>
      <c r="K79" s="432"/>
      <c r="L79" s="432"/>
      <c r="M79" s="432"/>
      <c r="N79" s="432"/>
      <c r="O79" s="432"/>
      <c r="P79" s="432"/>
      <c r="Q79" s="432"/>
      <c r="R79" s="432"/>
      <c r="S79" s="432"/>
      <c r="T79" s="432"/>
      <c r="U79" s="432"/>
      <c r="V79" s="432"/>
      <c r="W79" s="432"/>
      <c r="X79" s="432"/>
      <c r="Y79" s="432"/>
      <c r="Z79" s="432"/>
      <c r="AA79" s="432"/>
      <c r="AB79" s="432"/>
    </row>
    <row r="80">
      <c r="A80" s="432"/>
      <c r="B80" s="432"/>
      <c r="C80" s="432"/>
      <c r="D80" s="432"/>
      <c r="E80" s="432"/>
      <c r="F80" s="432"/>
      <c r="G80" s="432"/>
      <c r="H80" s="432"/>
      <c r="I80" s="432"/>
      <c r="J80" s="432"/>
      <c r="K80" s="432"/>
      <c r="L80" s="432"/>
      <c r="M80" s="432"/>
      <c r="N80" s="432"/>
      <c r="O80" s="432"/>
      <c r="P80" s="432"/>
      <c r="Q80" s="432"/>
      <c r="R80" s="432"/>
      <c r="S80" s="432"/>
      <c r="T80" s="432"/>
      <c r="U80" s="432"/>
      <c r="V80" s="432"/>
      <c r="W80" s="432"/>
      <c r="X80" s="432"/>
      <c r="Y80" s="432"/>
      <c r="Z80" s="432"/>
      <c r="AA80" s="432"/>
      <c r="AB80" s="432"/>
    </row>
    <row r="81">
      <c r="A81" s="432"/>
      <c r="B81" s="432"/>
      <c r="C81" s="432"/>
      <c r="D81" s="432"/>
      <c r="E81" s="432"/>
      <c r="F81" s="432"/>
      <c r="G81" s="432"/>
      <c r="H81" s="432"/>
      <c r="I81" s="432"/>
      <c r="J81" s="432"/>
      <c r="K81" s="432"/>
      <c r="L81" s="432"/>
      <c r="M81" s="432"/>
      <c r="N81" s="432"/>
      <c r="O81" s="432"/>
      <c r="P81" s="432"/>
      <c r="Q81" s="432"/>
      <c r="R81" s="432"/>
      <c r="S81" s="432"/>
      <c r="T81" s="432"/>
      <c r="U81" s="432"/>
      <c r="V81" s="432"/>
      <c r="W81" s="432"/>
      <c r="X81" s="432"/>
      <c r="Y81" s="432"/>
      <c r="Z81" s="432"/>
      <c r="AA81" s="432"/>
      <c r="AB81" s="432"/>
    </row>
    <row r="82">
      <c r="A82" s="432"/>
      <c r="B82" s="432"/>
      <c r="C82" s="432"/>
      <c r="D82" s="432"/>
      <c r="E82" s="432"/>
      <c r="F82" s="432"/>
      <c r="G82" s="432"/>
      <c r="H82" s="432"/>
      <c r="I82" s="432"/>
      <c r="J82" s="432"/>
      <c r="K82" s="432"/>
      <c r="L82" s="432"/>
      <c r="M82" s="432"/>
      <c r="N82" s="432"/>
      <c r="O82" s="432"/>
      <c r="P82" s="432"/>
      <c r="Q82" s="432"/>
      <c r="R82" s="432"/>
      <c r="S82" s="432"/>
      <c r="T82" s="432"/>
      <c r="U82" s="432"/>
      <c r="V82" s="432"/>
      <c r="W82" s="432"/>
      <c r="X82" s="432"/>
      <c r="Y82" s="432"/>
      <c r="Z82" s="432"/>
      <c r="AA82" s="432"/>
      <c r="AB82" s="432"/>
    </row>
    <row r="83">
      <c r="A83" s="432"/>
      <c r="B83" s="432"/>
      <c r="C83" s="432"/>
      <c r="D83" s="432"/>
      <c r="E83" s="432"/>
      <c r="F83" s="432"/>
      <c r="G83" s="432"/>
      <c r="H83" s="432"/>
      <c r="I83" s="432"/>
      <c r="J83" s="432"/>
      <c r="K83" s="432"/>
      <c r="L83" s="432"/>
      <c r="M83" s="432"/>
      <c r="N83" s="432"/>
      <c r="O83" s="432"/>
      <c r="P83" s="432"/>
      <c r="Q83" s="432"/>
      <c r="R83" s="432"/>
      <c r="S83" s="432"/>
      <c r="T83" s="432"/>
      <c r="U83" s="432"/>
      <c r="V83" s="432"/>
      <c r="W83" s="432"/>
      <c r="X83" s="432"/>
      <c r="Y83" s="432"/>
      <c r="Z83" s="432"/>
      <c r="AA83" s="432"/>
      <c r="AB83" s="432"/>
    </row>
    <row r="84">
      <c r="A84" s="432"/>
      <c r="B84" s="432"/>
      <c r="C84" s="432"/>
      <c r="D84" s="432"/>
      <c r="E84" s="432"/>
      <c r="F84" s="432"/>
      <c r="G84" s="432"/>
      <c r="H84" s="432"/>
      <c r="I84" s="432"/>
      <c r="J84" s="432"/>
      <c r="K84" s="432"/>
      <c r="L84" s="432"/>
      <c r="M84" s="432"/>
      <c r="N84" s="432"/>
      <c r="O84" s="432"/>
      <c r="P84" s="432"/>
      <c r="Q84" s="432"/>
      <c r="R84" s="432"/>
      <c r="S84" s="432"/>
      <c r="T84" s="432"/>
      <c r="U84" s="432"/>
      <c r="V84" s="432"/>
      <c r="W84" s="432"/>
      <c r="X84" s="432"/>
      <c r="Y84" s="432"/>
      <c r="Z84" s="432"/>
      <c r="AA84" s="432"/>
      <c r="AB84" s="432"/>
    </row>
    <row r="85">
      <c r="A85" s="432"/>
      <c r="B85" s="432"/>
      <c r="C85" s="432"/>
      <c r="D85" s="432"/>
      <c r="E85" s="432"/>
      <c r="F85" s="432"/>
      <c r="G85" s="432"/>
      <c r="H85" s="432"/>
      <c r="I85" s="432"/>
      <c r="J85" s="432"/>
      <c r="K85" s="432"/>
      <c r="L85" s="432"/>
      <c r="M85" s="432"/>
      <c r="N85" s="432"/>
      <c r="O85" s="432"/>
      <c r="P85" s="432"/>
      <c r="Q85" s="432"/>
      <c r="R85" s="432"/>
      <c r="S85" s="432"/>
      <c r="T85" s="432"/>
      <c r="U85" s="432"/>
      <c r="V85" s="432"/>
      <c r="W85" s="432"/>
      <c r="X85" s="432"/>
      <c r="Y85" s="432"/>
      <c r="Z85" s="432"/>
      <c r="AA85" s="432"/>
      <c r="AB85" s="432"/>
    </row>
    <row r="86">
      <c r="A86" s="432"/>
      <c r="B86" s="432"/>
      <c r="C86" s="432"/>
      <c r="D86" s="432"/>
      <c r="E86" s="432"/>
      <c r="F86" s="432"/>
      <c r="G86" s="432"/>
      <c r="H86" s="432"/>
      <c r="I86" s="432"/>
      <c r="J86" s="432"/>
      <c r="K86" s="432"/>
      <c r="L86" s="432"/>
      <c r="M86" s="432"/>
      <c r="N86" s="432"/>
      <c r="O86" s="432"/>
      <c r="P86" s="432"/>
      <c r="Q86" s="432"/>
      <c r="R86" s="432"/>
      <c r="S86" s="432"/>
      <c r="T86" s="432"/>
      <c r="U86" s="432"/>
      <c r="V86" s="432"/>
      <c r="W86" s="432"/>
      <c r="X86" s="432"/>
      <c r="Y86" s="432"/>
      <c r="Z86" s="432"/>
      <c r="AA86" s="432"/>
      <c r="AB86" s="432"/>
    </row>
    <row r="87">
      <c r="A87" s="432"/>
      <c r="B87" s="432"/>
      <c r="C87" s="432"/>
      <c r="D87" s="432"/>
      <c r="E87" s="432"/>
      <c r="F87" s="432"/>
      <c r="G87" s="432"/>
      <c r="H87" s="432"/>
      <c r="I87" s="432"/>
      <c r="J87" s="432"/>
      <c r="K87" s="432"/>
      <c r="L87" s="432"/>
      <c r="M87" s="432"/>
      <c r="N87" s="432"/>
      <c r="O87" s="432"/>
      <c r="P87" s="432"/>
      <c r="Q87" s="432"/>
      <c r="R87" s="432"/>
      <c r="S87" s="432"/>
      <c r="T87" s="432"/>
      <c r="U87" s="432"/>
      <c r="V87" s="432"/>
      <c r="W87" s="432"/>
      <c r="X87" s="432"/>
      <c r="Y87" s="432"/>
      <c r="Z87" s="432"/>
      <c r="AA87" s="432"/>
      <c r="AB87" s="432"/>
    </row>
    <row r="88">
      <c r="A88" s="432"/>
      <c r="B88" s="432"/>
      <c r="C88" s="432"/>
      <c r="D88" s="432"/>
      <c r="E88" s="432"/>
      <c r="F88" s="432"/>
      <c r="G88" s="432"/>
      <c r="H88" s="432"/>
      <c r="I88" s="432"/>
      <c r="J88" s="432"/>
      <c r="K88" s="432"/>
      <c r="L88" s="432"/>
      <c r="M88" s="432"/>
      <c r="N88" s="432"/>
      <c r="O88" s="432"/>
      <c r="P88" s="432"/>
      <c r="Q88" s="432"/>
      <c r="R88" s="432"/>
      <c r="S88" s="432"/>
      <c r="T88" s="432"/>
      <c r="U88" s="432"/>
      <c r="V88" s="432"/>
      <c r="W88" s="432"/>
      <c r="X88" s="432"/>
      <c r="Y88" s="432"/>
      <c r="Z88" s="432"/>
      <c r="AA88" s="432"/>
      <c r="AB88" s="432"/>
    </row>
    <row r="89">
      <c r="A89" s="432"/>
      <c r="B89" s="432"/>
      <c r="C89" s="432"/>
      <c r="D89" s="432"/>
      <c r="E89" s="432"/>
      <c r="F89" s="432"/>
      <c r="G89" s="432"/>
      <c r="H89" s="432"/>
      <c r="I89" s="432"/>
      <c r="J89" s="432"/>
      <c r="K89" s="432"/>
      <c r="L89" s="432"/>
      <c r="M89" s="432"/>
      <c r="N89" s="432"/>
      <c r="O89" s="432"/>
      <c r="P89" s="432"/>
      <c r="Q89" s="432"/>
      <c r="R89" s="432"/>
      <c r="S89" s="432"/>
      <c r="T89" s="432"/>
      <c r="U89" s="432"/>
      <c r="V89" s="432"/>
      <c r="W89" s="432"/>
      <c r="X89" s="432"/>
      <c r="Y89" s="432"/>
      <c r="Z89" s="432"/>
      <c r="AA89" s="432"/>
      <c r="AB89" s="432"/>
    </row>
    <row r="90">
      <c r="A90" s="432"/>
      <c r="B90" s="432"/>
      <c r="C90" s="432"/>
      <c r="D90" s="432"/>
      <c r="E90" s="432"/>
      <c r="F90" s="432"/>
      <c r="G90" s="432"/>
      <c r="H90" s="432"/>
      <c r="I90" s="432"/>
      <c r="J90" s="432"/>
      <c r="K90" s="432"/>
      <c r="L90" s="432"/>
      <c r="M90" s="432"/>
      <c r="N90" s="432"/>
      <c r="O90" s="432"/>
      <c r="P90" s="432"/>
      <c r="Q90" s="432"/>
      <c r="R90" s="432"/>
      <c r="S90" s="432"/>
      <c r="T90" s="432"/>
      <c r="U90" s="432"/>
      <c r="V90" s="432"/>
      <c r="W90" s="432"/>
      <c r="X90" s="432"/>
      <c r="Y90" s="432"/>
      <c r="Z90" s="432"/>
      <c r="AA90" s="432"/>
      <c r="AB90" s="432"/>
    </row>
    <row r="91">
      <c r="A91" s="432"/>
      <c r="B91" s="432"/>
      <c r="C91" s="432"/>
      <c r="D91" s="432"/>
      <c r="E91" s="432"/>
      <c r="F91" s="432"/>
      <c r="G91" s="432"/>
      <c r="H91" s="432"/>
      <c r="I91" s="432"/>
      <c r="J91" s="432"/>
      <c r="K91" s="432"/>
      <c r="L91" s="432"/>
      <c r="M91" s="432"/>
      <c r="N91" s="432"/>
      <c r="O91" s="432"/>
      <c r="P91" s="432"/>
      <c r="Q91" s="432"/>
      <c r="R91" s="432"/>
      <c r="S91" s="432"/>
      <c r="T91" s="432"/>
      <c r="U91" s="432"/>
      <c r="V91" s="432"/>
      <c r="W91" s="432"/>
      <c r="X91" s="432"/>
      <c r="Y91" s="432"/>
      <c r="Z91" s="432"/>
      <c r="AA91" s="432"/>
      <c r="AB91" s="432"/>
    </row>
    <row r="92">
      <c r="A92" s="432"/>
      <c r="B92" s="432"/>
      <c r="C92" s="432"/>
      <c r="D92" s="432"/>
      <c r="E92" s="432"/>
      <c r="F92" s="432"/>
      <c r="G92" s="432"/>
      <c r="H92" s="432"/>
      <c r="I92" s="432"/>
      <c r="J92" s="432"/>
      <c r="K92" s="432"/>
      <c r="L92" s="432"/>
      <c r="M92" s="432"/>
      <c r="N92" s="432"/>
      <c r="O92" s="432"/>
      <c r="P92" s="432"/>
      <c r="Q92" s="432"/>
      <c r="R92" s="432"/>
      <c r="S92" s="432"/>
      <c r="T92" s="432"/>
      <c r="U92" s="432"/>
      <c r="V92" s="432"/>
      <c r="W92" s="432"/>
      <c r="X92" s="432"/>
      <c r="Y92" s="432"/>
      <c r="Z92" s="432"/>
      <c r="AA92" s="432"/>
      <c r="AB92" s="432"/>
    </row>
    <row r="93">
      <c r="A93" s="432"/>
      <c r="B93" s="432"/>
      <c r="C93" s="432"/>
      <c r="D93" s="432"/>
      <c r="E93" s="432"/>
      <c r="F93" s="432"/>
      <c r="G93" s="432"/>
      <c r="H93" s="432"/>
      <c r="I93" s="432"/>
      <c r="J93" s="432"/>
      <c r="K93" s="432"/>
      <c r="L93" s="432"/>
      <c r="M93" s="432"/>
      <c r="N93" s="432"/>
      <c r="O93" s="432"/>
      <c r="P93" s="432"/>
      <c r="Q93" s="432"/>
      <c r="R93" s="432"/>
      <c r="S93" s="432"/>
      <c r="T93" s="432"/>
      <c r="U93" s="432"/>
      <c r="V93" s="432"/>
      <c r="W93" s="432"/>
      <c r="X93" s="432"/>
      <c r="Y93" s="432"/>
      <c r="Z93" s="432"/>
      <c r="AA93" s="432"/>
      <c r="AB93" s="432"/>
    </row>
    <row r="94">
      <c r="A94" s="432"/>
      <c r="B94" s="432"/>
      <c r="C94" s="432"/>
      <c r="D94" s="432"/>
      <c r="E94" s="432"/>
      <c r="F94" s="432"/>
      <c r="G94" s="432"/>
      <c r="H94" s="432"/>
      <c r="I94" s="432"/>
      <c r="J94" s="432"/>
      <c r="K94" s="432"/>
      <c r="L94" s="432"/>
      <c r="M94" s="432"/>
      <c r="N94" s="432"/>
      <c r="O94" s="432"/>
      <c r="P94" s="432"/>
      <c r="Q94" s="432"/>
      <c r="R94" s="432"/>
      <c r="S94" s="432"/>
      <c r="T94" s="432"/>
      <c r="U94" s="432"/>
      <c r="V94" s="432"/>
      <c r="W94" s="432"/>
      <c r="X94" s="432"/>
      <c r="Y94" s="432"/>
      <c r="Z94" s="432"/>
      <c r="AA94" s="432"/>
      <c r="AB94" s="432"/>
    </row>
    <row r="95">
      <c r="A95" s="432"/>
      <c r="B95" s="432"/>
      <c r="C95" s="432"/>
      <c r="D95" s="432"/>
      <c r="E95" s="432"/>
      <c r="F95" s="432"/>
      <c r="G95" s="432"/>
      <c r="H95" s="432"/>
      <c r="I95" s="432"/>
      <c r="J95" s="432"/>
      <c r="K95" s="432"/>
      <c r="L95" s="432"/>
      <c r="M95" s="432"/>
      <c r="N95" s="432"/>
      <c r="O95" s="432"/>
      <c r="P95" s="432"/>
      <c r="Q95" s="432"/>
      <c r="R95" s="432"/>
      <c r="S95" s="432"/>
      <c r="T95" s="432"/>
      <c r="U95" s="432"/>
      <c r="V95" s="432"/>
      <c r="W95" s="432"/>
      <c r="X95" s="432"/>
      <c r="Y95" s="432"/>
      <c r="Z95" s="432"/>
      <c r="AA95" s="432"/>
      <c r="AB95" s="432"/>
    </row>
    <row r="96">
      <c r="A96" s="432"/>
      <c r="B96" s="432"/>
      <c r="C96" s="432"/>
      <c r="D96" s="432"/>
      <c r="E96" s="432"/>
      <c r="F96" s="432"/>
      <c r="G96" s="432"/>
      <c r="H96" s="432"/>
      <c r="I96" s="432"/>
      <c r="J96" s="432"/>
      <c r="K96" s="432"/>
      <c r="L96" s="432"/>
      <c r="M96" s="432"/>
      <c r="N96" s="432"/>
      <c r="O96" s="432"/>
      <c r="P96" s="432"/>
      <c r="Q96" s="432"/>
      <c r="R96" s="432"/>
      <c r="S96" s="432"/>
      <c r="T96" s="432"/>
      <c r="U96" s="432"/>
      <c r="V96" s="432"/>
      <c r="W96" s="432"/>
      <c r="X96" s="432"/>
      <c r="Y96" s="432"/>
      <c r="Z96" s="432"/>
      <c r="AA96" s="432"/>
      <c r="AB96" s="432"/>
    </row>
    <row r="97">
      <c r="A97" s="432"/>
      <c r="B97" s="432"/>
      <c r="C97" s="432"/>
      <c r="D97" s="432"/>
      <c r="E97" s="432"/>
      <c r="F97" s="432"/>
      <c r="G97" s="432"/>
      <c r="H97" s="432"/>
      <c r="I97" s="432"/>
      <c r="J97" s="432"/>
      <c r="K97" s="432"/>
      <c r="L97" s="432"/>
      <c r="M97" s="432"/>
      <c r="N97" s="432"/>
      <c r="O97" s="432"/>
      <c r="P97" s="432"/>
      <c r="Q97" s="432"/>
      <c r="R97" s="432"/>
      <c r="S97" s="432"/>
      <c r="T97" s="432"/>
      <c r="U97" s="432"/>
      <c r="V97" s="432"/>
      <c r="W97" s="432"/>
      <c r="X97" s="432"/>
      <c r="Y97" s="432"/>
      <c r="Z97" s="432"/>
      <c r="AA97" s="432"/>
      <c r="AB97" s="432"/>
    </row>
    <row r="98">
      <c r="A98" s="432"/>
      <c r="B98" s="432"/>
      <c r="C98" s="432"/>
      <c r="D98" s="432"/>
      <c r="E98" s="432"/>
      <c r="F98" s="432"/>
      <c r="G98" s="432"/>
      <c r="H98" s="432"/>
      <c r="I98" s="432"/>
      <c r="J98" s="432"/>
      <c r="K98" s="432"/>
      <c r="L98" s="432"/>
      <c r="M98" s="432"/>
      <c r="N98" s="432"/>
      <c r="O98" s="432"/>
      <c r="P98" s="432"/>
      <c r="Q98" s="432"/>
      <c r="R98" s="432"/>
      <c r="S98" s="432"/>
      <c r="T98" s="432"/>
      <c r="U98" s="432"/>
      <c r="V98" s="432"/>
      <c r="W98" s="432"/>
      <c r="X98" s="432"/>
      <c r="Y98" s="432"/>
      <c r="Z98" s="432"/>
      <c r="AA98" s="432"/>
      <c r="AB98" s="432"/>
    </row>
    <row r="99">
      <c r="A99" s="432"/>
      <c r="B99" s="432"/>
      <c r="C99" s="432"/>
      <c r="D99" s="432"/>
      <c r="E99" s="432"/>
      <c r="F99" s="432"/>
      <c r="G99" s="432"/>
      <c r="H99" s="432"/>
      <c r="I99" s="432"/>
      <c r="J99" s="432"/>
      <c r="K99" s="432"/>
      <c r="L99" s="432"/>
      <c r="M99" s="432"/>
      <c r="N99" s="432"/>
      <c r="O99" s="432"/>
      <c r="P99" s="432"/>
      <c r="Q99" s="432"/>
      <c r="R99" s="432"/>
      <c r="S99" s="432"/>
      <c r="T99" s="432"/>
      <c r="U99" s="432"/>
      <c r="V99" s="432"/>
      <c r="W99" s="432"/>
      <c r="X99" s="432"/>
      <c r="Y99" s="432"/>
      <c r="Z99" s="432"/>
      <c r="AA99" s="432"/>
      <c r="AB99" s="432"/>
    </row>
    <row r="100">
      <c r="A100" s="432"/>
      <c r="B100" s="432"/>
      <c r="C100" s="432"/>
      <c r="D100" s="432"/>
      <c r="E100" s="432"/>
      <c r="F100" s="432"/>
      <c r="G100" s="432"/>
      <c r="H100" s="432"/>
      <c r="I100" s="432"/>
      <c r="J100" s="432"/>
      <c r="K100" s="432"/>
      <c r="L100" s="432"/>
      <c r="M100" s="432"/>
      <c r="N100" s="432"/>
      <c r="O100" s="432"/>
      <c r="P100" s="432"/>
      <c r="Q100" s="432"/>
      <c r="R100" s="432"/>
      <c r="S100" s="432"/>
      <c r="T100" s="432"/>
      <c r="U100" s="432"/>
      <c r="V100" s="432"/>
      <c r="W100" s="432"/>
      <c r="X100" s="432"/>
      <c r="Y100" s="432"/>
      <c r="Z100" s="432"/>
      <c r="AA100" s="432"/>
      <c r="AB100" s="432"/>
    </row>
    <row r="101">
      <c r="A101" s="432"/>
      <c r="B101" s="432"/>
      <c r="C101" s="432"/>
      <c r="D101" s="432"/>
      <c r="E101" s="432"/>
      <c r="F101" s="432"/>
      <c r="G101" s="432"/>
      <c r="H101" s="432"/>
      <c r="I101" s="432"/>
      <c r="J101" s="432"/>
      <c r="K101" s="432"/>
      <c r="L101" s="432"/>
      <c r="M101" s="432"/>
      <c r="N101" s="432"/>
      <c r="O101" s="432"/>
      <c r="P101" s="432"/>
      <c r="Q101" s="432"/>
      <c r="R101" s="432"/>
      <c r="S101" s="432"/>
      <c r="T101" s="432"/>
      <c r="U101" s="432"/>
      <c r="V101" s="432"/>
      <c r="W101" s="432"/>
      <c r="X101" s="432"/>
      <c r="Y101" s="432"/>
      <c r="Z101" s="432"/>
      <c r="AA101" s="432"/>
      <c r="AB101" s="432"/>
    </row>
    <row r="102">
      <c r="A102" s="432"/>
      <c r="B102" s="432"/>
      <c r="C102" s="432"/>
      <c r="D102" s="432"/>
      <c r="E102" s="432"/>
      <c r="F102" s="432"/>
      <c r="G102" s="432"/>
      <c r="H102" s="432"/>
      <c r="I102" s="432"/>
      <c r="J102" s="432"/>
      <c r="K102" s="432"/>
      <c r="L102" s="432"/>
      <c r="M102" s="432"/>
      <c r="N102" s="432"/>
      <c r="O102" s="432"/>
      <c r="P102" s="432"/>
      <c r="Q102" s="432"/>
      <c r="R102" s="432"/>
      <c r="S102" s="432"/>
      <c r="T102" s="432"/>
      <c r="U102" s="432"/>
      <c r="V102" s="432"/>
      <c r="W102" s="432"/>
      <c r="X102" s="432"/>
      <c r="Y102" s="432"/>
      <c r="Z102" s="432"/>
      <c r="AA102" s="432"/>
      <c r="AB102" s="432"/>
    </row>
    <row r="103">
      <c r="A103" s="432"/>
      <c r="B103" s="432"/>
      <c r="C103" s="432"/>
      <c r="D103" s="432"/>
      <c r="E103" s="432"/>
      <c r="F103" s="432"/>
      <c r="G103" s="432"/>
      <c r="H103" s="432"/>
      <c r="I103" s="432"/>
      <c r="J103" s="432"/>
      <c r="K103" s="432"/>
      <c r="L103" s="432"/>
      <c r="M103" s="432"/>
      <c r="N103" s="432"/>
      <c r="O103" s="432"/>
      <c r="P103" s="432"/>
      <c r="Q103" s="432"/>
      <c r="R103" s="432"/>
      <c r="S103" s="432"/>
      <c r="T103" s="432"/>
      <c r="U103" s="432"/>
      <c r="V103" s="432"/>
      <c r="W103" s="432"/>
      <c r="X103" s="432"/>
      <c r="Y103" s="432"/>
      <c r="Z103" s="432"/>
      <c r="AA103" s="432"/>
      <c r="AB103" s="432"/>
    </row>
    <row r="104">
      <c r="A104" s="432"/>
      <c r="B104" s="432"/>
      <c r="C104" s="432"/>
      <c r="D104" s="432"/>
      <c r="E104" s="432"/>
      <c r="F104" s="432"/>
      <c r="G104" s="432"/>
      <c r="H104" s="432"/>
      <c r="I104" s="432"/>
      <c r="J104" s="432"/>
      <c r="K104" s="432"/>
      <c r="L104" s="432"/>
      <c r="M104" s="432"/>
      <c r="N104" s="432"/>
      <c r="O104" s="432"/>
      <c r="P104" s="432"/>
      <c r="Q104" s="432"/>
      <c r="R104" s="432"/>
      <c r="S104" s="432"/>
      <c r="T104" s="432"/>
      <c r="U104" s="432"/>
      <c r="V104" s="432"/>
      <c r="W104" s="432"/>
      <c r="X104" s="432"/>
      <c r="Y104" s="432"/>
      <c r="Z104" s="432"/>
      <c r="AA104" s="432"/>
      <c r="AB104" s="432"/>
    </row>
    <row r="105">
      <c r="A105" s="432"/>
      <c r="B105" s="432"/>
      <c r="C105" s="432"/>
      <c r="D105" s="432"/>
      <c r="E105" s="432"/>
      <c r="F105" s="432"/>
      <c r="G105" s="432"/>
      <c r="H105" s="432"/>
      <c r="I105" s="432"/>
      <c r="J105" s="432"/>
      <c r="K105" s="432"/>
      <c r="L105" s="432"/>
      <c r="M105" s="432"/>
      <c r="N105" s="432"/>
      <c r="O105" s="432"/>
      <c r="P105" s="432"/>
      <c r="Q105" s="432"/>
      <c r="R105" s="432"/>
      <c r="S105" s="432"/>
      <c r="T105" s="432"/>
      <c r="U105" s="432"/>
      <c r="V105" s="432"/>
      <c r="W105" s="432"/>
      <c r="X105" s="432"/>
      <c r="Y105" s="432"/>
      <c r="Z105" s="432"/>
      <c r="AA105" s="432"/>
      <c r="AB105" s="432"/>
    </row>
    <row r="106">
      <c r="A106" s="432"/>
      <c r="B106" s="432"/>
      <c r="C106" s="432"/>
      <c r="D106" s="432"/>
      <c r="E106" s="432"/>
      <c r="F106" s="432"/>
      <c r="G106" s="432"/>
      <c r="H106" s="432"/>
      <c r="I106" s="432"/>
      <c r="J106" s="432"/>
      <c r="K106" s="432"/>
      <c r="L106" s="432"/>
      <c r="M106" s="432"/>
      <c r="N106" s="432"/>
      <c r="O106" s="432"/>
      <c r="P106" s="432"/>
      <c r="Q106" s="432"/>
      <c r="R106" s="432"/>
      <c r="S106" s="432"/>
      <c r="T106" s="432"/>
      <c r="U106" s="432"/>
      <c r="V106" s="432"/>
      <c r="W106" s="432"/>
      <c r="X106" s="432"/>
      <c r="Y106" s="432"/>
      <c r="Z106" s="432"/>
      <c r="AA106" s="432"/>
      <c r="AB106" s="432"/>
    </row>
    <row r="107">
      <c r="A107" s="432"/>
      <c r="B107" s="432"/>
      <c r="C107" s="432"/>
      <c r="D107" s="432"/>
      <c r="E107" s="432"/>
      <c r="F107" s="432"/>
      <c r="G107" s="432"/>
      <c r="H107" s="432"/>
      <c r="I107" s="432"/>
      <c r="J107" s="432"/>
      <c r="K107" s="432"/>
      <c r="L107" s="432"/>
      <c r="M107" s="432"/>
      <c r="N107" s="432"/>
      <c r="O107" s="432"/>
      <c r="P107" s="432"/>
      <c r="Q107" s="432"/>
      <c r="R107" s="432"/>
      <c r="S107" s="432"/>
      <c r="T107" s="432"/>
      <c r="U107" s="432"/>
      <c r="V107" s="432"/>
      <c r="W107" s="432"/>
      <c r="X107" s="432"/>
      <c r="Y107" s="432"/>
      <c r="Z107" s="432"/>
      <c r="AA107" s="432"/>
      <c r="AB107" s="432"/>
    </row>
    <row r="108">
      <c r="A108" s="432"/>
      <c r="B108" s="432"/>
      <c r="C108" s="432"/>
      <c r="D108" s="432"/>
      <c r="E108" s="432"/>
      <c r="F108" s="432"/>
      <c r="G108" s="432"/>
      <c r="H108" s="432"/>
      <c r="I108" s="432"/>
      <c r="J108" s="432"/>
      <c r="K108" s="432"/>
      <c r="L108" s="432"/>
      <c r="M108" s="432"/>
      <c r="N108" s="432"/>
      <c r="O108" s="432"/>
      <c r="P108" s="432"/>
      <c r="Q108" s="432"/>
      <c r="R108" s="432"/>
      <c r="S108" s="432"/>
      <c r="T108" s="432"/>
      <c r="U108" s="432"/>
      <c r="V108" s="432"/>
      <c r="W108" s="432"/>
      <c r="X108" s="432"/>
      <c r="Y108" s="432"/>
      <c r="Z108" s="432"/>
      <c r="AA108" s="432"/>
      <c r="AB108" s="432"/>
    </row>
    <row r="109">
      <c r="A109" s="432"/>
      <c r="B109" s="432"/>
      <c r="C109" s="432"/>
      <c r="D109" s="432"/>
      <c r="E109" s="432"/>
      <c r="F109" s="432"/>
      <c r="G109" s="432"/>
      <c r="H109" s="432"/>
      <c r="I109" s="432"/>
      <c r="J109" s="432"/>
      <c r="K109" s="432"/>
      <c r="L109" s="432"/>
      <c r="M109" s="432"/>
      <c r="N109" s="432"/>
      <c r="O109" s="432"/>
      <c r="P109" s="432"/>
      <c r="Q109" s="432"/>
      <c r="R109" s="432"/>
      <c r="S109" s="432"/>
      <c r="T109" s="432"/>
      <c r="U109" s="432"/>
      <c r="V109" s="432"/>
      <c r="W109" s="432"/>
      <c r="X109" s="432"/>
      <c r="Y109" s="432"/>
      <c r="Z109" s="432"/>
      <c r="AA109" s="432"/>
      <c r="AB109" s="432"/>
    </row>
    <row r="110">
      <c r="A110" s="432"/>
      <c r="B110" s="432"/>
      <c r="C110" s="432"/>
      <c r="D110" s="432"/>
      <c r="E110" s="432"/>
      <c r="F110" s="432"/>
      <c r="G110" s="432"/>
      <c r="H110" s="432"/>
      <c r="I110" s="432"/>
      <c r="J110" s="432"/>
      <c r="K110" s="432"/>
      <c r="L110" s="432"/>
      <c r="M110" s="432"/>
      <c r="N110" s="432"/>
      <c r="O110" s="432"/>
      <c r="P110" s="432"/>
      <c r="Q110" s="432"/>
      <c r="R110" s="432"/>
      <c r="S110" s="432"/>
      <c r="T110" s="432"/>
      <c r="U110" s="432"/>
      <c r="V110" s="432"/>
      <c r="W110" s="432"/>
      <c r="X110" s="432"/>
      <c r="Y110" s="432"/>
      <c r="Z110" s="432"/>
      <c r="AA110" s="432"/>
      <c r="AB110" s="432"/>
    </row>
    <row r="111">
      <c r="A111" s="432"/>
      <c r="B111" s="432"/>
      <c r="C111" s="432"/>
      <c r="D111" s="432"/>
      <c r="E111" s="432"/>
      <c r="F111" s="432"/>
      <c r="G111" s="432"/>
      <c r="H111" s="432"/>
      <c r="I111" s="432"/>
      <c r="J111" s="432"/>
      <c r="K111" s="432"/>
      <c r="L111" s="432"/>
      <c r="M111" s="432"/>
      <c r="N111" s="432"/>
      <c r="O111" s="432"/>
      <c r="P111" s="432"/>
      <c r="Q111" s="432"/>
      <c r="R111" s="432"/>
      <c r="S111" s="432"/>
      <c r="T111" s="432"/>
      <c r="U111" s="432"/>
      <c r="V111" s="432"/>
      <c r="W111" s="432"/>
      <c r="X111" s="432"/>
      <c r="Y111" s="432"/>
      <c r="Z111" s="432"/>
      <c r="AA111" s="432"/>
      <c r="AB111" s="432"/>
    </row>
    <row r="112">
      <c r="A112" s="432"/>
      <c r="B112" s="432"/>
      <c r="C112" s="432"/>
      <c r="D112" s="432"/>
      <c r="E112" s="432"/>
      <c r="F112" s="432"/>
      <c r="G112" s="432"/>
      <c r="H112" s="432"/>
      <c r="I112" s="432"/>
      <c r="J112" s="432"/>
      <c r="K112" s="432"/>
      <c r="L112" s="432"/>
      <c r="M112" s="432"/>
      <c r="N112" s="432"/>
      <c r="O112" s="432"/>
      <c r="P112" s="432"/>
      <c r="Q112" s="432"/>
      <c r="R112" s="432"/>
      <c r="S112" s="432"/>
      <c r="T112" s="432"/>
      <c r="U112" s="432"/>
      <c r="V112" s="432"/>
      <c r="W112" s="432"/>
      <c r="X112" s="432"/>
      <c r="Y112" s="432"/>
      <c r="Z112" s="432"/>
      <c r="AA112" s="432"/>
      <c r="AB112" s="432"/>
    </row>
    <row r="113">
      <c r="A113" s="432"/>
      <c r="B113" s="432"/>
      <c r="C113" s="432"/>
      <c r="D113" s="432"/>
      <c r="E113" s="432"/>
      <c r="F113" s="432"/>
      <c r="G113" s="432"/>
      <c r="H113" s="432"/>
      <c r="I113" s="432"/>
      <c r="J113" s="432"/>
      <c r="K113" s="432"/>
      <c r="L113" s="432"/>
      <c r="M113" s="432"/>
      <c r="N113" s="432"/>
      <c r="O113" s="432"/>
      <c r="P113" s="432"/>
      <c r="Q113" s="432"/>
      <c r="R113" s="432"/>
      <c r="S113" s="432"/>
      <c r="T113" s="432"/>
      <c r="U113" s="432"/>
      <c r="V113" s="432"/>
      <c r="W113" s="432"/>
      <c r="X113" s="432"/>
      <c r="Y113" s="432"/>
      <c r="Z113" s="432"/>
      <c r="AA113" s="432"/>
      <c r="AB113" s="432"/>
    </row>
    <row r="114">
      <c r="A114" s="432"/>
      <c r="B114" s="432"/>
      <c r="C114" s="432"/>
      <c r="D114" s="432"/>
      <c r="E114" s="432"/>
      <c r="F114" s="432"/>
      <c r="G114" s="432"/>
      <c r="H114" s="432"/>
      <c r="I114" s="432"/>
      <c r="J114" s="432"/>
      <c r="K114" s="432"/>
      <c r="L114" s="432"/>
      <c r="M114" s="432"/>
      <c r="N114" s="432"/>
      <c r="O114" s="432"/>
      <c r="P114" s="432"/>
      <c r="Q114" s="432"/>
      <c r="R114" s="432"/>
      <c r="S114" s="432"/>
      <c r="T114" s="432"/>
      <c r="U114" s="432"/>
      <c r="V114" s="432"/>
      <c r="W114" s="432"/>
      <c r="X114" s="432"/>
      <c r="Y114" s="432"/>
      <c r="Z114" s="432"/>
      <c r="AA114" s="432"/>
      <c r="AB114" s="432"/>
    </row>
    <row r="115">
      <c r="A115" s="432"/>
      <c r="B115" s="432"/>
      <c r="C115" s="432"/>
      <c r="D115" s="432"/>
      <c r="E115" s="432"/>
      <c r="F115" s="432"/>
      <c r="G115" s="432"/>
      <c r="H115" s="432"/>
      <c r="I115" s="432"/>
      <c r="J115" s="432"/>
      <c r="K115" s="432"/>
      <c r="L115" s="432"/>
      <c r="M115" s="432"/>
      <c r="N115" s="432"/>
      <c r="O115" s="432"/>
      <c r="P115" s="432"/>
      <c r="Q115" s="432"/>
      <c r="R115" s="432"/>
      <c r="S115" s="432"/>
      <c r="T115" s="432"/>
      <c r="U115" s="432"/>
      <c r="V115" s="432"/>
      <c r="W115" s="432"/>
      <c r="X115" s="432"/>
      <c r="Y115" s="432"/>
      <c r="Z115" s="432"/>
      <c r="AA115" s="432"/>
      <c r="AB115" s="432"/>
    </row>
    <row r="116">
      <c r="A116" s="432"/>
      <c r="B116" s="432"/>
      <c r="C116" s="432"/>
      <c r="D116" s="432"/>
      <c r="E116" s="432"/>
      <c r="F116" s="432"/>
      <c r="G116" s="432"/>
      <c r="H116" s="432"/>
      <c r="I116" s="432"/>
      <c r="J116" s="432"/>
      <c r="K116" s="432"/>
      <c r="L116" s="432"/>
      <c r="M116" s="432"/>
      <c r="N116" s="432"/>
      <c r="O116" s="432"/>
      <c r="P116" s="432"/>
      <c r="Q116" s="432"/>
      <c r="R116" s="432"/>
      <c r="S116" s="432"/>
      <c r="T116" s="432"/>
      <c r="U116" s="432"/>
      <c r="V116" s="432"/>
      <c r="W116" s="432"/>
      <c r="X116" s="432"/>
      <c r="Y116" s="432"/>
      <c r="Z116" s="432"/>
      <c r="AA116" s="432"/>
      <c r="AB116" s="432"/>
    </row>
    <row r="117">
      <c r="A117" s="432"/>
      <c r="B117" s="432"/>
      <c r="C117" s="432"/>
      <c r="D117" s="432"/>
      <c r="E117" s="432"/>
      <c r="F117" s="432"/>
      <c r="G117" s="432"/>
      <c r="H117" s="432"/>
      <c r="I117" s="432"/>
      <c r="J117" s="432"/>
      <c r="K117" s="432"/>
      <c r="L117" s="432"/>
      <c r="M117" s="432"/>
      <c r="N117" s="432"/>
      <c r="O117" s="432"/>
      <c r="P117" s="432"/>
      <c r="Q117" s="432"/>
      <c r="R117" s="432"/>
      <c r="S117" s="432"/>
      <c r="T117" s="432"/>
      <c r="U117" s="432"/>
      <c r="V117" s="432"/>
      <c r="W117" s="432"/>
      <c r="X117" s="432"/>
      <c r="Y117" s="432"/>
      <c r="Z117" s="432"/>
      <c r="AA117" s="432"/>
      <c r="AB117" s="432"/>
    </row>
    <row r="118">
      <c r="A118" s="432"/>
      <c r="B118" s="432"/>
      <c r="C118" s="432"/>
      <c r="D118" s="432"/>
      <c r="E118" s="432"/>
      <c r="F118" s="432"/>
      <c r="G118" s="432"/>
      <c r="H118" s="432"/>
      <c r="I118" s="432"/>
      <c r="J118" s="432"/>
      <c r="K118" s="432"/>
      <c r="L118" s="432"/>
      <c r="M118" s="432"/>
      <c r="N118" s="432"/>
      <c r="O118" s="432"/>
      <c r="P118" s="432"/>
      <c r="Q118" s="432"/>
      <c r="R118" s="432"/>
      <c r="S118" s="432"/>
      <c r="T118" s="432"/>
      <c r="U118" s="432"/>
      <c r="V118" s="432"/>
      <c r="W118" s="432"/>
      <c r="X118" s="432"/>
      <c r="Y118" s="432"/>
      <c r="Z118" s="432"/>
      <c r="AA118" s="432"/>
      <c r="AB118" s="432"/>
    </row>
    <row r="119">
      <c r="A119" s="432"/>
      <c r="B119" s="432"/>
      <c r="C119" s="432"/>
      <c r="D119" s="432"/>
      <c r="E119" s="432"/>
      <c r="F119" s="432"/>
      <c r="G119" s="432"/>
      <c r="H119" s="432"/>
      <c r="I119" s="432"/>
      <c r="J119" s="432"/>
      <c r="K119" s="432"/>
      <c r="L119" s="432"/>
      <c r="M119" s="432"/>
      <c r="N119" s="432"/>
      <c r="O119" s="432"/>
      <c r="P119" s="432"/>
      <c r="Q119" s="432"/>
      <c r="R119" s="432"/>
      <c r="S119" s="432"/>
      <c r="T119" s="432"/>
      <c r="U119" s="432"/>
      <c r="V119" s="432"/>
      <c r="W119" s="432"/>
      <c r="X119" s="432"/>
      <c r="Y119" s="432"/>
      <c r="Z119" s="432"/>
      <c r="AA119" s="432"/>
      <c r="AB119" s="432"/>
    </row>
    <row r="120">
      <c r="A120" s="432"/>
      <c r="B120" s="432"/>
      <c r="C120" s="432"/>
      <c r="D120" s="432"/>
      <c r="E120" s="432"/>
      <c r="F120" s="432"/>
      <c r="G120" s="432"/>
      <c r="H120" s="432"/>
      <c r="I120" s="432"/>
      <c r="J120" s="432"/>
      <c r="K120" s="432"/>
      <c r="L120" s="432"/>
      <c r="M120" s="432"/>
      <c r="N120" s="432"/>
      <c r="O120" s="432"/>
      <c r="P120" s="432"/>
      <c r="Q120" s="432"/>
      <c r="R120" s="432"/>
      <c r="S120" s="432"/>
      <c r="T120" s="432"/>
      <c r="U120" s="432"/>
      <c r="V120" s="432"/>
      <c r="W120" s="432"/>
      <c r="X120" s="432"/>
      <c r="Y120" s="432"/>
      <c r="Z120" s="432"/>
      <c r="AA120" s="432"/>
      <c r="AB120" s="432"/>
    </row>
    <row r="121">
      <c r="A121" s="432"/>
      <c r="B121" s="432"/>
      <c r="C121" s="432"/>
      <c r="D121" s="432"/>
      <c r="E121" s="432"/>
      <c r="F121" s="432"/>
      <c r="G121" s="432"/>
      <c r="H121" s="432"/>
      <c r="I121" s="432"/>
      <c r="J121" s="432"/>
      <c r="K121" s="432"/>
      <c r="L121" s="432"/>
      <c r="M121" s="432"/>
      <c r="N121" s="432"/>
      <c r="O121" s="432"/>
      <c r="P121" s="432"/>
      <c r="Q121" s="432"/>
      <c r="R121" s="432"/>
      <c r="S121" s="432"/>
      <c r="T121" s="432"/>
      <c r="U121" s="432"/>
      <c r="V121" s="432"/>
      <c r="W121" s="432"/>
      <c r="X121" s="432"/>
      <c r="Y121" s="432"/>
      <c r="Z121" s="432"/>
      <c r="AA121" s="432"/>
      <c r="AB121" s="432"/>
    </row>
    <row r="122">
      <c r="A122" s="432"/>
      <c r="B122" s="432"/>
      <c r="C122" s="432"/>
      <c r="D122" s="432"/>
      <c r="E122" s="432"/>
      <c r="F122" s="432"/>
      <c r="G122" s="432"/>
      <c r="H122" s="432"/>
      <c r="I122" s="432"/>
      <c r="J122" s="432"/>
      <c r="K122" s="432"/>
      <c r="L122" s="432"/>
      <c r="M122" s="432"/>
      <c r="N122" s="432"/>
      <c r="O122" s="432"/>
      <c r="P122" s="432"/>
      <c r="Q122" s="432"/>
      <c r="R122" s="432"/>
      <c r="S122" s="432"/>
      <c r="T122" s="432"/>
      <c r="U122" s="432"/>
      <c r="V122" s="432"/>
      <c r="W122" s="432"/>
      <c r="X122" s="432"/>
      <c r="Y122" s="432"/>
      <c r="Z122" s="432"/>
      <c r="AA122" s="432"/>
      <c r="AB122" s="432"/>
    </row>
    <row r="123">
      <c r="A123" s="432"/>
      <c r="B123" s="432"/>
      <c r="C123" s="432"/>
      <c r="D123" s="432"/>
      <c r="E123" s="432"/>
      <c r="F123" s="432"/>
      <c r="G123" s="432"/>
      <c r="H123" s="432"/>
      <c r="I123" s="432"/>
      <c r="J123" s="432"/>
      <c r="K123" s="432"/>
      <c r="L123" s="432"/>
      <c r="M123" s="432"/>
      <c r="N123" s="432"/>
      <c r="O123" s="432"/>
      <c r="P123" s="432"/>
      <c r="Q123" s="432"/>
      <c r="R123" s="432"/>
      <c r="S123" s="432"/>
      <c r="T123" s="432"/>
      <c r="U123" s="432"/>
      <c r="V123" s="432"/>
      <c r="W123" s="432"/>
      <c r="X123" s="432"/>
      <c r="Y123" s="432"/>
      <c r="Z123" s="432"/>
      <c r="AA123" s="432"/>
      <c r="AB123" s="432"/>
    </row>
    <row r="124">
      <c r="A124" s="432"/>
      <c r="B124" s="432"/>
      <c r="C124" s="432"/>
      <c r="D124" s="432"/>
      <c r="E124" s="432"/>
      <c r="F124" s="432"/>
      <c r="G124" s="432"/>
      <c r="H124" s="432"/>
      <c r="I124" s="432"/>
      <c r="J124" s="432"/>
      <c r="K124" s="432"/>
      <c r="L124" s="432"/>
      <c r="M124" s="432"/>
      <c r="N124" s="432"/>
      <c r="O124" s="432"/>
      <c r="P124" s="432"/>
      <c r="Q124" s="432"/>
      <c r="R124" s="432"/>
      <c r="S124" s="432"/>
      <c r="T124" s="432"/>
      <c r="U124" s="432"/>
      <c r="V124" s="432"/>
      <c r="W124" s="432"/>
      <c r="X124" s="432"/>
      <c r="Y124" s="432"/>
      <c r="Z124" s="432"/>
      <c r="AA124" s="432"/>
      <c r="AB124" s="432"/>
    </row>
    <row r="125">
      <c r="A125" s="432"/>
      <c r="B125" s="432"/>
      <c r="C125" s="432"/>
      <c r="D125" s="432"/>
      <c r="E125" s="432"/>
      <c r="F125" s="432"/>
      <c r="G125" s="432"/>
      <c r="H125" s="432"/>
      <c r="I125" s="432"/>
      <c r="J125" s="432"/>
      <c r="K125" s="432"/>
      <c r="L125" s="432"/>
      <c r="M125" s="432"/>
      <c r="N125" s="432"/>
      <c r="O125" s="432"/>
      <c r="P125" s="432"/>
      <c r="Q125" s="432"/>
      <c r="R125" s="432"/>
      <c r="S125" s="432"/>
      <c r="T125" s="432"/>
      <c r="U125" s="432"/>
      <c r="V125" s="432"/>
      <c r="W125" s="432"/>
      <c r="X125" s="432"/>
      <c r="Y125" s="432"/>
      <c r="Z125" s="432"/>
      <c r="AA125" s="432"/>
      <c r="AB125" s="432"/>
    </row>
    <row r="126">
      <c r="A126" s="432"/>
      <c r="B126" s="432"/>
      <c r="C126" s="432"/>
      <c r="D126" s="432"/>
      <c r="E126" s="432"/>
      <c r="F126" s="432"/>
      <c r="G126" s="432"/>
      <c r="H126" s="432"/>
      <c r="I126" s="432"/>
      <c r="J126" s="432"/>
      <c r="K126" s="432"/>
      <c r="L126" s="432"/>
      <c r="M126" s="432"/>
      <c r="N126" s="432"/>
      <c r="O126" s="432"/>
      <c r="P126" s="432"/>
      <c r="Q126" s="432"/>
      <c r="R126" s="432"/>
      <c r="S126" s="432"/>
      <c r="T126" s="432"/>
      <c r="U126" s="432"/>
      <c r="V126" s="432"/>
      <c r="W126" s="432"/>
      <c r="X126" s="432"/>
      <c r="Y126" s="432"/>
      <c r="Z126" s="432"/>
      <c r="AA126" s="432"/>
      <c r="AB126" s="432"/>
    </row>
    <row r="127">
      <c r="A127" s="432"/>
      <c r="B127" s="432"/>
      <c r="C127" s="432"/>
      <c r="D127" s="432"/>
      <c r="E127" s="432"/>
      <c r="F127" s="432"/>
      <c r="G127" s="432"/>
      <c r="H127" s="432"/>
      <c r="I127" s="432"/>
      <c r="J127" s="432"/>
      <c r="K127" s="432"/>
      <c r="L127" s="432"/>
      <c r="M127" s="432"/>
      <c r="N127" s="432"/>
      <c r="O127" s="432"/>
      <c r="P127" s="432"/>
      <c r="Q127" s="432"/>
      <c r="R127" s="432"/>
      <c r="S127" s="432"/>
      <c r="T127" s="432"/>
      <c r="U127" s="432"/>
      <c r="V127" s="432"/>
      <c r="W127" s="432"/>
      <c r="X127" s="432"/>
      <c r="Y127" s="432"/>
      <c r="Z127" s="432"/>
      <c r="AA127" s="432"/>
      <c r="AB127" s="432"/>
    </row>
    <row r="128">
      <c r="A128" s="432"/>
      <c r="B128" s="432"/>
      <c r="C128" s="432"/>
      <c r="D128" s="432"/>
      <c r="E128" s="432"/>
      <c r="F128" s="432"/>
      <c r="G128" s="432"/>
      <c r="H128" s="432"/>
      <c r="I128" s="432"/>
      <c r="J128" s="432"/>
      <c r="K128" s="432"/>
      <c r="L128" s="432"/>
      <c r="M128" s="432"/>
      <c r="N128" s="432"/>
      <c r="O128" s="432"/>
      <c r="P128" s="432"/>
      <c r="Q128" s="432"/>
      <c r="R128" s="432"/>
      <c r="S128" s="432"/>
      <c r="T128" s="432"/>
      <c r="U128" s="432"/>
      <c r="V128" s="432"/>
      <c r="W128" s="432"/>
      <c r="X128" s="432"/>
      <c r="Y128" s="432"/>
      <c r="Z128" s="432"/>
      <c r="AA128" s="432"/>
      <c r="AB128" s="432"/>
    </row>
    <row r="129">
      <c r="A129" s="432"/>
      <c r="B129" s="432"/>
      <c r="C129" s="432"/>
      <c r="D129" s="432"/>
      <c r="E129" s="432"/>
      <c r="F129" s="432"/>
      <c r="G129" s="432"/>
      <c r="H129" s="432"/>
      <c r="I129" s="432"/>
      <c r="J129" s="432"/>
      <c r="K129" s="432"/>
      <c r="L129" s="432"/>
      <c r="M129" s="432"/>
      <c r="N129" s="432"/>
      <c r="O129" s="432"/>
      <c r="P129" s="432"/>
      <c r="Q129" s="432"/>
      <c r="R129" s="432"/>
      <c r="S129" s="432"/>
      <c r="T129" s="432"/>
      <c r="U129" s="432"/>
      <c r="V129" s="432"/>
      <c r="W129" s="432"/>
      <c r="X129" s="432"/>
      <c r="Y129" s="432"/>
      <c r="Z129" s="432"/>
      <c r="AA129" s="432"/>
      <c r="AB129" s="432"/>
    </row>
    <row r="130">
      <c r="A130" s="432"/>
      <c r="B130" s="432"/>
      <c r="C130" s="432"/>
      <c r="D130" s="432"/>
      <c r="E130" s="432"/>
      <c r="F130" s="432"/>
      <c r="G130" s="432"/>
      <c r="H130" s="432"/>
      <c r="I130" s="432"/>
      <c r="J130" s="432"/>
      <c r="K130" s="432"/>
      <c r="L130" s="432"/>
      <c r="M130" s="432"/>
      <c r="N130" s="432"/>
      <c r="O130" s="432"/>
      <c r="P130" s="432"/>
      <c r="Q130" s="432"/>
      <c r="R130" s="432"/>
      <c r="S130" s="432"/>
      <c r="T130" s="432"/>
      <c r="U130" s="432"/>
      <c r="V130" s="432"/>
      <c r="W130" s="432"/>
      <c r="X130" s="432"/>
      <c r="Y130" s="432"/>
      <c r="Z130" s="432"/>
      <c r="AA130" s="432"/>
      <c r="AB130" s="432"/>
    </row>
    <row r="131">
      <c r="A131" s="432"/>
      <c r="B131" s="432"/>
      <c r="C131" s="432"/>
      <c r="D131" s="432"/>
      <c r="E131" s="432"/>
      <c r="F131" s="432"/>
      <c r="G131" s="432"/>
      <c r="H131" s="432"/>
      <c r="I131" s="432"/>
      <c r="J131" s="432"/>
      <c r="K131" s="432"/>
      <c r="L131" s="432"/>
      <c r="M131" s="432"/>
      <c r="N131" s="432"/>
      <c r="O131" s="432"/>
      <c r="P131" s="432"/>
      <c r="Q131" s="432"/>
      <c r="R131" s="432"/>
      <c r="S131" s="432"/>
      <c r="T131" s="432"/>
      <c r="U131" s="432"/>
      <c r="V131" s="432"/>
      <c r="W131" s="432"/>
      <c r="X131" s="432"/>
      <c r="Y131" s="432"/>
      <c r="Z131" s="432"/>
      <c r="AA131" s="432"/>
      <c r="AB131" s="432"/>
    </row>
    <row r="132">
      <c r="A132" s="432"/>
      <c r="B132" s="432"/>
      <c r="C132" s="432"/>
      <c r="D132" s="432"/>
      <c r="E132" s="432"/>
      <c r="F132" s="432"/>
      <c r="G132" s="432"/>
      <c r="H132" s="432"/>
      <c r="I132" s="432"/>
      <c r="J132" s="432"/>
      <c r="K132" s="432"/>
      <c r="L132" s="432"/>
      <c r="M132" s="432"/>
      <c r="N132" s="432"/>
      <c r="O132" s="432"/>
      <c r="P132" s="432"/>
      <c r="Q132" s="432"/>
      <c r="R132" s="432"/>
      <c r="S132" s="432"/>
      <c r="T132" s="432"/>
      <c r="U132" s="432"/>
      <c r="V132" s="432"/>
      <c r="W132" s="432"/>
      <c r="X132" s="432"/>
      <c r="Y132" s="432"/>
      <c r="Z132" s="432"/>
      <c r="AA132" s="432"/>
      <c r="AB132" s="432"/>
    </row>
    <row r="133">
      <c r="A133" s="432"/>
      <c r="B133" s="432"/>
      <c r="C133" s="432"/>
      <c r="D133" s="432"/>
      <c r="E133" s="432"/>
      <c r="F133" s="432"/>
      <c r="G133" s="432"/>
      <c r="H133" s="432"/>
      <c r="I133" s="432"/>
      <c r="J133" s="432"/>
      <c r="K133" s="432"/>
      <c r="L133" s="432"/>
      <c r="M133" s="432"/>
      <c r="N133" s="432"/>
      <c r="O133" s="432"/>
      <c r="P133" s="432"/>
      <c r="Q133" s="432"/>
      <c r="R133" s="432"/>
      <c r="S133" s="432"/>
      <c r="T133" s="432"/>
      <c r="U133" s="432"/>
      <c r="V133" s="432"/>
      <c r="W133" s="432"/>
      <c r="X133" s="432"/>
      <c r="Y133" s="432"/>
      <c r="Z133" s="432"/>
      <c r="AA133" s="432"/>
      <c r="AB133" s="432"/>
    </row>
    <row r="134">
      <c r="A134" s="432"/>
      <c r="B134" s="432"/>
      <c r="C134" s="432"/>
      <c r="D134" s="432"/>
      <c r="E134" s="432"/>
      <c r="F134" s="432"/>
      <c r="G134" s="432"/>
      <c r="H134" s="432"/>
      <c r="I134" s="432"/>
      <c r="J134" s="432"/>
      <c r="K134" s="432"/>
      <c r="L134" s="432"/>
      <c r="M134" s="432"/>
      <c r="N134" s="432"/>
      <c r="O134" s="432"/>
      <c r="P134" s="432"/>
      <c r="Q134" s="432"/>
      <c r="R134" s="432"/>
      <c r="S134" s="432"/>
      <c r="T134" s="432"/>
      <c r="U134" s="432"/>
      <c r="V134" s="432"/>
      <c r="W134" s="432"/>
      <c r="X134" s="432"/>
      <c r="Y134" s="432"/>
      <c r="Z134" s="432"/>
      <c r="AA134" s="432"/>
      <c r="AB134" s="432"/>
    </row>
    <row r="135">
      <c r="A135" s="432"/>
      <c r="B135" s="432"/>
      <c r="C135" s="432"/>
      <c r="D135" s="432"/>
      <c r="E135" s="432"/>
      <c r="F135" s="432"/>
      <c r="G135" s="432"/>
      <c r="H135" s="432"/>
      <c r="I135" s="432"/>
      <c r="J135" s="432"/>
      <c r="K135" s="432"/>
      <c r="L135" s="432"/>
      <c r="M135" s="432"/>
      <c r="N135" s="432"/>
      <c r="O135" s="432"/>
      <c r="P135" s="432"/>
      <c r="Q135" s="432"/>
      <c r="R135" s="432"/>
      <c r="S135" s="432"/>
      <c r="T135" s="432"/>
      <c r="U135" s="432"/>
      <c r="V135" s="432"/>
      <c r="W135" s="432"/>
      <c r="X135" s="432"/>
      <c r="Y135" s="432"/>
      <c r="Z135" s="432"/>
      <c r="AA135" s="432"/>
      <c r="AB135" s="432"/>
    </row>
    <row r="136">
      <c r="A136" s="432"/>
      <c r="B136" s="432"/>
      <c r="C136" s="432"/>
      <c r="D136" s="432"/>
      <c r="E136" s="432"/>
      <c r="F136" s="432"/>
      <c r="G136" s="432"/>
      <c r="H136" s="432"/>
      <c r="I136" s="432"/>
      <c r="J136" s="432"/>
      <c r="K136" s="432"/>
      <c r="L136" s="432"/>
      <c r="M136" s="432"/>
      <c r="N136" s="432"/>
      <c r="O136" s="432"/>
      <c r="P136" s="432"/>
      <c r="Q136" s="432"/>
      <c r="R136" s="432"/>
      <c r="S136" s="432"/>
      <c r="T136" s="432"/>
      <c r="U136" s="432"/>
      <c r="V136" s="432"/>
      <c r="W136" s="432"/>
      <c r="X136" s="432"/>
      <c r="Y136" s="432"/>
      <c r="Z136" s="432"/>
      <c r="AA136" s="432"/>
      <c r="AB136" s="432"/>
    </row>
    <row r="137">
      <c r="A137" s="432"/>
      <c r="B137" s="432"/>
      <c r="C137" s="432"/>
      <c r="D137" s="432"/>
      <c r="E137" s="432"/>
      <c r="F137" s="432"/>
      <c r="G137" s="432"/>
      <c r="H137" s="432"/>
      <c r="I137" s="432"/>
      <c r="J137" s="432"/>
      <c r="K137" s="432"/>
      <c r="L137" s="432"/>
      <c r="M137" s="432"/>
      <c r="N137" s="432"/>
      <c r="O137" s="432"/>
      <c r="P137" s="432"/>
      <c r="Q137" s="432"/>
      <c r="R137" s="432"/>
      <c r="S137" s="432"/>
      <c r="T137" s="432"/>
      <c r="U137" s="432"/>
      <c r="V137" s="432"/>
      <c r="W137" s="432"/>
      <c r="X137" s="432"/>
      <c r="Y137" s="432"/>
      <c r="Z137" s="432"/>
      <c r="AA137" s="432"/>
      <c r="AB137" s="432"/>
    </row>
    <row r="138">
      <c r="A138" s="432"/>
      <c r="B138" s="432"/>
      <c r="C138" s="432"/>
      <c r="D138" s="432"/>
      <c r="E138" s="432"/>
      <c r="F138" s="432"/>
      <c r="G138" s="432"/>
      <c r="H138" s="432"/>
      <c r="I138" s="432"/>
      <c r="J138" s="432"/>
      <c r="K138" s="432"/>
      <c r="L138" s="432"/>
      <c r="M138" s="432"/>
      <c r="N138" s="432"/>
      <c r="O138" s="432"/>
      <c r="P138" s="432"/>
      <c r="Q138" s="432"/>
      <c r="R138" s="432"/>
      <c r="S138" s="432"/>
      <c r="T138" s="432"/>
      <c r="U138" s="432"/>
      <c r="V138" s="432"/>
      <c r="W138" s="432"/>
      <c r="X138" s="432"/>
      <c r="Y138" s="432"/>
      <c r="Z138" s="432"/>
      <c r="AA138" s="432"/>
      <c r="AB138" s="432"/>
    </row>
    <row r="139">
      <c r="A139" s="432"/>
      <c r="B139" s="432"/>
      <c r="C139" s="432"/>
      <c r="D139" s="432"/>
      <c r="E139" s="432"/>
      <c r="F139" s="432"/>
      <c r="G139" s="432"/>
      <c r="H139" s="432"/>
      <c r="I139" s="432"/>
      <c r="J139" s="432"/>
      <c r="K139" s="432"/>
      <c r="L139" s="432"/>
      <c r="M139" s="432"/>
      <c r="N139" s="432"/>
      <c r="O139" s="432"/>
      <c r="P139" s="432"/>
      <c r="Q139" s="432"/>
      <c r="R139" s="432"/>
      <c r="S139" s="432"/>
      <c r="T139" s="432"/>
      <c r="U139" s="432"/>
      <c r="V139" s="432"/>
      <c r="W139" s="432"/>
      <c r="X139" s="432"/>
      <c r="Y139" s="432"/>
      <c r="Z139" s="432"/>
      <c r="AA139" s="432"/>
      <c r="AB139" s="432"/>
    </row>
    <row r="140">
      <c r="A140" s="432"/>
      <c r="B140" s="432"/>
      <c r="C140" s="432"/>
      <c r="D140" s="432"/>
      <c r="E140" s="432"/>
      <c r="F140" s="432"/>
      <c r="G140" s="432"/>
      <c r="H140" s="432"/>
      <c r="I140" s="432"/>
      <c r="J140" s="432"/>
      <c r="K140" s="432"/>
      <c r="L140" s="432"/>
      <c r="M140" s="432"/>
      <c r="N140" s="432"/>
      <c r="O140" s="432"/>
      <c r="P140" s="432"/>
      <c r="Q140" s="432"/>
      <c r="R140" s="432"/>
      <c r="S140" s="432"/>
      <c r="T140" s="432"/>
      <c r="U140" s="432"/>
      <c r="V140" s="432"/>
      <c r="W140" s="432"/>
      <c r="X140" s="432"/>
      <c r="Y140" s="432"/>
      <c r="Z140" s="432"/>
      <c r="AA140" s="432"/>
      <c r="AB140" s="432"/>
    </row>
    <row r="141">
      <c r="A141" s="432"/>
      <c r="B141" s="432"/>
      <c r="C141" s="432"/>
      <c r="D141" s="432"/>
      <c r="E141" s="432"/>
      <c r="F141" s="432"/>
      <c r="G141" s="432"/>
      <c r="H141" s="432"/>
      <c r="I141" s="432"/>
      <c r="J141" s="432"/>
      <c r="K141" s="432"/>
      <c r="L141" s="432"/>
      <c r="M141" s="432"/>
      <c r="N141" s="432"/>
      <c r="O141" s="432"/>
      <c r="P141" s="432"/>
      <c r="Q141" s="432"/>
      <c r="R141" s="432"/>
      <c r="S141" s="432"/>
      <c r="T141" s="432"/>
      <c r="U141" s="432"/>
      <c r="V141" s="432"/>
      <c r="W141" s="432"/>
      <c r="X141" s="432"/>
      <c r="Y141" s="432"/>
      <c r="Z141" s="432"/>
      <c r="AA141" s="432"/>
      <c r="AB141" s="432"/>
    </row>
    <row r="142">
      <c r="A142" s="432"/>
      <c r="B142" s="432"/>
      <c r="C142" s="432"/>
      <c r="D142" s="432"/>
      <c r="E142" s="432"/>
      <c r="F142" s="432"/>
      <c r="G142" s="432"/>
      <c r="H142" s="432"/>
      <c r="I142" s="432"/>
      <c r="J142" s="432"/>
      <c r="K142" s="432"/>
      <c r="L142" s="432"/>
      <c r="M142" s="432"/>
      <c r="N142" s="432"/>
      <c r="O142" s="432"/>
      <c r="P142" s="432"/>
      <c r="Q142" s="432"/>
      <c r="R142" s="432"/>
      <c r="S142" s="432"/>
      <c r="T142" s="432"/>
      <c r="U142" s="432"/>
      <c r="V142" s="432"/>
      <c r="W142" s="432"/>
      <c r="X142" s="432"/>
      <c r="Y142" s="432"/>
      <c r="Z142" s="432"/>
      <c r="AA142" s="432"/>
      <c r="AB142" s="432"/>
    </row>
    <row r="143">
      <c r="A143" s="432"/>
      <c r="B143" s="432"/>
      <c r="C143" s="432"/>
      <c r="D143" s="432"/>
      <c r="E143" s="432"/>
      <c r="F143" s="432"/>
      <c r="G143" s="432"/>
      <c r="H143" s="432"/>
      <c r="I143" s="432"/>
      <c r="J143" s="432"/>
      <c r="K143" s="432"/>
      <c r="L143" s="432"/>
      <c r="M143" s="432"/>
      <c r="N143" s="432"/>
      <c r="O143" s="432"/>
      <c r="P143" s="432"/>
      <c r="Q143" s="432"/>
      <c r="R143" s="432"/>
      <c r="S143" s="432"/>
      <c r="T143" s="432"/>
      <c r="U143" s="432"/>
      <c r="V143" s="432"/>
      <c r="W143" s="432"/>
      <c r="X143" s="432"/>
      <c r="Y143" s="432"/>
      <c r="Z143" s="432"/>
      <c r="AA143" s="432"/>
      <c r="AB143" s="432"/>
    </row>
    <row r="144">
      <c r="A144" s="432"/>
      <c r="B144" s="432"/>
      <c r="C144" s="432"/>
      <c r="D144" s="432"/>
      <c r="E144" s="432"/>
      <c r="F144" s="432"/>
      <c r="G144" s="432"/>
      <c r="H144" s="432"/>
      <c r="I144" s="432"/>
      <c r="J144" s="432"/>
      <c r="K144" s="432"/>
      <c r="L144" s="432"/>
      <c r="M144" s="432"/>
      <c r="N144" s="432"/>
      <c r="O144" s="432"/>
      <c r="P144" s="432"/>
      <c r="Q144" s="432"/>
      <c r="R144" s="432"/>
      <c r="S144" s="432"/>
      <c r="T144" s="432"/>
      <c r="U144" s="432"/>
      <c r="V144" s="432"/>
      <c r="W144" s="432"/>
      <c r="X144" s="432"/>
      <c r="Y144" s="432"/>
      <c r="Z144" s="432"/>
      <c r="AA144" s="432"/>
      <c r="AB144" s="432"/>
    </row>
    <row r="145">
      <c r="A145" s="432"/>
      <c r="B145" s="432"/>
      <c r="C145" s="432"/>
      <c r="D145" s="432"/>
      <c r="E145" s="432"/>
      <c r="F145" s="432"/>
      <c r="G145" s="432"/>
      <c r="H145" s="432"/>
      <c r="I145" s="432"/>
      <c r="J145" s="432"/>
      <c r="K145" s="432"/>
      <c r="L145" s="432"/>
      <c r="M145" s="432"/>
      <c r="N145" s="432"/>
      <c r="O145" s="432"/>
      <c r="P145" s="432"/>
      <c r="Q145" s="432"/>
      <c r="R145" s="432"/>
      <c r="S145" s="432"/>
      <c r="T145" s="432"/>
      <c r="U145" s="432"/>
      <c r="V145" s="432"/>
      <c r="W145" s="432"/>
      <c r="X145" s="432"/>
      <c r="Y145" s="432"/>
      <c r="Z145" s="432"/>
      <c r="AA145" s="432"/>
      <c r="AB145" s="432"/>
    </row>
    <row r="146">
      <c r="A146" s="432"/>
      <c r="B146" s="432"/>
      <c r="C146" s="432"/>
      <c r="D146" s="432"/>
      <c r="E146" s="432"/>
      <c r="F146" s="432"/>
      <c r="G146" s="432"/>
      <c r="H146" s="432"/>
      <c r="I146" s="432"/>
      <c r="J146" s="432"/>
      <c r="K146" s="432"/>
      <c r="L146" s="432"/>
      <c r="M146" s="432"/>
      <c r="N146" s="432"/>
      <c r="O146" s="432"/>
      <c r="P146" s="432"/>
      <c r="Q146" s="432"/>
      <c r="R146" s="432"/>
      <c r="S146" s="432"/>
      <c r="T146" s="432"/>
      <c r="U146" s="432"/>
      <c r="V146" s="432"/>
      <c r="W146" s="432"/>
      <c r="X146" s="432"/>
      <c r="Y146" s="432"/>
      <c r="Z146" s="432"/>
      <c r="AA146" s="432"/>
      <c r="AB146" s="432"/>
    </row>
    <row r="147">
      <c r="A147" s="432"/>
      <c r="B147" s="432"/>
      <c r="C147" s="432"/>
      <c r="D147" s="432"/>
      <c r="E147" s="432"/>
      <c r="F147" s="432"/>
      <c r="G147" s="432"/>
      <c r="H147" s="432"/>
      <c r="I147" s="432"/>
      <c r="J147" s="432"/>
      <c r="K147" s="432"/>
      <c r="L147" s="432"/>
      <c r="M147" s="432"/>
      <c r="N147" s="432"/>
      <c r="O147" s="432"/>
      <c r="P147" s="432"/>
      <c r="Q147" s="432"/>
      <c r="R147" s="432"/>
      <c r="S147" s="432"/>
      <c r="T147" s="432"/>
      <c r="U147" s="432"/>
      <c r="V147" s="432"/>
      <c r="W147" s="432"/>
      <c r="X147" s="432"/>
      <c r="Y147" s="432"/>
      <c r="Z147" s="432"/>
      <c r="AA147" s="432"/>
      <c r="AB147" s="432"/>
    </row>
    <row r="148">
      <c r="A148" s="432"/>
      <c r="B148" s="432"/>
      <c r="C148" s="432"/>
      <c r="D148" s="432"/>
      <c r="E148" s="432"/>
      <c r="F148" s="432"/>
      <c r="G148" s="432"/>
      <c r="H148" s="432"/>
      <c r="I148" s="432"/>
      <c r="J148" s="432"/>
      <c r="K148" s="432"/>
      <c r="L148" s="432"/>
      <c r="M148" s="432"/>
      <c r="N148" s="432"/>
      <c r="O148" s="432"/>
      <c r="P148" s="432"/>
      <c r="Q148" s="432"/>
      <c r="R148" s="432"/>
      <c r="S148" s="432"/>
      <c r="T148" s="432"/>
      <c r="U148" s="432"/>
      <c r="V148" s="432"/>
      <c r="W148" s="432"/>
      <c r="X148" s="432"/>
      <c r="Y148" s="432"/>
      <c r="Z148" s="432"/>
      <c r="AA148" s="432"/>
      <c r="AB148" s="432"/>
    </row>
    <row r="149">
      <c r="A149" s="432"/>
      <c r="B149" s="432"/>
      <c r="C149" s="432"/>
      <c r="D149" s="432"/>
      <c r="E149" s="432"/>
      <c r="F149" s="432"/>
      <c r="G149" s="432"/>
      <c r="H149" s="432"/>
      <c r="I149" s="432"/>
      <c r="J149" s="432"/>
      <c r="K149" s="432"/>
      <c r="L149" s="432"/>
      <c r="M149" s="432"/>
      <c r="N149" s="432"/>
      <c r="O149" s="432"/>
      <c r="P149" s="432"/>
      <c r="Q149" s="432"/>
      <c r="R149" s="432"/>
      <c r="S149" s="432"/>
      <c r="T149" s="432"/>
      <c r="U149" s="432"/>
      <c r="V149" s="432"/>
      <c r="W149" s="432"/>
      <c r="X149" s="432"/>
      <c r="Y149" s="432"/>
      <c r="Z149" s="432"/>
      <c r="AA149" s="432"/>
      <c r="AB149" s="432"/>
    </row>
    <row r="150">
      <c r="A150" s="432"/>
      <c r="B150" s="432"/>
      <c r="C150" s="432"/>
      <c r="D150" s="432"/>
      <c r="E150" s="432"/>
      <c r="F150" s="432"/>
      <c r="G150" s="432"/>
      <c r="H150" s="432"/>
      <c r="I150" s="432"/>
      <c r="J150" s="432"/>
      <c r="K150" s="432"/>
      <c r="L150" s="432"/>
      <c r="M150" s="432"/>
      <c r="N150" s="432"/>
      <c r="O150" s="432"/>
      <c r="P150" s="432"/>
      <c r="Q150" s="432"/>
      <c r="R150" s="432"/>
      <c r="S150" s="432"/>
      <c r="T150" s="432"/>
      <c r="U150" s="432"/>
      <c r="V150" s="432"/>
      <c r="W150" s="432"/>
      <c r="X150" s="432"/>
      <c r="Y150" s="432"/>
      <c r="Z150" s="432"/>
      <c r="AA150" s="432"/>
      <c r="AB150" s="432"/>
    </row>
    <row r="151">
      <c r="A151" s="432"/>
      <c r="B151" s="432"/>
      <c r="C151" s="432"/>
      <c r="D151" s="432"/>
      <c r="E151" s="432"/>
      <c r="F151" s="432"/>
      <c r="G151" s="432"/>
      <c r="H151" s="432"/>
      <c r="I151" s="432"/>
      <c r="J151" s="432"/>
      <c r="K151" s="432"/>
      <c r="L151" s="432"/>
      <c r="M151" s="432"/>
      <c r="N151" s="432"/>
      <c r="O151" s="432"/>
      <c r="P151" s="432"/>
      <c r="Q151" s="432"/>
      <c r="R151" s="432"/>
      <c r="S151" s="432"/>
      <c r="T151" s="432"/>
      <c r="U151" s="432"/>
      <c r="V151" s="432"/>
      <c r="W151" s="432"/>
      <c r="X151" s="432"/>
      <c r="Y151" s="432"/>
      <c r="Z151" s="432"/>
      <c r="AA151" s="432"/>
      <c r="AB151" s="432"/>
    </row>
    <row r="152">
      <c r="A152" s="432"/>
      <c r="B152" s="432"/>
      <c r="C152" s="432"/>
      <c r="D152" s="432"/>
      <c r="E152" s="432"/>
      <c r="F152" s="432"/>
      <c r="G152" s="432"/>
      <c r="H152" s="432"/>
      <c r="I152" s="432"/>
      <c r="J152" s="432"/>
      <c r="K152" s="432"/>
      <c r="L152" s="432"/>
      <c r="M152" s="432"/>
      <c r="N152" s="432"/>
      <c r="O152" s="432"/>
      <c r="P152" s="432"/>
      <c r="Q152" s="432"/>
      <c r="R152" s="432"/>
      <c r="S152" s="432"/>
      <c r="T152" s="432"/>
      <c r="U152" s="432"/>
      <c r="V152" s="432"/>
      <c r="W152" s="432"/>
      <c r="X152" s="432"/>
      <c r="Y152" s="432"/>
      <c r="Z152" s="432"/>
      <c r="AA152" s="432"/>
      <c r="AB152" s="432"/>
    </row>
    <row r="153">
      <c r="A153" s="432"/>
      <c r="B153" s="432"/>
      <c r="C153" s="432"/>
      <c r="D153" s="432"/>
      <c r="E153" s="432"/>
      <c r="F153" s="432"/>
      <c r="G153" s="432"/>
      <c r="H153" s="432"/>
      <c r="I153" s="432"/>
      <c r="J153" s="432"/>
      <c r="K153" s="432"/>
      <c r="L153" s="432"/>
      <c r="M153" s="432"/>
      <c r="N153" s="432"/>
      <c r="O153" s="432"/>
      <c r="P153" s="432"/>
      <c r="Q153" s="432"/>
      <c r="R153" s="432"/>
      <c r="S153" s="432"/>
      <c r="T153" s="432"/>
      <c r="U153" s="432"/>
      <c r="V153" s="432"/>
      <c r="W153" s="432"/>
      <c r="X153" s="432"/>
      <c r="Y153" s="432"/>
      <c r="Z153" s="432"/>
      <c r="AA153" s="432"/>
      <c r="AB153" s="432"/>
    </row>
    <row r="154">
      <c r="A154" s="432"/>
      <c r="B154" s="432"/>
      <c r="C154" s="432"/>
      <c r="D154" s="432"/>
      <c r="E154" s="432"/>
      <c r="F154" s="432"/>
      <c r="G154" s="432"/>
      <c r="H154" s="432"/>
      <c r="I154" s="432"/>
      <c r="J154" s="432"/>
      <c r="K154" s="432"/>
      <c r="L154" s="432"/>
      <c r="M154" s="432"/>
      <c r="N154" s="432"/>
      <c r="O154" s="432"/>
      <c r="P154" s="432"/>
      <c r="Q154" s="432"/>
      <c r="R154" s="432"/>
      <c r="S154" s="432"/>
      <c r="T154" s="432"/>
      <c r="U154" s="432"/>
      <c r="V154" s="432"/>
      <c r="W154" s="432"/>
      <c r="X154" s="432"/>
      <c r="Y154" s="432"/>
      <c r="Z154" s="432"/>
      <c r="AA154" s="432"/>
      <c r="AB154" s="432"/>
    </row>
    <row r="155">
      <c r="A155" s="432"/>
      <c r="B155" s="432"/>
      <c r="C155" s="432"/>
      <c r="D155" s="432"/>
      <c r="E155" s="432"/>
      <c r="F155" s="432"/>
      <c r="G155" s="432"/>
      <c r="H155" s="432"/>
      <c r="I155" s="432"/>
      <c r="J155" s="432"/>
      <c r="K155" s="432"/>
      <c r="L155" s="432"/>
      <c r="M155" s="432"/>
      <c r="N155" s="432"/>
      <c r="O155" s="432"/>
      <c r="P155" s="432"/>
      <c r="Q155" s="432"/>
      <c r="R155" s="432"/>
      <c r="S155" s="432"/>
      <c r="T155" s="432"/>
      <c r="U155" s="432"/>
      <c r="V155" s="432"/>
      <c r="W155" s="432"/>
      <c r="X155" s="432"/>
      <c r="Y155" s="432"/>
      <c r="Z155" s="432"/>
      <c r="AA155" s="432"/>
      <c r="AB155" s="432"/>
    </row>
    <row r="156">
      <c r="A156" s="432"/>
      <c r="B156" s="432"/>
      <c r="C156" s="432"/>
      <c r="D156" s="432"/>
      <c r="E156" s="432"/>
      <c r="F156" s="432"/>
      <c r="G156" s="432"/>
      <c r="H156" s="432"/>
      <c r="I156" s="432"/>
      <c r="J156" s="432"/>
      <c r="K156" s="432"/>
      <c r="L156" s="432"/>
      <c r="M156" s="432"/>
      <c r="N156" s="432"/>
      <c r="O156" s="432"/>
      <c r="P156" s="432"/>
      <c r="Q156" s="432"/>
      <c r="R156" s="432"/>
      <c r="S156" s="432"/>
      <c r="T156" s="432"/>
      <c r="U156" s="432"/>
      <c r="V156" s="432"/>
      <c r="W156" s="432"/>
      <c r="X156" s="432"/>
      <c r="Y156" s="432"/>
      <c r="Z156" s="432"/>
      <c r="AA156" s="432"/>
      <c r="AB156" s="432"/>
    </row>
    <row r="157">
      <c r="A157" s="432"/>
      <c r="B157" s="432"/>
      <c r="C157" s="432"/>
      <c r="D157" s="432"/>
      <c r="E157" s="432"/>
      <c r="F157" s="432"/>
      <c r="G157" s="432"/>
      <c r="H157" s="432"/>
      <c r="I157" s="432"/>
      <c r="J157" s="432"/>
      <c r="K157" s="432"/>
      <c r="L157" s="432"/>
      <c r="M157" s="432"/>
      <c r="N157" s="432"/>
      <c r="O157" s="432"/>
      <c r="P157" s="432"/>
      <c r="Q157" s="432"/>
      <c r="R157" s="432"/>
      <c r="S157" s="432"/>
      <c r="T157" s="432"/>
      <c r="U157" s="432"/>
      <c r="V157" s="432"/>
      <c r="W157" s="432"/>
      <c r="X157" s="432"/>
      <c r="Y157" s="432"/>
      <c r="Z157" s="432"/>
      <c r="AA157" s="432"/>
      <c r="AB157" s="432"/>
    </row>
    <row r="158">
      <c r="A158" s="432"/>
      <c r="B158" s="432"/>
      <c r="C158" s="432"/>
      <c r="D158" s="432"/>
      <c r="E158" s="432"/>
      <c r="F158" s="432"/>
      <c r="G158" s="432"/>
      <c r="H158" s="432"/>
      <c r="I158" s="432"/>
      <c r="J158" s="432"/>
      <c r="K158" s="432"/>
      <c r="L158" s="432"/>
      <c r="M158" s="432"/>
      <c r="N158" s="432"/>
      <c r="O158" s="432"/>
      <c r="P158" s="432"/>
      <c r="Q158" s="432"/>
      <c r="R158" s="432"/>
      <c r="S158" s="432"/>
      <c r="T158" s="432"/>
      <c r="U158" s="432"/>
      <c r="V158" s="432"/>
      <c r="W158" s="432"/>
      <c r="X158" s="432"/>
      <c r="Y158" s="432"/>
      <c r="Z158" s="432"/>
      <c r="AA158" s="432"/>
      <c r="AB158" s="432"/>
    </row>
    <row r="159">
      <c r="A159" s="432"/>
      <c r="B159" s="432"/>
      <c r="C159" s="432"/>
      <c r="D159" s="432"/>
      <c r="E159" s="432"/>
      <c r="F159" s="432"/>
      <c r="G159" s="432"/>
      <c r="H159" s="432"/>
      <c r="I159" s="432"/>
      <c r="J159" s="432"/>
      <c r="K159" s="432"/>
      <c r="L159" s="432"/>
      <c r="M159" s="432"/>
      <c r="N159" s="432"/>
      <c r="O159" s="432"/>
      <c r="P159" s="432"/>
      <c r="Q159" s="432"/>
      <c r="R159" s="432"/>
      <c r="S159" s="432"/>
      <c r="T159" s="432"/>
      <c r="U159" s="432"/>
      <c r="V159" s="432"/>
      <c r="W159" s="432"/>
      <c r="X159" s="432"/>
      <c r="Y159" s="432"/>
      <c r="Z159" s="432"/>
      <c r="AA159" s="432"/>
      <c r="AB159" s="432"/>
    </row>
    <row r="160">
      <c r="A160" s="432"/>
      <c r="B160" s="432"/>
      <c r="C160" s="432"/>
      <c r="D160" s="432"/>
      <c r="E160" s="432"/>
      <c r="F160" s="432"/>
      <c r="G160" s="432"/>
      <c r="H160" s="432"/>
      <c r="I160" s="432"/>
      <c r="J160" s="432"/>
      <c r="K160" s="432"/>
      <c r="L160" s="432"/>
      <c r="M160" s="432"/>
      <c r="N160" s="432"/>
      <c r="O160" s="432"/>
      <c r="P160" s="432"/>
      <c r="Q160" s="432"/>
      <c r="R160" s="432"/>
      <c r="S160" s="432"/>
      <c r="T160" s="432"/>
      <c r="U160" s="432"/>
      <c r="V160" s="432"/>
      <c r="W160" s="432"/>
      <c r="X160" s="432"/>
      <c r="Y160" s="432"/>
      <c r="Z160" s="432"/>
      <c r="AA160" s="432"/>
      <c r="AB160" s="432"/>
    </row>
    <row r="161">
      <c r="A161" s="432"/>
      <c r="B161" s="432"/>
      <c r="C161" s="432"/>
      <c r="D161" s="432"/>
      <c r="E161" s="432"/>
      <c r="F161" s="432"/>
      <c r="G161" s="432"/>
      <c r="H161" s="432"/>
      <c r="I161" s="432"/>
      <c r="J161" s="432"/>
      <c r="K161" s="432"/>
      <c r="L161" s="432"/>
      <c r="M161" s="432"/>
      <c r="N161" s="432"/>
      <c r="O161" s="432"/>
      <c r="P161" s="432"/>
      <c r="Q161" s="432"/>
      <c r="R161" s="432"/>
      <c r="S161" s="432"/>
      <c r="T161" s="432"/>
      <c r="U161" s="432"/>
      <c r="V161" s="432"/>
      <c r="W161" s="432"/>
      <c r="X161" s="432"/>
      <c r="Y161" s="432"/>
      <c r="Z161" s="432"/>
      <c r="AA161" s="432"/>
      <c r="AB161" s="432"/>
    </row>
    <row r="162">
      <c r="A162" s="432"/>
      <c r="B162" s="432"/>
      <c r="C162" s="432"/>
      <c r="D162" s="432"/>
      <c r="E162" s="432"/>
      <c r="F162" s="432"/>
      <c r="G162" s="432"/>
      <c r="H162" s="432"/>
      <c r="I162" s="432"/>
      <c r="J162" s="432"/>
      <c r="K162" s="432"/>
      <c r="L162" s="432"/>
      <c r="M162" s="432"/>
      <c r="N162" s="432"/>
      <c r="O162" s="432"/>
      <c r="P162" s="432"/>
      <c r="Q162" s="432"/>
      <c r="R162" s="432"/>
      <c r="S162" s="432"/>
      <c r="T162" s="432"/>
      <c r="U162" s="432"/>
      <c r="V162" s="432"/>
      <c r="W162" s="432"/>
      <c r="X162" s="432"/>
      <c r="Y162" s="432"/>
      <c r="Z162" s="432"/>
      <c r="AA162" s="432"/>
      <c r="AB162" s="432"/>
    </row>
    <row r="163">
      <c r="A163" s="432"/>
      <c r="B163" s="432"/>
      <c r="C163" s="432"/>
      <c r="D163" s="432"/>
      <c r="E163" s="432"/>
      <c r="F163" s="432"/>
      <c r="G163" s="432"/>
      <c r="H163" s="432"/>
      <c r="I163" s="432"/>
      <c r="J163" s="432"/>
      <c r="K163" s="432"/>
      <c r="L163" s="432"/>
      <c r="M163" s="432"/>
      <c r="N163" s="432"/>
      <c r="O163" s="432"/>
      <c r="P163" s="432"/>
      <c r="Q163" s="432"/>
      <c r="R163" s="432"/>
      <c r="S163" s="432"/>
      <c r="T163" s="432"/>
      <c r="U163" s="432"/>
      <c r="V163" s="432"/>
      <c r="W163" s="432"/>
      <c r="X163" s="432"/>
      <c r="Y163" s="432"/>
      <c r="Z163" s="432"/>
      <c r="AA163" s="432"/>
      <c r="AB163" s="432"/>
    </row>
    <row r="164">
      <c r="A164" s="432"/>
      <c r="B164" s="432"/>
      <c r="C164" s="432"/>
      <c r="D164" s="432"/>
      <c r="E164" s="432"/>
      <c r="F164" s="432"/>
      <c r="G164" s="432"/>
      <c r="H164" s="432"/>
      <c r="I164" s="432"/>
      <c r="J164" s="432"/>
      <c r="K164" s="432"/>
      <c r="L164" s="432"/>
      <c r="M164" s="432"/>
      <c r="N164" s="432"/>
      <c r="O164" s="432"/>
      <c r="P164" s="432"/>
      <c r="Q164" s="432"/>
      <c r="R164" s="432"/>
      <c r="S164" s="432"/>
      <c r="T164" s="432"/>
      <c r="U164" s="432"/>
      <c r="V164" s="432"/>
      <c r="W164" s="432"/>
      <c r="X164" s="432"/>
      <c r="Y164" s="432"/>
      <c r="Z164" s="432"/>
      <c r="AA164" s="432"/>
      <c r="AB164" s="432"/>
    </row>
    <row r="165">
      <c r="A165" s="432"/>
      <c r="B165" s="432"/>
      <c r="C165" s="432"/>
      <c r="D165" s="432"/>
      <c r="E165" s="432"/>
      <c r="F165" s="432"/>
      <c r="G165" s="432"/>
      <c r="H165" s="432"/>
      <c r="I165" s="432"/>
      <c r="J165" s="432"/>
      <c r="K165" s="432"/>
      <c r="L165" s="432"/>
      <c r="M165" s="432"/>
      <c r="N165" s="432"/>
      <c r="O165" s="432"/>
      <c r="P165" s="432"/>
      <c r="Q165" s="432"/>
      <c r="R165" s="432"/>
      <c r="S165" s="432"/>
      <c r="T165" s="432"/>
      <c r="U165" s="432"/>
      <c r="V165" s="432"/>
      <c r="W165" s="432"/>
      <c r="X165" s="432"/>
      <c r="Y165" s="432"/>
      <c r="Z165" s="432"/>
      <c r="AA165" s="432"/>
      <c r="AB165" s="432"/>
    </row>
    <row r="166">
      <c r="A166" s="432"/>
      <c r="B166" s="432"/>
      <c r="C166" s="432"/>
      <c r="D166" s="432"/>
      <c r="E166" s="432"/>
      <c r="F166" s="432"/>
      <c r="G166" s="432"/>
      <c r="H166" s="432"/>
      <c r="I166" s="432"/>
      <c r="J166" s="432"/>
      <c r="K166" s="432"/>
      <c r="L166" s="432"/>
      <c r="M166" s="432"/>
      <c r="N166" s="432"/>
      <c r="O166" s="432"/>
      <c r="P166" s="432"/>
      <c r="Q166" s="432"/>
      <c r="R166" s="432"/>
      <c r="S166" s="432"/>
      <c r="T166" s="432"/>
      <c r="U166" s="432"/>
      <c r="V166" s="432"/>
      <c r="W166" s="432"/>
      <c r="X166" s="432"/>
      <c r="Y166" s="432"/>
      <c r="Z166" s="432"/>
      <c r="AA166" s="432"/>
      <c r="AB166" s="432"/>
    </row>
    <row r="167">
      <c r="A167" s="432"/>
      <c r="B167" s="432"/>
      <c r="C167" s="432"/>
      <c r="D167" s="432"/>
      <c r="E167" s="432"/>
      <c r="F167" s="432"/>
      <c r="G167" s="432"/>
      <c r="H167" s="432"/>
      <c r="I167" s="432"/>
      <c r="J167" s="432"/>
      <c r="K167" s="432"/>
      <c r="L167" s="432"/>
      <c r="M167" s="432"/>
      <c r="N167" s="432"/>
      <c r="O167" s="432"/>
      <c r="P167" s="432"/>
      <c r="Q167" s="432"/>
      <c r="R167" s="432"/>
      <c r="S167" s="432"/>
      <c r="T167" s="432"/>
      <c r="U167" s="432"/>
      <c r="V167" s="432"/>
      <c r="W167" s="432"/>
      <c r="X167" s="432"/>
      <c r="Y167" s="432"/>
      <c r="Z167" s="432"/>
      <c r="AA167" s="432"/>
      <c r="AB167" s="432"/>
    </row>
    <row r="168">
      <c r="A168" s="432"/>
      <c r="B168" s="432"/>
      <c r="C168" s="432"/>
      <c r="D168" s="432"/>
      <c r="E168" s="432"/>
      <c r="F168" s="432"/>
      <c r="G168" s="432"/>
      <c r="H168" s="432"/>
      <c r="I168" s="432"/>
      <c r="J168" s="432"/>
      <c r="K168" s="432"/>
      <c r="L168" s="432"/>
      <c r="M168" s="432"/>
      <c r="N168" s="432"/>
      <c r="O168" s="432"/>
      <c r="P168" s="432"/>
      <c r="Q168" s="432"/>
      <c r="R168" s="432"/>
      <c r="S168" s="432"/>
      <c r="T168" s="432"/>
      <c r="U168" s="432"/>
      <c r="V168" s="432"/>
      <c r="W168" s="432"/>
      <c r="X168" s="432"/>
      <c r="Y168" s="432"/>
      <c r="Z168" s="432"/>
      <c r="AA168" s="432"/>
      <c r="AB168" s="432"/>
    </row>
    <row r="169">
      <c r="A169" s="432"/>
      <c r="B169" s="432"/>
      <c r="C169" s="432"/>
      <c r="D169" s="432"/>
      <c r="E169" s="432"/>
      <c r="F169" s="432"/>
      <c r="G169" s="432"/>
      <c r="H169" s="432"/>
      <c r="I169" s="432"/>
      <c r="J169" s="432"/>
      <c r="K169" s="432"/>
      <c r="L169" s="432"/>
      <c r="M169" s="432"/>
      <c r="N169" s="432"/>
      <c r="O169" s="432"/>
      <c r="P169" s="432"/>
      <c r="Q169" s="432"/>
      <c r="R169" s="432"/>
      <c r="S169" s="432"/>
      <c r="T169" s="432"/>
      <c r="U169" s="432"/>
      <c r="V169" s="432"/>
      <c r="W169" s="432"/>
      <c r="X169" s="432"/>
      <c r="Y169" s="432"/>
      <c r="Z169" s="432"/>
      <c r="AA169" s="432"/>
      <c r="AB169" s="432"/>
    </row>
    <row r="170">
      <c r="A170" s="432"/>
      <c r="B170" s="432"/>
      <c r="C170" s="432"/>
      <c r="D170" s="432"/>
      <c r="E170" s="432"/>
      <c r="F170" s="432"/>
      <c r="G170" s="432"/>
      <c r="H170" s="432"/>
      <c r="I170" s="432"/>
      <c r="J170" s="432"/>
      <c r="K170" s="432"/>
      <c r="L170" s="432"/>
      <c r="M170" s="432"/>
      <c r="N170" s="432"/>
      <c r="O170" s="432"/>
      <c r="P170" s="432"/>
      <c r="Q170" s="432"/>
      <c r="R170" s="432"/>
      <c r="S170" s="432"/>
      <c r="T170" s="432"/>
      <c r="U170" s="432"/>
      <c r="V170" s="432"/>
      <c r="W170" s="432"/>
      <c r="X170" s="432"/>
      <c r="Y170" s="432"/>
      <c r="Z170" s="432"/>
      <c r="AA170" s="432"/>
      <c r="AB170" s="432"/>
    </row>
    <row r="171">
      <c r="A171" s="432"/>
      <c r="B171" s="432"/>
      <c r="C171" s="432"/>
      <c r="D171" s="432"/>
      <c r="E171" s="432"/>
      <c r="F171" s="432"/>
      <c r="G171" s="432"/>
      <c r="H171" s="432"/>
      <c r="I171" s="432"/>
      <c r="J171" s="432"/>
      <c r="K171" s="432"/>
      <c r="L171" s="432"/>
      <c r="M171" s="432"/>
      <c r="N171" s="432"/>
      <c r="O171" s="432"/>
      <c r="P171" s="432"/>
      <c r="Q171" s="432"/>
      <c r="R171" s="432"/>
      <c r="S171" s="432"/>
      <c r="T171" s="432"/>
      <c r="U171" s="432"/>
      <c r="V171" s="432"/>
      <c r="W171" s="432"/>
      <c r="X171" s="432"/>
      <c r="Y171" s="432"/>
      <c r="Z171" s="432"/>
      <c r="AA171" s="432"/>
      <c r="AB171" s="432"/>
    </row>
    <row r="172">
      <c r="A172" s="432"/>
      <c r="B172" s="432"/>
      <c r="C172" s="432"/>
      <c r="D172" s="432"/>
      <c r="E172" s="432"/>
      <c r="F172" s="432"/>
      <c r="G172" s="432"/>
      <c r="H172" s="432"/>
      <c r="I172" s="432"/>
      <c r="J172" s="432"/>
      <c r="K172" s="432"/>
      <c r="L172" s="432"/>
      <c r="M172" s="432"/>
      <c r="N172" s="432"/>
      <c r="O172" s="432"/>
      <c r="P172" s="432"/>
      <c r="Q172" s="432"/>
      <c r="R172" s="432"/>
      <c r="S172" s="432"/>
      <c r="T172" s="432"/>
      <c r="U172" s="432"/>
      <c r="V172" s="432"/>
      <c r="W172" s="432"/>
      <c r="X172" s="432"/>
      <c r="Y172" s="432"/>
      <c r="Z172" s="432"/>
      <c r="AA172" s="432"/>
      <c r="AB172" s="432"/>
    </row>
    <row r="173">
      <c r="A173" s="432"/>
      <c r="B173" s="432"/>
      <c r="C173" s="432"/>
      <c r="D173" s="432"/>
      <c r="E173" s="432"/>
      <c r="F173" s="432"/>
      <c r="G173" s="432"/>
      <c r="H173" s="432"/>
      <c r="I173" s="432"/>
      <c r="J173" s="432"/>
      <c r="K173" s="432"/>
      <c r="L173" s="432"/>
      <c r="M173" s="432"/>
      <c r="N173" s="432"/>
      <c r="O173" s="432"/>
      <c r="P173" s="432"/>
      <c r="Q173" s="432"/>
      <c r="R173" s="432"/>
      <c r="S173" s="432"/>
      <c r="T173" s="432"/>
      <c r="U173" s="432"/>
      <c r="V173" s="432"/>
      <c r="W173" s="432"/>
      <c r="X173" s="432"/>
      <c r="Y173" s="432"/>
      <c r="Z173" s="432"/>
      <c r="AA173" s="432"/>
      <c r="AB173" s="432"/>
    </row>
    <row r="174">
      <c r="A174" s="432"/>
      <c r="B174" s="432"/>
      <c r="C174" s="432"/>
      <c r="D174" s="432"/>
      <c r="E174" s="432"/>
      <c r="F174" s="432"/>
      <c r="G174" s="432"/>
      <c r="H174" s="432"/>
      <c r="I174" s="432"/>
      <c r="J174" s="432"/>
      <c r="K174" s="432"/>
      <c r="L174" s="432"/>
      <c r="M174" s="432"/>
      <c r="N174" s="432"/>
      <c r="O174" s="432"/>
      <c r="P174" s="432"/>
      <c r="Q174" s="432"/>
      <c r="R174" s="432"/>
      <c r="S174" s="432"/>
      <c r="T174" s="432"/>
      <c r="U174" s="432"/>
      <c r="V174" s="432"/>
      <c r="W174" s="432"/>
      <c r="X174" s="432"/>
      <c r="Y174" s="432"/>
      <c r="Z174" s="432"/>
      <c r="AA174" s="432"/>
      <c r="AB174" s="432"/>
    </row>
    <row r="175">
      <c r="A175" s="432"/>
      <c r="B175" s="432"/>
      <c r="C175" s="432"/>
      <c r="D175" s="432"/>
      <c r="E175" s="432"/>
      <c r="F175" s="432"/>
      <c r="G175" s="432"/>
      <c r="H175" s="432"/>
      <c r="I175" s="432"/>
      <c r="J175" s="432"/>
      <c r="K175" s="432"/>
      <c r="L175" s="432"/>
      <c r="M175" s="432"/>
      <c r="N175" s="432"/>
      <c r="O175" s="432"/>
      <c r="P175" s="432"/>
      <c r="Q175" s="432"/>
      <c r="R175" s="432"/>
      <c r="S175" s="432"/>
      <c r="T175" s="432"/>
      <c r="U175" s="432"/>
      <c r="V175" s="432"/>
      <c r="W175" s="432"/>
      <c r="X175" s="432"/>
      <c r="Y175" s="432"/>
      <c r="Z175" s="432"/>
      <c r="AA175" s="432"/>
      <c r="AB175" s="432"/>
    </row>
    <row r="176">
      <c r="A176" s="432"/>
      <c r="B176" s="432"/>
      <c r="C176" s="432"/>
      <c r="D176" s="432"/>
      <c r="E176" s="432"/>
      <c r="F176" s="432"/>
      <c r="G176" s="432"/>
      <c r="H176" s="432"/>
      <c r="I176" s="432"/>
      <c r="J176" s="432"/>
      <c r="K176" s="432"/>
      <c r="L176" s="432"/>
      <c r="M176" s="432"/>
      <c r="N176" s="432"/>
      <c r="O176" s="432"/>
      <c r="P176" s="432"/>
      <c r="Q176" s="432"/>
      <c r="R176" s="432"/>
      <c r="S176" s="432"/>
      <c r="T176" s="432"/>
      <c r="U176" s="432"/>
      <c r="V176" s="432"/>
      <c r="W176" s="432"/>
      <c r="X176" s="432"/>
      <c r="Y176" s="432"/>
      <c r="Z176" s="432"/>
      <c r="AA176" s="432"/>
      <c r="AB176" s="432"/>
    </row>
    <row r="177">
      <c r="A177" s="432"/>
      <c r="B177" s="432"/>
      <c r="C177" s="432"/>
      <c r="D177" s="432"/>
      <c r="E177" s="432"/>
      <c r="F177" s="432"/>
      <c r="G177" s="432"/>
      <c r="H177" s="432"/>
      <c r="I177" s="432"/>
      <c r="J177" s="432"/>
      <c r="K177" s="432"/>
      <c r="L177" s="432"/>
      <c r="M177" s="432"/>
      <c r="N177" s="432"/>
      <c r="O177" s="432"/>
      <c r="P177" s="432"/>
      <c r="Q177" s="432"/>
      <c r="R177" s="432"/>
      <c r="S177" s="432"/>
      <c r="T177" s="432"/>
      <c r="U177" s="432"/>
      <c r="V177" s="432"/>
      <c r="W177" s="432"/>
      <c r="X177" s="432"/>
      <c r="Y177" s="432"/>
      <c r="Z177" s="432"/>
      <c r="AA177" s="432"/>
      <c r="AB177" s="432"/>
    </row>
    <row r="178">
      <c r="A178" s="432"/>
      <c r="B178" s="432"/>
      <c r="C178" s="432"/>
      <c r="D178" s="432"/>
      <c r="E178" s="432"/>
      <c r="F178" s="432"/>
      <c r="G178" s="432"/>
      <c r="H178" s="432"/>
      <c r="I178" s="432"/>
      <c r="J178" s="432"/>
      <c r="K178" s="432"/>
      <c r="L178" s="432"/>
      <c r="M178" s="432"/>
      <c r="N178" s="432"/>
      <c r="O178" s="432"/>
      <c r="P178" s="432"/>
      <c r="Q178" s="432"/>
      <c r="R178" s="432"/>
      <c r="S178" s="432"/>
      <c r="T178" s="432"/>
      <c r="U178" s="432"/>
      <c r="V178" s="432"/>
      <c r="W178" s="432"/>
      <c r="X178" s="432"/>
      <c r="Y178" s="432"/>
      <c r="Z178" s="432"/>
      <c r="AA178" s="432"/>
      <c r="AB178" s="432"/>
    </row>
    <row r="179">
      <c r="A179" s="432"/>
      <c r="B179" s="432"/>
      <c r="C179" s="432"/>
      <c r="D179" s="432"/>
      <c r="E179" s="432"/>
      <c r="F179" s="432"/>
      <c r="G179" s="432"/>
      <c r="H179" s="432"/>
      <c r="I179" s="432"/>
      <c r="J179" s="432"/>
      <c r="K179" s="432"/>
      <c r="L179" s="432"/>
      <c r="M179" s="432"/>
      <c r="N179" s="432"/>
      <c r="O179" s="432"/>
      <c r="P179" s="432"/>
      <c r="Q179" s="432"/>
      <c r="R179" s="432"/>
      <c r="S179" s="432"/>
      <c r="T179" s="432"/>
      <c r="U179" s="432"/>
      <c r="V179" s="432"/>
      <c r="W179" s="432"/>
      <c r="X179" s="432"/>
      <c r="Y179" s="432"/>
      <c r="Z179" s="432"/>
      <c r="AA179" s="432"/>
      <c r="AB179" s="432"/>
    </row>
    <row r="180">
      <c r="A180" s="432"/>
      <c r="B180" s="432"/>
      <c r="C180" s="432"/>
      <c r="D180" s="432"/>
      <c r="E180" s="432"/>
      <c r="F180" s="432"/>
      <c r="G180" s="432"/>
      <c r="H180" s="432"/>
      <c r="I180" s="432"/>
      <c r="J180" s="432"/>
      <c r="K180" s="432"/>
      <c r="L180" s="432"/>
      <c r="M180" s="432"/>
      <c r="N180" s="432"/>
      <c r="O180" s="432"/>
      <c r="P180" s="432"/>
      <c r="Q180" s="432"/>
      <c r="R180" s="432"/>
      <c r="S180" s="432"/>
      <c r="T180" s="432"/>
      <c r="U180" s="432"/>
      <c r="V180" s="432"/>
      <c r="W180" s="432"/>
      <c r="X180" s="432"/>
      <c r="Y180" s="432"/>
      <c r="Z180" s="432"/>
      <c r="AA180" s="432"/>
      <c r="AB180" s="432"/>
    </row>
    <row r="181">
      <c r="A181" s="432"/>
      <c r="B181" s="432"/>
      <c r="C181" s="432"/>
      <c r="D181" s="432"/>
      <c r="E181" s="432"/>
      <c r="F181" s="432"/>
      <c r="G181" s="432"/>
      <c r="H181" s="432"/>
      <c r="I181" s="432"/>
      <c r="J181" s="432"/>
      <c r="K181" s="432"/>
      <c r="L181" s="432"/>
      <c r="M181" s="432"/>
      <c r="N181" s="432"/>
      <c r="O181" s="432"/>
      <c r="P181" s="432"/>
      <c r="Q181" s="432"/>
      <c r="R181" s="432"/>
      <c r="S181" s="432"/>
      <c r="T181" s="432"/>
      <c r="U181" s="432"/>
      <c r="V181" s="432"/>
      <c r="W181" s="432"/>
      <c r="X181" s="432"/>
      <c r="Y181" s="432"/>
      <c r="Z181" s="432"/>
      <c r="AA181" s="432"/>
      <c r="AB181" s="432"/>
    </row>
    <row r="182">
      <c r="A182" s="432"/>
      <c r="B182" s="432"/>
      <c r="C182" s="432"/>
      <c r="D182" s="432"/>
      <c r="E182" s="432"/>
      <c r="F182" s="432"/>
      <c r="G182" s="432"/>
      <c r="H182" s="432"/>
      <c r="I182" s="432"/>
      <c r="J182" s="432"/>
      <c r="K182" s="432"/>
      <c r="L182" s="432"/>
      <c r="M182" s="432"/>
      <c r="N182" s="432"/>
      <c r="O182" s="432"/>
      <c r="P182" s="432"/>
      <c r="Q182" s="432"/>
      <c r="R182" s="432"/>
      <c r="S182" s="432"/>
      <c r="T182" s="432"/>
      <c r="U182" s="432"/>
      <c r="V182" s="432"/>
      <c r="W182" s="432"/>
      <c r="X182" s="432"/>
      <c r="Y182" s="432"/>
      <c r="Z182" s="432"/>
      <c r="AA182" s="432"/>
      <c r="AB182" s="432"/>
    </row>
    <row r="183">
      <c r="A183" s="432"/>
      <c r="B183" s="432"/>
      <c r="C183" s="432"/>
      <c r="D183" s="432"/>
      <c r="E183" s="432"/>
      <c r="F183" s="432"/>
      <c r="G183" s="432"/>
      <c r="H183" s="432"/>
      <c r="I183" s="432"/>
      <c r="J183" s="432"/>
      <c r="K183" s="432"/>
      <c r="L183" s="432"/>
      <c r="M183" s="432"/>
      <c r="N183" s="432"/>
      <c r="O183" s="432"/>
      <c r="P183" s="432"/>
      <c r="Q183" s="432"/>
      <c r="R183" s="432"/>
      <c r="S183" s="432"/>
      <c r="T183" s="432"/>
      <c r="U183" s="432"/>
      <c r="V183" s="432"/>
      <c r="W183" s="432"/>
      <c r="X183" s="432"/>
      <c r="Y183" s="432"/>
      <c r="Z183" s="432"/>
      <c r="AA183" s="432"/>
      <c r="AB183" s="432"/>
    </row>
    <row r="184">
      <c r="A184" s="432"/>
      <c r="B184" s="432"/>
      <c r="C184" s="432"/>
      <c r="D184" s="432"/>
      <c r="E184" s="432"/>
      <c r="F184" s="432"/>
      <c r="G184" s="432"/>
      <c r="H184" s="432"/>
      <c r="I184" s="432"/>
      <c r="J184" s="432"/>
      <c r="K184" s="432"/>
      <c r="L184" s="432"/>
      <c r="M184" s="432"/>
      <c r="N184" s="432"/>
      <c r="O184" s="432"/>
      <c r="P184" s="432"/>
      <c r="Q184" s="432"/>
      <c r="R184" s="432"/>
      <c r="S184" s="432"/>
      <c r="T184" s="432"/>
      <c r="U184" s="432"/>
      <c r="V184" s="432"/>
      <c r="W184" s="432"/>
      <c r="X184" s="432"/>
      <c r="Y184" s="432"/>
      <c r="Z184" s="432"/>
      <c r="AA184" s="432"/>
      <c r="AB184" s="432"/>
    </row>
    <row r="185">
      <c r="A185" s="432"/>
      <c r="B185" s="432"/>
      <c r="C185" s="432"/>
      <c r="D185" s="432"/>
      <c r="E185" s="432"/>
      <c r="F185" s="432"/>
      <c r="G185" s="432"/>
      <c r="H185" s="432"/>
      <c r="I185" s="432"/>
      <c r="J185" s="432"/>
      <c r="K185" s="432"/>
      <c r="L185" s="432"/>
      <c r="M185" s="432"/>
      <c r="N185" s="432"/>
      <c r="O185" s="432"/>
      <c r="P185" s="432"/>
      <c r="Q185" s="432"/>
      <c r="R185" s="432"/>
      <c r="S185" s="432"/>
      <c r="T185" s="432"/>
      <c r="U185" s="432"/>
      <c r="V185" s="432"/>
      <c r="W185" s="432"/>
      <c r="X185" s="432"/>
      <c r="Y185" s="432"/>
      <c r="Z185" s="432"/>
      <c r="AA185" s="432"/>
      <c r="AB185" s="432"/>
    </row>
    <row r="186">
      <c r="A186" s="432"/>
      <c r="B186" s="432"/>
      <c r="C186" s="432"/>
      <c r="D186" s="432"/>
      <c r="E186" s="432"/>
      <c r="F186" s="432"/>
      <c r="G186" s="432"/>
      <c r="H186" s="432"/>
      <c r="I186" s="432"/>
      <c r="J186" s="432"/>
      <c r="K186" s="432"/>
      <c r="L186" s="432"/>
      <c r="M186" s="432"/>
      <c r="N186" s="432"/>
      <c r="O186" s="432"/>
      <c r="P186" s="432"/>
      <c r="Q186" s="432"/>
      <c r="R186" s="432"/>
      <c r="S186" s="432"/>
      <c r="T186" s="432"/>
      <c r="U186" s="432"/>
      <c r="V186" s="432"/>
      <c r="W186" s="432"/>
      <c r="X186" s="432"/>
      <c r="Y186" s="432"/>
      <c r="Z186" s="432"/>
      <c r="AA186" s="432"/>
      <c r="AB186" s="432"/>
    </row>
    <row r="187">
      <c r="A187" s="432"/>
      <c r="B187" s="432"/>
      <c r="C187" s="432"/>
      <c r="D187" s="432"/>
      <c r="E187" s="432"/>
      <c r="F187" s="432"/>
      <c r="G187" s="432"/>
      <c r="H187" s="432"/>
      <c r="I187" s="432"/>
      <c r="J187" s="432"/>
      <c r="K187" s="432"/>
      <c r="L187" s="432"/>
      <c r="M187" s="432"/>
      <c r="N187" s="432"/>
      <c r="O187" s="432"/>
      <c r="P187" s="432"/>
      <c r="Q187" s="432"/>
      <c r="R187" s="432"/>
      <c r="S187" s="432"/>
      <c r="T187" s="432"/>
      <c r="U187" s="432"/>
      <c r="V187" s="432"/>
      <c r="W187" s="432"/>
      <c r="X187" s="432"/>
      <c r="Y187" s="432"/>
      <c r="Z187" s="432"/>
      <c r="AA187" s="432"/>
      <c r="AB187" s="432"/>
    </row>
    <row r="188">
      <c r="A188" s="432"/>
      <c r="B188" s="432"/>
      <c r="C188" s="432"/>
      <c r="D188" s="432"/>
      <c r="E188" s="432"/>
      <c r="F188" s="432"/>
      <c r="G188" s="432"/>
      <c r="H188" s="432"/>
      <c r="I188" s="432"/>
      <c r="J188" s="432"/>
      <c r="K188" s="432"/>
      <c r="L188" s="432"/>
      <c r="M188" s="432"/>
      <c r="N188" s="432"/>
      <c r="O188" s="432"/>
      <c r="P188" s="432"/>
      <c r="Q188" s="432"/>
      <c r="R188" s="432"/>
      <c r="S188" s="432"/>
      <c r="T188" s="432"/>
      <c r="U188" s="432"/>
      <c r="V188" s="432"/>
      <c r="W188" s="432"/>
      <c r="X188" s="432"/>
      <c r="Y188" s="432"/>
      <c r="Z188" s="432"/>
      <c r="AA188" s="432"/>
      <c r="AB188" s="432"/>
    </row>
    <row r="189">
      <c r="A189" s="432"/>
      <c r="B189" s="432"/>
      <c r="C189" s="432"/>
      <c r="D189" s="432"/>
      <c r="E189" s="432"/>
      <c r="F189" s="432"/>
      <c r="G189" s="432"/>
      <c r="H189" s="432"/>
      <c r="I189" s="432"/>
      <c r="J189" s="432"/>
      <c r="K189" s="432"/>
      <c r="L189" s="432"/>
      <c r="M189" s="432"/>
      <c r="N189" s="432"/>
      <c r="O189" s="432"/>
      <c r="P189" s="432"/>
      <c r="Q189" s="432"/>
      <c r="R189" s="432"/>
      <c r="S189" s="432"/>
      <c r="T189" s="432"/>
      <c r="U189" s="432"/>
      <c r="V189" s="432"/>
      <c r="W189" s="432"/>
      <c r="X189" s="432"/>
      <c r="Y189" s="432"/>
      <c r="Z189" s="432"/>
      <c r="AA189" s="432"/>
      <c r="AB189" s="432"/>
    </row>
    <row r="190">
      <c r="A190" s="432"/>
      <c r="B190" s="432"/>
      <c r="C190" s="432"/>
      <c r="D190" s="432"/>
      <c r="E190" s="432"/>
      <c r="F190" s="432"/>
      <c r="G190" s="432"/>
      <c r="H190" s="432"/>
      <c r="I190" s="432"/>
      <c r="J190" s="432"/>
      <c r="K190" s="432"/>
      <c r="L190" s="432"/>
      <c r="M190" s="432"/>
      <c r="N190" s="432"/>
      <c r="O190" s="432"/>
      <c r="P190" s="432"/>
      <c r="Q190" s="432"/>
      <c r="R190" s="432"/>
      <c r="S190" s="432"/>
      <c r="T190" s="432"/>
      <c r="U190" s="432"/>
      <c r="V190" s="432"/>
      <c r="W190" s="432"/>
      <c r="X190" s="432"/>
      <c r="Y190" s="432"/>
      <c r="Z190" s="432"/>
      <c r="AA190" s="432"/>
      <c r="AB190" s="432"/>
    </row>
    <row r="191">
      <c r="A191" s="432"/>
      <c r="B191" s="432"/>
      <c r="C191" s="432"/>
      <c r="D191" s="432"/>
      <c r="E191" s="432"/>
      <c r="F191" s="432"/>
      <c r="G191" s="432"/>
      <c r="H191" s="432"/>
      <c r="I191" s="432"/>
      <c r="J191" s="432"/>
      <c r="K191" s="432"/>
      <c r="L191" s="432"/>
      <c r="M191" s="432"/>
      <c r="N191" s="432"/>
      <c r="O191" s="432"/>
      <c r="P191" s="432"/>
      <c r="Q191" s="432"/>
      <c r="R191" s="432"/>
      <c r="S191" s="432"/>
      <c r="T191" s="432"/>
      <c r="U191" s="432"/>
      <c r="V191" s="432"/>
      <c r="W191" s="432"/>
      <c r="X191" s="432"/>
      <c r="Y191" s="432"/>
      <c r="Z191" s="432"/>
      <c r="AA191" s="432"/>
      <c r="AB191" s="432"/>
    </row>
    <row r="192">
      <c r="A192" s="432"/>
      <c r="B192" s="432"/>
      <c r="C192" s="432"/>
      <c r="D192" s="432"/>
      <c r="E192" s="432"/>
      <c r="F192" s="432"/>
      <c r="G192" s="432"/>
      <c r="H192" s="432"/>
      <c r="I192" s="432"/>
      <c r="J192" s="432"/>
      <c r="K192" s="432"/>
      <c r="L192" s="432"/>
      <c r="M192" s="432"/>
      <c r="N192" s="432"/>
      <c r="O192" s="432"/>
      <c r="P192" s="432"/>
      <c r="Q192" s="432"/>
      <c r="R192" s="432"/>
      <c r="S192" s="432"/>
      <c r="T192" s="432"/>
      <c r="U192" s="432"/>
      <c r="V192" s="432"/>
      <c r="W192" s="432"/>
      <c r="X192" s="432"/>
      <c r="Y192" s="432"/>
      <c r="Z192" s="432"/>
      <c r="AA192" s="432"/>
      <c r="AB192" s="432"/>
    </row>
    <row r="193">
      <c r="A193" s="432"/>
      <c r="B193" s="432"/>
      <c r="C193" s="432"/>
      <c r="D193" s="432"/>
      <c r="E193" s="432"/>
      <c r="F193" s="432"/>
      <c r="G193" s="432"/>
      <c r="H193" s="432"/>
      <c r="I193" s="432"/>
      <c r="J193" s="432"/>
      <c r="K193" s="432"/>
      <c r="L193" s="432"/>
      <c r="M193" s="432"/>
      <c r="N193" s="432"/>
      <c r="O193" s="432"/>
      <c r="P193" s="432"/>
      <c r="Q193" s="432"/>
      <c r="R193" s="432"/>
      <c r="S193" s="432"/>
      <c r="T193" s="432"/>
      <c r="U193" s="432"/>
      <c r="V193" s="432"/>
      <c r="W193" s="432"/>
      <c r="X193" s="432"/>
      <c r="Y193" s="432"/>
      <c r="Z193" s="432"/>
      <c r="AA193" s="432"/>
      <c r="AB193" s="432"/>
    </row>
    <row r="194">
      <c r="A194" s="432"/>
      <c r="B194" s="432"/>
      <c r="C194" s="432"/>
      <c r="D194" s="432"/>
      <c r="E194" s="432"/>
      <c r="F194" s="432"/>
      <c r="G194" s="432"/>
      <c r="H194" s="432"/>
      <c r="I194" s="432"/>
      <c r="J194" s="432"/>
      <c r="K194" s="432"/>
      <c r="L194" s="432"/>
      <c r="M194" s="432"/>
      <c r="N194" s="432"/>
      <c r="O194" s="432"/>
      <c r="P194" s="432"/>
      <c r="Q194" s="432"/>
      <c r="R194" s="432"/>
      <c r="S194" s="432"/>
      <c r="T194" s="432"/>
      <c r="U194" s="432"/>
      <c r="V194" s="432"/>
      <c r="W194" s="432"/>
      <c r="X194" s="432"/>
      <c r="Y194" s="432"/>
      <c r="Z194" s="432"/>
      <c r="AA194" s="432"/>
      <c r="AB194" s="432"/>
    </row>
    <row r="195">
      <c r="A195" s="432"/>
      <c r="B195" s="432"/>
      <c r="C195" s="432"/>
      <c r="D195" s="432"/>
      <c r="E195" s="432"/>
      <c r="F195" s="432"/>
      <c r="G195" s="432"/>
      <c r="H195" s="432"/>
      <c r="I195" s="432"/>
      <c r="J195" s="432"/>
      <c r="K195" s="432"/>
      <c r="L195" s="432"/>
      <c r="M195" s="432"/>
      <c r="N195" s="432"/>
      <c r="O195" s="432"/>
      <c r="P195" s="432"/>
      <c r="Q195" s="432"/>
      <c r="R195" s="432"/>
      <c r="S195" s="432"/>
      <c r="T195" s="432"/>
      <c r="U195" s="432"/>
      <c r="V195" s="432"/>
      <c r="W195" s="432"/>
      <c r="X195" s="432"/>
      <c r="Y195" s="432"/>
      <c r="Z195" s="432"/>
      <c r="AA195" s="432"/>
      <c r="AB195" s="432"/>
    </row>
    <row r="196">
      <c r="A196" s="432"/>
      <c r="B196" s="432"/>
      <c r="C196" s="432"/>
      <c r="D196" s="432"/>
      <c r="E196" s="432"/>
      <c r="F196" s="432"/>
      <c r="G196" s="432"/>
      <c r="H196" s="432"/>
      <c r="I196" s="432"/>
      <c r="J196" s="432"/>
      <c r="K196" s="432"/>
      <c r="L196" s="432"/>
      <c r="M196" s="432"/>
      <c r="N196" s="432"/>
      <c r="O196" s="432"/>
      <c r="P196" s="432"/>
      <c r="Q196" s="432"/>
      <c r="R196" s="432"/>
      <c r="S196" s="432"/>
      <c r="T196" s="432"/>
      <c r="U196" s="432"/>
      <c r="V196" s="432"/>
      <c r="W196" s="432"/>
      <c r="X196" s="432"/>
      <c r="Y196" s="432"/>
      <c r="Z196" s="432"/>
      <c r="AA196" s="432"/>
      <c r="AB196" s="432"/>
    </row>
    <row r="197">
      <c r="A197" s="432"/>
      <c r="B197" s="432"/>
      <c r="C197" s="432"/>
      <c r="D197" s="432"/>
      <c r="E197" s="432"/>
      <c r="F197" s="432"/>
      <c r="G197" s="432"/>
      <c r="H197" s="432"/>
      <c r="I197" s="432"/>
      <c r="J197" s="432"/>
      <c r="K197" s="432"/>
      <c r="L197" s="432"/>
      <c r="M197" s="432"/>
      <c r="N197" s="432"/>
      <c r="O197" s="432"/>
      <c r="P197" s="432"/>
      <c r="Q197" s="432"/>
      <c r="R197" s="432"/>
      <c r="S197" s="432"/>
      <c r="T197" s="432"/>
      <c r="U197" s="432"/>
      <c r="V197" s="432"/>
      <c r="W197" s="432"/>
      <c r="X197" s="432"/>
      <c r="Y197" s="432"/>
      <c r="Z197" s="432"/>
      <c r="AA197" s="432"/>
      <c r="AB197" s="432"/>
    </row>
    <row r="198">
      <c r="A198" s="432"/>
      <c r="B198" s="432"/>
      <c r="C198" s="432"/>
      <c r="D198" s="432"/>
      <c r="E198" s="432"/>
      <c r="F198" s="432"/>
      <c r="G198" s="432"/>
      <c r="H198" s="432"/>
      <c r="I198" s="432"/>
      <c r="J198" s="432"/>
      <c r="K198" s="432"/>
      <c r="L198" s="432"/>
      <c r="M198" s="432"/>
      <c r="N198" s="432"/>
      <c r="O198" s="432"/>
      <c r="P198" s="432"/>
      <c r="Q198" s="432"/>
      <c r="R198" s="432"/>
      <c r="S198" s="432"/>
      <c r="T198" s="432"/>
      <c r="U198" s="432"/>
      <c r="V198" s="432"/>
      <c r="W198" s="432"/>
      <c r="X198" s="432"/>
      <c r="Y198" s="432"/>
      <c r="Z198" s="432"/>
      <c r="AA198" s="432"/>
      <c r="AB198" s="432"/>
    </row>
    <row r="199">
      <c r="A199" s="432"/>
      <c r="B199" s="432"/>
      <c r="C199" s="432"/>
      <c r="D199" s="432"/>
      <c r="E199" s="432"/>
      <c r="F199" s="432"/>
      <c r="G199" s="432"/>
      <c r="H199" s="432"/>
      <c r="I199" s="432"/>
      <c r="J199" s="432"/>
      <c r="K199" s="432"/>
      <c r="L199" s="432"/>
      <c r="M199" s="432"/>
      <c r="N199" s="432"/>
      <c r="O199" s="432"/>
      <c r="P199" s="432"/>
      <c r="Q199" s="432"/>
      <c r="R199" s="432"/>
      <c r="S199" s="432"/>
      <c r="T199" s="432"/>
      <c r="U199" s="432"/>
      <c r="V199" s="432"/>
      <c r="W199" s="432"/>
      <c r="X199" s="432"/>
      <c r="Y199" s="432"/>
      <c r="Z199" s="432"/>
      <c r="AA199" s="432"/>
      <c r="AB199" s="432"/>
    </row>
    <row r="200">
      <c r="A200" s="432"/>
      <c r="B200" s="432"/>
      <c r="C200" s="432"/>
      <c r="D200" s="432"/>
      <c r="E200" s="432"/>
      <c r="F200" s="432"/>
      <c r="G200" s="432"/>
      <c r="H200" s="432"/>
      <c r="I200" s="432"/>
      <c r="J200" s="432"/>
      <c r="K200" s="432"/>
      <c r="L200" s="432"/>
      <c r="M200" s="432"/>
      <c r="N200" s="432"/>
      <c r="O200" s="432"/>
      <c r="P200" s="432"/>
      <c r="Q200" s="432"/>
      <c r="R200" s="432"/>
      <c r="S200" s="432"/>
      <c r="T200" s="432"/>
      <c r="U200" s="432"/>
      <c r="V200" s="432"/>
      <c r="W200" s="432"/>
      <c r="X200" s="432"/>
      <c r="Y200" s="432"/>
      <c r="Z200" s="432"/>
      <c r="AA200" s="432"/>
      <c r="AB200" s="432"/>
    </row>
    <row r="201">
      <c r="A201" s="432"/>
      <c r="B201" s="432"/>
      <c r="C201" s="432"/>
      <c r="D201" s="432"/>
      <c r="E201" s="432"/>
      <c r="F201" s="432"/>
      <c r="G201" s="432"/>
      <c r="H201" s="432"/>
      <c r="I201" s="432"/>
      <c r="J201" s="432"/>
      <c r="K201" s="432"/>
      <c r="L201" s="432"/>
      <c r="M201" s="432"/>
      <c r="N201" s="432"/>
      <c r="O201" s="432"/>
      <c r="P201" s="432"/>
      <c r="Q201" s="432"/>
      <c r="R201" s="432"/>
      <c r="S201" s="432"/>
      <c r="T201" s="432"/>
      <c r="U201" s="432"/>
      <c r="V201" s="432"/>
      <c r="W201" s="432"/>
      <c r="X201" s="432"/>
      <c r="Y201" s="432"/>
      <c r="Z201" s="432"/>
      <c r="AA201" s="432"/>
      <c r="AB201" s="432"/>
    </row>
    <row r="202">
      <c r="A202" s="432"/>
      <c r="B202" s="432"/>
      <c r="C202" s="432"/>
      <c r="D202" s="432"/>
      <c r="E202" s="432"/>
      <c r="F202" s="432"/>
      <c r="G202" s="432"/>
      <c r="H202" s="432"/>
      <c r="I202" s="432"/>
      <c r="J202" s="432"/>
      <c r="K202" s="432"/>
      <c r="L202" s="432"/>
      <c r="M202" s="432"/>
      <c r="N202" s="432"/>
      <c r="O202" s="432"/>
      <c r="P202" s="432"/>
      <c r="Q202" s="432"/>
      <c r="R202" s="432"/>
      <c r="S202" s="432"/>
      <c r="T202" s="432"/>
      <c r="U202" s="432"/>
      <c r="V202" s="432"/>
      <c r="W202" s="432"/>
      <c r="X202" s="432"/>
      <c r="Y202" s="432"/>
      <c r="Z202" s="432"/>
      <c r="AA202" s="432"/>
      <c r="AB202" s="432"/>
    </row>
    <row r="203">
      <c r="A203" s="432"/>
      <c r="B203" s="432"/>
      <c r="C203" s="432"/>
      <c r="D203" s="432"/>
      <c r="E203" s="432"/>
      <c r="F203" s="432"/>
      <c r="G203" s="432"/>
      <c r="H203" s="432"/>
      <c r="I203" s="432"/>
      <c r="J203" s="432"/>
      <c r="K203" s="432"/>
      <c r="L203" s="432"/>
      <c r="M203" s="432"/>
      <c r="N203" s="432"/>
      <c r="O203" s="432"/>
      <c r="P203" s="432"/>
      <c r="Q203" s="432"/>
      <c r="R203" s="432"/>
      <c r="S203" s="432"/>
      <c r="T203" s="432"/>
      <c r="U203" s="432"/>
      <c r="V203" s="432"/>
      <c r="W203" s="432"/>
      <c r="X203" s="432"/>
      <c r="Y203" s="432"/>
      <c r="Z203" s="432"/>
      <c r="AA203" s="432"/>
      <c r="AB203" s="432"/>
    </row>
    <row r="204">
      <c r="A204" s="432"/>
      <c r="B204" s="432"/>
      <c r="C204" s="432"/>
      <c r="D204" s="432"/>
      <c r="E204" s="432"/>
      <c r="F204" s="432"/>
      <c r="G204" s="432"/>
      <c r="H204" s="432"/>
      <c r="I204" s="432"/>
      <c r="J204" s="432"/>
      <c r="K204" s="432"/>
      <c r="L204" s="432"/>
      <c r="M204" s="432"/>
      <c r="N204" s="432"/>
      <c r="O204" s="432"/>
      <c r="P204" s="432"/>
      <c r="Q204" s="432"/>
      <c r="R204" s="432"/>
      <c r="S204" s="432"/>
      <c r="T204" s="432"/>
      <c r="U204" s="432"/>
      <c r="V204" s="432"/>
      <c r="W204" s="432"/>
      <c r="X204" s="432"/>
      <c r="Y204" s="432"/>
      <c r="Z204" s="432"/>
      <c r="AA204" s="432"/>
      <c r="AB204" s="432"/>
    </row>
    <row r="205">
      <c r="A205" s="432"/>
      <c r="B205" s="432"/>
      <c r="C205" s="432"/>
      <c r="D205" s="432"/>
      <c r="E205" s="432"/>
      <c r="F205" s="432"/>
      <c r="G205" s="432"/>
      <c r="H205" s="432"/>
      <c r="I205" s="432"/>
      <c r="J205" s="432"/>
      <c r="K205" s="432"/>
      <c r="L205" s="432"/>
      <c r="M205" s="432"/>
      <c r="N205" s="432"/>
      <c r="O205" s="432"/>
      <c r="P205" s="432"/>
      <c r="Q205" s="432"/>
      <c r="R205" s="432"/>
      <c r="S205" s="432"/>
      <c r="T205" s="432"/>
      <c r="U205" s="432"/>
      <c r="V205" s="432"/>
      <c r="W205" s="432"/>
      <c r="X205" s="432"/>
      <c r="Y205" s="432"/>
      <c r="Z205" s="432"/>
      <c r="AA205" s="432"/>
      <c r="AB205" s="432"/>
    </row>
    <row r="206">
      <c r="A206" s="432"/>
      <c r="B206" s="432"/>
      <c r="C206" s="432"/>
      <c r="D206" s="432"/>
      <c r="E206" s="432"/>
      <c r="F206" s="432"/>
      <c r="G206" s="432"/>
      <c r="H206" s="432"/>
      <c r="I206" s="432"/>
      <c r="J206" s="432"/>
      <c r="K206" s="432"/>
      <c r="L206" s="432"/>
      <c r="M206" s="432"/>
      <c r="N206" s="432"/>
      <c r="O206" s="432"/>
      <c r="P206" s="432"/>
      <c r="Q206" s="432"/>
      <c r="R206" s="432"/>
      <c r="S206" s="432"/>
      <c r="T206" s="432"/>
      <c r="U206" s="432"/>
      <c r="V206" s="432"/>
      <c r="W206" s="432"/>
      <c r="X206" s="432"/>
      <c r="Y206" s="432"/>
      <c r="Z206" s="432"/>
      <c r="AA206" s="432"/>
      <c r="AB206" s="432"/>
    </row>
    <row r="207">
      <c r="A207" s="432"/>
      <c r="B207" s="432"/>
      <c r="C207" s="432"/>
      <c r="D207" s="432"/>
      <c r="E207" s="432"/>
      <c r="F207" s="432"/>
      <c r="G207" s="432"/>
      <c r="H207" s="432"/>
      <c r="I207" s="432"/>
      <c r="J207" s="432"/>
      <c r="K207" s="432"/>
      <c r="L207" s="432"/>
      <c r="M207" s="432"/>
      <c r="N207" s="432"/>
      <c r="O207" s="432"/>
      <c r="P207" s="432"/>
      <c r="Q207" s="432"/>
      <c r="R207" s="432"/>
      <c r="S207" s="432"/>
      <c r="T207" s="432"/>
      <c r="U207" s="432"/>
      <c r="V207" s="432"/>
      <c r="W207" s="432"/>
      <c r="X207" s="432"/>
      <c r="Y207" s="432"/>
      <c r="Z207" s="432"/>
      <c r="AA207" s="432"/>
      <c r="AB207" s="432"/>
    </row>
    <row r="208">
      <c r="A208" s="432"/>
      <c r="B208" s="432"/>
      <c r="C208" s="432"/>
      <c r="D208" s="432"/>
      <c r="E208" s="432"/>
      <c r="F208" s="432"/>
      <c r="G208" s="432"/>
      <c r="H208" s="432"/>
      <c r="I208" s="432"/>
      <c r="J208" s="432"/>
      <c r="K208" s="432"/>
      <c r="L208" s="432"/>
      <c r="M208" s="432"/>
      <c r="N208" s="432"/>
      <c r="O208" s="432"/>
      <c r="P208" s="432"/>
      <c r="Q208" s="432"/>
      <c r="R208" s="432"/>
      <c r="S208" s="432"/>
      <c r="T208" s="432"/>
      <c r="U208" s="432"/>
      <c r="V208" s="432"/>
      <c r="W208" s="432"/>
      <c r="X208" s="432"/>
      <c r="Y208" s="432"/>
      <c r="Z208" s="432"/>
      <c r="AA208" s="432"/>
      <c r="AB208" s="432"/>
    </row>
    <row r="209">
      <c r="A209" s="432"/>
      <c r="B209" s="432"/>
      <c r="C209" s="432"/>
      <c r="D209" s="432"/>
      <c r="E209" s="432"/>
      <c r="F209" s="432"/>
      <c r="G209" s="432"/>
      <c r="H209" s="432"/>
      <c r="I209" s="432"/>
      <c r="J209" s="432"/>
      <c r="K209" s="432"/>
      <c r="L209" s="432"/>
      <c r="M209" s="432"/>
      <c r="N209" s="432"/>
      <c r="O209" s="432"/>
      <c r="P209" s="432"/>
      <c r="Q209" s="432"/>
      <c r="R209" s="432"/>
      <c r="S209" s="432"/>
      <c r="T209" s="432"/>
      <c r="U209" s="432"/>
      <c r="V209" s="432"/>
      <c r="W209" s="432"/>
      <c r="X209" s="432"/>
      <c r="Y209" s="432"/>
      <c r="Z209" s="432"/>
      <c r="AA209" s="432"/>
      <c r="AB209" s="432"/>
    </row>
    <row r="210">
      <c r="A210" s="432"/>
      <c r="B210" s="432"/>
      <c r="C210" s="432"/>
      <c r="D210" s="432"/>
      <c r="E210" s="432"/>
      <c r="F210" s="432"/>
      <c r="G210" s="432"/>
      <c r="H210" s="432"/>
      <c r="I210" s="432"/>
      <c r="J210" s="432"/>
      <c r="K210" s="432"/>
      <c r="L210" s="432"/>
      <c r="M210" s="432"/>
      <c r="N210" s="432"/>
      <c r="O210" s="432"/>
      <c r="P210" s="432"/>
      <c r="Q210" s="432"/>
      <c r="R210" s="432"/>
      <c r="S210" s="432"/>
      <c r="T210" s="432"/>
      <c r="U210" s="432"/>
      <c r="V210" s="432"/>
      <c r="W210" s="432"/>
      <c r="X210" s="432"/>
      <c r="Y210" s="432"/>
      <c r="Z210" s="432"/>
      <c r="AA210" s="432"/>
      <c r="AB210" s="432"/>
    </row>
    <row r="211">
      <c r="A211" s="432"/>
      <c r="B211" s="432"/>
      <c r="C211" s="432"/>
      <c r="D211" s="432"/>
      <c r="E211" s="432"/>
      <c r="F211" s="432"/>
      <c r="G211" s="432"/>
      <c r="H211" s="432"/>
      <c r="I211" s="432"/>
      <c r="J211" s="432"/>
      <c r="K211" s="432"/>
      <c r="L211" s="432"/>
      <c r="M211" s="432"/>
      <c r="N211" s="432"/>
      <c r="O211" s="432"/>
      <c r="P211" s="432"/>
      <c r="Q211" s="432"/>
      <c r="R211" s="432"/>
      <c r="S211" s="432"/>
      <c r="T211" s="432"/>
      <c r="U211" s="432"/>
      <c r="V211" s="432"/>
      <c r="W211" s="432"/>
      <c r="X211" s="432"/>
      <c r="Y211" s="432"/>
      <c r="Z211" s="432"/>
      <c r="AA211" s="432"/>
      <c r="AB211" s="432"/>
    </row>
    <row r="212">
      <c r="A212" s="432"/>
      <c r="B212" s="432"/>
      <c r="C212" s="432"/>
      <c r="D212" s="432"/>
      <c r="E212" s="432"/>
      <c r="F212" s="432"/>
      <c r="G212" s="432"/>
      <c r="H212" s="432"/>
      <c r="I212" s="432"/>
      <c r="J212" s="432"/>
      <c r="K212" s="432"/>
      <c r="L212" s="432"/>
      <c r="M212" s="432"/>
      <c r="N212" s="432"/>
      <c r="O212" s="432"/>
      <c r="P212" s="432"/>
      <c r="Q212" s="432"/>
      <c r="R212" s="432"/>
      <c r="S212" s="432"/>
      <c r="T212" s="432"/>
      <c r="U212" s="432"/>
      <c r="V212" s="432"/>
      <c r="W212" s="432"/>
      <c r="X212" s="432"/>
      <c r="Y212" s="432"/>
      <c r="Z212" s="432"/>
      <c r="AA212" s="432"/>
      <c r="AB212" s="432"/>
    </row>
    <row r="213">
      <c r="A213" s="432"/>
      <c r="B213" s="432"/>
      <c r="C213" s="432"/>
      <c r="D213" s="432"/>
      <c r="E213" s="432"/>
      <c r="F213" s="432"/>
      <c r="G213" s="432"/>
      <c r="H213" s="432"/>
      <c r="I213" s="432"/>
      <c r="J213" s="432"/>
      <c r="K213" s="432"/>
      <c r="L213" s="432"/>
      <c r="M213" s="432"/>
      <c r="N213" s="432"/>
      <c r="O213" s="432"/>
      <c r="P213" s="432"/>
      <c r="Q213" s="432"/>
      <c r="R213" s="432"/>
      <c r="S213" s="432"/>
      <c r="T213" s="432"/>
      <c r="U213" s="432"/>
      <c r="V213" s="432"/>
      <c r="W213" s="432"/>
      <c r="X213" s="432"/>
      <c r="Y213" s="432"/>
      <c r="Z213" s="432"/>
      <c r="AA213" s="432"/>
      <c r="AB213" s="432"/>
    </row>
    <row r="214">
      <c r="A214" s="432"/>
      <c r="B214" s="432"/>
      <c r="C214" s="432"/>
      <c r="D214" s="432"/>
      <c r="E214" s="432"/>
      <c r="F214" s="432"/>
      <c r="G214" s="432"/>
      <c r="H214" s="432"/>
      <c r="I214" s="432"/>
      <c r="J214" s="432"/>
      <c r="K214" s="432"/>
      <c r="L214" s="432"/>
      <c r="M214" s="432"/>
      <c r="N214" s="432"/>
      <c r="O214" s="432"/>
      <c r="P214" s="432"/>
      <c r="Q214" s="432"/>
      <c r="R214" s="432"/>
      <c r="S214" s="432"/>
      <c r="T214" s="432"/>
      <c r="U214" s="432"/>
      <c r="V214" s="432"/>
      <c r="W214" s="432"/>
      <c r="X214" s="432"/>
      <c r="Y214" s="432"/>
      <c r="Z214" s="432"/>
      <c r="AA214" s="432"/>
      <c r="AB214" s="432"/>
    </row>
    <row r="215">
      <c r="A215" s="432"/>
      <c r="B215" s="432"/>
      <c r="C215" s="432"/>
      <c r="D215" s="432"/>
      <c r="E215" s="432"/>
      <c r="F215" s="432"/>
      <c r="G215" s="432"/>
      <c r="H215" s="432"/>
      <c r="I215" s="432"/>
      <c r="J215" s="432"/>
      <c r="K215" s="432"/>
      <c r="L215" s="432"/>
      <c r="M215" s="432"/>
      <c r="N215" s="432"/>
      <c r="O215" s="432"/>
      <c r="P215" s="432"/>
      <c r="Q215" s="432"/>
      <c r="R215" s="432"/>
      <c r="S215" s="432"/>
      <c r="T215" s="432"/>
      <c r="U215" s="432"/>
      <c r="V215" s="432"/>
      <c r="W215" s="432"/>
      <c r="X215" s="432"/>
      <c r="Y215" s="432"/>
      <c r="Z215" s="432"/>
      <c r="AA215" s="432"/>
      <c r="AB215" s="432"/>
    </row>
    <row r="216">
      <c r="A216" s="432"/>
      <c r="B216" s="432"/>
      <c r="C216" s="432"/>
      <c r="D216" s="432"/>
      <c r="E216" s="432"/>
      <c r="F216" s="432"/>
      <c r="G216" s="432"/>
      <c r="H216" s="432"/>
      <c r="I216" s="432"/>
      <c r="J216" s="432"/>
      <c r="K216" s="432"/>
      <c r="L216" s="432"/>
      <c r="M216" s="432"/>
      <c r="N216" s="432"/>
      <c r="O216" s="432"/>
      <c r="P216" s="432"/>
      <c r="Q216" s="432"/>
      <c r="R216" s="432"/>
      <c r="S216" s="432"/>
      <c r="T216" s="432"/>
      <c r="U216" s="432"/>
      <c r="V216" s="432"/>
      <c r="W216" s="432"/>
      <c r="X216" s="432"/>
      <c r="Y216" s="432"/>
      <c r="Z216" s="432"/>
      <c r="AA216" s="432"/>
      <c r="AB216" s="432"/>
    </row>
    <row r="217">
      <c r="A217" s="432"/>
      <c r="B217" s="432"/>
      <c r="C217" s="432"/>
      <c r="D217" s="432"/>
      <c r="E217" s="432"/>
      <c r="F217" s="432"/>
      <c r="G217" s="432"/>
      <c r="H217" s="432"/>
      <c r="I217" s="432"/>
      <c r="J217" s="432"/>
      <c r="K217" s="432"/>
      <c r="L217" s="432"/>
      <c r="M217" s="432"/>
      <c r="N217" s="432"/>
      <c r="O217" s="432"/>
      <c r="P217" s="432"/>
      <c r="Q217" s="432"/>
      <c r="R217" s="432"/>
      <c r="S217" s="432"/>
      <c r="T217" s="432"/>
      <c r="U217" s="432"/>
      <c r="V217" s="432"/>
      <c r="W217" s="432"/>
      <c r="X217" s="432"/>
      <c r="Y217" s="432"/>
      <c r="Z217" s="432"/>
      <c r="AA217" s="432"/>
      <c r="AB217" s="432"/>
    </row>
    <row r="218">
      <c r="A218" s="432"/>
      <c r="B218" s="432"/>
      <c r="C218" s="432"/>
      <c r="D218" s="432"/>
      <c r="E218" s="432"/>
      <c r="F218" s="432"/>
      <c r="G218" s="432"/>
      <c r="H218" s="432"/>
      <c r="I218" s="432"/>
      <c r="J218" s="432"/>
      <c r="K218" s="432"/>
      <c r="L218" s="432"/>
      <c r="M218" s="432"/>
      <c r="N218" s="432"/>
      <c r="O218" s="432"/>
      <c r="P218" s="432"/>
      <c r="Q218" s="432"/>
      <c r="R218" s="432"/>
      <c r="S218" s="432"/>
      <c r="T218" s="432"/>
      <c r="U218" s="432"/>
      <c r="V218" s="432"/>
      <c r="W218" s="432"/>
      <c r="X218" s="432"/>
      <c r="Y218" s="432"/>
      <c r="Z218" s="432"/>
      <c r="AA218" s="432"/>
      <c r="AB218" s="432"/>
    </row>
    <row r="219">
      <c r="A219" s="432"/>
      <c r="B219" s="432"/>
      <c r="C219" s="432"/>
      <c r="D219" s="432"/>
      <c r="E219" s="432"/>
      <c r="F219" s="432"/>
      <c r="G219" s="432"/>
      <c r="H219" s="432"/>
      <c r="I219" s="432"/>
      <c r="J219" s="432"/>
      <c r="K219" s="432"/>
      <c r="L219" s="432"/>
      <c r="M219" s="432"/>
      <c r="N219" s="432"/>
      <c r="O219" s="432"/>
      <c r="P219" s="432"/>
      <c r="Q219" s="432"/>
      <c r="R219" s="432"/>
      <c r="S219" s="432"/>
      <c r="T219" s="432"/>
      <c r="U219" s="432"/>
      <c r="V219" s="432"/>
      <c r="W219" s="432"/>
      <c r="X219" s="432"/>
      <c r="Y219" s="432"/>
      <c r="Z219" s="432"/>
      <c r="AA219" s="432"/>
      <c r="AB219" s="432"/>
    </row>
    <row r="220">
      <c r="A220" s="432"/>
      <c r="B220" s="432"/>
      <c r="C220" s="432"/>
      <c r="D220" s="432"/>
      <c r="E220" s="432"/>
      <c r="F220" s="432"/>
      <c r="G220" s="432"/>
      <c r="H220" s="432"/>
      <c r="I220" s="432"/>
      <c r="J220" s="432"/>
      <c r="K220" s="432"/>
      <c r="L220" s="432"/>
      <c r="M220" s="432"/>
      <c r="N220" s="432"/>
      <c r="O220" s="432"/>
      <c r="P220" s="432"/>
      <c r="Q220" s="432"/>
      <c r="R220" s="432"/>
      <c r="S220" s="432"/>
      <c r="T220" s="432"/>
      <c r="U220" s="432"/>
      <c r="V220" s="432"/>
      <c r="W220" s="432"/>
      <c r="X220" s="432"/>
      <c r="Y220" s="432"/>
      <c r="Z220" s="432"/>
      <c r="AA220" s="432"/>
      <c r="AB220" s="432"/>
    </row>
    <row r="221">
      <c r="A221" s="432"/>
      <c r="B221" s="432"/>
      <c r="C221" s="432"/>
      <c r="D221" s="432"/>
      <c r="E221" s="432"/>
      <c r="F221" s="432"/>
      <c r="G221" s="432"/>
      <c r="H221" s="432"/>
      <c r="I221" s="432"/>
      <c r="J221" s="432"/>
      <c r="K221" s="432"/>
      <c r="L221" s="432"/>
      <c r="M221" s="432"/>
      <c r="N221" s="432"/>
      <c r="O221" s="432"/>
      <c r="P221" s="432"/>
      <c r="Q221" s="432"/>
      <c r="R221" s="432"/>
      <c r="S221" s="432"/>
      <c r="T221" s="432"/>
      <c r="U221" s="432"/>
      <c r="V221" s="432"/>
      <c r="W221" s="432"/>
      <c r="X221" s="432"/>
      <c r="Y221" s="432"/>
      <c r="Z221" s="432"/>
      <c r="AA221" s="432"/>
      <c r="AB221" s="432"/>
    </row>
    <row r="222">
      <c r="A222" s="432"/>
      <c r="B222" s="432"/>
      <c r="C222" s="432"/>
      <c r="D222" s="432"/>
      <c r="E222" s="432"/>
      <c r="F222" s="432"/>
      <c r="G222" s="432"/>
      <c r="H222" s="432"/>
      <c r="I222" s="432"/>
      <c r="J222" s="432"/>
      <c r="K222" s="432"/>
      <c r="L222" s="432"/>
      <c r="M222" s="432"/>
      <c r="N222" s="432"/>
      <c r="O222" s="432"/>
      <c r="P222" s="432"/>
      <c r="Q222" s="432"/>
      <c r="R222" s="432"/>
      <c r="S222" s="432"/>
      <c r="T222" s="432"/>
      <c r="U222" s="432"/>
      <c r="V222" s="432"/>
      <c r="W222" s="432"/>
      <c r="X222" s="432"/>
      <c r="Y222" s="432"/>
      <c r="Z222" s="432"/>
      <c r="AA222" s="432"/>
      <c r="AB222" s="432"/>
    </row>
    <row r="223">
      <c r="A223" s="432"/>
      <c r="B223" s="432"/>
      <c r="C223" s="432"/>
      <c r="D223" s="432"/>
      <c r="E223" s="432"/>
      <c r="F223" s="432"/>
      <c r="G223" s="432"/>
      <c r="H223" s="432"/>
      <c r="I223" s="432"/>
      <c r="J223" s="432"/>
      <c r="K223" s="432"/>
      <c r="L223" s="432"/>
      <c r="M223" s="432"/>
      <c r="N223" s="432"/>
      <c r="O223" s="432"/>
      <c r="P223" s="432"/>
      <c r="Q223" s="432"/>
      <c r="R223" s="432"/>
      <c r="S223" s="432"/>
      <c r="T223" s="432"/>
      <c r="U223" s="432"/>
      <c r="V223" s="432"/>
      <c r="W223" s="432"/>
      <c r="X223" s="432"/>
      <c r="Y223" s="432"/>
      <c r="Z223" s="432"/>
      <c r="AA223" s="432"/>
      <c r="AB223" s="432"/>
    </row>
    <row r="224">
      <c r="A224" s="432"/>
      <c r="B224" s="432"/>
      <c r="C224" s="432"/>
      <c r="D224" s="432"/>
      <c r="E224" s="432"/>
      <c r="F224" s="432"/>
      <c r="G224" s="432"/>
      <c r="H224" s="432"/>
      <c r="I224" s="432"/>
      <c r="J224" s="432"/>
      <c r="K224" s="432"/>
      <c r="L224" s="432"/>
      <c r="M224" s="432"/>
      <c r="N224" s="432"/>
      <c r="O224" s="432"/>
      <c r="P224" s="432"/>
      <c r="Q224" s="432"/>
      <c r="R224" s="432"/>
      <c r="S224" s="432"/>
      <c r="T224" s="432"/>
      <c r="U224" s="432"/>
      <c r="V224" s="432"/>
      <c r="W224" s="432"/>
      <c r="X224" s="432"/>
      <c r="Y224" s="432"/>
      <c r="Z224" s="432"/>
      <c r="AA224" s="432"/>
      <c r="AB224" s="432"/>
    </row>
    <row r="225">
      <c r="A225" s="432"/>
      <c r="B225" s="432"/>
      <c r="C225" s="432"/>
      <c r="D225" s="432"/>
      <c r="E225" s="432"/>
      <c r="F225" s="432"/>
      <c r="G225" s="432"/>
      <c r="H225" s="432"/>
      <c r="I225" s="432"/>
      <c r="J225" s="432"/>
      <c r="K225" s="432"/>
      <c r="L225" s="432"/>
      <c r="M225" s="432"/>
      <c r="N225" s="432"/>
      <c r="O225" s="432"/>
      <c r="P225" s="432"/>
      <c r="Q225" s="432"/>
      <c r="R225" s="432"/>
      <c r="S225" s="432"/>
      <c r="T225" s="432"/>
      <c r="U225" s="432"/>
      <c r="V225" s="432"/>
      <c r="W225" s="432"/>
      <c r="X225" s="432"/>
      <c r="Y225" s="432"/>
      <c r="Z225" s="432"/>
      <c r="AA225" s="432"/>
      <c r="AB225" s="432"/>
    </row>
    <row r="226">
      <c r="A226" s="432"/>
      <c r="B226" s="432"/>
      <c r="C226" s="432"/>
      <c r="D226" s="432"/>
      <c r="E226" s="432"/>
      <c r="F226" s="432"/>
      <c r="G226" s="432"/>
      <c r="H226" s="432"/>
      <c r="I226" s="432"/>
      <c r="J226" s="432"/>
      <c r="K226" s="432"/>
      <c r="L226" s="432"/>
      <c r="M226" s="432"/>
      <c r="N226" s="432"/>
      <c r="O226" s="432"/>
      <c r="P226" s="432"/>
      <c r="Q226" s="432"/>
      <c r="R226" s="432"/>
      <c r="S226" s="432"/>
      <c r="T226" s="432"/>
      <c r="U226" s="432"/>
      <c r="V226" s="432"/>
      <c r="W226" s="432"/>
      <c r="X226" s="432"/>
      <c r="Y226" s="432"/>
      <c r="Z226" s="432"/>
      <c r="AA226" s="432"/>
      <c r="AB226" s="432"/>
    </row>
    <row r="227">
      <c r="A227" s="432"/>
      <c r="B227" s="432"/>
      <c r="C227" s="432"/>
      <c r="D227" s="432"/>
      <c r="E227" s="432"/>
      <c r="F227" s="432"/>
      <c r="G227" s="432"/>
      <c r="H227" s="432"/>
      <c r="I227" s="432"/>
      <c r="J227" s="432"/>
      <c r="K227" s="432"/>
      <c r="L227" s="432"/>
      <c r="M227" s="432"/>
      <c r="N227" s="432"/>
      <c r="O227" s="432"/>
      <c r="P227" s="432"/>
      <c r="Q227" s="432"/>
      <c r="R227" s="432"/>
      <c r="S227" s="432"/>
      <c r="T227" s="432"/>
      <c r="U227" s="432"/>
      <c r="V227" s="432"/>
      <c r="W227" s="432"/>
      <c r="X227" s="432"/>
      <c r="Y227" s="432"/>
      <c r="Z227" s="432"/>
      <c r="AA227" s="432"/>
      <c r="AB227" s="432"/>
    </row>
    <row r="228">
      <c r="A228" s="432"/>
      <c r="B228" s="432"/>
      <c r="C228" s="432"/>
      <c r="D228" s="432"/>
      <c r="E228" s="432"/>
      <c r="F228" s="432"/>
      <c r="G228" s="432"/>
      <c r="H228" s="432"/>
      <c r="I228" s="432"/>
      <c r="J228" s="432"/>
      <c r="K228" s="432"/>
      <c r="L228" s="432"/>
      <c r="M228" s="432"/>
      <c r="N228" s="432"/>
      <c r="O228" s="432"/>
      <c r="P228" s="432"/>
      <c r="Q228" s="432"/>
      <c r="R228" s="432"/>
      <c r="S228" s="432"/>
      <c r="T228" s="432"/>
      <c r="U228" s="432"/>
      <c r="V228" s="432"/>
      <c r="W228" s="432"/>
      <c r="X228" s="432"/>
      <c r="Y228" s="432"/>
      <c r="Z228" s="432"/>
      <c r="AA228" s="432"/>
      <c r="AB228" s="432"/>
    </row>
    <row r="229">
      <c r="A229" s="432"/>
      <c r="B229" s="432"/>
      <c r="C229" s="432"/>
      <c r="D229" s="432"/>
      <c r="E229" s="432"/>
      <c r="F229" s="432"/>
      <c r="G229" s="432"/>
      <c r="H229" s="432"/>
      <c r="I229" s="432"/>
      <c r="J229" s="432"/>
      <c r="K229" s="432"/>
      <c r="L229" s="432"/>
      <c r="M229" s="432"/>
      <c r="N229" s="432"/>
      <c r="O229" s="432"/>
      <c r="P229" s="432"/>
      <c r="Q229" s="432"/>
      <c r="R229" s="432"/>
      <c r="S229" s="432"/>
      <c r="T229" s="432"/>
      <c r="U229" s="432"/>
      <c r="V229" s="432"/>
      <c r="W229" s="432"/>
      <c r="X229" s="432"/>
      <c r="Y229" s="432"/>
      <c r="Z229" s="432"/>
      <c r="AA229" s="432"/>
      <c r="AB229" s="432"/>
    </row>
    <row r="230">
      <c r="A230" s="432"/>
      <c r="B230" s="432"/>
      <c r="C230" s="432"/>
      <c r="D230" s="432"/>
      <c r="E230" s="432"/>
      <c r="F230" s="432"/>
      <c r="G230" s="432"/>
      <c r="H230" s="432"/>
      <c r="I230" s="432"/>
      <c r="J230" s="432"/>
      <c r="K230" s="432"/>
      <c r="L230" s="432"/>
      <c r="M230" s="432"/>
      <c r="N230" s="432"/>
      <c r="O230" s="432"/>
      <c r="P230" s="432"/>
      <c r="Q230" s="432"/>
      <c r="R230" s="432"/>
      <c r="S230" s="432"/>
      <c r="T230" s="432"/>
      <c r="U230" s="432"/>
      <c r="V230" s="432"/>
      <c r="W230" s="432"/>
      <c r="X230" s="432"/>
      <c r="Y230" s="432"/>
      <c r="Z230" s="432"/>
      <c r="AA230" s="432"/>
      <c r="AB230" s="432"/>
    </row>
    <row r="231">
      <c r="A231" s="432"/>
      <c r="B231" s="432"/>
      <c r="C231" s="432"/>
      <c r="D231" s="432"/>
      <c r="E231" s="432"/>
      <c r="F231" s="432"/>
      <c r="G231" s="432"/>
      <c r="H231" s="432"/>
      <c r="I231" s="432"/>
      <c r="J231" s="432"/>
      <c r="K231" s="432"/>
      <c r="L231" s="432"/>
      <c r="M231" s="432"/>
      <c r="N231" s="432"/>
      <c r="O231" s="432"/>
      <c r="P231" s="432"/>
      <c r="Q231" s="432"/>
      <c r="R231" s="432"/>
      <c r="S231" s="432"/>
      <c r="T231" s="432"/>
      <c r="U231" s="432"/>
      <c r="V231" s="432"/>
      <c r="W231" s="432"/>
      <c r="X231" s="432"/>
      <c r="Y231" s="432"/>
      <c r="Z231" s="432"/>
      <c r="AA231" s="432"/>
      <c r="AB231" s="432"/>
    </row>
    <row r="232">
      <c r="A232" s="432"/>
      <c r="B232" s="432"/>
      <c r="C232" s="432"/>
      <c r="D232" s="432"/>
      <c r="E232" s="432"/>
      <c r="F232" s="432"/>
      <c r="G232" s="432"/>
      <c r="H232" s="432"/>
      <c r="I232" s="432"/>
      <c r="J232" s="432"/>
      <c r="K232" s="432"/>
      <c r="L232" s="432"/>
      <c r="M232" s="432"/>
      <c r="N232" s="432"/>
      <c r="O232" s="432"/>
      <c r="P232" s="432"/>
      <c r="Q232" s="432"/>
      <c r="R232" s="432"/>
      <c r="S232" s="432"/>
      <c r="T232" s="432"/>
      <c r="U232" s="432"/>
      <c r="V232" s="432"/>
      <c r="W232" s="432"/>
      <c r="X232" s="432"/>
      <c r="Y232" s="432"/>
      <c r="Z232" s="432"/>
      <c r="AA232" s="432"/>
      <c r="AB232" s="432"/>
    </row>
    <row r="233">
      <c r="A233" s="432"/>
      <c r="B233" s="432"/>
      <c r="C233" s="432"/>
      <c r="D233" s="432"/>
      <c r="E233" s="432"/>
      <c r="F233" s="432"/>
      <c r="G233" s="432"/>
      <c r="H233" s="432"/>
      <c r="I233" s="432"/>
      <c r="J233" s="432"/>
      <c r="K233" s="432"/>
      <c r="L233" s="432"/>
      <c r="M233" s="432"/>
      <c r="N233" s="432"/>
      <c r="O233" s="432"/>
      <c r="P233" s="432"/>
      <c r="Q233" s="432"/>
      <c r="R233" s="432"/>
      <c r="S233" s="432"/>
      <c r="T233" s="432"/>
      <c r="U233" s="432"/>
      <c r="V233" s="432"/>
      <c r="W233" s="432"/>
      <c r="X233" s="432"/>
      <c r="Y233" s="432"/>
      <c r="Z233" s="432"/>
      <c r="AA233" s="432"/>
      <c r="AB233" s="432"/>
    </row>
    <row r="234">
      <c r="A234" s="432"/>
      <c r="B234" s="432"/>
      <c r="C234" s="432"/>
      <c r="D234" s="432"/>
      <c r="E234" s="432"/>
      <c r="F234" s="432"/>
      <c r="G234" s="432"/>
      <c r="H234" s="432"/>
      <c r="I234" s="432"/>
      <c r="J234" s="432"/>
      <c r="K234" s="432"/>
      <c r="L234" s="432"/>
      <c r="M234" s="432"/>
      <c r="N234" s="432"/>
      <c r="O234" s="432"/>
      <c r="P234" s="432"/>
      <c r="Q234" s="432"/>
      <c r="R234" s="432"/>
      <c r="S234" s="432"/>
      <c r="T234" s="432"/>
      <c r="U234" s="432"/>
      <c r="V234" s="432"/>
      <c r="W234" s="432"/>
      <c r="X234" s="432"/>
      <c r="Y234" s="432"/>
      <c r="Z234" s="432"/>
      <c r="AA234" s="432"/>
      <c r="AB234" s="432"/>
    </row>
    <row r="235">
      <c r="A235" s="432"/>
      <c r="B235" s="432"/>
      <c r="C235" s="432"/>
      <c r="D235" s="432"/>
      <c r="E235" s="432"/>
      <c r="F235" s="432"/>
      <c r="G235" s="432"/>
      <c r="H235" s="432"/>
      <c r="I235" s="432"/>
      <c r="J235" s="432"/>
      <c r="K235" s="432"/>
      <c r="L235" s="432"/>
      <c r="M235" s="432"/>
      <c r="N235" s="432"/>
      <c r="O235" s="432"/>
      <c r="P235" s="432"/>
      <c r="Q235" s="432"/>
      <c r="R235" s="432"/>
      <c r="S235" s="432"/>
      <c r="T235" s="432"/>
      <c r="U235" s="432"/>
      <c r="V235" s="432"/>
      <c r="W235" s="432"/>
      <c r="X235" s="432"/>
      <c r="Y235" s="432"/>
      <c r="Z235" s="432"/>
      <c r="AA235" s="432"/>
      <c r="AB235" s="432"/>
    </row>
    <row r="236">
      <c r="A236" s="432"/>
      <c r="B236" s="432"/>
      <c r="C236" s="432"/>
      <c r="D236" s="432"/>
      <c r="E236" s="432"/>
      <c r="F236" s="432"/>
      <c r="G236" s="432"/>
      <c r="H236" s="432"/>
      <c r="I236" s="432"/>
      <c r="J236" s="432"/>
      <c r="K236" s="432"/>
      <c r="L236" s="432"/>
      <c r="M236" s="432"/>
      <c r="N236" s="432"/>
      <c r="O236" s="432"/>
      <c r="P236" s="432"/>
      <c r="Q236" s="432"/>
      <c r="R236" s="432"/>
      <c r="S236" s="432"/>
      <c r="T236" s="432"/>
      <c r="U236" s="432"/>
      <c r="V236" s="432"/>
      <c r="W236" s="432"/>
      <c r="X236" s="432"/>
      <c r="Y236" s="432"/>
      <c r="Z236" s="432"/>
      <c r="AA236" s="432"/>
      <c r="AB236" s="432"/>
    </row>
    <row r="237">
      <c r="A237" s="432"/>
      <c r="B237" s="432"/>
      <c r="C237" s="432"/>
      <c r="D237" s="432"/>
      <c r="E237" s="432"/>
      <c r="F237" s="432"/>
      <c r="G237" s="432"/>
      <c r="H237" s="432"/>
      <c r="I237" s="432"/>
      <c r="J237" s="432"/>
      <c r="K237" s="432"/>
      <c r="L237" s="432"/>
      <c r="M237" s="432"/>
      <c r="N237" s="432"/>
      <c r="O237" s="432"/>
      <c r="P237" s="432"/>
      <c r="Q237" s="432"/>
      <c r="R237" s="432"/>
      <c r="S237" s="432"/>
      <c r="T237" s="432"/>
      <c r="U237" s="432"/>
      <c r="V237" s="432"/>
      <c r="W237" s="432"/>
      <c r="X237" s="432"/>
      <c r="Y237" s="432"/>
      <c r="Z237" s="432"/>
      <c r="AA237" s="432"/>
      <c r="AB237" s="432"/>
    </row>
    <row r="238">
      <c r="A238" s="432"/>
      <c r="B238" s="432"/>
      <c r="C238" s="432"/>
      <c r="D238" s="432"/>
      <c r="E238" s="432"/>
      <c r="F238" s="432"/>
      <c r="G238" s="432"/>
      <c r="H238" s="432"/>
      <c r="I238" s="432"/>
      <c r="J238" s="432"/>
      <c r="K238" s="432"/>
      <c r="L238" s="432"/>
      <c r="M238" s="432"/>
      <c r="N238" s="432"/>
      <c r="O238" s="432"/>
      <c r="P238" s="432"/>
      <c r="Q238" s="432"/>
      <c r="R238" s="432"/>
      <c r="S238" s="432"/>
      <c r="T238" s="432"/>
      <c r="U238" s="432"/>
      <c r="V238" s="432"/>
      <c r="W238" s="432"/>
      <c r="X238" s="432"/>
      <c r="Y238" s="432"/>
      <c r="Z238" s="432"/>
      <c r="AA238" s="432"/>
      <c r="AB238" s="432"/>
    </row>
    <row r="239">
      <c r="A239" s="432"/>
      <c r="B239" s="432"/>
      <c r="C239" s="432"/>
      <c r="D239" s="432"/>
      <c r="E239" s="432"/>
      <c r="F239" s="432"/>
      <c r="G239" s="432"/>
      <c r="H239" s="432"/>
      <c r="I239" s="432"/>
      <c r="J239" s="432"/>
      <c r="K239" s="432"/>
      <c r="L239" s="432"/>
      <c r="M239" s="432"/>
      <c r="N239" s="432"/>
      <c r="O239" s="432"/>
      <c r="P239" s="432"/>
      <c r="Q239" s="432"/>
      <c r="R239" s="432"/>
      <c r="S239" s="432"/>
      <c r="T239" s="432"/>
      <c r="U239" s="432"/>
      <c r="V239" s="432"/>
      <c r="W239" s="432"/>
      <c r="X239" s="432"/>
      <c r="Y239" s="432"/>
      <c r="Z239" s="432"/>
      <c r="AA239" s="432"/>
      <c r="AB239" s="432"/>
    </row>
    <row r="240">
      <c r="A240" s="432"/>
      <c r="B240" s="432"/>
      <c r="C240" s="432"/>
      <c r="D240" s="432"/>
      <c r="E240" s="432"/>
      <c r="F240" s="432"/>
      <c r="G240" s="432"/>
      <c r="H240" s="432"/>
      <c r="I240" s="432"/>
      <c r="J240" s="432"/>
      <c r="K240" s="432"/>
      <c r="L240" s="432"/>
      <c r="M240" s="432"/>
      <c r="N240" s="432"/>
      <c r="O240" s="432"/>
      <c r="P240" s="432"/>
      <c r="Q240" s="432"/>
      <c r="R240" s="432"/>
      <c r="S240" s="432"/>
      <c r="T240" s="432"/>
      <c r="U240" s="432"/>
      <c r="V240" s="432"/>
      <c r="W240" s="432"/>
      <c r="X240" s="432"/>
      <c r="Y240" s="432"/>
      <c r="Z240" s="432"/>
      <c r="AA240" s="432"/>
      <c r="AB240" s="432"/>
    </row>
    <row r="241">
      <c r="A241" s="432"/>
      <c r="B241" s="432"/>
      <c r="C241" s="432"/>
      <c r="D241" s="432"/>
      <c r="E241" s="432"/>
      <c r="F241" s="432"/>
      <c r="G241" s="432"/>
      <c r="H241" s="432"/>
      <c r="I241" s="432"/>
      <c r="J241" s="432"/>
      <c r="K241" s="432"/>
      <c r="L241" s="432"/>
      <c r="M241" s="432"/>
      <c r="N241" s="432"/>
      <c r="O241" s="432"/>
      <c r="P241" s="432"/>
      <c r="Q241" s="432"/>
      <c r="R241" s="432"/>
      <c r="S241" s="432"/>
      <c r="T241" s="432"/>
      <c r="U241" s="432"/>
      <c r="V241" s="432"/>
      <c r="W241" s="432"/>
      <c r="X241" s="432"/>
      <c r="Y241" s="432"/>
      <c r="Z241" s="432"/>
      <c r="AA241" s="432"/>
      <c r="AB241" s="432"/>
    </row>
    <row r="242">
      <c r="A242" s="432"/>
      <c r="B242" s="432"/>
      <c r="C242" s="432"/>
      <c r="D242" s="432"/>
      <c r="E242" s="432"/>
      <c r="F242" s="432"/>
      <c r="G242" s="432"/>
      <c r="H242" s="432"/>
      <c r="I242" s="432"/>
      <c r="J242" s="432"/>
      <c r="K242" s="432"/>
      <c r="L242" s="432"/>
      <c r="M242" s="432"/>
      <c r="N242" s="432"/>
      <c r="O242" s="432"/>
      <c r="P242" s="432"/>
      <c r="Q242" s="432"/>
      <c r="R242" s="432"/>
      <c r="S242" s="432"/>
      <c r="T242" s="432"/>
      <c r="U242" s="432"/>
      <c r="V242" s="432"/>
      <c r="W242" s="432"/>
      <c r="X242" s="432"/>
      <c r="Y242" s="432"/>
      <c r="Z242" s="432"/>
      <c r="AA242" s="432"/>
      <c r="AB242" s="432"/>
    </row>
    <row r="243">
      <c r="A243" s="432"/>
      <c r="B243" s="432"/>
      <c r="C243" s="432"/>
      <c r="D243" s="432"/>
      <c r="E243" s="432"/>
      <c r="F243" s="432"/>
      <c r="G243" s="432"/>
      <c r="H243" s="432"/>
      <c r="I243" s="432"/>
      <c r="J243" s="432"/>
      <c r="K243" s="432"/>
      <c r="L243" s="432"/>
      <c r="M243" s="432"/>
      <c r="N243" s="432"/>
      <c r="O243" s="432"/>
      <c r="P243" s="432"/>
      <c r="Q243" s="432"/>
      <c r="R243" s="432"/>
      <c r="S243" s="432"/>
      <c r="T243" s="432"/>
      <c r="U243" s="432"/>
      <c r="V243" s="432"/>
      <c r="W243" s="432"/>
      <c r="X243" s="432"/>
      <c r="Y243" s="432"/>
      <c r="Z243" s="432"/>
      <c r="AA243" s="432"/>
      <c r="AB243" s="432"/>
    </row>
    <row r="244">
      <c r="A244" s="432"/>
      <c r="B244" s="432"/>
      <c r="C244" s="432"/>
      <c r="D244" s="432"/>
      <c r="E244" s="432"/>
      <c r="F244" s="432"/>
      <c r="G244" s="432"/>
      <c r="H244" s="432"/>
      <c r="I244" s="432"/>
      <c r="J244" s="432"/>
      <c r="K244" s="432"/>
      <c r="L244" s="432"/>
      <c r="M244" s="432"/>
      <c r="N244" s="432"/>
      <c r="O244" s="432"/>
      <c r="P244" s="432"/>
      <c r="Q244" s="432"/>
      <c r="R244" s="432"/>
      <c r="S244" s="432"/>
      <c r="T244" s="432"/>
      <c r="U244" s="432"/>
      <c r="V244" s="432"/>
      <c r="W244" s="432"/>
      <c r="X244" s="432"/>
      <c r="Y244" s="432"/>
      <c r="Z244" s="432"/>
      <c r="AA244" s="432"/>
      <c r="AB244" s="432"/>
    </row>
    <row r="245">
      <c r="A245" s="432"/>
      <c r="B245" s="432"/>
      <c r="C245" s="432"/>
      <c r="D245" s="432"/>
      <c r="E245" s="432"/>
      <c r="F245" s="432"/>
      <c r="G245" s="432"/>
      <c r="H245" s="432"/>
      <c r="I245" s="432"/>
      <c r="J245" s="432"/>
      <c r="K245" s="432"/>
      <c r="L245" s="432"/>
      <c r="M245" s="432"/>
      <c r="N245" s="432"/>
      <c r="O245" s="432"/>
      <c r="P245" s="432"/>
      <c r="Q245" s="432"/>
      <c r="R245" s="432"/>
      <c r="S245" s="432"/>
      <c r="T245" s="432"/>
      <c r="U245" s="432"/>
      <c r="V245" s="432"/>
      <c r="W245" s="432"/>
      <c r="X245" s="432"/>
      <c r="Y245" s="432"/>
      <c r="Z245" s="432"/>
      <c r="AA245" s="432"/>
      <c r="AB245" s="432"/>
    </row>
    <row r="246">
      <c r="A246" s="432"/>
      <c r="B246" s="432"/>
      <c r="C246" s="432"/>
      <c r="D246" s="432"/>
      <c r="E246" s="432"/>
      <c r="F246" s="432"/>
      <c r="G246" s="432"/>
      <c r="H246" s="432"/>
      <c r="I246" s="432"/>
      <c r="J246" s="432"/>
      <c r="K246" s="432"/>
      <c r="L246" s="432"/>
      <c r="M246" s="432"/>
      <c r="N246" s="432"/>
      <c r="O246" s="432"/>
      <c r="P246" s="432"/>
      <c r="Q246" s="432"/>
      <c r="R246" s="432"/>
      <c r="S246" s="432"/>
      <c r="T246" s="432"/>
      <c r="U246" s="432"/>
      <c r="V246" s="432"/>
      <c r="W246" s="432"/>
      <c r="X246" s="432"/>
      <c r="Y246" s="432"/>
      <c r="Z246" s="432"/>
      <c r="AA246" s="432"/>
      <c r="AB246" s="432"/>
    </row>
    <row r="247">
      <c r="A247" s="432"/>
      <c r="B247" s="432"/>
      <c r="C247" s="432"/>
      <c r="D247" s="432"/>
      <c r="E247" s="432"/>
      <c r="F247" s="432"/>
      <c r="G247" s="432"/>
      <c r="H247" s="432"/>
      <c r="I247" s="432"/>
      <c r="J247" s="432"/>
      <c r="K247" s="432"/>
      <c r="L247" s="432"/>
      <c r="M247" s="432"/>
      <c r="N247" s="432"/>
      <c r="O247" s="432"/>
      <c r="P247" s="432"/>
      <c r="Q247" s="432"/>
      <c r="R247" s="432"/>
      <c r="S247" s="432"/>
      <c r="T247" s="432"/>
      <c r="U247" s="432"/>
      <c r="V247" s="432"/>
      <c r="W247" s="432"/>
      <c r="X247" s="432"/>
      <c r="Y247" s="432"/>
      <c r="Z247" s="432"/>
      <c r="AA247" s="432"/>
      <c r="AB247" s="432"/>
    </row>
    <row r="248">
      <c r="A248" s="432"/>
      <c r="B248" s="432"/>
      <c r="C248" s="432"/>
      <c r="D248" s="432"/>
      <c r="E248" s="432"/>
      <c r="F248" s="432"/>
      <c r="G248" s="432"/>
      <c r="H248" s="432"/>
      <c r="I248" s="432"/>
      <c r="J248" s="432"/>
      <c r="K248" s="432"/>
      <c r="L248" s="432"/>
      <c r="M248" s="432"/>
      <c r="N248" s="432"/>
      <c r="O248" s="432"/>
      <c r="P248" s="432"/>
      <c r="Q248" s="432"/>
      <c r="R248" s="432"/>
      <c r="S248" s="432"/>
      <c r="T248" s="432"/>
      <c r="U248" s="432"/>
      <c r="V248" s="432"/>
      <c r="W248" s="432"/>
      <c r="X248" s="432"/>
      <c r="Y248" s="432"/>
      <c r="Z248" s="432"/>
      <c r="AA248" s="432"/>
      <c r="AB248" s="432"/>
    </row>
    <row r="249">
      <c r="A249" s="432"/>
      <c r="B249" s="432"/>
      <c r="C249" s="432"/>
      <c r="D249" s="432"/>
      <c r="E249" s="432"/>
      <c r="F249" s="432"/>
      <c r="G249" s="432"/>
      <c r="H249" s="432"/>
      <c r="I249" s="432"/>
      <c r="J249" s="432"/>
      <c r="K249" s="432"/>
      <c r="L249" s="432"/>
      <c r="M249" s="432"/>
      <c r="N249" s="432"/>
      <c r="O249" s="432"/>
      <c r="P249" s="432"/>
      <c r="Q249" s="432"/>
      <c r="R249" s="432"/>
      <c r="S249" s="432"/>
      <c r="T249" s="432"/>
      <c r="U249" s="432"/>
      <c r="V249" s="432"/>
      <c r="W249" s="432"/>
      <c r="X249" s="432"/>
      <c r="Y249" s="432"/>
      <c r="Z249" s="432"/>
      <c r="AA249" s="432"/>
      <c r="AB249" s="432"/>
    </row>
    <row r="250">
      <c r="A250" s="432"/>
      <c r="B250" s="432"/>
      <c r="C250" s="432"/>
      <c r="D250" s="432"/>
      <c r="E250" s="432"/>
      <c r="F250" s="432"/>
      <c r="G250" s="432"/>
      <c r="H250" s="432"/>
      <c r="I250" s="432"/>
      <c r="J250" s="432"/>
      <c r="K250" s="432"/>
      <c r="L250" s="432"/>
      <c r="M250" s="432"/>
      <c r="N250" s="432"/>
      <c r="O250" s="432"/>
      <c r="P250" s="432"/>
      <c r="Q250" s="432"/>
      <c r="R250" s="432"/>
      <c r="S250" s="432"/>
      <c r="T250" s="432"/>
      <c r="U250" s="432"/>
      <c r="V250" s="432"/>
      <c r="W250" s="432"/>
      <c r="X250" s="432"/>
      <c r="Y250" s="432"/>
      <c r="Z250" s="432"/>
      <c r="AA250" s="432"/>
      <c r="AB250" s="432"/>
    </row>
    <row r="251">
      <c r="A251" s="432"/>
      <c r="B251" s="432"/>
      <c r="C251" s="432"/>
      <c r="D251" s="432"/>
      <c r="E251" s="432"/>
      <c r="F251" s="432"/>
      <c r="G251" s="432"/>
      <c r="H251" s="432"/>
      <c r="I251" s="432"/>
      <c r="J251" s="432"/>
      <c r="K251" s="432"/>
      <c r="L251" s="432"/>
      <c r="M251" s="432"/>
      <c r="N251" s="432"/>
      <c r="O251" s="432"/>
      <c r="P251" s="432"/>
      <c r="Q251" s="432"/>
      <c r="R251" s="432"/>
      <c r="S251" s="432"/>
      <c r="T251" s="432"/>
      <c r="U251" s="432"/>
      <c r="V251" s="432"/>
      <c r="W251" s="432"/>
      <c r="X251" s="432"/>
      <c r="Y251" s="432"/>
      <c r="Z251" s="432"/>
      <c r="AA251" s="432"/>
      <c r="AB251" s="432"/>
    </row>
    <row r="252">
      <c r="A252" s="432"/>
      <c r="B252" s="432"/>
      <c r="C252" s="432"/>
      <c r="D252" s="432"/>
      <c r="E252" s="432"/>
      <c r="F252" s="432"/>
      <c r="G252" s="432"/>
      <c r="H252" s="432"/>
      <c r="I252" s="432"/>
      <c r="J252" s="432"/>
      <c r="K252" s="432"/>
      <c r="L252" s="432"/>
      <c r="M252" s="432"/>
      <c r="N252" s="432"/>
      <c r="O252" s="432"/>
      <c r="P252" s="432"/>
      <c r="Q252" s="432"/>
      <c r="R252" s="432"/>
      <c r="S252" s="432"/>
      <c r="T252" s="432"/>
      <c r="U252" s="432"/>
      <c r="V252" s="432"/>
      <c r="W252" s="432"/>
      <c r="X252" s="432"/>
      <c r="Y252" s="432"/>
      <c r="Z252" s="432"/>
      <c r="AA252" s="432"/>
      <c r="AB252" s="432"/>
    </row>
    <row r="253">
      <c r="A253" s="432"/>
      <c r="B253" s="432"/>
      <c r="C253" s="432"/>
      <c r="D253" s="432"/>
      <c r="E253" s="432"/>
      <c r="F253" s="432"/>
      <c r="G253" s="432"/>
      <c r="H253" s="432"/>
      <c r="I253" s="432"/>
      <c r="J253" s="432"/>
      <c r="K253" s="432"/>
      <c r="L253" s="432"/>
      <c r="M253" s="432"/>
      <c r="N253" s="432"/>
      <c r="O253" s="432"/>
      <c r="P253" s="432"/>
      <c r="Q253" s="432"/>
      <c r="R253" s="432"/>
      <c r="S253" s="432"/>
      <c r="T253" s="432"/>
      <c r="U253" s="432"/>
      <c r="V253" s="432"/>
      <c r="W253" s="432"/>
      <c r="X253" s="432"/>
      <c r="Y253" s="432"/>
      <c r="Z253" s="432"/>
      <c r="AA253" s="432"/>
      <c r="AB253" s="432"/>
    </row>
    <row r="254">
      <c r="A254" s="432"/>
      <c r="B254" s="432"/>
      <c r="C254" s="432"/>
      <c r="D254" s="432"/>
      <c r="E254" s="432"/>
      <c r="F254" s="432"/>
      <c r="G254" s="432"/>
      <c r="H254" s="432"/>
      <c r="I254" s="432"/>
      <c r="J254" s="432"/>
      <c r="K254" s="432"/>
      <c r="L254" s="432"/>
      <c r="M254" s="432"/>
      <c r="N254" s="432"/>
      <c r="O254" s="432"/>
      <c r="P254" s="432"/>
      <c r="Q254" s="432"/>
      <c r="R254" s="432"/>
      <c r="S254" s="432"/>
      <c r="T254" s="432"/>
      <c r="U254" s="432"/>
      <c r="V254" s="432"/>
      <c r="W254" s="432"/>
      <c r="X254" s="432"/>
      <c r="Y254" s="432"/>
      <c r="Z254" s="432"/>
      <c r="AA254" s="432"/>
      <c r="AB254" s="432"/>
    </row>
    <row r="255">
      <c r="A255" s="432"/>
      <c r="B255" s="432"/>
      <c r="C255" s="432"/>
      <c r="D255" s="432"/>
      <c r="E255" s="432"/>
      <c r="F255" s="432"/>
      <c r="G255" s="432"/>
      <c r="H255" s="432"/>
      <c r="I255" s="432"/>
      <c r="J255" s="432"/>
      <c r="K255" s="432"/>
      <c r="L255" s="432"/>
      <c r="M255" s="432"/>
      <c r="N255" s="432"/>
      <c r="O255" s="432"/>
      <c r="P255" s="432"/>
      <c r="Q255" s="432"/>
      <c r="R255" s="432"/>
      <c r="S255" s="432"/>
      <c r="T255" s="432"/>
      <c r="U255" s="432"/>
      <c r="V255" s="432"/>
      <c r="W255" s="432"/>
      <c r="X255" s="432"/>
      <c r="Y255" s="432"/>
      <c r="Z255" s="432"/>
      <c r="AA255" s="432"/>
      <c r="AB255" s="432"/>
    </row>
    <row r="256">
      <c r="A256" s="432"/>
      <c r="B256" s="432"/>
      <c r="C256" s="432"/>
      <c r="D256" s="432"/>
      <c r="E256" s="432"/>
      <c r="F256" s="432"/>
      <c r="G256" s="432"/>
      <c r="H256" s="432"/>
      <c r="I256" s="432"/>
      <c r="J256" s="432"/>
      <c r="K256" s="432"/>
      <c r="L256" s="432"/>
      <c r="M256" s="432"/>
      <c r="N256" s="432"/>
      <c r="O256" s="432"/>
      <c r="P256" s="432"/>
      <c r="Q256" s="432"/>
      <c r="R256" s="432"/>
      <c r="S256" s="432"/>
      <c r="T256" s="432"/>
      <c r="U256" s="432"/>
      <c r="V256" s="432"/>
      <c r="W256" s="432"/>
      <c r="X256" s="432"/>
      <c r="Y256" s="432"/>
      <c r="Z256" s="432"/>
      <c r="AA256" s="432"/>
      <c r="AB256" s="432"/>
    </row>
    <row r="257">
      <c r="A257" s="432"/>
      <c r="B257" s="432"/>
      <c r="C257" s="432"/>
      <c r="D257" s="432"/>
      <c r="E257" s="432"/>
      <c r="F257" s="432"/>
      <c r="G257" s="432"/>
      <c r="H257" s="432"/>
      <c r="I257" s="432"/>
      <c r="J257" s="432"/>
      <c r="K257" s="432"/>
      <c r="L257" s="432"/>
      <c r="M257" s="432"/>
      <c r="N257" s="432"/>
      <c r="O257" s="432"/>
      <c r="P257" s="432"/>
      <c r="Q257" s="432"/>
      <c r="R257" s="432"/>
      <c r="S257" s="432"/>
      <c r="T257" s="432"/>
      <c r="U257" s="432"/>
      <c r="V257" s="432"/>
      <c r="W257" s="432"/>
      <c r="X257" s="432"/>
      <c r="Y257" s="432"/>
      <c r="Z257" s="432"/>
      <c r="AA257" s="432"/>
      <c r="AB257" s="432"/>
    </row>
    <row r="258">
      <c r="A258" s="432"/>
      <c r="B258" s="432"/>
      <c r="C258" s="432"/>
      <c r="D258" s="432"/>
      <c r="E258" s="432"/>
      <c r="F258" s="432"/>
      <c r="G258" s="432"/>
      <c r="H258" s="432"/>
      <c r="I258" s="432"/>
      <c r="J258" s="432"/>
      <c r="K258" s="432"/>
      <c r="L258" s="432"/>
      <c r="M258" s="432"/>
      <c r="N258" s="432"/>
      <c r="O258" s="432"/>
      <c r="P258" s="432"/>
      <c r="Q258" s="432"/>
      <c r="R258" s="432"/>
      <c r="S258" s="432"/>
      <c r="T258" s="432"/>
      <c r="U258" s="432"/>
      <c r="V258" s="432"/>
      <c r="W258" s="432"/>
      <c r="X258" s="432"/>
      <c r="Y258" s="432"/>
      <c r="Z258" s="432"/>
      <c r="AA258" s="432"/>
      <c r="AB258" s="432"/>
    </row>
    <row r="259">
      <c r="A259" s="432"/>
      <c r="B259" s="432"/>
      <c r="C259" s="432"/>
      <c r="D259" s="432"/>
      <c r="E259" s="432"/>
      <c r="F259" s="432"/>
      <c r="G259" s="432"/>
      <c r="H259" s="432"/>
      <c r="I259" s="432"/>
      <c r="J259" s="432"/>
      <c r="K259" s="432"/>
      <c r="L259" s="432"/>
      <c r="M259" s="432"/>
      <c r="N259" s="432"/>
      <c r="O259" s="432"/>
      <c r="P259" s="432"/>
      <c r="Q259" s="432"/>
      <c r="R259" s="432"/>
      <c r="S259" s="432"/>
      <c r="T259" s="432"/>
      <c r="U259" s="432"/>
      <c r="V259" s="432"/>
      <c r="W259" s="432"/>
      <c r="X259" s="432"/>
      <c r="Y259" s="432"/>
      <c r="Z259" s="432"/>
      <c r="AA259" s="432"/>
      <c r="AB259" s="432"/>
    </row>
    <row r="260">
      <c r="A260" s="432"/>
      <c r="B260" s="432"/>
      <c r="C260" s="432"/>
      <c r="D260" s="432"/>
      <c r="E260" s="432"/>
      <c r="F260" s="432"/>
      <c r="G260" s="432"/>
      <c r="H260" s="432"/>
      <c r="I260" s="432"/>
      <c r="J260" s="432"/>
      <c r="K260" s="432"/>
      <c r="L260" s="432"/>
      <c r="M260" s="432"/>
      <c r="N260" s="432"/>
      <c r="O260" s="432"/>
      <c r="P260" s="432"/>
      <c r="Q260" s="432"/>
      <c r="R260" s="432"/>
      <c r="S260" s="432"/>
      <c r="T260" s="432"/>
      <c r="U260" s="432"/>
      <c r="V260" s="432"/>
      <c r="W260" s="432"/>
      <c r="X260" s="432"/>
      <c r="Y260" s="432"/>
      <c r="Z260" s="432"/>
      <c r="AA260" s="432"/>
      <c r="AB260" s="432"/>
    </row>
    <row r="261">
      <c r="A261" s="432"/>
      <c r="B261" s="432"/>
      <c r="C261" s="432"/>
      <c r="D261" s="432"/>
      <c r="E261" s="432"/>
      <c r="F261" s="432"/>
      <c r="G261" s="432"/>
      <c r="H261" s="432"/>
      <c r="I261" s="432"/>
      <c r="J261" s="432"/>
      <c r="K261" s="432"/>
      <c r="L261" s="432"/>
      <c r="M261" s="432"/>
      <c r="N261" s="432"/>
      <c r="O261" s="432"/>
      <c r="P261" s="432"/>
      <c r="Q261" s="432"/>
      <c r="R261" s="432"/>
      <c r="S261" s="432"/>
      <c r="T261" s="432"/>
      <c r="U261" s="432"/>
      <c r="V261" s="432"/>
      <c r="W261" s="432"/>
      <c r="X261" s="432"/>
      <c r="Y261" s="432"/>
      <c r="Z261" s="432"/>
      <c r="AA261" s="432"/>
      <c r="AB261" s="432"/>
    </row>
    <row r="262">
      <c r="A262" s="432"/>
      <c r="B262" s="432"/>
      <c r="C262" s="432"/>
      <c r="D262" s="432"/>
      <c r="E262" s="432"/>
      <c r="F262" s="432"/>
      <c r="G262" s="432"/>
      <c r="H262" s="432"/>
      <c r="I262" s="432"/>
      <c r="J262" s="432"/>
      <c r="K262" s="432"/>
      <c r="L262" s="432"/>
      <c r="M262" s="432"/>
      <c r="N262" s="432"/>
      <c r="O262" s="432"/>
      <c r="P262" s="432"/>
      <c r="Q262" s="432"/>
      <c r="R262" s="432"/>
      <c r="S262" s="432"/>
      <c r="T262" s="432"/>
      <c r="U262" s="432"/>
      <c r="V262" s="432"/>
      <c r="W262" s="432"/>
      <c r="X262" s="432"/>
      <c r="Y262" s="432"/>
      <c r="Z262" s="432"/>
      <c r="AA262" s="432"/>
      <c r="AB262" s="432"/>
    </row>
    <row r="263">
      <c r="A263" s="432"/>
      <c r="B263" s="432"/>
      <c r="C263" s="432"/>
      <c r="D263" s="432"/>
      <c r="E263" s="432"/>
      <c r="F263" s="432"/>
      <c r="G263" s="432"/>
      <c r="H263" s="432"/>
      <c r="I263" s="432"/>
      <c r="J263" s="432"/>
      <c r="K263" s="432"/>
      <c r="L263" s="432"/>
      <c r="M263" s="432"/>
      <c r="N263" s="432"/>
      <c r="O263" s="432"/>
      <c r="P263" s="432"/>
      <c r="Q263" s="432"/>
      <c r="R263" s="432"/>
      <c r="S263" s="432"/>
      <c r="T263" s="432"/>
      <c r="U263" s="432"/>
      <c r="V263" s="432"/>
      <c r="W263" s="432"/>
      <c r="X263" s="432"/>
      <c r="Y263" s="432"/>
      <c r="Z263" s="432"/>
      <c r="AA263" s="432"/>
      <c r="AB263" s="432"/>
    </row>
    <row r="264">
      <c r="A264" s="432"/>
      <c r="B264" s="432"/>
      <c r="C264" s="432"/>
      <c r="D264" s="432"/>
      <c r="E264" s="432"/>
      <c r="F264" s="432"/>
      <c r="G264" s="432"/>
      <c r="H264" s="432"/>
      <c r="I264" s="432"/>
      <c r="J264" s="432"/>
      <c r="K264" s="432"/>
      <c r="L264" s="432"/>
      <c r="M264" s="432"/>
      <c r="N264" s="432"/>
      <c r="O264" s="432"/>
      <c r="P264" s="432"/>
      <c r="Q264" s="432"/>
      <c r="R264" s="432"/>
      <c r="S264" s="432"/>
      <c r="T264" s="432"/>
      <c r="U264" s="432"/>
      <c r="V264" s="432"/>
      <c r="W264" s="432"/>
      <c r="X264" s="432"/>
      <c r="Y264" s="432"/>
      <c r="Z264" s="432"/>
      <c r="AA264" s="432"/>
      <c r="AB264" s="432"/>
    </row>
    <row r="265">
      <c r="A265" s="432"/>
      <c r="B265" s="432"/>
      <c r="C265" s="432"/>
      <c r="D265" s="432"/>
      <c r="E265" s="432"/>
      <c r="F265" s="432"/>
      <c r="G265" s="432"/>
      <c r="H265" s="432"/>
      <c r="I265" s="432"/>
      <c r="J265" s="432"/>
      <c r="K265" s="432"/>
      <c r="L265" s="432"/>
      <c r="M265" s="432"/>
      <c r="N265" s="432"/>
      <c r="O265" s="432"/>
      <c r="P265" s="432"/>
      <c r="Q265" s="432"/>
      <c r="R265" s="432"/>
      <c r="S265" s="432"/>
      <c r="T265" s="432"/>
      <c r="U265" s="432"/>
      <c r="V265" s="432"/>
      <c r="W265" s="432"/>
      <c r="X265" s="432"/>
      <c r="Y265" s="432"/>
      <c r="Z265" s="432"/>
      <c r="AA265" s="432"/>
      <c r="AB265" s="432"/>
    </row>
    <row r="266">
      <c r="A266" s="432"/>
      <c r="B266" s="432"/>
      <c r="C266" s="432"/>
      <c r="D266" s="432"/>
      <c r="E266" s="432"/>
      <c r="F266" s="432"/>
      <c r="G266" s="432"/>
      <c r="H266" s="432"/>
      <c r="I266" s="432"/>
      <c r="J266" s="432"/>
      <c r="K266" s="432"/>
      <c r="L266" s="432"/>
      <c r="M266" s="432"/>
      <c r="N266" s="432"/>
      <c r="O266" s="432"/>
      <c r="P266" s="432"/>
      <c r="Q266" s="432"/>
      <c r="R266" s="432"/>
      <c r="S266" s="432"/>
      <c r="T266" s="432"/>
      <c r="U266" s="432"/>
      <c r="V266" s="432"/>
      <c r="W266" s="432"/>
      <c r="X266" s="432"/>
      <c r="Y266" s="432"/>
      <c r="Z266" s="432"/>
      <c r="AA266" s="432"/>
      <c r="AB266" s="432"/>
    </row>
    <row r="267">
      <c r="A267" s="432"/>
      <c r="B267" s="432"/>
      <c r="C267" s="432"/>
      <c r="D267" s="432"/>
      <c r="E267" s="432"/>
      <c r="F267" s="432"/>
      <c r="G267" s="432"/>
      <c r="H267" s="432"/>
      <c r="I267" s="432"/>
      <c r="J267" s="432"/>
      <c r="K267" s="432"/>
      <c r="L267" s="432"/>
      <c r="M267" s="432"/>
      <c r="N267" s="432"/>
      <c r="O267" s="432"/>
      <c r="P267" s="432"/>
      <c r="Q267" s="432"/>
      <c r="R267" s="432"/>
      <c r="S267" s="432"/>
      <c r="T267" s="432"/>
      <c r="U267" s="432"/>
      <c r="V267" s="432"/>
      <c r="W267" s="432"/>
      <c r="X267" s="432"/>
      <c r="Y267" s="432"/>
      <c r="Z267" s="432"/>
      <c r="AA267" s="432"/>
      <c r="AB267" s="432"/>
    </row>
    <row r="268">
      <c r="A268" s="432"/>
      <c r="B268" s="432"/>
      <c r="C268" s="432"/>
      <c r="D268" s="432"/>
      <c r="E268" s="432"/>
      <c r="F268" s="432"/>
      <c r="G268" s="432"/>
      <c r="H268" s="432"/>
      <c r="I268" s="432"/>
      <c r="J268" s="432"/>
      <c r="K268" s="432"/>
      <c r="L268" s="432"/>
      <c r="M268" s="432"/>
      <c r="N268" s="432"/>
      <c r="O268" s="432"/>
      <c r="P268" s="432"/>
      <c r="Q268" s="432"/>
      <c r="R268" s="432"/>
      <c r="S268" s="432"/>
      <c r="T268" s="432"/>
      <c r="U268" s="432"/>
      <c r="V268" s="432"/>
      <c r="W268" s="432"/>
      <c r="X268" s="432"/>
      <c r="Y268" s="432"/>
      <c r="Z268" s="432"/>
      <c r="AA268" s="432"/>
      <c r="AB268" s="432"/>
    </row>
    <row r="269">
      <c r="A269" s="432"/>
      <c r="B269" s="432"/>
      <c r="C269" s="432"/>
      <c r="D269" s="432"/>
      <c r="E269" s="432"/>
      <c r="F269" s="432"/>
      <c r="G269" s="432"/>
      <c r="H269" s="432"/>
      <c r="I269" s="432"/>
      <c r="J269" s="432"/>
      <c r="K269" s="432"/>
      <c r="L269" s="432"/>
      <c r="M269" s="432"/>
      <c r="N269" s="432"/>
      <c r="O269" s="432"/>
      <c r="P269" s="432"/>
      <c r="Q269" s="432"/>
      <c r="R269" s="432"/>
      <c r="S269" s="432"/>
      <c r="T269" s="432"/>
      <c r="U269" s="432"/>
      <c r="V269" s="432"/>
      <c r="W269" s="432"/>
      <c r="X269" s="432"/>
      <c r="Y269" s="432"/>
      <c r="Z269" s="432"/>
      <c r="AA269" s="432"/>
      <c r="AB269" s="432"/>
    </row>
    <row r="270">
      <c r="A270" s="432"/>
      <c r="B270" s="432"/>
      <c r="C270" s="432"/>
      <c r="D270" s="432"/>
      <c r="E270" s="432"/>
      <c r="F270" s="432"/>
      <c r="G270" s="432"/>
      <c r="H270" s="432"/>
      <c r="I270" s="432"/>
      <c r="J270" s="432"/>
      <c r="K270" s="432"/>
      <c r="L270" s="432"/>
      <c r="M270" s="432"/>
      <c r="N270" s="432"/>
      <c r="O270" s="432"/>
      <c r="P270" s="432"/>
      <c r="Q270" s="432"/>
      <c r="R270" s="432"/>
      <c r="S270" s="432"/>
      <c r="T270" s="432"/>
      <c r="U270" s="432"/>
      <c r="V270" s="432"/>
      <c r="W270" s="432"/>
      <c r="X270" s="432"/>
      <c r="Y270" s="432"/>
      <c r="Z270" s="432"/>
      <c r="AA270" s="432"/>
      <c r="AB270" s="432"/>
    </row>
    <row r="271">
      <c r="A271" s="432"/>
      <c r="B271" s="432"/>
      <c r="C271" s="432"/>
      <c r="D271" s="432"/>
      <c r="E271" s="432"/>
      <c r="F271" s="432"/>
      <c r="G271" s="432"/>
      <c r="H271" s="432"/>
      <c r="I271" s="432"/>
      <c r="J271" s="432"/>
      <c r="K271" s="432"/>
      <c r="L271" s="432"/>
      <c r="M271" s="432"/>
      <c r="N271" s="432"/>
      <c r="O271" s="432"/>
      <c r="P271" s="432"/>
      <c r="Q271" s="432"/>
      <c r="R271" s="432"/>
      <c r="S271" s="432"/>
      <c r="T271" s="432"/>
      <c r="U271" s="432"/>
      <c r="V271" s="432"/>
      <c r="W271" s="432"/>
      <c r="X271" s="432"/>
      <c r="Y271" s="432"/>
      <c r="Z271" s="432"/>
      <c r="AA271" s="432"/>
      <c r="AB271" s="432"/>
    </row>
    <row r="272">
      <c r="A272" s="432"/>
      <c r="B272" s="432"/>
      <c r="C272" s="432"/>
      <c r="D272" s="432"/>
      <c r="E272" s="432"/>
      <c r="F272" s="432"/>
      <c r="G272" s="432"/>
      <c r="H272" s="432"/>
      <c r="I272" s="432"/>
      <c r="J272" s="432"/>
      <c r="K272" s="432"/>
      <c r="L272" s="432"/>
      <c r="M272" s="432"/>
      <c r="N272" s="432"/>
      <c r="O272" s="432"/>
      <c r="P272" s="432"/>
      <c r="Q272" s="432"/>
      <c r="R272" s="432"/>
      <c r="S272" s="432"/>
      <c r="T272" s="432"/>
      <c r="U272" s="432"/>
      <c r="V272" s="432"/>
      <c r="W272" s="432"/>
      <c r="X272" s="432"/>
      <c r="Y272" s="432"/>
      <c r="Z272" s="432"/>
      <c r="AA272" s="432"/>
      <c r="AB272" s="432"/>
    </row>
    <row r="273">
      <c r="A273" s="432"/>
      <c r="B273" s="432"/>
      <c r="C273" s="432"/>
      <c r="D273" s="432"/>
      <c r="E273" s="432"/>
      <c r="F273" s="432"/>
      <c r="G273" s="432"/>
      <c r="H273" s="432"/>
      <c r="I273" s="432"/>
      <c r="J273" s="432"/>
      <c r="K273" s="432"/>
      <c r="L273" s="432"/>
      <c r="M273" s="432"/>
      <c r="N273" s="432"/>
      <c r="O273" s="432"/>
      <c r="P273" s="432"/>
      <c r="Q273" s="432"/>
      <c r="R273" s="432"/>
      <c r="S273" s="432"/>
      <c r="T273" s="432"/>
      <c r="U273" s="432"/>
      <c r="V273" s="432"/>
      <c r="W273" s="432"/>
      <c r="X273" s="432"/>
      <c r="Y273" s="432"/>
      <c r="Z273" s="432"/>
      <c r="AA273" s="432"/>
      <c r="AB273" s="432"/>
    </row>
    <row r="274">
      <c r="A274" s="432"/>
      <c r="B274" s="432"/>
      <c r="C274" s="432"/>
      <c r="D274" s="432"/>
      <c r="E274" s="432"/>
      <c r="F274" s="432"/>
      <c r="G274" s="432"/>
      <c r="H274" s="432"/>
      <c r="I274" s="432"/>
      <c r="J274" s="432"/>
      <c r="K274" s="432"/>
      <c r="L274" s="432"/>
      <c r="M274" s="432"/>
      <c r="N274" s="432"/>
      <c r="O274" s="432"/>
      <c r="P274" s="432"/>
      <c r="Q274" s="432"/>
      <c r="R274" s="432"/>
      <c r="S274" s="432"/>
      <c r="T274" s="432"/>
      <c r="U274" s="432"/>
      <c r="V274" s="432"/>
      <c r="W274" s="432"/>
      <c r="X274" s="432"/>
      <c r="Y274" s="432"/>
      <c r="Z274" s="432"/>
      <c r="AA274" s="432"/>
      <c r="AB274" s="432"/>
    </row>
    <row r="275">
      <c r="A275" s="432"/>
      <c r="B275" s="432"/>
      <c r="C275" s="432"/>
      <c r="D275" s="432"/>
      <c r="E275" s="432"/>
      <c r="F275" s="432"/>
      <c r="G275" s="432"/>
      <c r="H275" s="432"/>
      <c r="I275" s="432"/>
      <c r="J275" s="432"/>
      <c r="K275" s="432"/>
      <c r="L275" s="432"/>
      <c r="M275" s="432"/>
      <c r="N275" s="432"/>
      <c r="O275" s="432"/>
      <c r="P275" s="432"/>
      <c r="Q275" s="432"/>
      <c r="R275" s="432"/>
      <c r="S275" s="432"/>
      <c r="T275" s="432"/>
      <c r="U275" s="432"/>
      <c r="V275" s="432"/>
      <c r="W275" s="432"/>
      <c r="X275" s="432"/>
      <c r="Y275" s="432"/>
      <c r="Z275" s="432"/>
      <c r="AA275" s="432"/>
      <c r="AB275" s="432"/>
    </row>
    <row r="276">
      <c r="A276" s="432"/>
      <c r="B276" s="432"/>
      <c r="C276" s="432"/>
      <c r="D276" s="432"/>
      <c r="E276" s="432"/>
      <c r="F276" s="432"/>
      <c r="G276" s="432"/>
      <c r="H276" s="432"/>
      <c r="I276" s="432"/>
      <c r="J276" s="432"/>
      <c r="K276" s="432"/>
      <c r="L276" s="432"/>
      <c r="M276" s="432"/>
      <c r="N276" s="432"/>
      <c r="O276" s="432"/>
      <c r="P276" s="432"/>
      <c r="Q276" s="432"/>
      <c r="R276" s="432"/>
      <c r="S276" s="432"/>
      <c r="T276" s="432"/>
      <c r="U276" s="432"/>
      <c r="V276" s="432"/>
      <c r="W276" s="432"/>
      <c r="X276" s="432"/>
      <c r="Y276" s="432"/>
      <c r="Z276" s="432"/>
      <c r="AA276" s="432"/>
      <c r="AB276" s="432"/>
    </row>
    <row r="277">
      <c r="A277" s="432"/>
      <c r="B277" s="432"/>
      <c r="C277" s="432"/>
      <c r="D277" s="432"/>
      <c r="E277" s="432"/>
      <c r="F277" s="432"/>
      <c r="G277" s="432"/>
      <c r="H277" s="432"/>
      <c r="I277" s="432"/>
      <c r="J277" s="432"/>
      <c r="K277" s="432"/>
      <c r="L277" s="432"/>
      <c r="M277" s="432"/>
      <c r="N277" s="432"/>
      <c r="O277" s="432"/>
      <c r="P277" s="432"/>
      <c r="Q277" s="432"/>
      <c r="R277" s="432"/>
      <c r="S277" s="432"/>
      <c r="T277" s="432"/>
      <c r="U277" s="432"/>
      <c r="V277" s="432"/>
      <c r="W277" s="432"/>
      <c r="X277" s="432"/>
      <c r="Y277" s="432"/>
      <c r="Z277" s="432"/>
      <c r="AA277" s="432"/>
      <c r="AB277" s="432"/>
    </row>
    <row r="278">
      <c r="A278" s="432"/>
      <c r="B278" s="432"/>
      <c r="C278" s="432"/>
      <c r="D278" s="432"/>
      <c r="E278" s="432"/>
      <c r="F278" s="432"/>
      <c r="G278" s="432"/>
      <c r="H278" s="432"/>
      <c r="I278" s="432"/>
      <c r="J278" s="432"/>
      <c r="K278" s="432"/>
      <c r="L278" s="432"/>
      <c r="M278" s="432"/>
      <c r="N278" s="432"/>
      <c r="O278" s="432"/>
      <c r="P278" s="432"/>
      <c r="Q278" s="432"/>
      <c r="R278" s="432"/>
      <c r="S278" s="432"/>
      <c r="T278" s="432"/>
      <c r="U278" s="432"/>
      <c r="V278" s="432"/>
      <c r="W278" s="432"/>
      <c r="X278" s="432"/>
      <c r="Y278" s="432"/>
      <c r="Z278" s="432"/>
      <c r="AA278" s="432"/>
      <c r="AB278" s="432"/>
    </row>
    <row r="279">
      <c r="A279" s="432"/>
      <c r="B279" s="432"/>
      <c r="C279" s="432"/>
      <c r="D279" s="432"/>
      <c r="E279" s="432"/>
      <c r="F279" s="432"/>
      <c r="G279" s="432"/>
      <c r="H279" s="432"/>
      <c r="I279" s="432"/>
      <c r="J279" s="432"/>
      <c r="K279" s="432"/>
      <c r="L279" s="432"/>
      <c r="M279" s="432"/>
      <c r="N279" s="432"/>
      <c r="O279" s="432"/>
      <c r="P279" s="432"/>
      <c r="Q279" s="432"/>
      <c r="R279" s="432"/>
      <c r="S279" s="432"/>
      <c r="T279" s="432"/>
      <c r="U279" s="432"/>
      <c r="V279" s="432"/>
      <c r="W279" s="432"/>
      <c r="X279" s="432"/>
      <c r="Y279" s="432"/>
      <c r="Z279" s="432"/>
      <c r="AA279" s="432"/>
      <c r="AB279" s="432"/>
    </row>
    <row r="280">
      <c r="A280" s="432"/>
      <c r="B280" s="432"/>
      <c r="C280" s="432"/>
      <c r="D280" s="432"/>
      <c r="E280" s="432"/>
      <c r="F280" s="432"/>
      <c r="G280" s="432"/>
      <c r="H280" s="432"/>
      <c r="I280" s="432"/>
      <c r="J280" s="432"/>
      <c r="K280" s="432"/>
      <c r="L280" s="432"/>
      <c r="M280" s="432"/>
      <c r="N280" s="432"/>
      <c r="O280" s="432"/>
      <c r="P280" s="432"/>
      <c r="Q280" s="432"/>
      <c r="R280" s="432"/>
      <c r="S280" s="432"/>
      <c r="T280" s="432"/>
      <c r="U280" s="432"/>
      <c r="V280" s="432"/>
      <c r="W280" s="432"/>
      <c r="X280" s="432"/>
      <c r="Y280" s="432"/>
      <c r="Z280" s="432"/>
      <c r="AA280" s="432"/>
      <c r="AB280" s="432"/>
    </row>
    <row r="281">
      <c r="A281" s="432"/>
      <c r="B281" s="432"/>
      <c r="C281" s="432"/>
      <c r="D281" s="432"/>
      <c r="E281" s="432"/>
      <c r="F281" s="432"/>
      <c r="G281" s="432"/>
      <c r="H281" s="432"/>
      <c r="I281" s="432"/>
      <c r="J281" s="432"/>
      <c r="K281" s="432"/>
      <c r="L281" s="432"/>
      <c r="M281" s="432"/>
      <c r="N281" s="432"/>
      <c r="O281" s="432"/>
      <c r="P281" s="432"/>
      <c r="Q281" s="432"/>
      <c r="R281" s="432"/>
      <c r="S281" s="432"/>
      <c r="T281" s="432"/>
      <c r="U281" s="432"/>
      <c r="V281" s="432"/>
      <c r="W281" s="432"/>
      <c r="X281" s="432"/>
      <c r="Y281" s="432"/>
      <c r="Z281" s="432"/>
      <c r="AA281" s="432"/>
      <c r="AB281" s="432"/>
    </row>
    <row r="282">
      <c r="A282" s="432"/>
      <c r="B282" s="432"/>
      <c r="C282" s="432"/>
      <c r="D282" s="432"/>
      <c r="E282" s="432"/>
      <c r="F282" s="432"/>
      <c r="G282" s="432"/>
      <c r="H282" s="432"/>
      <c r="I282" s="432"/>
      <c r="J282" s="432"/>
      <c r="K282" s="432"/>
      <c r="L282" s="432"/>
      <c r="M282" s="432"/>
      <c r="N282" s="432"/>
      <c r="O282" s="432"/>
      <c r="P282" s="432"/>
      <c r="Q282" s="432"/>
      <c r="R282" s="432"/>
      <c r="S282" s="432"/>
      <c r="T282" s="432"/>
      <c r="U282" s="432"/>
      <c r="V282" s="432"/>
      <c r="W282" s="432"/>
      <c r="X282" s="432"/>
      <c r="Y282" s="432"/>
      <c r="Z282" s="432"/>
      <c r="AA282" s="432"/>
      <c r="AB282" s="432"/>
    </row>
    <row r="283">
      <c r="A283" s="432"/>
      <c r="B283" s="432"/>
      <c r="C283" s="432"/>
      <c r="D283" s="432"/>
      <c r="E283" s="432"/>
      <c r="F283" s="432"/>
      <c r="G283" s="432"/>
      <c r="H283" s="432"/>
      <c r="I283" s="432"/>
      <c r="J283" s="432"/>
      <c r="K283" s="432"/>
      <c r="L283" s="432"/>
      <c r="M283" s="432"/>
      <c r="N283" s="432"/>
      <c r="O283" s="432"/>
      <c r="P283" s="432"/>
      <c r="Q283" s="432"/>
      <c r="R283" s="432"/>
      <c r="S283" s="432"/>
      <c r="T283" s="432"/>
      <c r="U283" s="432"/>
      <c r="V283" s="432"/>
      <c r="W283" s="432"/>
      <c r="X283" s="432"/>
      <c r="Y283" s="432"/>
      <c r="Z283" s="432"/>
      <c r="AA283" s="432"/>
      <c r="AB283" s="432"/>
    </row>
    <row r="284">
      <c r="A284" s="432"/>
      <c r="B284" s="432"/>
      <c r="C284" s="432"/>
      <c r="D284" s="432"/>
      <c r="E284" s="432"/>
      <c r="F284" s="432"/>
      <c r="G284" s="432"/>
      <c r="H284" s="432"/>
      <c r="I284" s="432"/>
      <c r="J284" s="432"/>
      <c r="K284" s="432"/>
      <c r="L284" s="432"/>
      <c r="M284" s="432"/>
      <c r="N284" s="432"/>
      <c r="O284" s="432"/>
      <c r="P284" s="432"/>
      <c r="Q284" s="432"/>
      <c r="R284" s="432"/>
      <c r="S284" s="432"/>
      <c r="T284" s="432"/>
      <c r="U284" s="432"/>
      <c r="V284" s="432"/>
      <c r="W284" s="432"/>
      <c r="X284" s="432"/>
      <c r="Y284" s="432"/>
      <c r="Z284" s="432"/>
      <c r="AA284" s="432"/>
      <c r="AB284" s="432"/>
    </row>
    <row r="285">
      <c r="A285" s="432"/>
      <c r="B285" s="432"/>
      <c r="C285" s="432"/>
      <c r="D285" s="432"/>
      <c r="E285" s="432"/>
      <c r="F285" s="432"/>
      <c r="G285" s="432"/>
      <c r="H285" s="432"/>
      <c r="I285" s="432"/>
      <c r="J285" s="432"/>
      <c r="K285" s="432"/>
      <c r="L285" s="432"/>
      <c r="M285" s="432"/>
      <c r="N285" s="432"/>
      <c r="O285" s="432"/>
      <c r="P285" s="432"/>
      <c r="Q285" s="432"/>
      <c r="R285" s="432"/>
      <c r="S285" s="432"/>
      <c r="T285" s="432"/>
      <c r="U285" s="432"/>
      <c r="V285" s="432"/>
      <c r="W285" s="432"/>
      <c r="X285" s="432"/>
      <c r="Y285" s="432"/>
      <c r="Z285" s="432"/>
      <c r="AA285" s="432"/>
      <c r="AB285" s="432"/>
    </row>
    <row r="286">
      <c r="A286" s="432"/>
      <c r="B286" s="432"/>
      <c r="C286" s="432"/>
      <c r="D286" s="432"/>
      <c r="E286" s="432"/>
      <c r="F286" s="432"/>
      <c r="G286" s="432"/>
      <c r="H286" s="432"/>
      <c r="I286" s="432"/>
      <c r="J286" s="432"/>
      <c r="K286" s="432"/>
      <c r="L286" s="432"/>
      <c r="M286" s="432"/>
      <c r="N286" s="432"/>
      <c r="O286" s="432"/>
      <c r="P286" s="432"/>
      <c r="Q286" s="432"/>
      <c r="R286" s="432"/>
      <c r="S286" s="432"/>
      <c r="T286" s="432"/>
      <c r="U286" s="432"/>
      <c r="V286" s="432"/>
      <c r="W286" s="432"/>
      <c r="X286" s="432"/>
      <c r="Y286" s="432"/>
      <c r="Z286" s="432"/>
      <c r="AA286" s="432"/>
      <c r="AB286" s="432"/>
    </row>
    <row r="287">
      <c r="A287" s="432"/>
      <c r="B287" s="432"/>
      <c r="C287" s="432"/>
      <c r="D287" s="432"/>
      <c r="E287" s="432"/>
      <c r="F287" s="432"/>
      <c r="G287" s="432"/>
      <c r="H287" s="432"/>
      <c r="I287" s="432"/>
      <c r="J287" s="432"/>
      <c r="K287" s="432"/>
      <c r="L287" s="432"/>
      <c r="M287" s="432"/>
      <c r="N287" s="432"/>
      <c r="O287" s="432"/>
      <c r="P287" s="432"/>
      <c r="Q287" s="432"/>
      <c r="R287" s="432"/>
      <c r="S287" s="432"/>
      <c r="T287" s="432"/>
      <c r="U287" s="432"/>
      <c r="V287" s="432"/>
      <c r="W287" s="432"/>
      <c r="X287" s="432"/>
      <c r="Y287" s="432"/>
      <c r="Z287" s="432"/>
      <c r="AA287" s="432"/>
      <c r="AB287" s="432"/>
    </row>
    <row r="288">
      <c r="A288" s="432"/>
      <c r="B288" s="432"/>
      <c r="C288" s="432"/>
      <c r="D288" s="432"/>
      <c r="E288" s="432"/>
      <c r="F288" s="432"/>
      <c r="G288" s="432"/>
      <c r="H288" s="432"/>
      <c r="I288" s="432"/>
      <c r="J288" s="432"/>
      <c r="K288" s="432"/>
      <c r="L288" s="432"/>
      <c r="M288" s="432"/>
      <c r="N288" s="432"/>
      <c r="O288" s="432"/>
      <c r="P288" s="432"/>
      <c r="Q288" s="432"/>
      <c r="R288" s="432"/>
      <c r="S288" s="432"/>
      <c r="T288" s="432"/>
      <c r="U288" s="432"/>
      <c r="V288" s="432"/>
      <c r="W288" s="432"/>
      <c r="X288" s="432"/>
      <c r="Y288" s="432"/>
      <c r="Z288" s="432"/>
      <c r="AA288" s="432"/>
      <c r="AB288" s="432"/>
    </row>
    <row r="289">
      <c r="A289" s="432"/>
      <c r="B289" s="432"/>
      <c r="C289" s="432"/>
      <c r="D289" s="432"/>
      <c r="E289" s="432"/>
      <c r="F289" s="432"/>
      <c r="G289" s="432"/>
      <c r="H289" s="432"/>
      <c r="I289" s="432"/>
      <c r="J289" s="432"/>
      <c r="K289" s="432"/>
      <c r="L289" s="432"/>
      <c r="M289" s="432"/>
      <c r="N289" s="432"/>
      <c r="O289" s="432"/>
      <c r="P289" s="432"/>
      <c r="Q289" s="432"/>
      <c r="R289" s="432"/>
      <c r="S289" s="432"/>
      <c r="T289" s="432"/>
      <c r="U289" s="432"/>
      <c r="V289" s="432"/>
      <c r="W289" s="432"/>
      <c r="X289" s="432"/>
      <c r="Y289" s="432"/>
      <c r="Z289" s="432"/>
      <c r="AA289" s="432"/>
      <c r="AB289" s="432"/>
    </row>
    <row r="290">
      <c r="A290" s="432"/>
      <c r="B290" s="432"/>
      <c r="C290" s="432"/>
      <c r="D290" s="432"/>
      <c r="E290" s="432"/>
      <c r="F290" s="432"/>
      <c r="G290" s="432"/>
      <c r="H290" s="432"/>
      <c r="I290" s="432"/>
      <c r="J290" s="432"/>
      <c r="K290" s="432"/>
      <c r="L290" s="432"/>
      <c r="M290" s="432"/>
      <c r="N290" s="432"/>
      <c r="O290" s="432"/>
      <c r="P290" s="432"/>
      <c r="Q290" s="432"/>
      <c r="R290" s="432"/>
      <c r="S290" s="432"/>
      <c r="T290" s="432"/>
      <c r="U290" s="432"/>
      <c r="V290" s="432"/>
      <c r="W290" s="432"/>
      <c r="X290" s="432"/>
      <c r="Y290" s="432"/>
      <c r="Z290" s="432"/>
      <c r="AA290" s="432"/>
      <c r="AB290" s="432"/>
    </row>
    <row r="291">
      <c r="A291" s="432"/>
      <c r="B291" s="432"/>
      <c r="C291" s="432"/>
      <c r="D291" s="432"/>
      <c r="E291" s="432"/>
      <c r="F291" s="432"/>
      <c r="G291" s="432"/>
      <c r="H291" s="432"/>
      <c r="I291" s="432"/>
      <c r="J291" s="432"/>
      <c r="K291" s="432"/>
      <c r="L291" s="432"/>
      <c r="M291" s="432"/>
      <c r="N291" s="432"/>
      <c r="O291" s="432"/>
      <c r="P291" s="432"/>
      <c r="Q291" s="432"/>
      <c r="R291" s="432"/>
      <c r="S291" s="432"/>
      <c r="T291" s="432"/>
      <c r="U291" s="432"/>
      <c r="V291" s="432"/>
      <c r="W291" s="432"/>
      <c r="X291" s="432"/>
      <c r="Y291" s="432"/>
      <c r="Z291" s="432"/>
      <c r="AA291" s="432"/>
      <c r="AB291" s="432"/>
    </row>
    <row r="292">
      <c r="A292" s="432"/>
      <c r="B292" s="432"/>
      <c r="C292" s="432"/>
      <c r="D292" s="432"/>
      <c r="E292" s="432"/>
      <c r="F292" s="432"/>
      <c r="G292" s="432"/>
      <c r="H292" s="432"/>
      <c r="I292" s="432"/>
      <c r="J292" s="432"/>
      <c r="K292" s="432"/>
      <c r="L292" s="432"/>
      <c r="M292" s="432"/>
      <c r="N292" s="432"/>
      <c r="O292" s="432"/>
      <c r="P292" s="432"/>
      <c r="Q292" s="432"/>
      <c r="R292" s="432"/>
      <c r="S292" s="432"/>
      <c r="T292" s="432"/>
      <c r="U292" s="432"/>
      <c r="V292" s="432"/>
      <c r="W292" s="432"/>
      <c r="X292" s="432"/>
      <c r="Y292" s="432"/>
      <c r="Z292" s="432"/>
      <c r="AA292" s="432"/>
      <c r="AB292" s="432"/>
    </row>
    <row r="293">
      <c r="A293" s="432"/>
      <c r="B293" s="432"/>
      <c r="C293" s="432"/>
      <c r="D293" s="432"/>
      <c r="E293" s="432"/>
      <c r="F293" s="432"/>
      <c r="G293" s="432"/>
      <c r="H293" s="432"/>
      <c r="I293" s="432"/>
      <c r="J293" s="432"/>
      <c r="K293" s="432"/>
      <c r="L293" s="432"/>
      <c r="M293" s="432"/>
      <c r="N293" s="432"/>
      <c r="O293" s="432"/>
      <c r="P293" s="432"/>
      <c r="Q293" s="432"/>
      <c r="R293" s="432"/>
      <c r="S293" s="432"/>
      <c r="T293" s="432"/>
      <c r="U293" s="432"/>
      <c r="V293" s="432"/>
      <c r="W293" s="432"/>
      <c r="X293" s="432"/>
      <c r="Y293" s="432"/>
      <c r="Z293" s="432"/>
      <c r="AA293" s="432"/>
      <c r="AB293" s="432"/>
    </row>
    <row r="294">
      <c r="A294" s="432"/>
      <c r="B294" s="432"/>
      <c r="C294" s="432"/>
      <c r="D294" s="432"/>
      <c r="E294" s="432"/>
      <c r="F294" s="432"/>
      <c r="G294" s="432"/>
      <c r="H294" s="432"/>
      <c r="I294" s="432"/>
      <c r="J294" s="432"/>
      <c r="K294" s="432"/>
      <c r="L294" s="432"/>
      <c r="M294" s="432"/>
      <c r="N294" s="432"/>
      <c r="O294" s="432"/>
      <c r="P294" s="432"/>
      <c r="Q294" s="432"/>
      <c r="R294" s="432"/>
      <c r="S294" s="432"/>
      <c r="T294" s="432"/>
      <c r="U294" s="432"/>
      <c r="V294" s="432"/>
      <c r="W294" s="432"/>
      <c r="X294" s="432"/>
      <c r="Y294" s="432"/>
      <c r="Z294" s="432"/>
      <c r="AA294" s="432"/>
      <c r="AB294" s="432"/>
    </row>
    <row r="295">
      <c r="A295" s="432"/>
      <c r="B295" s="432"/>
      <c r="C295" s="432"/>
      <c r="D295" s="432"/>
      <c r="E295" s="432"/>
      <c r="F295" s="432"/>
      <c r="G295" s="432"/>
      <c r="H295" s="432"/>
      <c r="I295" s="432"/>
      <c r="J295" s="432"/>
      <c r="K295" s="432"/>
      <c r="L295" s="432"/>
      <c r="M295" s="432"/>
      <c r="N295" s="432"/>
      <c r="O295" s="432"/>
      <c r="P295" s="432"/>
      <c r="Q295" s="432"/>
      <c r="R295" s="432"/>
      <c r="S295" s="432"/>
      <c r="T295" s="432"/>
      <c r="U295" s="432"/>
      <c r="V295" s="432"/>
      <c r="W295" s="432"/>
      <c r="X295" s="432"/>
      <c r="Y295" s="432"/>
      <c r="Z295" s="432"/>
      <c r="AA295" s="432"/>
      <c r="AB295" s="432"/>
    </row>
    <row r="296">
      <c r="A296" s="432"/>
      <c r="B296" s="432"/>
      <c r="C296" s="432"/>
      <c r="D296" s="432"/>
      <c r="E296" s="432"/>
      <c r="F296" s="432"/>
      <c r="G296" s="432"/>
      <c r="H296" s="432"/>
      <c r="I296" s="432"/>
      <c r="J296" s="432"/>
      <c r="K296" s="432"/>
      <c r="L296" s="432"/>
      <c r="M296" s="432"/>
      <c r="N296" s="432"/>
      <c r="O296" s="432"/>
      <c r="P296" s="432"/>
      <c r="Q296" s="432"/>
      <c r="R296" s="432"/>
      <c r="S296" s="432"/>
      <c r="T296" s="432"/>
      <c r="U296" s="432"/>
      <c r="V296" s="432"/>
      <c r="W296" s="432"/>
      <c r="X296" s="432"/>
      <c r="Y296" s="432"/>
      <c r="Z296" s="432"/>
      <c r="AA296" s="432"/>
      <c r="AB296" s="432"/>
    </row>
    <row r="297">
      <c r="A297" s="432"/>
      <c r="B297" s="432"/>
      <c r="C297" s="432"/>
      <c r="D297" s="432"/>
      <c r="E297" s="432"/>
      <c r="F297" s="432"/>
      <c r="G297" s="432"/>
      <c r="H297" s="432"/>
      <c r="I297" s="432"/>
      <c r="J297" s="432"/>
      <c r="K297" s="432"/>
      <c r="L297" s="432"/>
      <c r="M297" s="432"/>
      <c r="N297" s="432"/>
      <c r="O297" s="432"/>
      <c r="P297" s="432"/>
      <c r="Q297" s="432"/>
      <c r="R297" s="432"/>
      <c r="S297" s="432"/>
      <c r="T297" s="432"/>
      <c r="U297" s="432"/>
      <c r="V297" s="432"/>
      <c r="W297" s="432"/>
      <c r="X297" s="432"/>
      <c r="Y297" s="432"/>
      <c r="Z297" s="432"/>
      <c r="AA297" s="432"/>
      <c r="AB297" s="432"/>
    </row>
    <row r="298">
      <c r="A298" s="432"/>
      <c r="B298" s="432"/>
      <c r="C298" s="432"/>
      <c r="D298" s="432"/>
      <c r="E298" s="432"/>
      <c r="F298" s="432"/>
      <c r="G298" s="432"/>
      <c r="H298" s="432"/>
      <c r="I298" s="432"/>
      <c r="J298" s="432"/>
      <c r="K298" s="432"/>
      <c r="L298" s="432"/>
      <c r="M298" s="432"/>
      <c r="N298" s="432"/>
      <c r="O298" s="432"/>
      <c r="P298" s="432"/>
      <c r="Q298" s="432"/>
      <c r="R298" s="432"/>
      <c r="S298" s="432"/>
      <c r="T298" s="432"/>
      <c r="U298" s="432"/>
      <c r="V298" s="432"/>
      <c r="W298" s="432"/>
      <c r="X298" s="432"/>
      <c r="Y298" s="432"/>
      <c r="Z298" s="432"/>
      <c r="AA298" s="432"/>
      <c r="AB298" s="432"/>
    </row>
    <row r="299">
      <c r="A299" s="432"/>
      <c r="B299" s="432"/>
      <c r="C299" s="432"/>
      <c r="D299" s="432"/>
      <c r="E299" s="432"/>
      <c r="F299" s="432"/>
      <c r="G299" s="432"/>
      <c r="H299" s="432"/>
      <c r="I299" s="432"/>
      <c r="J299" s="432"/>
      <c r="K299" s="432"/>
      <c r="L299" s="432"/>
      <c r="M299" s="432"/>
      <c r="N299" s="432"/>
      <c r="O299" s="432"/>
      <c r="P299" s="432"/>
      <c r="Q299" s="432"/>
      <c r="R299" s="432"/>
      <c r="S299" s="432"/>
      <c r="T299" s="432"/>
      <c r="U299" s="432"/>
      <c r="V299" s="432"/>
      <c r="W299" s="432"/>
      <c r="X299" s="432"/>
      <c r="Y299" s="432"/>
      <c r="Z299" s="432"/>
      <c r="AA299" s="432"/>
      <c r="AB299" s="432"/>
    </row>
    <row r="300">
      <c r="A300" s="432"/>
      <c r="B300" s="432"/>
      <c r="C300" s="432"/>
      <c r="D300" s="432"/>
      <c r="E300" s="432"/>
      <c r="F300" s="432"/>
      <c r="G300" s="432"/>
      <c r="H300" s="432"/>
      <c r="I300" s="432"/>
      <c r="J300" s="432"/>
      <c r="K300" s="432"/>
      <c r="L300" s="432"/>
      <c r="M300" s="432"/>
      <c r="N300" s="432"/>
      <c r="O300" s="432"/>
      <c r="P300" s="432"/>
      <c r="Q300" s="432"/>
      <c r="R300" s="432"/>
      <c r="S300" s="432"/>
      <c r="T300" s="432"/>
      <c r="U300" s="432"/>
      <c r="V300" s="432"/>
      <c r="W300" s="432"/>
      <c r="X300" s="432"/>
      <c r="Y300" s="432"/>
      <c r="Z300" s="432"/>
      <c r="AA300" s="432"/>
      <c r="AB300" s="432"/>
    </row>
    <row r="301">
      <c r="A301" s="432"/>
      <c r="B301" s="432"/>
      <c r="C301" s="432"/>
      <c r="D301" s="432"/>
      <c r="E301" s="432"/>
      <c r="F301" s="432"/>
      <c r="G301" s="432"/>
      <c r="H301" s="432"/>
      <c r="I301" s="432"/>
      <c r="J301" s="432"/>
      <c r="K301" s="432"/>
      <c r="L301" s="432"/>
      <c r="M301" s="432"/>
      <c r="N301" s="432"/>
      <c r="O301" s="432"/>
      <c r="P301" s="432"/>
      <c r="Q301" s="432"/>
      <c r="R301" s="432"/>
      <c r="S301" s="432"/>
      <c r="T301" s="432"/>
      <c r="U301" s="432"/>
      <c r="V301" s="432"/>
      <c r="W301" s="432"/>
      <c r="X301" s="432"/>
      <c r="Y301" s="432"/>
      <c r="Z301" s="432"/>
      <c r="AA301" s="432"/>
      <c r="AB301" s="432"/>
    </row>
    <row r="302">
      <c r="A302" s="432"/>
      <c r="B302" s="432"/>
      <c r="C302" s="432"/>
      <c r="D302" s="432"/>
      <c r="E302" s="432"/>
      <c r="F302" s="432"/>
      <c r="G302" s="432"/>
      <c r="H302" s="432"/>
      <c r="I302" s="432"/>
      <c r="J302" s="432"/>
      <c r="K302" s="432"/>
      <c r="L302" s="432"/>
      <c r="M302" s="432"/>
      <c r="N302" s="432"/>
      <c r="O302" s="432"/>
      <c r="P302" s="432"/>
      <c r="Q302" s="432"/>
      <c r="R302" s="432"/>
      <c r="S302" s="432"/>
      <c r="T302" s="432"/>
      <c r="U302" s="432"/>
      <c r="V302" s="432"/>
      <c r="W302" s="432"/>
      <c r="X302" s="432"/>
      <c r="Y302" s="432"/>
      <c r="Z302" s="432"/>
      <c r="AA302" s="432"/>
      <c r="AB302" s="432"/>
    </row>
    <row r="303">
      <c r="A303" s="432"/>
      <c r="B303" s="432"/>
      <c r="C303" s="432"/>
      <c r="D303" s="432"/>
      <c r="E303" s="432"/>
      <c r="F303" s="432"/>
      <c r="G303" s="432"/>
      <c r="H303" s="432"/>
      <c r="I303" s="432"/>
      <c r="J303" s="432"/>
      <c r="K303" s="432"/>
      <c r="L303" s="432"/>
      <c r="M303" s="432"/>
      <c r="N303" s="432"/>
      <c r="O303" s="432"/>
      <c r="P303" s="432"/>
      <c r="Q303" s="432"/>
      <c r="R303" s="432"/>
      <c r="S303" s="432"/>
      <c r="T303" s="432"/>
      <c r="U303" s="432"/>
      <c r="V303" s="432"/>
      <c r="W303" s="432"/>
      <c r="X303" s="432"/>
      <c r="Y303" s="432"/>
      <c r="Z303" s="432"/>
      <c r="AA303" s="432"/>
      <c r="AB303" s="432"/>
    </row>
    <row r="304">
      <c r="A304" s="432"/>
      <c r="B304" s="432"/>
      <c r="C304" s="432"/>
      <c r="D304" s="432"/>
      <c r="E304" s="432"/>
      <c r="F304" s="432"/>
      <c r="G304" s="432"/>
      <c r="H304" s="432"/>
      <c r="I304" s="432"/>
      <c r="J304" s="432"/>
      <c r="K304" s="432"/>
      <c r="L304" s="432"/>
      <c r="M304" s="432"/>
      <c r="N304" s="432"/>
      <c r="O304" s="432"/>
      <c r="P304" s="432"/>
      <c r="Q304" s="432"/>
      <c r="R304" s="432"/>
      <c r="S304" s="432"/>
      <c r="T304" s="432"/>
      <c r="U304" s="432"/>
      <c r="V304" s="432"/>
      <c r="W304" s="432"/>
      <c r="X304" s="432"/>
      <c r="Y304" s="432"/>
      <c r="Z304" s="432"/>
      <c r="AA304" s="432"/>
      <c r="AB304" s="432"/>
    </row>
    <row r="305">
      <c r="A305" s="432"/>
      <c r="B305" s="432"/>
      <c r="C305" s="432"/>
      <c r="D305" s="432"/>
      <c r="E305" s="432"/>
      <c r="F305" s="432"/>
      <c r="G305" s="432"/>
      <c r="H305" s="432"/>
      <c r="I305" s="432"/>
      <c r="J305" s="432"/>
      <c r="K305" s="432"/>
      <c r="L305" s="432"/>
      <c r="M305" s="432"/>
      <c r="N305" s="432"/>
      <c r="O305" s="432"/>
      <c r="P305" s="432"/>
      <c r="Q305" s="432"/>
      <c r="R305" s="432"/>
      <c r="S305" s="432"/>
      <c r="T305" s="432"/>
      <c r="U305" s="432"/>
      <c r="V305" s="432"/>
      <c r="W305" s="432"/>
      <c r="X305" s="432"/>
      <c r="Y305" s="432"/>
      <c r="Z305" s="432"/>
      <c r="AA305" s="432"/>
      <c r="AB305" s="432"/>
    </row>
    <row r="306">
      <c r="A306" s="432"/>
      <c r="B306" s="432"/>
      <c r="C306" s="432"/>
      <c r="D306" s="432"/>
      <c r="E306" s="432"/>
      <c r="F306" s="432"/>
      <c r="G306" s="432"/>
      <c r="H306" s="432"/>
      <c r="I306" s="432"/>
      <c r="J306" s="432"/>
      <c r="K306" s="432"/>
      <c r="L306" s="432"/>
      <c r="M306" s="432"/>
      <c r="N306" s="432"/>
      <c r="O306" s="432"/>
      <c r="P306" s="432"/>
      <c r="Q306" s="432"/>
      <c r="R306" s="432"/>
      <c r="S306" s="432"/>
      <c r="T306" s="432"/>
      <c r="U306" s="432"/>
      <c r="V306" s="432"/>
      <c r="W306" s="432"/>
      <c r="X306" s="432"/>
      <c r="Y306" s="432"/>
      <c r="Z306" s="432"/>
      <c r="AA306" s="432"/>
      <c r="AB306" s="432"/>
    </row>
    <row r="307">
      <c r="A307" s="432"/>
      <c r="B307" s="432"/>
      <c r="C307" s="432"/>
      <c r="D307" s="432"/>
      <c r="E307" s="432"/>
      <c r="F307" s="432"/>
      <c r="G307" s="432"/>
      <c r="H307" s="432"/>
      <c r="I307" s="432"/>
      <c r="J307" s="432"/>
      <c r="K307" s="432"/>
      <c r="L307" s="432"/>
      <c r="M307" s="432"/>
      <c r="N307" s="432"/>
      <c r="O307" s="432"/>
      <c r="P307" s="432"/>
      <c r="Q307" s="432"/>
      <c r="R307" s="432"/>
      <c r="S307" s="432"/>
      <c r="T307" s="432"/>
      <c r="U307" s="432"/>
      <c r="V307" s="432"/>
      <c r="W307" s="432"/>
      <c r="X307" s="432"/>
      <c r="Y307" s="432"/>
      <c r="Z307" s="432"/>
      <c r="AA307" s="432"/>
      <c r="AB307" s="432"/>
    </row>
    <row r="308">
      <c r="A308" s="432"/>
      <c r="B308" s="432"/>
      <c r="C308" s="432"/>
      <c r="D308" s="432"/>
      <c r="E308" s="432"/>
      <c r="F308" s="432"/>
      <c r="G308" s="432"/>
      <c r="H308" s="432"/>
      <c r="I308" s="432"/>
      <c r="J308" s="432"/>
      <c r="K308" s="432"/>
      <c r="L308" s="432"/>
      <c r="M308" s="432"/>
      <c r="N308" s="432"/>
      <c r="O308" s="432"/>
      <c r="P308" s="432"/>
      <c r="Q308" s="432"/>
      <c r="R308" s="432"/>
      <c r="S308" s="432"/>
      <c r="T308" s="432"/>
      <c r="U308" s="432"/>
      <c r="V308" s="432"/>
      <c r="W308" s="432"/>
      <c r="X308" s="432"/>
      <c r="Y308" s="432"/>
      <c r="Z308" s="432"/>
      <c r="AA308" s="432"/>
      <c r="AB308" s="432"/>
    </row>
    <row r="309">
      <c r="A309" s="432"/>
      <c r="B309" s="432"/>
      <c r="C309" s="432"/>
      <c r="D309" s="432"/>
      <c r="E309" s="432"/>
      <c r="F309" s="432"/>
      <c r="G309" s="432"/>
      <c r="H309" s="432"/>
      <c r="I309" s="432"/>
      <c r="J309" s="432"/>
      <c r="K309" s="432"/>
      <c r="L309" s="432"/>
      <c r="M309" s="432"/>
      <c r="N309" s="432"/>
      <c r="O309" s="432"/>
      <c r="P309" s="432"/>
      <c r="Q309" s="432"/>
      <c r="R309" s="432"/>
      <c r="S309" s="432"/>
      <c r="T309" s="432"/>
      <c r="U309" s="432"/>
      <c r="V309" s="432"/>
      <c r="W309" s="432"/>
      <c r="X309" s="432"/>
      <c r="Y309" s="432"/>
      <c r="Z309" s="432"/>
      <c r="AA309" s="432"/>
      <c r="AB309" s="432"/>
    </row>
    <row r="310">
      <c r="A310" s="432"/>
      <c r="B310" s="432"/>
      <c r="C310" s="432"/>
      <c r="D310" s="432"/>
      <c r="E310" s="432"/>
      <c r="F310" s="432"/>
      <c r="G310" s="432"/>
      <c r="H310" s="432"/>
      <c r="I310" s="432"/>
      <c r="J310" s="432"/>
      <c r="K310" s="432"/>
      <c r="L310" s="432"/>
      <c r="M310" s="432"/>
      <c r="N310" s="432"/>
      <c r="O310" s="432"/>
      <c r="P310" s="432"/>
      <c r="Q310" s="432"/>
      <c r="R310" s="432"/>
      <c r="S310" s="432"/>
      <c r="T310" s="432"/>
      <c r="U310" s="432"/>
      <c r="V310" s="432"/>
      <c r="W310" s="432"/>
      <c r="X310" s="432"/>
      <c r="Y310" s="432"/>
      <c r="Z310" s="432"/>
      <c r="AA310" s="432"/>
      <c r="AB310" s="432"/>
    </row>
    <row r="311">
      <c r="A311" s="432"/>
      <c r="B311" s="432"/>
      <c r="C311" s="432"/>
      <c r="D311" s="432"/>
      <c r="E311" s="432"/>
      <c r="F311" s="432"/>
      <c r="G311" s="432"/>
      <c r="H311" s="432"/>
      <c r="I311" s="432"/>
      <c r="J311" s="432"/>
      <c r="K311" s="432"/>
      <c r="L311" s="432"/>
      <c r="M311" s="432"/>
      <c r="N311" s="432"/>
      <c r="O311" s="432"/>
      <c r="P311" s="432"/>
      <c r="Q311" s="432"/>
      <c r="R311" s="432"/>
      <c r="S311" s="432"/>
      <c r="T311" s="432"/>
      <c r="U311" s="432"/>
      <c r="V311" s="432"/>
      <c r="W311" s="432"/>
      <c r="X311" s="432"/>
      <c r="Y311" s="432"/>
      <c r="Z311" s="432"/>
      <c r="AA311" s="432"/>
      <c r="AB311" s="432"/>
    </row>
    <row r="312">
      <c r="A312" s="432"/>
      <c r="B312" s="432"/>
      <c r="C312" s="432"/>
      <c r="D312" s="432"/>
      <c r="E312" s="432"/>
      <c r="F312" s="432"/>
      <c r="G312" s="432"/>
      <c r="H312" s="432"/>
      <c r="I312" s="432"/>
      <c r="J312" s="432"/>
      <c r="K312" s="432"/>
      <c r="L312" s="432"/>
      <c r="M312" s="432"/>
      <c r="N312" s="432"/>
      <c r="O312" s="432"/>
      <c r="P312" s="432"/>
      <c r="Q312" s="432"/>
      <c r="R312" s="432"/>
      <c r="S312" s="432"/>
      <c r="T312" s="432"/>
      <c r="U312" s="432"/>
      <c r="V312" s="432"/>
      <c r="W312" s="432"/>
      <c r="X312" s="432"/>
      <c r="Y312" s="432"/>
      <c r="Z312" s="432"/>
      <c r="AA312" s="432"/>
      <c r="AB312" s="432"/>
    </row>
    <row r="313">
      <c r="A313" s="432"/>
      <c r="B313" s="432"/>
      <c r="C313" s="432"/>
      <c r="D313" s="432"/>
      <c r="E313" s="432"/>
      <c r="F313" s="432"/>
      <c r="G313" s="432"/>
      <c r="H313" s="432"/>
      <c r="I313" s="432"/>
      <c r="J313" s="432"/>
      <c r="K313" s="432"/>
      <c r="L313" s="432"/>
      <c r="M313" s="432"/>
      <c r="N313" s="432"/>
      <c r="O313" s="432"/>
      <c r="P313" s="432"/>
      <c r="Q313" s="432"/>
      <c r="R313" s="432"/>
      <c r="S313" s="432"/>
      <c r="T313" s="432"/>
      <c r="U313" s="432"/>
      <c r="V313" s="432"/>
      <c r="W313" s="432"/>
      <c r="X313" s="432"/>
      <c r="Y313" s="432"/>
      <c r="Z313" s="432"/>
      <c r="AA313" s="432"/>
      <c r="AB313" s="432"/>
    </row>
    <row r="314">
      <c r="A314" s="432"/>
      <c r="B314" s="432"/>
      <c r="C314" s="432"/>
      <c r="D314" s="432"/>
      <c r="E314" s="432"/>
      <c r="F314" s="432"/>
      <c r="G314" s="432"/>
      <c r="H314" s="432"/>
      <c r="I314" s="432"/>
      <c r="J314" s="432"/>
      <c r="K314" s="432"/>
      <c r="L314" s="432"/>
      <c r="M314" s="432"/>
      <c r="N314" s="432"/>
      <c r="O314" s="432"/>
      <c r="P314" s="432"/>
      <c r="Q314" s="432"/>
      <c r="R314" s="432"/>
      <c r="S314" s="432"/>
      <c r="T314" s="432"/>
      <c r="U314" s="432"/>
      <c r="V314" s="432"/>
      <c r="W314" s="432"/>
      <c r="X314" s="432"/>
      <c r="Y314" s="432"/>
      <c r="Z314" s="432"/>
      <c r="AA314" s="432"/>
      <c r="AB314" s="432"/>
    </row>
    <row r="315">
      <c r="A315" s="432"/>
      <c r="B315" s="432"/>
      <c r="C315" s="432"/>
      <c r="D315" s="432"/>
      <c r="E315" s="432"/>
      <c r="F315" s="432"/>
      <c r="G315" s="432"/>
      <c r="H315" s="432"/>
      <c r="I315" s="432"/>
      <c r="J315" s="432"/>
      <c r="K315" s="432"/>
      <c r="L315" s="432"/>
      <c r="M315" s="432"/>
      <c r="N315" s="432"/>
      <c r="O315" s="432"/>
      <c r="P315" s="432"/>
      <c r="Q315" s="432"/>
      <c r="R315" s="432"/>
      <c r="S315" s="432"/>
      <c r="T315" s="432"/>
      <c r="U315" s="432"/>
      <c r="V315" s="432"/>
      <c r="W315" s="432"/>
      <c r="X315" s="432"/>
      <c r="Y315" s="432"/>
      <c r="Z315" s="432"/>
      <c r="AA315" s="432"/>
      <c r="AB315" s="432"/>
    </row>
    <row r="316">
      <c r="A316" s="432"/>
      <c r="B316" s="432"/>
      <c r="C316" s="432"/>
      <c r="D316" s="432"/>
      <c r="E316" s="432"/>
      <c r="F316" s="432"/>
      <c r="G316" s="432"/>
      <c r="H316" s="432"/>
      <c r="I316" s="432"/>
      <c r="J316" s="432"/>
      <c r="K316" s="432"/>
      <c r="L316" s="432"/>
      <c r="M316" s="432"/>
      <c r="N316" s="432"/>
      <c r="O316" s="432"/>
      <c r="P316" s="432"/>
      <c r="Q316" s="432"/>
      <c r="R316" s="432"/>
      <c r="S316" s="432"/>
      <c r="T316" s="432"/>
      <c r="U316" s="432"/>
      <c r="V316" s="432"/>
      <c r="W316" s="432"/>
      <c r="X316" s="432"/>
      <c r="Y316" s="432"/>
      <c r="Z316" s="432"/>
      <c r="AA316" s="432"/>
      <c r="AB316" s="432"/>
    </row>
    <row r="317">
      <c r="A317" s="432"/>
      <c r="B317" s="432"/>
      <c r="C317" s="432"/>
      <c r="D317" s="432"/>
      <c r="E317" s="432"/>
      <c r="F317" s="432"/>
      <c r="G317" s="432"/>
      <c r="H317" s="432"/>
      <c r="I317" s="432"/>
      <c r="J317" s="432"/>
      <c r="K317" s="432"/>
      <c r="L317" s="432"/>
      <c r="M317" s="432"/>
      <c r="N317" s="432"/>
      <c r="O317" s="432"/>
      <c r="P317" s="432"/>
      <c r="Q317" s="432"/>
      <c r="R317" s="432"/>
      <c r="S317" s="432"/>
      <c r="T317" s="432"/>
      <c r="U317" s="432"/>
      <c r="V317" s="432"/>
      <c r="W317" s="432"/>
      <c r="X317" s="432"/>
      <c r="Y317" s="432"/>
      <c r="Z317" s="432"/>
      <c r="AA317" s="432"/>
      <c r="AB317" s="432"/>
    </row>
    <row r="318">
      <c r="A318" s="432"/>
      <c r="B318" s="432"/>
      <c r="C318" s="432"/>
      <c r="D318" s="432"/>
      <c r="E318" s="432"/>
      <c r="F318" s="432"/>
      <c r="G318" s="432"/>
      <c r="H318" s="432"/>
      <c r="I318" s="432"/>
      <c r="J318" s="432"/>
      <c r="K318" s="432"/>
      <c r="L318" s="432"/>
      <c r="M318" s="432"/>
      <c r="N318" s="432"/>
      <c r="O318" s="432"/>
      <c r="P318" s="432"/>
      <c r="Q318" s="432"/>
      <c r="R318" s="432"/>
      <c r="S318" s="432"/>
      <c r="T318" s="432"/>
      <c r="U318" s="432"/>
      <c r="V318" s="432"/>
      <c r="W318" s="432"/>
      <c r="X318" s="432"/>
      <c r="Y318" s="432"/>
      <c r="Z318" s="432"/>
      <c r="AA318" s="432"/>
      <c r="AB318" s="432"/>
    </row>
    <row r="319">
      <c r="A319" s="432"/>
      <c r="B319" s="432"/>
      <c r="C319" s="432"/>
      <c r="D319" s="432"/>
      <c r="E319" s="432"/>
      <c r="F319" s="432"/>
      <c r="G319" s="432"/>
      <c r="H319" s="432"/>
      <c r="I319" s="432"/>
      <c r="J319" s="432"/>
      <c r="K319" s="432"/>
      <c r="L319" s="432"/>
      <c r="M319" s="432"/>
      <c r="N319" s="432"/>
      <c r="O319" s="432"/>
      <c r="P319" s="432"/>
      <c r="Q319" s="432"/>
      <c r="R319" s="432"/>
      <c r="S319" s="432"/>
      <c r="T319" s="432"/>
      <c r="U319" s="432"/>
      <c r="V319" s="432"/>
      <c r="W319" s="432"/>
      <c r="X319" s="432"/>
      <c r="Y319" s="432"/>
      <c r="Z319" s="432"/>
      <c r="AA319" s="432"/>
      <c r="AB319" s="432"/>
    </row>
    <row r="320">
      <c r="A320" s="432"/>
      <c r="B320" s="432"/>
      <c r="C320" s="432"/>
      <c r="D320" s="432"/>
      <c r="E320" s="432"/>
      <c r="F320" s="432"/>
      <c r="G320" s="432"/>
      <c r="H320" s="432"/>
      <c r="I320" s="432"/>
      <c r="J320" s="432"/>
      <c r="K320" s="432"/>
      <c r="L320" s="432"/>
      <c r="M320" s="432"/>
      <c r="N320" s="432"/>
      <c r="O320" s="432"/>
      <c r="P320" s="432"/>
      <c r="Q320" s="432"/>
      <c r="R320" s="432"/>
      <c r="S320" s="432"/>
      <c r="T320" s="432"/>
      <c r="U320" s="432"/>
      <c r="V320" s="432"/>
      <c r="W320" s="432"/>
      <c r="X320" s="432"/>
      <c r="Y320" s="432"/>
      <c r="Z320" s="432"/>
      <c r="AA320" s="432"/>
      <c r="AB320" s="432"/>
    </row>
    <row r="321">
      <c r="A321" s="432"/>
      <c r="B321" s="432"/>
      <c r="C321" s="432"/>
      <c r="D321" s="432"/>
      <c r="E321" s="432"/>
      <c r="F321" s="432"/>
      <c r="G321" s="432"/>
      <c r="H321" s="432"/>
      <c r="I321" s="432"/>
      <c r="J321" s="432"/>
      <c r="K321" s="432"/>
      <c r="L321" s="432"/>
      <c r="M321" s="432"/>
      <c r="N321" s="432"/>
      <c r="O321" s="432"/>
      <c r="P321" s="432"/>
      <c r="Q321" s="432"/>
      <c r="R321" s="432"/>
      <c r="S321" s="432"/>
      <c r="T321" s="432"/>
      <c r="U321" s="432"/>
      <c r="V321" s="432"/>
      <c r="W321" s="432"/>
      <c r="X321" s="432"/>
      <c r="Y321" s="432"/>
      <c r="Z321" s="432"/>
      <c r="AA321" s="432"/>
      <c r="AB321" s="432"/>
    </row>
    <row r="322">
      <c r="A322" s="432"/>
      <c r="B322" s="432"/>
      <c r="C322" s="432"/>
      <c r="D322" s="432"/>
      <c r="E322" s="432"/>
      <c r="F322" s="432"/>
      <c r="G322" s="432"/>
      <c r="H322" s="432"/>
      <c r="I322" s="432"/>
      <c r="J322" s="432"/>
      <c r="K322" s="432"/>
      <c r="L322" s="432"/>
      <c r="M322" s="432"/>
      <c r="N322" s="432"/>
      <c r="O322" s="432"/>
      <c r="P322" s="432"/>
      <c r="Q322" s="432"/>
      <c r="R322" s="432"/>
      <c r="S322" s="432"/>
      <c r="T322" s="432"/>
      <c r="U322" s="432"/>
      <c r="V322" s="432"/>
      <c r="W322" s="432"/>
      <c r="X322" s="432"/>
      <c r="Y322" s="432"/>
      <c r="Z322" s="432"/>
      <c r="AA322" s="432"/>
      <c r="AB322" s="432"/>
    </row>
    <row r="323">
      <c r="A323" s="432"/>
      <c r="B323" s="432"/>
      <c r="C323" s="432"/>
      <c r="D323" s="432"/>
      <c r="E323" s="432"/>
      <c r="F323" s="432"/>
      <c r="G323" s="432"/>
      <c r="H323" s="432"/>
      <c r="I323" s="432"/>
      <c r="J323" s="432"/>
      <c r="K323" s="432"/>
      <c r="L323" s="432"/>
      <c r="M323" s="432"/>
      <c r="N323" s="432"/>
      <c r="O323" s="432"/>
      <c r="P323" s="432"/>
      <c r="Q323" s="432"/>
      <c r="R323" s="432"/>
      <c r="S323" s="432"/>
      <c r="T323" s="432"/>
      <c r="U323" s="432"/>
      <c r="V323" s="432"/>
      <c r="W323" s="432"/>
      <c r="X323" s="432"/>
      <c r="Y323" s="432"/>
      <c r="Z323" s="432"/>
      <c r="AA323" s="432"/>
      <c r="AB323" s="432"/>
    </row>
    <row r="324">
      <c r="A324" s="432"/>
      <c r="B324" s="432"/>
      <c r="C324" s="432"/>
      <c r="D324" s="432"/>
      <c r="E324" s="432"/>
      <c r="F324" s="432"/>
      <c r="G324" s="432"/>
      <c r="H324" s="432"/>
      <c r="I324" s="432"/>
      <c r="J324" s="432"/>
      <c r="K324" s="432"/>
      <c r="L324" s="432"/>
      <c r="M324" s="432"/>
      <c r="N324" s="432"/>
      <c r="O324" s="432"/>
      <c r="P324" s="432"/>
      <c r="Q324" s="432"/>
      <c r="R324" s="432"/>
      <c r="S324" s="432"/>
      <c r="T324" s="432"/>
      <c r="U324" s="432"/>
      <c r="V324" s="432"/>
      <c r="W324" s="432"/>
      <c r="X324" s="432"/>
      <c r="Y324" s="432"/>
      <c r="Z324" s="432"/>
      <c r="AA324" s="432"/>
      <c r="AB324" s="432"/>
    </row>
    <row r="325">
      <c r="A325" s="432"/>
      <c r="B325" s="432"/>
      <c r="C325" s="432"/>
      <c r="D325" s="432"/>
      <c r="E325" s="432"/>
      <c r="F325" s="432"/>
      <c r="G325" s="432"/>
      <c r="H325" s="432"/>
      <c r="I325" s="432"/>
      <c r="J325" s="432"/>
      <c r="K325" s="432"/>
      <c r="L325" s="432"/>
      <c r="M325" s="432"/>
      <c r="N325" s="432"/>
      <c r="O325" s="432"/>
      <c r="P325" s="432"/>
      <c r="Q325" s="432"/>
      <c r="R325" s="432"/>
      <c r="S325" s="432"/>
      <c r="T325" s="432"/>
      <c r="U325" s="432"/>
      <c r="V325" s="432"/>
      <c r="W325" s="432"/>
      <c r="X325" s="432"/>
      <c r="Y325" s="432"/>
      <c r="Z325" s="432"/>
      <c r="AA325" s="432"/>
      <c r="AB325" s="432"/>
    </row>
    <row r="326">
      <c r="A326" s="432"/>
      <c r="B326" s="432"/>
      <c r="C326" s="432"/>
      <c r="D326" s="432"/>
      <c r="E326" s="432"/>
      <c r="F326" s="432"/>
      <c r="G326" s="432"/>
      <c r="H326" s="432"/>
      <c r="I326" s="432"/>
      <c r="J326" s="432"/>
      <c r="K326" s="432"/>
      <c r="L326" s="432"/>
      <c r="M326" s="432"/>
      <c r="N326" s="432"/>
      <c r="O326" s="432"/>
      <c r="P326" s="432"/>
      <c r="Q326" s="432"/>
      <c r="R326" s="432"/>
      <c r="S326" s="432"/>
      <c r="T326" s="432"/>
      <c r="U326" s="432"/>
      <c r="V326" s="432"/>
      <c r="W326" s="432"/>
      <c r="X326" s="432"/>
      <c r="Y326" s="432"/>
      <c r="Z326" s="432"/>
      <c r="AA326" s="432"/>
      <c r="AB326" s="432"/>
    </row>
    <row r="327">
      <c r="A327" s="432"/>
      <c r="B327" s="432"/>
      <c r="C327" s="432"/>
      <c r="D327" s="432"/>
      <c r="E327" s="432"/>
      <c r="F327" s="432"/>
      <c r="G327" s="432"/>
      <c r="H327" s="432"/>
      <c r="I327" s="432"/>
      <c r="J327" s="432"/>
      <c r="K327" s="432"/>
      <c r="L327" s="432"/>
      <c r="M327" s="432"/>
      <c r="N327" s="432"/>
      <c r="O327" s="432"/>
      <c r="P327" s="432"/>
      <c r="Q327" s="432"/>
      <c r="R327" s="432"/>
      <c r="S327" s="432"/>
      <c r="T327" s="432"/>
      <c r="U327" s="432"/>
      <c r="V327" s="432"/>
      <c r="W327" s="432"/>
      <c r="X327" s="432"/>
      <c r="Y327" s="432"/>
      <c r="Z327" s="432"/>
      <c r="AA327" s="432"/>
      <c r="AB327" s="432"/>
    </row>
    <row r="328">
      <c r="A328" s="432"/>
      <c r="B328" s="432"/>
      <c r="C328" s="432"/>
      <c r="D328" s="432"/>
      <c r="E328" s="432"/>
      <c r="F328" s="432"/>
      <c r="G328" s="432"/>
      <c r="H328" s="432"/>
      <c r="I328" s="432"/>
      <c r="J328" s="432"/>
      <c r="K328" s="432"/>
      <c r="L328" s="432"/>
      <c r="M328" s="432"/>
      <c r="N328" s="432"/>
      <c r="O328" s="432"/>
      <c r="P328" s="432"/>
      <c r="Q328" s="432"/>
      <c r="R328" s="432"/>
      <c r="S328" s="432"/>
      <c r="T328" s="432"/>
      <c r="U328" s="432"/>
      <c r="V328" s="432"/>
      <c r="W328" s="432"/>
      <c r="X328" s="432"/>
      <c r="Y328" s="432"/>
      <c r="Z328" s="432"/>
      <c r="AA328" s="432"/>
      <c r="AB328" s="432"/>
    </row>
    <row r="329">
      <c r="A329" s="432"/>
      <c r="B329" s="432"/>
      <c r="C329" s="432"/>
      <c r="D329" s="432"/>
      <c r="E329" s="432"/>
      <c r="F329" s="432"/>
      <c r="G329" s="432"/>
      <c r="H329" s="432"/>
      <c r="I329" s="432"/>
      <c r="J329" s="432"/>
      <c r="K329" s="432"/>
      <c r="L329" s="432"/>
      <c r="M329" s="432"/>
      <c r="N329" s="432"/>
      <c r="O329" s="432"/>
      <c r="P329" s="432"/>
      <c r="Q329" s="432"/>
      <c r="R329" s="432"/>
      <c r="S329" s="432"/>
      <c r="T329" s="432"/>
      <c r="U329" s="432"/>
      <c r="V329" s="432"/>
      <c r="W329" s="432"/>
      <c r="X329" s="432"/>
      <c r="Y329" s="432"/>
      <c r="Z329" s="432"/>
      <c r="AA329" s="432"/>
      <c r="AB329" s="432"/>
    </row>
    <row r="330">
      <c r="A330" s="432"/>
      <c r="B330" s="432"/>
      <c r="C330" s="432"/>
      <c r="D330" s="432"/>
      <c r="E330" s="432"/>
      <c r="F330" s="432"/>
      <c r="G330" s="432"/>
      <c r="H330" s="432"/>
      <c r="I330" s="432"/>
      <c r="J330" s="432"/>
      <c r="K330" s="432"/>
      <c r="L330" s="432"/>
      <c r="M330" s="432"/>
      <c r="N330" s="432"/>
      <c r="O330" s="432"/>
      <c r="P330" s="432"/>
      <c r="Q330" s="432"/>
      <c r="R330" s="432"/>
      <c r="S330" s="432"/>
      <c r="T330" s="432"/>
      <c r="U330" s="432"/>
      <c r="V330" s="432"/>
      <c r="W330" s="432"/>
      <c r="X330" s="432"/>
      <c r="Y330" s="432"/>
      <c r="Z330" s="432"/>
      <c r="AA330" s="432"/>
      <c r="AB330" s="432"/>
    </row>
    <row r="331">
      <c r="A331" s="432"/>
      <c r="B331" s="432"/>
      <c r="C331" s="432"/>
      <c r="D331" s="432"/>
      <c r="E331" s="432"/>
      <c r="F331" s="432"/>
      <c r="G331" s="432"/>
      <c r="H331" s="432"/>
      <c r="I331" s="432"/>
      <c r="J331" s="432"/>
      <c r="K331" s="432"/>
      <c r="L331" s="432"/>
      <c r="M331" s="432"/>
      <c r="N331" s="432"/>
      <c r="O331" s="432"/>
      <c r="P331" s="432"/>
      <c r="Q331" s="432"/>
      <c r="R331" s="432"/>
      <c r="S331" s="432"/>
      <c r="T331" s="432"/>
      <c r="U331" s="432"/>
      <c r="V331" s="432"/>
      <c r="W331" s="432"/>
      <c r="X331" s="432"/>
      <c r="Y331" s="432"/>
      <c r="Z331" s="432"/>
      <c r="AA331" s="432"/>
      <c r="AB331" s="432"/>
    </row>
    <row r="332">
      <c r="A332" s="432"/>
      <c r="B332" s="432"/>
      <c r="C332" s="432"/>
      <c r="D332" s="432"/>
      <c r="E332" s="432"/>
      <c r="F332" s="432"/>
      <c r="G332" s="432"/>
      <c r="H332" s="432"/>
      <c r="I332" s="432"/>
      <c r="J332" s="432"/>
      <c r="K332" s="432"/>
      <c r="L332" s="432"/>
      <c r="M332" s="432"/>
      <c r="N332" s="432"/>
      <c r="O332" s="432"/>
      <c r="P332" s="432"/>
      <c r="Q332" s="432"/>
      <c r="R332" s="432"/>
      <c r="S332" s="432"/>
      <c r="T332" s="432"/>
      <c r="U332" s="432"/>
      <c r="V332" s="432"/>
      <c r="W332" s="432"/>
      <c r="X332" s="432"/>
      <c r="Y332" s="432"/>
      <c r="Z332" s="432"/>
      <c r="AA332" s="432"/>
      <c r="AB332" s="432"/>
    </row>
    <row r="333">
      <c r="A333" s="432"/>
      <c r="B333" s="432"/>
      <c r="C333" s="432"/>
      <c r="D333" s="432"/>
      <c r="E333" s="432"/>
      <c r="F333" s="432"/>
      <c r="G333" s="432"/>
      <c r="H333" s="432"/>
      <c r="I333" s="432"/>
      <c r="J333" s="432"/>
      <c r="K333" s="432"/>
      <c r="L333" s="432"/>
      <c r="M333" s="432"/>
      <c r="N333" s="432"/>
      <c r="O333" s="432"/>
      <c r="P333" s="432"/>
      <c r="Q333" s="432"/>
      <c r="R333" s="432"/>
      <c r="S333" s="432"/>
      <c r="T333" s="432"/>
      <c r="U333" s="432"/>
      <c r="V333" s="432"/>
      <c r="W333" s="432"/>
      <c r="X333" s="432"/>
      <c r="Y333" s="432"/>
      <c r="Z333" s="432"/>
      <c r="AA333" s="432"/>
      <c r="AB333" s="432"/>
    </row>
    <row r="334">
      <c r="A334" s="432"/>
      <c r="B334" s="432"/>
      <c r="C334" s="432"/>
      <c r="D334" s="432"/>
      <c r="E334" s="432"/>
      <c r="F334" s="432"/>
      <c r="G334" s="432"/>
      <c r="H334" s="432"/>
      <c r="I334" s="432"/>
      <c r="J334" s="432"/>
      <c r="K334" s="432"/>
      <c r="L334" s="432"/>
      <c r="M334" s="432"/>
      <c r="N334" s="432"/>
      <c r="O334" s="432"/>
      <c r="P334" s="432"/>
      <c r="Q334" s="432"/>
      <c r="R334" s="432"/>
      <c r="S334" s="432"/>
      <c r="T334" s="432"/>
      <c r="U334" s="432"/>
      <c r="V334" s="432"/>
      <c r="W334" s="432"/>
      <c r="X334" s="432"/>
      <c r="Y334" s="432"/>
      <c r="Z334" s="432"/>
      <c r="AA334" s="432"/>
      <c r="AB334" s="432"/>
    </row>
    <row r="335">
      <c r="A335" s="432"/>
      <c r="B335" s="432"/>
      <c r="C335" s="432"/>
      <c r="D335" s="432"/>
      <c r="E335" s="432"/>
      <c r="F335" s="432"/>
      <c r="G335" s="432"/>
      <c r="H335" s="432"/>
      <c r="I335" s="432"/>
      <c r="J335" s="432"/>
      <c r="K335" s="432"/>
      <c r="L335" s="432"/>
      <c r="M335" s="432"/>
      <c r="N335" s="432"/>
      <c r="O335" s="432"/>
      <c r="P335" s="432"/>
      <c r="Q335" s="432"/>
      <c r="R335" s="432"/>
      <c r="S335" s="432"/>
      <c r="T335" s="432"/>
      <c r="U335" s="432"/>
      <c r="V335" s="432"/>
      <c r="W335" s="432"/>
      <c r="X335" s="432"/>
      <c r="Y335" s="432"/>
      <c r="Z335" s="432"/>
      <c r="AA335" s="432"/>
      <c r="AB335" s="432"/>
    </row>
    <row r="336">
      <c r="A336" s="432"/>
      <c r="B336" s="432"/>
      <c r="C336" s="432"/>
      <c r="D336" s="432"/>
      <c r="E336" s="432"/>
      <c r="F336" s="432"/>
      <c r="G336" s="432"/>
      <c r="H336" s="432"/>
      <c r="I336" s="432"/>
      <c r="J336" s="432"/>
      <c r="K336" s="432"/>
      <c r="L336" s="432"/>
      <c r="M336" s="432"/>
      <c r="N336" s="432"/>
      <c r="O336" s="432"/>
      <c r="P336" s="432"/>
      <c r="Q336" s="432"/>
      <c r="R336" s="432"/>
      <c r="S336" s="432"/>
      <c r="T336" s="432"/>
      <c r="U336" s="432"/>
      <c r="V336" s="432"/>
      <c r="W336" s="432"/>
      <c r="X336" s="432"/>
      <c r="Y336" s="432"/>
      <c r="Z336" s="432"/>
      <c r="AA336" s="432"/>
      <c r="AB336" s="432"/>
    </row>
    <row r="337">
      <c r="A337" s="432"/>
      <c r="B337" s="432"/>
      <c r="C337" s="432"/>
      <c r="D337" s="432"/>
      <c r="E337" s="432"/>
      <c r="F337" s="432"/>
      <c r="G337" s="432"/>
      <c r="H337" s="432"/>
      <c r="I337" s="432"/>
      <c r="J337" s="432"/>
      <c r="K337" s="432"/>
      <c r="L337" s="432"/>
      <c r="M337" s="432"/>
      <c r="N337" s="432"/>
      <c r="O337" s="432"/>
      <c r="P337" s="432"/>
      <c r="Q337" s="432"/>
      <c r="R337" s="432"/>
      <c r="S337" s="432"/>
      <c r="T337" s="432"/>
      <c r="U337" s="432"/>
      <c r="V337" s="432"/>
      <c r="W337" s="432"/>
      <c r="X337" s="432"/>
      <c r="Y337" s="432"/>
      <c r="Z337" s="432"/>
      <c r="AA337" s="432"/>
      <c r="AB337" s="432"/>
    </row>
    <row r="338">
      <c r="A338" s="432"/>
      <c r="B338" s="432"/>
      <c r="C338" s="432"/>
      <c r="D338" s="432"/>
      <c r="E338" s="432"/>
      <c r="F338" s="432"/>
      <c r="G338" s="432"/>
      <c r="H338" s="432"/>
      <c r="I338" s="432"/>
      <c r="J338" s="432"/>
      <c r="K338" s="432"/>
      <c r="L338" s="432"/>
      <c r="M338" s="432"/>
      <c r="N338" s="432"/>
      <c r="O338" s="432"/>
      <c r="P338" s="432"/>
      <c r="Q338" s="432"/>
      <c r="R338" s="432"/>
      <c r="S338" s="432"/>
      <c r="T338" s="432"/>
      <c r="U338" s="432"/>
      <c r="V338" s="432"/>
      <c r="W338" s="432"/>
      <c r="X338" s="432"/>
      <c r="Y338" s="432"/>
      <c r="Z338" s="432"/>
      <c r="AA338" s="432"/>
      <c r="AB338" s="432"/>
    </row>
    <row r="339">
      <c r="A339" s="432"/>
      <c r="B339" s="432"/>
      <c r="C339" s="432"/>
      <c r="D339" s="432"/>
      <c r="E339" s="432"/>
      <c r="F339" s="432"/>
      <c r="G339" s="432"/>
      <c r="H339" s="432"/>
      <c r="I339" s="432"/>
      <c r="J339" s="432"/>
      <c r="K339" s="432"/>
      <c r="L339" s="432"/>
      <c r="M339" s="432"/>
      <c r="N339" s="432"/>
      <c r="O339" s="432"/>
      <c r="P339" s="432"/>
      <c r="Q339" s="432"/>
      <c r="R339" s="432"/>
      <c r="S339" s="432"/>
      <c r="T339" s="432"/>
      <c r="U339" s="432"/>
      <c r="V339" s="432"/>
      <c r="W339" s="432"/>
      <c r="X339" s="432"/>
      <c r="Y339" s="432"/>
      <c r="Z339" s="432"/>
      <c r="AA339" s="432"/>
      <c r="AB339" s="432"/>
    </row>
    <row r="340">
      <c r="A340" s="432"/>
      <c r="B340" s="432"/>
      <c r="C340" s="432"/>
      <c r="D340" s="432"/>
      <c r="E340" s="432"/>
      <c r="F340" s="432"/>
      <c r="G340" s="432"/>
      <c r="H340" s="432"/>
      <c r="I340" s="432"/>
      <c r="J340" s="432"/>
      <c r="K340" s="432"/>
      <c r="L340" s="432"/>
      <c r="M340" s="432"/>
      <c r="N340" s="432"/>
      <c r="O340" s="432"/>
      <c r="P340" s="432"/>
      <c r="Q340" s="432"/>
      <c r="R340" s="432"/>
      <c r="S340" s="432"/>
      <c r="T340" s="432"/>
      <c r="U340" s="432"/>
      <c r="V340" s="432"/>
      <c r="W340" s="432"/>
      <c r="X340" s="432"/>
      <c r="Y340" s="432"/>
      <c r="Z340" s="432"/>
      <c r="AA340" s="432"/>
      <c r="AB340" s="432"/>
    </row>
    <row r="341">
      <c r="A341" s="432"/>
      <c r="B341" s="432"/>
      <c r="C341" s="432"/>
      <c r="D341" s="432"/>
      <c r="E341" s="432"/>
      <c r="F341" s="432"/>
      <c r="G341" s="432"/>
      <c r="H341" s="432"/>
      <c r="I341" s="432"/>
      <c r="J341" s="432"/>
      <c r="K341" s="432"/>
      <c r="L341" s="432"/>
      <c r="M341" s="432"/>
      <c r="N341" s="432"/>
      <c r="O341" s="432"/>
      <c r="P341" s="432"/>
      <c r="Q341" s="432"/>
      <c r="R341" s="432"/>
      <c r="S341" s="432"/>
      <c r="T341" s="432"/>
      <c r="U341" s="432"/>
      <c r="V341" s="432"/>
      <c r="W341" s="432"/>
      <c r="X341" s="432"/>
      <c r="Y341" s="432"/>
      <c r="Z341" s="432"/>
      <c r="AA341" s="432"/>
      <c r="AB341" s="432"/>
    </row>
    <row r="342">
      <c r="A342" s="432"/>
      <c r="B342" s="432"/>
      <c r="C342" s="432"/>
      <c r="D342" s="432"/>
      <c r="E342" s="432"/>
      <c r="F342" s="432"/>
      <c r="G342" s="432"/>
      <c r="H342" s="432"/>
      <c r="I342" s="432"/>
      <c r="J342" s="432"/>
      <c r="K342" s="432"/>
      <c r="L342" s="432"/>
      <c r="M342" s="432"/>
      <c r="N342" s="432"/>
      <c r="O342" s="432"/>
      <c r="P342" s="432"/>
      <c r="Q342" s="432"/>
      <c r="R342" s="432"/>
      <c r="S342" s="432"/>
      <c r="T342" s="432"/>
      <c r="U342" s="432"/>
      <c r="V342" s="432"/>
      <c r="W342" s="432"/>
      <c r="X342" s="432"/>
      <c r="Y342" s="432"/>
      <c r="Z342" s="432"/>
      <c r="AA342" s="432"/>
      <c r="AB342" s="432"/>
    </row>
    <row r="343">
      <c r="A343" s="432"/>
      <c r="B343" s="432"/>
      <c r="C343" s="432"/>
      <c r="D343" s="432"/>
      <c r="E343" s="432"/>
      <c r="F343" s="432"/>
      <c r="G343" s="432"/>
      <c r="H343" s="432"/>
      <c r="I343" s="432"/>
      <c r="J343" s="432"/>
      <c r="K343" s="432"/>
      <c r="L343" s="432"/>
      <c r="M343" s="432"/>
      <c r="N343" s="432"/>
      <c r="O343" s="432"/>
      <c r="P343" s="432"/>
      <c r="Q343" s="432"/>
      <c r="R343" s="432"/>
      <c r="S343" s="432"/>
      <c r="T343" s="432"/>
      <c r="U343" s="432"/>
      <c r="V343" s="432"/>
      <c r="W343" s="432"/>
      <c r="X343" s="432"/>
      <c r="Y343" s="432"/>
      <c r="Z343" s="432"/>
      <c r="AA343" s="432"/>
      <c r="AB343" s="432"/>
    </row>
    <row r="344">
      <c r="A344" s="432"/>
      <c r="B344" s="432"/>
      <c r="C344" s="432"/>
      <c r="D344" s="432"/>
      <c r="E344" s="432"/>
      <c r="F344" s="432"/>
      <c r="G344" s="432"/>
      <c r="H344" s="432"/>
      <c r="I344" s="432"/>
      <c r="J344" s="432"/>
      <c r="K344" s="432"/>
      <c r="L344" s="432"/>
      <c r="M344" s="432"/>
      <c r="N344" s="432"/>
      <c r="O344" s="432"/>
      <c r="P344" s="432"/>
      <c r="Q344" s="432"/>
      <c r="R344" s="432"/>
      <c r="S344" s="432"/>
      <c r="T344" s="432"/>
      <c r="U344" s="432"/>
      <c r="V344" s="432"/>
      <c r="W344" s="432"/>
      <c r="X344" s="432"/>
      <c r="Y344" s="432"/>
      <c r="Z344" s="432"/>
      <c r="AA344" s="432"/>
      <c r="AB344" s="432"/>
    </row>
    <row r="345">
      <c r="A345" s="432"/>
      <c r="B345" s="432"/>
      <c r="C345" s="432"/>
      <c r="D345" s="432"/>
      <c r="E345" s="432"/>
      <c r="F345" s="432"/>
      <c r="G345" s="432"/>
      <c r="H345" s="432"/>
      <c r="I345" s="432"/>
      <c r="J345" s="432"/>
      <c r="K345" s="432"/>
      <c r="L345" s="432"/>
      <c r="M345" s="432"/>
      <c r="N345" s="432"/>
      <c r="O345" s="432"/>
      <c r="P345" s="432"/>
      <c r="Q345" s="432"/>
      <c r="R345" s="432"/>
      <c r="S345" s="432"/>
      <c r="T345" s="432"/>
      <c r="U345" s="432"/>
      <c r="V345" s="432"/>
      <c r="W345" s="432"/>
      <c r="X345" s="432"/>
      <c r="Y345" s="432"/>
      <c r="Z345" s="432"/>
      <c r="AA345" s="432"/>
      <c r="AB345" s="432"/>
    </row>
    <row r="346">
      <c r="A346" s="432"/>
      <c r="B346" s="432"/>
      <c r="C346" s="432"/>
      <c r="D346" s="432"/>
      <c r="E346" s="432"/>
      <c r="F346" s="432"/>
      <c r="G346" s="432"/>
      <c r="H346" s="432"/>
      <c r="I346" s="432"/>
      <c r="J346" s="432"/>
      <c r="K346" s="432"/>
      <c r="L346" s="432"/>
      <c r="M346" s="432"/>
      <c r="N346" s="432"/>
      <c r="O346" s="432"/>
      <c r="P346" s="432"/>
      <c r="Q346" s="432"/>
      <c r="R346" s="432"/>
      <c r="S346" s="432"/>
      <c r="T346" s="432"/>
      <c r="U346" s="432"/>
      <c r="V346" s="432"/>
      <c r="W346" s="432"/>
      <c r="X346" s="432"/>
      <c r="Y346" s="432"/>
      <c r="Z346" s="432"/>
      <c r="AA346" s="432"/>
      <c r="AB346" s="432"/>
    </row>
    <row r="347">
      <c r="A347" s="432"/>
      <c r="B347" s="432"/>
      <c r="C347" s="432"/>
      <c r="D347" s="432"/>
      <c r="E347" s="432"/>
      <c r="F347" s="432"/>
      <c r="G347" s="432"/>
      <c r="H347" s="432"/>
      <c r="I347" s="432"/>
      <c r="J347" s="432"/>
      <c r="K347" s="432"/>
      <c r="L347" s="432"/>
      <c r="M347" s="432"/>
      <c r="N347" s="432"/>
      <c r="O347" s="432"/>
      <c r="P347" s="432"/>
      <c r="Q347" s="432"/>
      <c r="R347" s="432"/>
      <c r="S347" s="432"/>
      <c r="T347" s="432"/>
      <c r="U347" s="432"/>
      <c r="V347" s="432"/>
      <c r="W347" s="432"/>
      <c r="X347" s="432"/>
      <c r="Y347" s="432"/>
      <c r="Z347" s="432"/>
      <c r="AA347" s="432"/>
      <c r="AB347" s="432"/>
    </row>
    <row r="348">
      <c r="A348" s="432"/>
      <c r="B348" s="432"/>
      <c r="C348" s="432"/>
      <c r="D348" s="432"/>
      <c r="E348" s="432"/>
      <c r="F348" s="432"/>
      <c r="G348" s="432"/>
      <c r="H348" s="432"/>
      <c r="I348" s="432"/>
      <c r="J348" s="432"/>
      <c r="K348" s="432"/>
      <c r="L348" s="432"/>
      <c r="M348" s="432"/>
      <c r="N348" s="432"/>
      <c r="O348" s="432"/>
      <c r="P348" s="432"/>
      <c r="Q348" s="432"/>
      <c r="R348" s="432"/>
      <c r="S348" s="432"/>
      <c r="T348" s="432"/>
      <c r="U348" s="432"/>
      <c r="V348" s="432"/>
      <c r="W348" s="432"/>
      <c r="X348" s="432"/>
      <c r="Y348" s="432"/>
      <c r="Z348" s="432"/>
      <c r="AA348" s="432"/>
      <c r="AB348" s="432"/>
    </row>
    <row r="349">
      <c r="A349" s="432"/>
      <c r="B349" s="432"/>
      <c r="C349" s="432"/>
      <c r="D349" s="432"/>
      <c r="E349" s="432"/>
      <c r="F349" s="432"/>
      <c r="G349" s="432"/>
      <c r="H349" s="432"/>
      <c r="I349" s="432"/>
      <c r="J349" s="432"/>
      <c r="K349" s="432"/>
      <c r="L349" s="432"/>
      <c r="M349" s="432"/>
      <c r="N349" s="432"/>
      <c r="O349" s="432"/>
      <c r="P349" s="432"/>
      <c r="Q349" s="432"/>
      <c r="R349" s="432"/>
      <c r="S349" s="432"/>
      <c r="T349" s="432"/>
      <c r="U349" s="432"/>
      <c r="V349" s="432"/>
      <c r="W349" s="432"/>
      <c r="X349" s="432"/>
      <c r="Y349" s="432"/>
      <c r="Z349" s="432"/>
      <c r="AA349" s="432"/>
      <c r="AB349" s="432"/>
    </row>
    <row r="350">
      <c r="A350" s="432"/>
      <c r="B350" s="432"/>
      <c r="C350" s="432"/>
      <c r="D350" s="432"/>
      <c r="E350" s="432"/>
      <c r="F350" s="432"/>
      <c r="G350" s="432"/>
      <c r="H350" s="432"/>
      <c r="I350" s="432"/>
      <c r="J350" s="432"/>
      <c r="K350" s="432"/>
      <c r="L350" s="432"/>
      <c r="M350" s="432"/>
      <c r="N350" s="432"/>
      <c r="O350" s="432"/>
      <c r="P350" s="432"/>
      <c r="Q350" s="432"/>
      <c r="R350" s="432"/>
      <c r="S350" s="432"/>
      <c r="T350" s="432"/>
      <c r="U350" s="432"/>
      <c r="V350" s="432"/>
      <c r="W350" s="432"/>
      <c r="X350" s="432"/>
      <c r="Y350" s="432"/>
      <c r="Z350" s="432"/>
      <c r="AA350" s="432"/>
      <c r="AB350" s="432"/>
    </row>
    <row r="351">
      <c r="A351" s="432"/>
      <c r="B351" s="432"/>
      <c r="C351" s="432"/>
      <c r="D351" s="432"/>
      <c r="E351" s="432"/>
      <c r="F351" s="432"/>
      <c r="G351" s="432"/>
      <c r="H351" s="432"/>
      <c r="I351" s="432"/>
      <c r="J351" s="432"/>
      <c r="K351" s="432"/>
      <c r="L351" s="432"/>
      <c r="M351" s="432"/>
      <c r="N351" s="432"/>
      <c r="O351" s="432"/>
      <c r="P351" s="432"/>
      <c r="Q351" s="432"/>
      <c r="R351" s="432"/>
      <c r="S351" s="432"/>
      <c r="T351" s="432"/>
      <c r="U351" s="432"/>
      <c r="V351" s="432"/>
      <c r="W351" s="432"/>
      <c r="X351" s="432"/>
      <c r="Y351" s="432"/>
      <c r="Z351" s="432"/>
      <c r="AA351" s="432"/>
      <c r="AB351" s="432"/>
    </row>
    <row r="352">
      <c r="A352" s="432"/>
      <c r="B352" s="432"/>
      <c r="C352" s="432"/>
      <c r="D352" s="432"/>
      <c r="E352" s="432"/>
      <c r="F352" s="432"/>
      <c r="G352" s="432"/>
      <c r="H352" s="432"/>
      <c r="I352" s="432"/>
      <c r="J352" s="432"/>
      <c r="K352" s="432"/>
      <c r="L352" s="432"/>
      <c r="M352" s="432"/>
      <c r="N352" s="432"/>
      <c r="O352" s="432"/>
      <c r="P352" s="432"/>
      <c r="Q352" s="432"/>
      <c r="R352" s="432"/>
      <c r="S352" s="432"/>
      <c r="T352" s="432"/>
      <c r="U352" s="432"/>
      <c r="V352" s="432"/>
      <c r="W352" s="432"/>
      <c r="X352" s="432"/>
      <c r="Y352" s="432"/>
      <c r="Z352" s="432"/>
      <c r="AA352" s="432"/>
      <c r="AB352" s="432"/>
    </row>
    <row r="353">
      <c r="A353" s="432"/>
      <c r="B353" s="432"/>
      <c r="C353" s="432"/>
      <c r="D353" s="432"/>
      <c r="E353" s="432"/>
      <c r="F353" s="432"/>
      <c r="G353" s="432"/>
      <c r="H353" s="432"/>
      <c r="I353" s="432"/>
      <c r="J353" s="432"/>
      <c r="K353" s="432"/>
      <c r="L353" s="432"/>
      <c r="M353" s="432"/>
      <c r="N353" s="432"/>
      <c r="O353" s="432"/>
      <c r="P353" s="432"/>
      <c r="Q353" s="432"/>
      <c r="R353" s="432"/>
      <c r="S353" s="432"/>
      <c r="T353" s="432"/>
      <c r="U353" s="432"/>
      <c r="V353" s="432"/>
      <c r="W353" s="432"/>
      <c r="X353" s="432"/>
      <c r="Y353" s="432"/>
      <c r="Z353" s="432"/>
      <c r="AA353" s="432"/>
      <c r="AB353" s="432"/>
    </row>
    <row r="354">
      <c r="A354" s="432"/>
      <c r="B354" s="432"/>
      <c r="C354" s="432"/>
      <c r="D354" s="432"/>
      <c r="E354" s="432"/>
      <c r="F354" s="432"/>
      <c r="G354" s="432"/>
      <c r="H354" s="432"/>
      <c r="I354" s="432"/>
      <c r="J354" s="432"/>
      <c r="K354" s="432"/>
      <c r="L354" s="432"/>
      <c r="M354" s="432"/>
      <c r="N354" s="432"/>
      <c r="O354" s="432"/>
      <c r="P354" s="432"/>
      <c r="Q354" s="432"/>
      <c r="R354" s="432"/>
      <c r="S354" s="432"/>
      <c r="T354" s="432"/>
      <c r="U354" s="432"/>
      <c r="V354" s="432"/>
      <c r="W354" s="432"/>
      <c r="X354" s="432"/>
      <c r="Y354" s="432"/>
      <c r="Z354" s="432"/>
      <c r="AA354" s="432"/>
      <c r="AB354" s="432"/>
    </row>
    <row r="355">
      <c r="A355" s="432"/>
      <c r="B355" s="432"/>
      <c r="C355" s="432"/>
      <c r="D355" s="432"/>
      <c r="E355" s="432"/>
      <c r="F355" s="432"/>
      <c r="G355" s="432"/>
      <c r="H355" s="432"/>
      <c r="I355" s="432"/>
      <c r="J355" s="432"/>
      <c r="K355" s="432"/>
      <c r="L355" s="432"/>
      <c r="M355" s="432"/>
      <c r="N355" s="432"/>
      <c r="O355" s="432"/>
      <c r="P355" s="432"/>
      <c r="Q355" s="432"/>
      <c r="R355" s="432"/>
      <c r="S355" s="432"/>
      <c r="T355" s="432"/>
      <c r="U355" s="432"/>
      <c r="V355" s="432"/>
      <c r="W355" s="432"/>
      <c r="X355" s="432"/>
      <c r="Y355" s="432"/>
      <c r="Z355" s="432"/>
      <c r="AA355" s="432"/>
      <c r="AB355" s="432"/>
    </row>
    <row r="356">
      <c r="A356" s="432"/>
      <c r="B356" s="432"/>
      <c r="C356" s="432"/>
      <c r="D356" s="432"/>
      <c r="E356" s="432"/>
      <c r="F356" s="432"/>
      <c r="G356" s="432"/>
      <c r="H356" s="432"/>
      <c r="I356" s="432"/>
      <c r="J356" s="432"/>
      <c r="K356" s="432"/>
      <c r="L356" s="432"/>
      <c r="M356" s="432"/>
      <c r="N356" s="432"/>
      <c r="O356" s="432"/>
      <c r="P356" s="432"/>
      <c r="Q356" s="432"/>
      <c r="R356" s="432"/>
      <c r="S356" s="432"/>
      <c r="T356" s="432"/>
      <c r="U356" s="432"/>
      <c r="V356" s="432"/>
      <c r="W356" s="432"/>
      <c r="X356" s="432"/>
      <c r="Y356" s="432"/>
      <c r="Z356" s="432"/>
      <c r="AA356" s="432"/>
      <c r="AB356" s="432"/>
    </row>
    <row r="357">
      <c r="A357" s="432"/>
      <c r="B357" s="432"/>
      <c r="C357" s="432"/>
      <c r="D357" s="432"/>
      <c r="E357" s="432"/>
      <c r="F357" s="432"/>
      <c r="G357" s="432"/>
      <c r="H357" s="432"/>
      <c r="I357" s="432"/>
      <c r="J357" s="432"/>
      <c r="K357" s="432"/>
      <c r="L357" s="432"/>
      <c r="M357" s="432"/>
      <c r="N357" s="432"/>
      <c r="O357" s="432"/>
      <c r="P357" s="432"/>
      <c r="Q357" s="432"/>
      <c r="R357" s="432"/>
      <c r="S357" s="432"/>
      <c r="T357" s="432"/>
      <c r="U357" s="432"/>
      <c r="V357" s="432"/>
      <c r="W357" s="432"/>
      <c r="X357" s="432"/>
      <c r="Y357" s="432"/>
      <c r="Z357" s="432"/>
      <c r="AA357" s="432"/>
      <c r="AB357" s="432"/>
    </row>
    <row r="358">
      <c r="A358" s="432"/>
      <c r="B358" s="432"/>
      <c r="C358" s="432"/>
      <c r="D358" s="432"/>
      <c r="E358" s="432"/>
      <c r="F358" s="432"/>
      <c r="G358" s="432"/>
      <c r="H358" s="432"/>
      <c r="I358" s="432"/>
      <c r="J358" s="432"/>
      <c r="K358" s="432"/>
      <c r="L358" s="432"/>
      <c r="M358" s="432"/>
      <c r="N358" s="432"/>
      <c r="O358" s="432"/>
      <c r="P358" s="432"/>
      <c r="Q358" s="432"/>
      <c r="R358" s="432"/>
      <c r="S358" s="432"/>
      <c r="T358" s="432"/>
      <c r="U358" s="432"/>
      <c r="V358" s="432"/>
      <c r="W358" s="432"/>
      <c r="X358" s="432"/>
      <c r="Y358" s="432"/>
      <c r="Z358" s="432"/>
      <c r="AA358" s="432"/>
      <c r="AB358" s="432"/>
    </row>
    <row r="359">
      <c r="A359" s="432"/>
      <c r="B359" s="432"/>
      <c r="C359" s="432"/>
      <c r="D359" s="432"/>
      <c r="E359" s="432"/>
      <c r="F359" s="432"/>
      <c r="G359" s="432"/>
      <c r="H359" s="432"/>
      <c r="I359" s="432"/>
      <c r="J359" s="432"/>
      <c r="K359" s="432"/>
      <c r="L359" s="432"/>
      <c r="M359" s="432"/>
      <c r="N359" s="432"/>
      <c r="O359" s="432"/>
      <c r="P359" s="432"/>
      <c r="Q359" s="432"/>
      <c r="R359" s="432"/>
      <c r="S359" s="432"/>
      <c r="T359" s="432"/>
      <c r="U359" s="432"/>
      <c r="V359" s="432"/>
      <c r="W359" s="432"/>
      <c r="X359" s="432"/>
      <c r="Y359" s="432"/>
      <c r="Z359" s="432"/>
      <c r="AA359" s="432"/>
      <c r="AB359" s="432"/>
    </row>
    <row r="360">
      <c r="A360" s="432"/>
      <c r="B360" s="432"/>
      <c r="C360" s="432"/>
      <c r="D360" s="432"/>
      <c r="E360" s="432"/>
      <c r="F360" s="432"/>
      <c r="G360" s="432"/>
      <c r="H360" s="432"/>
      <c r="I360" s="432"/>
      <c r="J360" s="432"/>
      <c r="K360" s="432"/>
      <c r="L360" s="432"/>
      <c r="M360" s="432"/>
      <c r="N360" s="432"/>
      <c r="O360" s="432"/>
      <c r="P360" s="432"/>
      <c r="Q360" s="432"/>
      <c r="R360" s="432"/>
      <c r="S360" s="432"/>
      <c r="T360" s="432"/>
      <c r="U360" s="432"/>
      <c r="V360" s="432"/>
      <c r="W360" s="432"/>
      <c r="X360" s="432"/>
      <c r="Y360" s="432"/>
      <c r="Z360" s="432"/>
      <c r="AA360" s="432"/>
      <c r="AB360" s="432"/>
    </row>
    <row r="361">
      <c r="A361" s="432"/>
      <c r="B361" s="432"/>
      <c r="C361" s="432"/>
      <c r="D361" s="432"/>
      <c r="E361" s="432"/>
      <c r="F361" s="432"/>
      <c r="G361" s="432"/>
      <c r="H361" s="432"/>
      <c r="I361" s="432"/>
      <c r="J361" s="432"/>
      <c r="K361" s="432"/>
      <c r="L361" s="432"/>
      <c r="M361" s="432"/>
      <c r="N361" s="432"/>
      <c r="O361" s="432"/>
      <c r="P361" s="432"/>
      <c r="Q361" s="432"/>
      <c r="R361" s="432"/>
      <c r="S361" s="432"/>
      <c r="T361" s="432"/>
      <c r="U361" s="432"/>
      <c r="V361" s="432"/>
      <c r="W361" s="432"/>
      <c r="X361" s="432"/>
      <c r="Y361" s="432"/>
      <c r="Z361" s="432"/>
      <c r="AA361" s="432"/>
      <c r="AB361" s="432"/>
    </row>
    <row r="362">
      <c r="A362" s="432"/>
      <c r="B362" s="432"/>
      <c r="C362" s="432"/>
      <c r="D362" s="432"/>
      <c r="E362" s="432"/>
      <c r="F362" s="432"/>
      <c r="G362" s="432"/>
      <c r="H362" s="432"/>
      <c r="I362" s="432"/>
      <c r="J362" s="432"/>
      <c r="K362" s="432"/>
      <c r="L362" s="432"/>
      <c r="M362" s="432"/>
      <c r="N362" s="432"/>
      <c r="O362" s="432"/>
      <c r="P362" s="432"/>
      <c r="Q362" s="432"/>
      <c r="R362" s="432"/>
      <c r="S362" s="432"/>
      <c r="T362" s="432"/>
      <c r="U362" s="432"/>
      <c r="V362" s="432"/>
      <c r="W362" s="432"/>
      <c r="X362" s="432"/>
      <c r="Y362" s="432"/>
      <c r="Z362" s="432"/>
      <c r="AA362" s="432"/>
      <c r="AB362" s="432"/>
    </row>
    <row r="363">
      <c r="A363" s="432"/>
      <c r="B363" s="432"/>
      <c r="C363" s="432"/>
      <c r="D363" s="432"/>
      <c r="E363" s="432"/>
      <c r="F363" s="432"/>
      <c r="G363" s="432"/>
      <c r="H363" s="432"/>
      <c r="I363" s="432"/>
      <c r="J363" s="432"/>
      <c r="K363" s="432"/>
      <c r="L363" s="432"/>
      <c r="M363" s="432"/>
      <c r="N363" s="432"/>
      <c r="O363" s="432"/>
      <c r="P363" s="432"/>
      <c r="Q363" s="432"/>
      <c r="R363" s="432"/>
      <c r="S363" s="432"/>
      <c r="T363" s="432"/>
      <c r="U363" s="432"/>
      <c r="V363" s="432"/>
      <c r="W363" s="432"/>
      <c r="X363" s="432"/>
      <c r="Y363" s="432"/>
      <c r="Z363" s="432"/>
      <c r="AA363" s="432"/>
      <c r="AB363" s="432"/>
    </row>
    <row r="364">
      <c r="A364" s="432"/>
      <c r="B364" s="432"/>
      <c r="C364" s="432"/>
      <c r="D364" s="432"/>
      <c r="E364" s="432"/>
      <c r="F364" s="432"/>
      <c r="G364" s="432"/>
      <c r="H364" s="432"/>
      <c r="I364" s="432"/>
      <c r="J364" s="432"/>
      <c r="K364" s="432"/>
      <c r="L364" s="432"/>
      <c r="M364" s="432"/>
      <c r="N364" s="432"/>
      <c r="O364" s="432"/>
      <c r="P364" s="432"/>
      <c r="Q364" s="432"/>
      <c r="R364" s="432"/>
      <c r="S364" s="432"/>
      <c r="T364" s="432"/>
      <c r="U364" s="432"/>
      <c r="V364" s="432"/>
      <c r="W364" s="432"/>
      <c r="X364" s="432"/>
      <c r="Y364" s="432"/>
      <c r="Z364" s="432"/>
      <c r="AA364" s="432"/>
      <c r="AB364" s="432"/>
    </row>
    <row r="365">
      <c r="A365" s="432"/>
      <c r="B365" s="432"/>
      <c r="C365" s="432"/>
      <c r="D365" s="432"/>
      <c r="E365" s="432"/>
      <c r="F365" s="432"/>
      <c r="G365" s="432"/>
      <c r="H365" s="432"/>
      <c r="I365" s="432"/>
      <c r="J365" s="432"/>
      <c r="K365" s="432"/>
      <c r="L365" s="432"/>
      <c r="M365" s="432"/>
      <c r="N365" s="432"/>
      <c r="O365" s="432"/>
      <c r="P365" s="432"/>
      <c r="Q365" s="432"/>
      <c r="R365" s="432"/>
      <c r="S365" s="432"/>
      <c r="T365" s="432"/>
      <c r="U365" s="432"/>
      <c r="V365" s="432"/>
      <c r="W365" s="432"/>
      <c r="X365" s="432"/>
      <c r="Y365" s="432"/>
      <c r="Z365" s="432"/>
      <c r="AA365" s="432"/>
      <c r="AB365" s="432"/>
    </row>
    <row r="366">
      <c r="A366" s="432"/>
      <c r="B366" s="432"/>
      <c r="C366" s="432"/>
      <c r="D366" s="432"/>
      <c r="E366" s="432"/>
      <c r="F366" s="432"/>
      <c r="G366" s="432"/>
      <c r="H366" s="432"/>
      <c r="I366" s="432"/>
      <c r="J366" s="432"/>
      <c r="K366" s="432"/>
      <c r="L366" s="432"/>
      <c r="M366" s="432"/>
      <c r="N366" s="432"/>
      <c r="O366" s="432"/>
      <c r="P366" s="432"/>
      <c r="Q366" s="432"/>
      <c r="R366" s="432"/>
      <c r="S366" s="432"/>
      <c r="T366" s="432"/>
      <c r="U366" s="432"/>
      <c r="V366" s="432"/>
      <c r="W366" s="432"/>
      <c r="X366" s="432"/>
      <c r="Y366" s="432"/>
      <c r="Z366" s="432"/>
      <c r="AA366" s="432"/>
      <c r="AB366" s="432"/>
    </row>
    <row r="367">
      <c r="A367" s="432"/>
      <c r="B367" s="432"/>
      <c r="C367" s="432"/>
      <c r="D367" s="432"/>
      <c r="E367" s="432"/>
      <c r="F367" s="432"/>
      <c r="G367" s="432"/>
      <c r="H367" s="432"/>
      <c r="I367" s="432"/>
      <c r="J367" s="432"/>
      <c r="K367" s="432"/>
      <c r="L367" s="432"/>
      <c r="M367" s="432"/>
      <c r="N367" s="432"/>
      <c r="O367" s="432"/>
      <c r="P367" s="432"/>
      <c r="Q367" s="432"/>
      <c r="R367" s="432"/>
      <c r="S367" s="432"/>
      <c r="T367" s="432"/>
      <c r="U367" s="432"/>
      <c r="V367" s="432"/>
      <c r="W367" s="432"/>
      <c r="X367" s="432"/>
      <c r="Y367" s="432"/>
      <c r="Z367" s="432"/>
      <c r="AA367" s="432"/>
      <c r="AB367" s="432"/>
    </row>
    <row r="368">
      <c r="A368" s="432"/>
      <c r="B368" s="432"/>
      <c r="C368" s="432"/>
      <c r="D368" s="432"/>
      <c r="E368" s="432"/>
      <c r="F368" s="432"/>
      <c r="G368" s="432"/>
      <c r="H368" s="432"/>
      <c r="I368" s="432"/>
      <c r="J368" s="432"/>
      <c r="K368" s="432"/>
      <c r="L368" s="432"/>
      <c r="M368" s="432"/>
      <c r="N368" s="432"/>
      <c r="O368" s="432"/>
      <c r="P368" s="432"/>
      <c r="Q368" s="432"/>
      <c r="R368" s="432"/>
      <c r="S368" s="432"/>
      <c r="T368" s="432"/>
      <c r="U368" s="432"/>
      <c r="V368" s="432"/>
      <c r="W368" s="432"/>
      <c r="X368" s="432"/>
      <c r="Y368" s="432"/>
      <c r="Z368" s="432"/>
      <c r="AA368" s="432"/>
      <c r="AB368" s="432"/>
    </row>
    <row r="369">
      <c r="A369" s="432"/>
      <c r="B369" s="432"/>
      <c r="C369" s="432"/>
      <c r="D369" s="432"/>
      <c r="E369" s="432"/>
      <c r="F369" s="432"/>
      <c r="G369" s="432"/>
      <c r="H369" s="432"/>
      <c r="I369" s="432"/>
      <c r="J369" s="432"/>
      <c r="K369" s="432"/>
      <c r="L369" s="432"/>
      <c r="M369" s="432"/>
      <c r="N369" s="432"/>
      <c r="O369" s="432"/>
      <c r="P369" s="432"/>
      <c r="Q369" s="432"/>
      <c r="R369" s="432"/>
      <c r="S369" s="432"/>
      <c r="T369" s="432"/>
      <c r="U369" s="432"/>
      <c r="V369" s="432"/>
      <c r="W369" s="432"/>
      <c r="X369" s="432"/>
      <c r="Y369" s="432"/>
      <c r="Z369" s="432"/>
      <c r="AA369" s="432"/>
      <c r="AB369" s="432"/>
    </row>
    <row r="370">
      <c r="A370" s="432"/>
      <c r="B370" s="432"/>
      <c r="C370" s="432"/>
      <c r="D370" s="432"/>
      <c r="E370" s="432"/>
      <c r="F370" s="432"/>
      <c r="G370" s="432"/>
      <c r="H370" s="432"/>
      <c r="I370" s="432"/>
      <c r="J370" s="432"/>
      <c r="K370" s="432"/>
      <c r="L370" s="432"/>
      <c r="M370" s="432"/>
      <c r="N370" s="432"/>
      <c r="O370" s="432"/>
      <c r="P370" s="432"/>
      <c r="Q370" s="432"/>
      <c r="R370" s="432"/>
      <c r="S370" s="432"/>
      <c r="T370" s="432"/>
      <c r="U370" s="432"/>
      <c r="V370" s="432"/>
      <c r="W370" s="432"/>
      <c r="X370" s="432"/>
      <c r="Y370" s="432"/>
      <c r="Z370" s="432"/>
      <c r="AA370" s="432"/>
      <c r="AB370" s="432"/>
    </row>
    <row r="371">
      <c r="A371" s="432"/>
      <c r="B371" s="432"/>
      <c r="C371" s="432"/>
      <c r="D371" s="432"/>
      <c r="E371" s="432"/>
      <c r="F371" s="432"/>
      <c r="G371" s="432"/>
      <c r="H371" s="432"/>
      <c r="I371" s="432"/>
      <c r="J371" s="432"/>
      <c r="K371" s="432"/>
      <c r="L371" s="432"/>
      <c r="M371" s="432"/>
      <c r="N371" s="432"/>
      <c r="O371" s="432"/>
      <c r="P371" s="432"/>
      <c r="Q371" s="432"/>
      <c r="R371" s="432"/>
      <c r="S371" s="432"/>
      <c r="T371" s="432"/>
      <c r="U371" s="432"/>
      <c r="V371" s="432"/>
      <c r="W371" s="432"/>
      <c r="X371" s="432"/>
      <c r="Y371" s="432"/>
      <c r="Z371" s="432"/>
      <c r="AA371" s="432"/>
      <c r="AB371" s="432"/>
    </row>
    <row r="372">
      <c r="A372" s="432"/>
      <c r="B372" s="432"/>
      <c r="C372" s="432"/>
      <c r="D372" s="432"/>
      <c r="E372" s="432"/>
      <c r="F372" s="432"/>
      <c r="G372" s="432"/>
      <c r="H372" s="432"/>
      <c r="I372" s="432"/>
      <c r="J372" s="432"/>
      <c r="K372" s="432"/>
      <c r="L372" s="432"/>
      <c r="M372" s="432"/>
      <c r="N372" s="432"/>
      <c r="O372" s="432"/>
      <c r="P372" s="432"/>
      <c r="Q372" s="432"/>
      <c r="R372" s="432"/>
      <c r="S372" s="432"/>
      <c r="T372" s="432"/>
      <c r="U372" s="432"/>
      <c r="V372" s="432"/>
      <c r="W372" s="432"/>
      <c r="X372" s="432"/>
      <c r="Y372" s="432"/>
      <c r="Z372" s="432"/>
      <c r="AA372" s="432"/>
      <c r="AB372" s="432"/>
    </row>
    <row r="373">
      <c r="A373" s="432"/>
      <c r="B373" s="432"/>
      <c r="C373" s="432"/>
      <c r="D373" s="432"/>
      <c r="E373" s="432"/>
      <c r="F373" s="432"/>
      <c r="G373" s="432"/>
      <c r="H373" s="432"/>
      <c r="I373" s="432"/>
      <c r="J373" s="432"/>
      <c r="K373" s="432"/>
      <c r="L373" s="432"/>
      <c r="M373" s="432"/>
      <c r="N373" s="432"/>
      <c r="O373" s="432"/>
      <c r="P373" s="432"/>
      <c r="Q373" s="432"/>
      <c r="R373" s="432"/>
      <c r="S373" s="432"/>
      <c r="T373" s="432"/>
      <c r="U373" s="432"/>
      <c r="V373" s="432"/>
      <c r="W373" s="432"/>
      <c r="X373" s="432"/>
      <c r="Y373" s="432"/>
      <c r="Z373" s="432"/>
      <c r="AA373" s="432"/>
      <c r="AB373" s="432"/>
    </row>
    <row r="374">
      <c r="A374" s="432"/>
      <c r="B374" s="432"/>
      <c r="C374" s="432"/>
      <c r="D374" s="432"/>
      <c r="E374" s="432"/>
      <c r="F374" s="432"/>
      <c r="G374" s="432"/>
      <c r="H374" s="432"/>
      <c r="I374" s="432"/>
      <c r="J374" s="432"/>
      <c r="K374" s="432"/>
      <c r="L374" s="432"/>
      <c r="M374" s="432"/>
      <c r="N374" s="432"/>
      <c r="O374" s="432"/>
      <c r="P374" s="432"/>
      <c r="Q374" s="432"/>
      <c r="R374" s="432"/>
      <c r="S374" s="432"/>
      <c r="T374" s="432"/>
      <c r="U374" s="432"/>
      <c r="V374" s="432"/>
      <c r="W374" s="432"/>
      <c r="X374" s="432"/>
      <c r="Y374" s="432"/>
      <c r="Z374" s="432"/>
      <c r="AA374" s="432"/>
      <c r="AB374" s="432"/>
    </row>
    <row r="375">
      <c r="A375" s="432"/>
      <c r="B375" s="432"/>
      <c r="C375" s="432"/>
      <c r="D375" s="432"/>
      <c r="E375" s="432"/>
      <c r="F375" s="432"/>
      <c r="G375" s="432"/>
      <c r="H375" s="432"/>
      <c r="I375" s="432"/>
      <c r="J375" s="432"/>
      <c r="K375" s="432"/>
      <c r="L375" s="432"/>
      <c r="M375" s="432"/>
      <c r="N375" s="432"/>
      <c r="O375" s="432"/>
      <c r="P375" s="432"/>
      <c r="Q375" s="432"/>
      <c r="R375" s="432"/>
      <c r="S375" s="432"/>
      <c r="T375" s="432"/>
      <c r="U375" s="432"/>
      <c r="V375" s="432"/>
      <c r="W375" s="432"/>
      <c r="X375" s="432"/>
      <c r="Y375" s="432"/>
      <c r="Z375" s="432"/>
      <c r="AA375" s="432"/>
      <c r="AB375" s="432"/>
    </row>
    <row r="376">
      <c r="A376" s="432"/>
      <c r="B376" s="432"/>
      <c r="C376" s="432"/>
      <c r="D376" s="432"/>
      <c r="E376" s="432"/>
      <c r="F376" s="432"/>
      <c r="G376" s="432"/>
      <c r="H376" s="432"/>
      <c r="I376" s="432"/>
      <c r="J376" s="432"/>
      <c r="K376" s="432"/>
      <c r="L376" s="432"/>
      <c r="M376" s="432"/>
      <c r="N376" s="432"/>
      <c r="O376" s="432"/>
      <c r="P376" s="432"/>
      <c r="Q376" s="432"/>
      <c r="R376" s="432"/>
      <c r="S376" s="432"/>
      <c r="T376" s="432"/>
      <c r="U376" s="432"/>
      <c r="V376" s="432"/>
      <c r="W376" s="432"/>
      <c r="X376" s="432"/>
      <c r="Y376" s="432"/>
      <c r="Z376" s="432"/>
      <c r="AA376" s="432"/>
      <c r="AB376" s="432"/>
    </row>
    <row r="377">
      <c r="A377" s="432"/>
      <c r="B377" s="432"/>
      <c r="C377" s="432"/>
      <c r="D377" s="432"/>
      <c r="E377" s="432"/>
      <c r="F377" s="432"/>
      <c r="G377" s="432"/>
      <c r="H377" s="432"/>
      <c r="I377" s="432"/>
      <c r="J377" s="432"/>
      <c r="K377" s="432"/>
      <c r="L377" s="432"/>
      <c r="M377" s="432"/>
      <c r="N377" s="432"/>
      <c r="O377" s="432"/>
      <c r="P377" s="432"/>
      <c r="Q377" s="432"/>
      <c r="R377" s="432"/>
      <c r="S377" s="432"/>
      <c r="T377" s="432"/>
      <c r="U377" s="432"/>
      <c r="V377" s="432"/>
      <c r="W377" s="432"/>
      <c r="X377" s="432"/>
      <c r="Y377" s="432"/>
      <c r="Z377" s="432"/>
      <c r="AA377" s="432"/>
      <c r="AB377" s="432"/>
    </row>
    <row r="378">
      <c r="A378" s="432"/>
      <c r="B378" s="432"/>
      <c r="C378" s="432"/>
      <c r="D378" s="432"/>
      <c r="E378" s="432"/>
      <c r="F378" s="432"/>
      <c r="G378" s="432"/>
      <c r="H378" s="432"/>
      <c r="I378" s="432"/>
      <c r="J378" s="432"/>
      <c r="K378" s="432"/>
      <c r="L378" s="432"/>
      <c r="M378" s="432"/>
      <c r="N378" s="432"/>
      <c r="O378" s="432"/>
      <c r="P378" s="432"/>
      <c r="Q378" s="432"/>
      <c r="R378" s="432"/>
      <c r="S378" s="432"/>
      <c r="T378" s="432"/>
      <c r="U378" s="432"/>
      <c r="V378" s="432"/>
      <c r="W378" s="432"/>
      <c r="X378" s="432"/>
      <c r="Y378" s="432"/>
      <c r="Z378" s="432"/>
      <c r="AA378" s="432"/>
      <c r="AB378" s="432"/>
    </row>
    <row r="379">
      <c r="A379" s="432"/>
      <c r="B379" s="432"/>
      <c r="C379" s="432"/>
      <c r="D379" s="432"/>
      <c r="E379" s="432"/>
      <c r="F379" s="432"/>
      <c r="G379" s="432"/>
      <c r="H379" s="432"/>
      <c r="I379" s="432"/>
      <c r="J379" s="432"/>
      <c r="K379" s="432"/>
      <c r="L379" s="432"/>
      <c r="M379" s="432"/>
      <c r="N379" s="432"/>
      <c r="O379" s="432"/>
      <c r="P379" s="432"/>
      <c r="Q379" s="432"/>
      <c r="R379" s="432"/>
      <c r="S379" s="432"/>
      <c r="T379" s="432"/>
      <c r="U379" s="432"/>
      <c r="V379" s="432"/>
      <c r="W379" s="432"/>
      <c r="X379" s="432"/>
      <c r="Y379" s="432"/>
      <c r="Z379" s="432"/>
      <c r="AA379" s="432"/>
      <c r="AB379" s="432"/>
    </row>
    <row r="380">
      <c r="A380" s="432"/>
      <c r="B380" s="432"/>
      <c r="C380" s="432"/>
      <c r="D380" s="432"/>
      <c r="E380" s="432"/>
      <c r="F380" s="432"/>
      <c r="G380" s="432"/>
      <c r="H380" s="432"/>
      <c r="I380" s="432"/>
      <c r="J380" s="432"/>
      <c r="K380" s="432"/>
      <c r="L380" s="432"/>
      <c r="M380" s="432"/>
      <c r="N380" s="432"/>
      <c r="O380" s="432"/>
      <c r="P380" s="432"/>
      <c r="Q380" s="432"/>
      <c r="R380" s="432"/>
      <c r="S380" s="432"/>
      <c r="T380" s="432"/>
      <c r="U380" s="432"/>
      <c r="V380" s="432"/>
      <c r="W380" s="432"/>
      <c r="X380" s="432"/>
      <c r="Y380" s="432"/>
      <c r="Z380" s="432"/>
      <c r="AA380" s="432"/>
      <c r="AB380" s="432"/>
    </row>
    <row r="381">
      <c r="A381" s="432"/>
      <c r="B381" s="432"/>
      <c r="C381" s="432"/>
      <c r="D381" s="432"/>
      <c r="E381" s="432"/>
      <c r="F381" s="432"/>
      <c r="G381" s="432"/>
      <c r="H381" s="432"/>
      <c r="I381" s="432"/>
      <c r="J381" s="432"/>
      <c r="K381" s="432"/>
      <c r="L381" s="432"/>
      <c r="M381" s="432"/>
      <c r="N381" s="432"/>
      <c r="O381" s="432"/>
      <c r="P381" s="432"/>
      <c r="Q381" s="432"/>
      <c r="R381" s="432"/>
      <c r="S381" s="432"/>
      <c r="T381" s="432"/>
      <c r="U381" s="432"/>
      <c r="V381" s="432"/>
      <c r="W381" s="432"/>
      <c r="X381" s="432"/>
      <c r="Y381" s="432"/>
      <c r="Z381" s="432"/>
      <c r="AA381" s="432"/>
      <c r="AB381" s="432"/>
    </row>
    <row r="382">
      <c r="A382" s="432"/>
      <c r="B382" s="432"/>
      <c r="C382" s="432"/>
      <c r="D382" s="432"/>
      <c r="E382" s="432"/>
      <c r="F382" s="432"/>
      <c r="G382" s="432"/>
      <c r="H382" s="432"/>
      <c r="I382" s="432"/>
      <c r="J382" s="432"/>
      <c r="K382" s="432"/>
      <c r="L382" s="432"/>
      <c r="M382" s="432"/>
      <c r="N382" s="432"/>
      <c r="O382" s="432"/>
      <c r="P382" s="432"/>
      <c r="Q382" s="432"/>
      <c r="R382" s="432"/>
      <c r="S382" s="432"/>
      <c r="T382" s="432"/>
      <c r="U382" s="432"/>
      <c r="V382" s="432"/>
      <c r="W382" s="432"/>
      <c r="X382" s="432"/>
      <c r="Y382" s="432"/>
      <c r="Z382" s="432"/>
      <c r="AA382" s="432"/>
      <c r="AB382" s="432"/>
    </row>
    <row r="383">
      <c r="A383" s="432"/>
      <c r="B383" s="432"/>
      <c r="C383" s="432"/>
      <c r="D383" s="432"/>
      <c r="E383" s="432"/>
      <c r="F383" s="432"/>
      <c r="G383" s="432"/>
      <c r="H383" s="432"/>
      <c r="I383" s="432"/>
      <c r="J383" s="432"/>
      <c r="K383" s="432"/>
      <c r="L383" s="432"/>
      <c r="M383" s="432"/>
      <c r="N383" s="432"/>
      <c r="O383" s="432"/>
      <c r="P383" s="432"/>
      <c r="Q383" s="432"/>
      <c r="R383" s="432"/>
      <c r="S383" s="432"/>
      <c r="T383" s="432"/>
      <c r="U383" s="432"/>
      <c r="V383" s="432"/>
      <c r="W383" s="432"/>
      <c r="X383" s="432"/>
      <c r="Y383" s="432"/>
      <c r="Z383" s="432"/>
      <c r="AA383" s="432"/>
      <c r="AB383" s="432"/>
    </row>
    <row r="384">
      <c r="A384" s="432"/>
      <c r="B384" s="432"/>
      <c r="C384" s="432"/>
      <c r="D384" s="432"/>
      <c r="E384" s="432"/>
      <c r="F384" s="432"/>
      <c r="G384" s="432"/>
      <c r="H384" s="432"/>
      <c r="I384" s="432"/>
      <c r="J384" s="432"/>
      <c r="K384" s="432"/>
      <c r="L384" s="432"/>
      <c r="M384" s="432"/>
      <c r="N384" s="432"/>
      <c r="O384" s="432"/>
      <c r="P384" s="432"/>
      <c r="Q384" s="432"/>
      <c r="R384" s="432"/>
      <c r="S384" s="432"/>
      <c r="T384" s="432"/>
      <c r="U384" s="432"/>
      <c r="V384" s="432"/>
      <c r="W384" s="432"/>
      <c r="X384" s="432"/>
      <c r="Y384" s="432"/>
      <c r="Z384" s="432"/>
      <c r="AA384" s="432"/>
      <c r="AB384" s="432"/>
    </row>
    <row r="385">
      <c r="A385" s="432"/>
      <c r="B385" s="432"/>
      <c r="C385" s="432"/>
      <c r="D385" s="432"/>
      <c r="E385" s="432"/>
      <c r="F385" s="432"/>
      <c r="G385" s="432"/>
      <c r="H385" s="432"/>
      <c r="I385" s="432"/>
      <c r="J385" s="432"/>
      <c r="K385" s="432"/>
      <c r="L385" s="432"/>
      <c r="M385" s="432"/>
      <c r="N385" s="432"/>
      <c r="O385" s="432"/>
      <c r="P385" s="432"/>
      <c r="Q385" s="432"/>
      <c r="R385" s="432"/>
      <c r="S385" s="432"/>
      <c r="T385" s="432"/>
      <c r="U385" s="432"/>
      <c r="V385" s="432"/>
      <c r="W385" s="432"/>
      <c r="X385" s="432"/>
      <c r="Y385" s="432"/>
      <c r="Z385" s="432"/>
      <c r="AA385" s="432"/>
      <c r="AB385" s="432"/>
    </row>
    <row r="386">
      <c r="A386" s="432"/>
      <c r="B386" s="432"/>
      <c r="C386" s="432"/>
      <c r="D386" s="432"/>
      <c r="E386" s="432"/>
      <c r="F386" s="432"/>
      <c r="G386" s="432"/>
      <c r="H386" s="432"/>
      <c r="I386" s="432"/>
      <c r="J386" s="432"/>
      <c r="K386" s="432"/>
      <c r="L386" s="432"/>
      <c r="M386" s="432"/>
      <c r="N386" s="432"/>
      <c r="O386" s="432"/>
      <c r="P386" s="432"/>
      <c r="Q386" s="432"/>
      <c r="R386" s="432"/>
      <c r="S386" s="432"/>
      <c r="T386" s="432"/>
      <c r="U386" s="432"/>
      <c r="V386" s="432"/>
      <c r="W386" s="432"/>
      <c r="X386" s="432"/>
      <c r="Y386" s="432"/>
      <c r="Z386" s="432"/>
      <c r="AA386" s="432"/>
      <c r="AB386" s="432"/>
    </row>
    <row r="387">
      <c r="A387" s="432"/>
      <c r="B387" s="432"/>
      <c r="C387" s="432"/>
      <c r="D387" s="432"/>
      <c r="E387" s="432"/>
      <c r="F387" s="432"/>
      <c r="G387" s="432"/>
      <c r="H387" s="432"/>
      <c r="I387" s="432"/>
      <c r="J387" s="432"/>
      <c r="K387" s="432"/>
      <c r="L387" s="432"/>
      <c r="M387" s="432"/>
      <c r="N387" s="432"/>
      <c r="O387" s="432"/>
      <c r="P387" s="432"/>
      <c r="Q387" s="432"/>
      <c r="R387" s="432"/>
      <c r="S387" s="432"/>
      <c r="T387" s="432"/>
      <c r="U387" s="432"/>
      <c r="V387" s="432"/>
      <c r="W387" s="432"/>
      <c r="X387" s="432"/>
      <c r="Y387" s="432"/>
      <c r="Z387" s="432"/>
      <c r="AA387" s="432"/>
      <c r="AB387" s="432"/>
    </row>
    <row r="388">
      <c r="A388" s="432"/>
      <c r="B388" s="432"/>
      <c r="C388" s="432"/>
      <c r="D388" s="432"/>
      <c r="E388" s="432"/>
      <c r="F388" s="432"/>
      <c r="G388" s="432"/>
      <c r="H388" s="432"/>
      <c r="I388" s="432"/>
      <c r="J388" s="432"/>
      <c r="K388" s="432"/>
      <c r="L388" s="432"/>
      <c r="M388" s="432"/>
      <c r="N388" s="432"/>
      <c r="O388" s="432"/>
      <c r="P388" s="432"/>
      <c r="Q388" s="432"/>
      <c r="R388" s="432"/>
      <c r="S388" s="432"/>
      <c r="T388" s="432"/>
      <c r="U388" s="432"/>
      <c r="V388" s="432"/>
      <c r="W388" s="432"/>
      <c r="X388" s="432"/>
      <c r="Y388" s="432"/>
      <c r="Z388" s="432"/>
      <c r="AA388" s="432"/>
      <c r="AB388" s="432"/>
    </row>
    <row r="389">
      <c r="A389" s="432"/>
      <c r="B389" s="432"/>
      <c r="C389" s="432"/>
      <c r="D389" s="432"/>
      <c r="E389" s="432"/>
      <c r="F389" s="432"/>
      <c r="G389" s="432"/>
      <c r="H389" s="432"/>
      <c r="I389" s="432"/>
      <c r="J389" s="432"/>
      <c r="K389" s="432"/>
      <c r="L389" s="432"/>
      <c r="M389" s="432"/>
      <c r="N389" s="432"/>
      <c r="O389" s="432"/>
      <c r="P389" s="432"/>
      <c r="Q389" s="432"/>
      <c r="R389" s="432"/>
      <c r="S389" s="432"/>
      <c r="T389" s="432"/>
      <c r="U389" s="432"/>
      <c r="V389" s="432"/>
      <c r="W389" s="432"/>
      <c r="X389" s="432"/>
      <c r="Y389" s="432"/>
      <c r="Z389" s="432"/>
      <c r="AA389" s="432"/>
      <c r="AB389" s="432"/>
    </row>
    <row r="390">
      <c r="A390" s="432"/>
      <c r="B390" s="432"/>
      <c r="C390" s="432"/>
      <c r="D390" s="432"/>
      <c r="E390" s="432"/>
      <c r="F390" s="432"/>
      <c r="G390" s="432"/>
      <c r="H390" s="432"/>
      <c r="I390" s="432"/>
      <c r="J390" s="432"/>
      <c r="K390" s="432"/>
      <c r="L390" s="432"/>
      <c r="M390" s="432"/>
      <c r="N390" s="432"/>
      <c r="O390" s="432"/>
      <c r="P390" s="432"/>
      <c r="Q390" s="432"/>
      <c r="R390" s="432"/>
      <c r="S390" s="432"/>
      <c r="T390" s="432"/>
      <c r="U390" s="432"/>
      <c r="V390" s="432"/>
      <c r="W390" s="432"/>
      <c r="X390" s="432"/>
      <c r="Y390" s="432"/>
      <c r="Z390" s="432"/>
      <c r="AA390" s="432"/>
      <c r="AB390" s="432"/>
    </row>
    <row r="391">
      <c r="A391" s="432"/>
      <c r="B391" s="432"/>
      <c r="C391" s="432"/>
      <c r="D391" s="432"/>
      <c r="E391" s="432"/>
      <c r="F391" s="432"/>
      <c r="G391" s="432"/>
      <c r="H391" s="432"/>
      <c r="I391" s="432"/>
      <c r="J391" s="432"/>
      <c r="K391" s="432"/>
      <c r="L391" s="432"/>
      <c r="M391" s="432"/>
      <c r="N391" s="432"/>
      <c r="O391" s="432"/>
      <c r="P391" s="432"/>
      <c r="Q391" s="432"/>
      <c r="R391" s="432"/>
      <c r="S391" s="432"/>
      <c r="T391" s="432"/>
      <c r="U391" s="432"/>
      <c r="V391" s="432"/>
      <c r="W391" s="432"/>
      <c r="X391" s="432"/>
      <c r="Y391" s="432"/>
      <c r="Z391" s="432"/>
      <c r="AA391" s="432"/>
      <c r="AB391" s="432"/>
    </row>
    <row r="392">
      <c r="A392" s="432"/>
      <c r="B392" s="432"/>
      <c r="C392" s="432"/>
      <c r="D392" s="432"/>
      <c r="E392" s="432"/>
      <c r="F392" s="432"/>
      <c r="G392" s="432"/>
      <c r="H392" s="432"/>
      <c r="I392" s="432"/>
      <c r="J392" s="432"/>
      <c r="K392" s="432"/>
      <c r="L392" s="432"/>
      <c r="M392" s="432"/>
      <c r="N392" s="432"/>
      <c r="O392" s="432"/>
      <c r="P392" s="432"/>
      <c r="Q392" s="432"/>
      <c r="R392" s="432"/>
      <c r="S392" s="432"/>
      <c r="T392" s="432"/>
      <c r="U392" s="432"/>
      <c r="V392" s="432"/>
      <c r="W392" s="432"/>
      <c r="X392" s="432"/>
      <c r="Y392" s="432"/>
      <c r="Z392" s="432"/>
      <c r="AA392" s="432"/>
      <c r="AB392" s="432"/>
    </row>
    <row r="393">
      <c r="A393" s="432"/>
      <c r="B393" s="432"/>
      <c r="C393" s="432"/>
      <c r="D393" s="432"/>
      <c r="E393" s="432"/>
      <c r="F393" s="432"/>
      <c r="G393" s="432"/>
      <c r="H393" s="432"/>
      <c r="I393" s="432"/>
      <c r="J393" s="432"/>
      <c r="K393" s="432"/>
      <c r="L393" s="432"/>
      <c r="M393" s="432"/>
      <c r="N393" s="432"/>
      <c r="O393" s="432"/>
      <c r="P393" s="432"/>
      <c r="Q393" s="432"/>
      <c r="R393" s="432"/>
      <c r="S393" s="432"/>
      <c r="T393" s="432"/>
      <c r="U393" s="432"/>
      <c r="V393" s="432"/>
      <c r="W393" s="432"/>
      <c r="X393" s="432"/>
      <c r="Y393" s="432"/>
      <c r="Z393" s="432"/>
      <c r="AA393" s="432"/>
      <c r="AB393" s="432"/>
    </row>
    <row r="394">
      <c r="A394" s="432"/>
      <c r="B394" s="432"/>
      <c r="C394" s="432"/>
      <c r="D394" s="432"/>
      <c r="E394" s="432"/>
      <c r="F394" s="432"/>
      <c r="G394" s="432"/>
      <c r="H394" s="432"/>
      <c r="I394" s="432"/>
      <c r="J394" s="432"/>
      <c r="K394" s="432"/>
      <c r="L394" s="432"/>
      <c r="M394" s="432"/>
      <c r="N394" s="432"/>
      <c r="O394" s="432"/>
      <c r="P394" s="432"/>
      <c r="Q394" s="432"/>
      <c r="R394" s="432"/>
      <c r="S394" s="432"/>
      <c r="T394" s="432"/>
      <c r="U394" s="432"/>
      <c r="V394" s="432"/>
      <c r="W394" s="432"/>
      <c r="X394" s="432"/>
      <c r="Y394" s="432"/>
      <c r="Z394" s="432"/>
      <c r="AA394" s="432"/>
      <c r="AB394" s="432"/>
    </row>
    <row r="395">
      <c r="A395" s="432"/>
      <c r="B395" s="432"/>
      <c r="C395" s="432"/>
      <c r="D395" s="432"/>
      <c r="E395" s="432"/>
      <c r="F395" s="432"/>
      <c r="G395" s="432"/>
      <c r="H395" s="432"/>
      <c r="I395" s="432"/>
      <c r="J395" s="432"/>
      <c r="K395" s="432"/>
      <c r="L395" s="432"/>
      <c r="M395" s="432"/>
      <c r="N395" s="432"/>
      <c r="O395" s="432"/>
      <c r="P395" s="432"/>
      <c r="Q395" s="432"/>
      <c r="R395" s="432"/>
      <c r="S395" s="432"/>
      <c r="T395" s="432"/>
      <c r="U395" s="432"/>
      <c r="V395" s="432"/>
      <c r="W395" s="432"/>
      <c r="X395" s="432"/>
      <c r="Y395" s="432"/>
      <c r="Z395" s="432"/>
      <c r="AA395" s="432"/>
      <c r="AB395" s="432"/>
    </row>
    <row r="396">
      <c r="A396" s="432"/>
      <c r="B396" s="432"/>
      <c r="C396" s="432"/>
      <c r="D396" s="432"/>
      <c r="E396" s="432"/>
      <c r="F396" s="432"/>
      <c r="G396" s="432"/>
      <c r="H396" s="432"/>
      <c r="I396" s="432"/>
      <c r="J396" s="432"/>
      <c r="K396" s="432"/>
      <c r="L396" s="432"/>
      <c r="M396" s="432"/>
      <c r="N396" s="432"/>
      <c r="O396" s="432"/>
      <c r="P396" s="432"/>
      <c r="Q396" s="432"/>
      <c r="R396" s="432"/>
      <c r="S396" s="432"/>
      <c r="T396" s="432"/>
      <c r="U396" s="432"/>
      <c r="V396" s="432"/>
      <c r="W396" s="432"/>
      <c r="X396" s="432"/>
      <c r="Y396" s="432"/>
      <c r="Z396" s="432"/>
      <c r="AA396" s="432"/>
      <c r="AB396" s="432"/>
    </row>
    <row r="397">
      <c r="A397" s="432"/>
      <c r="B397" s="432"/>
      <c r="C397" s="432"/>
      <c r="D397" s="432"/>
      <c r="E397" s="432"/>
      <c r="F397" s="432"/>
      <c r="G397" s="432"/>
      <c r="H397" s="432"/>
      <c r="I397" s="432"/>
      <c r="J397" s="432"/>
      <c r="K397" s="432"/>
      <c r="L397" s="432"/>
      <c r="M397" s="432"/>
      <c r="N397" s="432"/>
      <c r="O397" s="432"/>
      <c r="P397" s="432"/>
      <c r="Q397" s="432"/>
      <c r="R397" s="432"/>
      <c r="S397" s="432"/>
      <c r="T397" s="432"/>
      <c r="U397" s="432"/>
      <c r="V397" s="432"/>
      <c r="W397" s="432"/>
      <c r="X397" s="432"/>
      <c r="Y397" s="432"/>
      <c r="Z397" s="432"/>
      <c r="AA397" s="432"/>
      <c r="AB397" s="432"/>
    </row>
    <row r="398">
      <c r="A398" s="432"/>
      <c r="B398" s="432"/>
      <c r="C398" s="432"/>
      <c r="D398" s="432"/>
      <c r="E398" s="432"/>
      <c r="F398" s="432"/>
      <c r="G398" s="432"/>
      <c r="H398" s="432"/>
      <c r="I398" s="432"/>
      <c r="J398" s="432"/>
      <c r="K398" s="432"/>
      <c r="L398" s="432"/>
      <c r="M398" s="432"/>
      <c r="N398" s="432"/>
      <c r="O398" s="432"/>
      <c r="P398" s="432"/>
      <c r="Q398" s="432"/>
      <c r="R398" s="432"/>
      <c r="S398" s="432"/>
      <c r="T398" s="432"/>
      <c r="U398" s="432"/>
      <c r="V398" s="432"/>
      <c r="W398" s="432"/>
      <c r="X398" s="432"/>
      <c r="Y398" s="432"/>
      <c r="Z398" s="432"/>
      <c r="AA398" s="432"/>
      <c r="AB398" s="432"/>
    </row>
    <row r="399">
      <c r="A399" s="432"/>
      <c r="B399" s="432"/>
      <c r="C399" s="432"/>
      <c r="D399" s="432"/>
      <c r="E399" s="432"/>
      <c r="F399" s="432"/>
      <c r="G399" s="432"/>
      <c r="H399" s="432"/>
      <c r="I399" s="432"/>
      <c r="J399" s="432"/>
      <c r="K399" s="432"/>
      <c r="L399" s="432"/>
      <c r="M399" s="432"/>
      <c r="N399" s="432"/>
      <c r="O399" s="432"/>
      <c r="P399" s="432"/>
      <c r="Q399" s="432"/>
      <c r="R399" s="432"/>
      <c r="S399" s="432"/>
      <c r="T399" s="432"/>
      <c r="U399" s="432"/>
      <c r="V399" s="432"/>
      <c r="W399" s="432"/>
      <c r="X399" s="432"/>
      <c r="Y399" s="432"/>
      <c r="Z399" s="432"/>
      <c r="AA399" s="432"/>
      <c r="AB399" s="432"/>
    </row>
    <row r="400">
      <c r="A400" s="432"/>
      <c r="B400" s="432"/>
      <c r="C400" s="432"/>
      <c r="D400" s="432"/>
      <c r="E400" s="432"/>
      <c r="F400" s="432"/>
      <c r="G400" s="432"/>
      <c r="H400" s="432"/>
      <c r="I400" s="432"/>
      <c r="J400" s="432"/>
      <c r="K400" s="432"/>
      <c r="L400" s="432"/>
      <c r="M400" s="432"/>
      <c r="N400" s="432"/>
      <c r="O400" s="432"/>
      <c r="P400" s="432"/>
      <c r="Q400" s="432"/>
      <c r="R400" s="432"/>
      <c r="S400" s="432"/>
      <c r="T400" s="432"/>
      <c r="U400" s="432"/>
      <c r="V400" s="432"/>
      <c r="W400" s="432"/>
      <c r="X400" s="432"/>
      <c r="Y400" s="432"/>
      <c r="Z400" s="432"/>
      <c r="AA400" s="432"/>
      <c r="AB400" s="432"/>
    </row>
    <row r="401">
      <c r="A401" s="432"/>
      <c r="B401" s="432"/>
      <c r="C401" s="432"/>
      <c r="D401" s="432"/>
      <c r="E401" s="432"/>
      <c r="F401" s="432"/>
      <c r="G401" s="432"/>
      <c r="H401" s="432"/>
      <c r="I401" s="432"/>
      <c r="J401" s="432"/>
      <c r="K401" s="432"/>
      <c r="L401" s="432"/>
      <c r="M401" s="432"/>
      <c r="N401" s="432"/>
      <c r="O401" s="432"/>
      <c r="P401" s="432"/>
      <c r="Q401" s="432"/>
      <c r="R401" s="432"/>
      <c r="S401" s="432"/>
      <c r="T401" s="432"/>
      <c r="U401" s="432"/>
      <c r="V401" s="432"/>
      <c r="W401" s="432"/>
      <c r="X401" s="432"/>
      <c r="Y401" s="432"/>
      <c r="Z401" s="432"/>
      <c r="AA401" s="432"/>
      <c r="AB401" s="432"/>
    </row>
    <row r="402">
      <c r="A402" s="432"/>
      <c r="B402" s="432"/>
      <c r="C402" s="432"/>
      <c r="D402" s="432"/>
      <c r="E402" s="432"/>
      <c r="F402" s="432"/>
      <c r="G402" s="432"/>
      <c r="H402" s="432"/>
      <c r="I402" s="432"/>
      <c r="J402" s="432"/>
      <c r="K402" s="432"/>
      <c r="L402" s="432"/>
      <c r="M402" s="432"/>
      <c r="N402" s="432"/>
      <c r="O402" s="432"/>
      <c r="P402" s="432"/>
      <c r="Q402" s="432"/>
      <c r="R402" s="432"/>
      <c r="S402" s="432"/>
      <c r="T402" s="432"/>
      <c r="U402" s="432"/>
      <c r="V402" s="432"/>
      <c r="W402" s="432"/>
      <c r="X402" s="432"/>
      <c r="Y402" s="432"/>
      <c r="Z402" s="432"/>
      <c r="AA402" s="432"/>
      <c r="AB402" s="432"/>
    </row>
    <row r="403">
      <c r="A403" s="432"/>
      <c r="B403" s="432"/>
      <c r="C403" s="432"/>
      <c r="D403" s="432"/>
      <c r="E403" s="432"/>
      <c r="F403" s="432"/>
      <c r="G403" s="432"/>
      <c r="H403" s="432"/>
      <c r="I403" s="432"/>
      <c r="J403" s="432"/>
      <c r="K403" s="432"/>
      <c r="L403" s="432"/>
      <c r="M403" s="432"/>
      <c r="N403" s="432"/>
      <c r="O403" s="432"/>
      <c r="P403" s="432"/>
      <c r="Q403" s="432"/>
      <c r="R403" s="432"/>
      <c r="S403" s="432"/>
      <c r="T403" s="432"/>
      <c r="U403" s="432"/>
      <c r="V403" s="432"/>
      <c r="W403" s="432"/>
      <c r="X403" s="432"/>
      <c r="Y403" s="432"/>
      <c r="Z403" s="432"/>
      <c r="AA403" s="432"/>
      <c r="AB403" s="432"/>
    </row>
    <row r="404">
      <c r="A404" s="432"/>
      <c r="B404" s="432"/>
      <c r="C404" s="432"/>
      <c r="D404" s="432"/>
      <c r="E404" s="432"/>
      <c r="F404" s="432"/>
      <c r="G404" s="432"/>
      <c r="H404" s="432"/>
      <c r="I404" s="432"/>
      <c r="J404" s="432"/>
      <c r="K404" s="432"/>
      <c r="L404" s="432"/>
      <c r="M404" s="432"/>
      <c r="N404" s="432"/>
      <c r="O404" s="432"/>
      <c r="P404" s="432"/>
      <c r="Q404" s="432"/>
      <c r="R404" s="432"/>
      <c r="S404" s="432"/>
      <c r="T404" s="432"/>
      <c r="U404" s="432"/>
      <c r="V404" s="432"/>
      <c r="W404" s="432"/>
      <c r="X404" s="432"/>
      <c r="Y404" s="432"/>
      <c r="Z404" s="432"/>
      <c r="AA404" s="432"/>
      <c r="AB404" s="432"/>
    </row>
    <row r="405">
      <c r="A405" s="432"/>
      <c r="B405" s="432"/>
      <c r="C405" s="432"/>
      <c r="D405" s="432"/>
      <c r="E405" s="432"/>
      <c r="F405" s="432"/>
      <c r="G405" s="432"/>
      <c r="H405" s="432"/>
      <c r="I405" s="432"/>
      <c r="J405" s="432"/>
      <c r="K405" s="432"/>
      <c r="L405" s="432"/>
      <c r="M405" s="432"/>
      <c r="N405" s="432"/>
      <c r="O405" s="432"/>
      <c r="P405" s="432"/>
      <c r="Q405" s="432"/>
      <c r="R405" s="432"/>
      <c r="S405" s="432"/>
      <c r="T405" s="432"/>
      <c r="U405" s="432"/>
      <c r="V405" s="432"/>
      <c r="W405" s="432"/>
      <c r="X405" s="432"/>
      <c r="Y405" s="432"/>
      <c r="Z405" s="432"/>
      <c r="AA405" s="432"/>
      <c r="AB405" s="432"/>
    </row>
    <row r="406">
      <c r="A406" s="432"/>
      <c r="B406" s="432"/>
      <c r="C406" s="432"/>
      <c r="D406" s="432"/>
      <c r="E406" s="432"/>
      <c r="F406" s="432"/>
      <c r="G406" s="432"/>
      <c r="H406" s="432"/>
      <c r="I406" s="432"/>
      <c r="J406" s="432"/>
      <c r="K406" s="432"/>
      <c r="L406" s="432"/>
      <c r="M406" s="432"/>
      <c r="N406" s="432"/>
      <c r="O406" s="432"/>
      <c r="P406" s="432"/>
      <c r="Q406" s="432"/>
      <c r="R406" s="432"/>
      <c r="S406" s="432"/>
      <c r="T406" s="432"/>
      <c r="U406" s="432"/>
      <c r="V406" s="432"/>
      <c r="W406" s="432"/>
      <c r="X406" s="432"/>
      <c r="Y406" s="432"/>
      <c r="Z406" s="432"/>
      <c r="AA406" s="432"/>
      <c r="AB406" s="432"/>
    </row>
    <row r="407">
      <c r="A407" s="432"/>
      <c r="B407" s="432"/>
      <c r="C407" s="432"/>
      <c r="D407" s="432"/>
      <c r="E407" s="432"/>
      <c r="F407" s="432"/>
      <c r="G407" s="432"/>
      <c r="H407" s="432"/>
      <c r="I407" s="432"/>
      <c r="J407" s="432"/>
      <c r="K407" s="432"/>
      <c r="L407" s="432"/>
      <c r="M407" s="432"/>
      <c r="N407" s="432"/>
      <c r="O407" s="432"/>
      <c r="P407" s="432"/>
      <c r="Q407" s="432"/>
      <c r="R407" s="432"/>
      <c r="S407" s="432"/>
      <c r="T407" s="432"/>
      <c r="U407" s="432"/>
      <c r="V407" s="432"/>
      <c r="W407" s="432"/>
      <c r="X407" s="432"/>
      <c r="Y407" s="432"/>
      <c r="Z407" s="432"/>
      <c r="AA407" s="432"/>
      <c r="AB407" s="432"/>
    </row>
    <row r="408">
      <c r="A408" s="432"/>
      <c r="B408" s="432"/>
      <c r="C408" s="432"/>
      <c r="D408" s="432"/>
      <c r="E408" s="432"/>
      <c r="F408" s="432"/>
      <c r="G408" s="432"/>
      <c r="H408" s="432"/>
      <c r="I408" s="432"/>
      <c r="J408" s="432"/>
      <c r="K408" s="432"/>
      <c r="L408" s="432"/>
      <c r="M408" s="432"/>
      <c r="N408" s="432"/>
      <c r="O408" s="432"/>
      <c r="P408" s="432"/>
      <c r="Q408" s="432"/>
      <c r="R408" s="432"/>
      <c r="S408" s="432"/>
      <c r="T408" s="432"/>
      <c r="U408" s="432"/>
      <c r="V408" s="432"/>
      <c r="W408" s="432"/>
      <c r="X408" s="432"/>
      <c r="Y408" s="432"/>
      <c r="Z408" s="432"/>
      <c r="AA408" s="432"/>
      <c r="AB408" s="432"/>
    </row>
    <row r="409">
      <c r="A409" s="432"/>
      <c r="B409" s="432"/>
      <c r="C409" s="432"/>
      <c r="D409" s="432"/>
      <c r="E409" s="432"/>
      <c r="F409" s="432"/>
      <c r="G409" s="432"/>
      <c r="H409" s="432"/>
      <c r="I409" s="432"/>
      <c r="J409" s="432"/>
      <c r="K409" s="432"/>
      <c r="L409" s="432"/>
      <c r="M409" s="432"/>
      <c r="N409" s="432"/>
      <c r="O409" s="432"/>
      <c r="P409" s="432"/>
      <c r="Q409" s="432"/>
      <c r="R409" s="432"/>
      <c r="S409" s="432"/>
      <c r="T409" s="432"/>
      <c r="U409" s="432"/>
      <c r="V409" s="432"/>
      <c r="W409" s="432"/>
      <c r="X409" s="432"/>
      <c r="Y409" s="432"/>
      <c r="Z409" s="432"/>
      <c r="AA409" s="432"/>
      <c r="AB409" s="432"/>
    </row>
    <row r="410">
      <c r="A410" s="432"/>
      <c r="B410" s="432"/>
      <c r="C410" s="432"/>
      <c r="D410" s="432"/>
      <c r="E410" s="432"/>
      <c r="F410" s="432"/>
      <c r="G410" s="432"/>
      <c r="H410" s="432"/>
      <c r="I410" s="432"/>
      <c r="J410" s="432"/>
      <c r="K410" s="432"/>
      <c r="L410" s="432"/>
      <c r="M410" s="432"/>
      <c r="N410" s="432"/>
      <c r="O410" s="432"/>
      <c r="P410" s="432"/>
      <c r="Q410" s="432"/>
      <c r="R410" s="432"/>
      <c r="S410" s="432"/>
      <c r="T410" s="432"/>
      <c r="U410" s="432"/>
      <c r="V410" s="432"/>
      <c r="W410" s="432"/>
      <c r="X410" s="432"/>
      <c r="Y410" s="432"/>
      <c r="Z410" s="432"/>
      <c r="AA410" s="432"/>
      <c r="AB410" s="432"/>
    </row>
    <row r="411">
      <c r="A411" s="432"/>
      <c r="B411" s="432"/>
      <c r="C411" s="432"/>
      <c r="D411" s="432"/>
      <c r="E411" s="432"/>
      <c r="F411" s="432"/>
      <c r="G411" s="432"/>
      <c r="H411" s="432"/>
      <c r="I411" s="432"/>
      <c r="J411" s="432"/>
      <c r="K411" s="432"/>
      <c r="L411" s="432"/>
      <c r="M411" s="432"/>
      <c r="N411" s="432"/>
      <c r="O411" s="432"/>
      <c r="P411" s="432"/>
      <c r="Q411" s="432"/>
      <c r="R411" s="432"/>
      <c r="S411" s="432"/>
      <c r="T411" s="432"/>
      <c r="U411" s="432"/>
      <c r="V411" s="432"/>
      <c r="W411" s="432"/>
      <c r="X411" s="432"/>
      <c r="Y411" s="432"/>
      <c r="Z411" s="432"/>
      <c r="AA411" s="432"/>
      <c r="AB411" s="432"/>
    </row>
    <row r="412">
      <c r="A412" s="432"/>
      <c r="B412" s="432"/>
      <c r="C412" s="432"/>
      <c r="D412" s="432"/>
      <c r="E412" s="432"/>
      <c r="F412" s="432"/>
      <c r="G412" s="432"/>
      <c r="H412" s="432"/>
      <c r="I412" s="432"/>
      <c r="J412" s="432"/>
      <c r="K412" s="432"/>
      <c r="L412" s="432"/>
      <c r="M412" s="432"/>
      <c r="N412" s="432"/>
      <c r="O412" s="432"/>
      <c r="P412" s="432"/>
      <c r="Q412" s="432"/>
      <c r="R412" s="432"/>
      <c r="S412" s="432"/>
      <c r="T412" s="432"/>
      <c r="U412" s="432"/>
      <c r="V412" s="432"/>
      <c r="W412" s="432"/>
      <c r="X412" s="432"/>
      <c r="Y412" s="432"/>
      <c r="Z412" s="432"/>
      <c r="AA412" s="432"/>
      <c r="AB412" s="432"/>
    </row>
    <row r="413">
      <c r="A413" s="432"/>
      <c r="B413" s="432"/>
      <c r="C413" s="432"/>
      <c r="D413" s="432"/>
      <c r="E413" s="432"/>
      <c r="F413" s="432"/>
      <c r="G413" s="432"/>
      <c r="H413" s="432"/>
      <c r="I413" s="432"/>
      <c r="J413" s="432"/>
      <c r="K413" s="432"/>
      <c r="L413" s="432"/>
      <c r="M413" s="432"/>
      <c r="N413" s="432"/>
      <c r="O413" s="432"/>
      <c r="P413" s="432"/>
      <c r="Q413" s="432"/>
      <c r="R413" s="432"/>
      <c r="S413" s="432"/>
      <c r="T413" s="432"/>
      <c r="U413" s="432"/>
      <c r="V413" s="432"/>
      <c r="W413" s="432"/>
      <c r="X413" s="432"/>
      <c r="Y413" s="432"/>
      <c r="Z413" s="432"/>
      <c r="AA413" s="432"/>
      <c r="AB413" s="432"/>
    </row>
    <row r="414">
      <c r="A414" s="432"/>
      <c r="B414" s="432"/>
      <c r="C414" s="432"/>
      <c r="D414" s="432"/>
      <c r="E414" s="432"/>
      <c r="F414" s="432"/>
      <c r="G414" s="432"/>
      <c r="H414" s="432"/>
      <c r="I414" s="432"/>
      <c r="J414" s="432"/>
      <c r="K414" s="432"/>
      <c r="L414" s="432"/>
      <c r="M414" s="432"/>
      <c r="N414" s="432"/>
      <c r="O414" s="432"/>
      <c r="P414" s="432"/>
      <c r="Q414" s="432"/>
      <c r="R414" s="432"/>
      <c r="S414" s="432"/>
      <c r="T414" s="432"/>
      <c r="U414" s="432"/>
      <c r="V414" s="432"/>
      <c r="W414" s="432"/>
      <c r="X414" s="432"/>
      <c r="Y414" s="432"/>
      <c r="Z414" s="432"/>
      <c r="AA414" s="432"/>
      <c r="AB414" s="432"/>
    </row>
    <row r="415">
      <c r="A415" s="432"/>
      <c r="B415" s="432"/>
      <c r="C415" s="432"/>
      <c r="D415" s="432"/>
      <c r="E415" s="432"/>
      <c r="F415" s="432"/>
      <c r="G415" s="432"/>
      <c r="H415" s="432"/>
      <c r="I415" s="432"/>
      <c r="J415" s="432"/>
      <c r="K415" s="432"/>
      <c r="L415" s="432"/>
      <c r="M415" s="432"/>
      <c r="N415" s="432"/>
      <c r="O415" s="432"/>
      <c r="P415" s="432"/>
      <c r="Q415" s="432"/>
      <c r="R415" s="432"/>
      <c r="S415" s="432"/>
      <c r="T415" s="432"/>
      <c r="U415" s="432"/>
      <c r="V415" s="432"/>
      <c r="W415" s="432"/>
      <c r="X415" s="432"/>
      <c r="Y415" s="432"/>
      <c r="Z415" s="432"/>
      <c r="AA415" s="432"/>
      <c r="AB415" s="432"/>
    </row>
    <row r="416">
      <c r="A416" s="432"/>
      <c r="B416" s="432"/>
      <c r="C416" s="432"/>
      <c r="D416" s="432"/>
      <c r="E416" s="432"/>
      <c r="F416" s="432"/>
      <c r="G416" s="432"/>
      <c r="H416" s="432"/>
      <c r="I416" s="432"/>
      <c r="J416" s="432"/>
      <c r="K416" s="432"/>
      <c r="L416" s="432"/>
      <c r="M416" s="432"/>
      <c r="N416" s="432"/>
      <c r="O416" s="432"/>
      <c r="P416" s="432"/>
      <c r="Q416" s="432"/>
      <c r="R416" s="432"/>
      <c r="S416" s="432"/>
      <c r="T416" s="432"/>
      <c r="U416" s="432"/>
      <c r="V416" s="432"/>
      <c r="W416" s="432"/>
      <c r="X416" s="432"/>
      <c r="Y416" s="432"/>
      <c r="Z416" s="432"/>
      <c r="AA416" s="432"/>
      <c r="AB416" s="432"/>
    </row>
    <row r="417">
      <c r="A417" s="432"/>
      <c r="B417" s="432"/>
      <c r="C417" s="432"/>
      <c r="D417" s="432"/>
      <c r="E417" s="432"/>
      <c r="F417" s="432"/>
      <c r="G417" s="432"/>
      <c r="H417" s="432"/>
      <c r="I417" s="432"/>
      <c r="J417" s="432"/>
      <c r="K417" s="432"/>
      <c r="L417" s="432"/>
      <c r="M417" s="432"/>
      <c r="N417" s="432"/>
      <c r="O417" s="432"/>
      <c r="P417" s="432"/>
      <c r="Q417" s="432"/>
      <c r="R417" s="432"/>
      <c r="S417" s="432"/>
      <c r="T417" s="432"/>
      <c r="U417" s="432"/>
      <c r="V417" s="432"/>
      <c r="W417" s="432"/>
      <c r="X417" s="432"/>
      <c r="Y417" s="432"/>
      <c r="Z417" s="432"/>
      <c r="AA417" s="432"/>
      <c r="AB417" s="432"/>
    </row>
    <row r="418">
      <c r="A418" s="432"/>
      <c r="B418" s="432"/>
      <c r="C418" s="432"/>
      <c r="D418" s="432"/>
      <c r="E418" s="432"/>
      <c r="F418" s="432"/>
      <c r="G418" s="432"/>
      <c r="H418" s="432"/>
      <c r="I418" s="432"/>
      <c r="J418" s="432"/>
      <c r="K418" s="432"/>
      <c r="L418" s="432"/>
      <c r="M418" s="432"/>
      <c r="N418" s="432"/>
      <c r="O418" s="432"/>
      <c r="P418" s="432"/>
      <c r="Q418" s="432"/>
      <c r="R418" s="432"/>
      <c r="S418" s="432"/>
      <c r="T418" s="432"/>
      <c r="U418" s="432"/>
      <c r="V418" s="432"/>
      <c r="W418" s="432"/>
      <c r="X418" s="432"/>
      <c r="Y418" s="432"/>
      <c r="Z418" s="432"/>
      <c r="AA418" s="432"/>
      <c r="AB418" s="432"/>
    </row>
    <row r="419">
      <c r="A419" s="432"/>
      <c r="B419" s="432"/>
      <c r="C419" s="432"/>
      <c r="D419" s="432"/>
      <c r="E419" s="432"/>
      <c r="F419" s="432"/>
      <c r="G419" s="432"/>
      <c r="H419" s="432"/>
      <c r="I419" s="432"/>
      <c r="J419" s="432"/>
      <c r="K419" s="432"/>
      <c r="L419" s="432"/>
      <c r="M419" s="432"/>
      <c r="N419" s="432"/>
      <c r="O419" s="432"/>
      <c r="P419" s="432"/>
      <c r="Q419" s="432"/>
      <c r="R419" s="432"/>
      <c r="S419" s="432"/>
      <c r="T419" s="432"/>
      <c r="U419" s="432"/>
      <c r="V419" s="432"/>
      <c r="W419" s="432"/>
      <c r="X419" s="432"/>
      <c r="Y419" s="432"/>
      <c r="Z419" s="432"/>
      <c r="AA419" s="432"/>
      <c r="AB419" s="432"/>
    </row>
    <row r="420">
      <c r="A420" s="432"/>
      <c r="B420" s="432"/>
      <c r="C420" s="432"/>
      <c r="D420" s="432"/>
      <c r="E420" s="432"/>
      <c r="F420" s="432"/>
      <c r="G420" s="432"/>
      <c r="H420" s="432"/>
      <c r="I420" s="432"/>
      <c r="J420" s="432"/>
      <c r="K420" s="432"/>
      <c r="L420" s="432"/>
      <c r="M420" s="432"/>
      <c r="N420" s="432"/>
      <c r="O420" s="432"/>
      <c r="P420" s="432"/>
      <c r="Q420" s="432"/>
      <c r="R420" s="432"/>
      <c r="S420" s="432"/>
      <c r="T420" s="432"/>
      <c r="U420" s="432"/>
      <c r="V420" s="432"/>
      <c r="W420" s="432"/>
      <c r="X420" s="432"/>
      <c r="Y420" s="432"/>
      <c r="Z420" s="432"/>
      <c r="AA420" s="432"/>
      <c r="AB420" s="432"/>
    </row>
    <row r="421">
      <c r="A421" s="432"/>
      <c r="B421" s="432"/>
      <c r="C421" s="432"/>
      <c r="D421" s="432"/>
      <c r="E421" s="432"/>
      <c r="F421" s="432"/>
      <c r="G421" s="432"/>
      <c r="H421" s="432"/>
      <c r="I421" s="432"/>
      <c r="J421" s="432"/>
      <c r="K421" s="432"/>
      <c r="L421" s="432"/>
      <c r="M421" s="432"/>
      <c r="N421" s="432"/>
      <c r="O421" s="432"/>
      <c r="P421" s="432"/>
      <c r="Q421" s="432"/>
      <c r="R421" s="432"/>
      <c r="S421" s="432"/>
      <c r="T421" s="432"/>
      <c r="U421" s="432"/>
      <c r="V421" s="432"/>
      <c r="W421" s="432"/>
      <c r="X421" s="432"/>
      <c r="Y421" s="432"/>
      <c r="Z421" s="432"/>
      <c r="AA421" s="432"/>
      <c r="AB421" s="432"/>
    </row>
    <row r="422">
      <c r="A422" s="432"/>
      <c r="B422" s="432"/>
      <c r="C422" s="432"/>
      <c r="D422" s="432"/>
      <c r="E422" s="432"/>
      <c r="F422" s="432"/>
      <c r="G422" s="432"/>
      <c r="H422" s="432"/>
      <c r="I422" s="432"/>
      <c r="J422" s="432"/>
      <c r="K422" s="432"/>
      <c r="L422" s="432"/>
      <c r="M422" s="432"/>
      <c r="N422" s="432"/>
      <c r="O422" s="432"/>
      <c r="P422" s="432"/>
      <c r="Q422" s="432"/>
      <c r="R422" s="432"/>
      <c r="S422" s="432"/>
      <c r="T422" s="432"/>
      <c r="U422" s="432"/>
      <c r="V422" s="432"/>
      <c r="W422" s="432"/>
      <c r="X422" s="432"/>
      <c r="Y422" s="432"/>
      <c r="Z422" s="432"/>
      <c r="AA422" s="432"/>
      <c r="AB422" s="432"/>
    </row>
    <row r="423">
      <c r="A423" s="432"/>
      <c r="B423" s="432"/>
      <c r="C423" s="432"/>
      <c r="D423" s="432"/>
      <c r="E423" s="432"/>
      <c r="F423" s="432"/>
      <c r="G423" s="432"/>
      <c r="H423" s="432"/>
      <c r="I423" s="432"/>
      <c r="J423" s="432"/>
      <c r="K423" s="432"/>
      <c r="L423" s="432"/>
      <c r="M423" s="432"/>
      <c r="N423" s="432"/>
      <c r="O423" s="432"/>
      <c r="P423" s="432"/>
      <c r="Q423" s="432"/>
      <c r="R423" s="432"/>
      <c r="S423" s="432"/>
      <c r="T423" s="432"/>
      <c r="U423" s="432"/>
      <c r="V423" s="432"/>
      <c r="W423" s="432"/>
      <c r="X423" s="432"/>
      <c r="Y423" s="432"/>
      <c r="Z423" s="432"/>
      <c r="AA423" s="432"/>
      <c r="AB423" s="432"/>
    </row>
    <row r="424">
      <c r="A424" s="432"/>
      <c r="B424" s="432"/>
      <c r="C424" s="432"/>
      <c r="D424" s="432"/>
      <c r="E424" s="432"/>
      <c r="F424" s="432"/>
      <c r="G424" s="432"/>
      <c r="H424" s="432"/>
      <c r="I424" s="432"/>
      <c r="J424" s="432"/>
      <c r="K424" s="432"/>
      <c r="L424" s="432"/>
      <c r="M424" s="432"/>
      <c r="N424" s="432"/>
      <c r="O424" s="432"/>
      <c r="P424" s="432"/>
      <c r="Q424" s="432"/>
      <c r="R424" s="432"/>
      <c r="S424" s="432"/>
      <c r="T424" s="432"/>
      <c r="U424" s="432"/>
      <c r="V424" s="432"/>
      <c r="W424" s="432"/>
      <c r="X424" s="432"/>
      <c r="Y424" s="432"/>
      <c r="Z424" s="432"/>
      <c r="AA424" s="432"/>
      <c r="AB424" s="432"/>
    </row>
    <row r="425">
      <c r="A425" s="432"/>
      <c r="B425" s="432"/>
      <c r="C425" s="432"/>
      <c r="D425" s="432"/>
      <c r="E425" s="432"/>
      <c r="F425" s="432"/>
      <c r="G425" s="432"/>
      <c r="H425" s="432"/>
      <c r="I425" s="432"/>
      <c r="J425" s="432"/>
      <c r="K425" s="432"/>
      <c r="L425" s="432"/>
      <c r="M425" s="432"/>
      <c r="N425" s="432"/>
      <c r="O425" s="432"/>
      <c r="P425" s="432"/>
      <c r="Q425" s="432"/>
      <c r="R425" s="432"/>
      <c r="S425" s="432"/>
      <c r="T425" s="432"/>
      <c r="U425" s="432"/>
      <c r="V425" s="432"/>
      <c r="W425" s="432"/>
      <c r="X425" s="432"/>
      <c r="Y425" s="432"/>
      <c r="Z425" s="432"/>
      <c r="AA425" s="432"/>
      <c r="AB425" s="432"/>
    </row>
    <row r="426">
      <c r="A426" s="432"/>
      <c r="B426" s="432"/>
      <c r="C426" s="432"/>
      <c r="D426" s="432"/>
      <c r="E426" s="432"/>
      <c r="F426" s="432"/>
      <c r="G426" s="432"/>
      <c r="H426" s="432"/>
      <c r="I426" s="432"/>
      <c r="J426" s="432"/>
      <c r="K426" s="432"/>
      <c r="L426" s="432"/>
      <c r="M426" s="432"/>
      <c r="N426" s="432"/>
      <c r="O426" s="432"/>
      <c r="P426" s="432"/>
      <c r="Q426" s="432"/>
      <c r="R426" s="432"/>
      <c r="S426" s="432"/>
      <c r="T426" s="432"/>
      <c r="U426" s="432"/>
      <c r="V426" s="432"/>
      <c r="W426" s="432"/>
      <c r="X426" s="432"/>
      <c r="Y426" s="432"/>
      <c r="Z426" s="432"/>
      <c r="AA426" s="432"/>
      <c r="AB426" s="432"/>
    </row>
    <row r="427">
      <c r="A427" s="432"/>
      <c r="B427" s="432"/>
      <c r="C427" s="432"/>
      <c r="D427" s="432"/>
      <c r="E427" s="432"/>
      <c r="F427" s="432"/>
      <c r="G427" s="432"/>
      <c r="H427" s="432"/>
      <c r="I427" s="432"/>
      <c r="J427" s="432"/>
      <c r="K427" s="432"/>
      <c r="L427" s="432"/>
      <c r="M427" s="432"/>
      <c r="N427" s="432"/>
      <c r="O427" s="432"/>
      <c r="P427" s="432"/>
      <c r="Q427" s="432"/>
      <c r="R427" s="432"/>
      <c r="S427" s="432"/>
      <c r="T427" s="432"/>
      <c r="U427" s="432"/>
      <c r="V427" s="432"/>
      <c r="W427" s="432"/>
      <c r="X427" s="432"/>
      <c r="Y427" s="432"/>
      <c r="Z427" s="432"/>
      <c r="AA427" s="432"/>
      <c r="AB427" s="432"/>
    </row>
    <row r="428">
      <c r="A428" s="432"/>
      <c r="B428" s="432"/>
      <c r="C428" s="432"/>
      <c r="D428" s="432"/>
      <c r="E428" s="432"/>
      <c r="F428" s="432"/>
      <c r="G428" s="432"/>
      <c r="H428" s="432"/>
      <c r="I428" s="432"/>
      <c r="J428" s="432"/>
      <c r="K428" s="432"/>
      <c r="L428" s="432"/>
      <c r="M428" s="432"/>
      <c r="N428" s="432"/>
      <c r="O428" s="432"/>
      <c r="P428" s="432"/>
      <c r="Q428" s="432"/>
      <c r="R428" s="432"/>
      <c r="S428" s="432"/>
      <c r="T428" s="432"/>
      <c r="U428" s="432"/>
      <c r="V428" s="432"/>
      <c r="W428" s="432"/>
      <c r="X428" s="432"/>
      <c r="Y428" s="432"/>
      <c r="Z428" s="432"/>
      <c r="AA428" s="432"/>
      <c r="AB428" s="432"/>
    </row>
    <row r="429">
      <c r="A429" s="432"/>
      <c r="B429" s="432"/>
      <c r="C429" s="432"/>
      <c r="D429" s="432"/>
      <c r="E429" s="432"/>
      <c r="F429" s="432"/>
      <c r="G429" s="432"/>
      <c r="H429" s="432"/>
      <c r="I429" s="432"/>
      <c r="J429" s="432"/>
      <c r="K429" s="432"/>
      <c r="L429" s="432"/>
      <c r="M429" s="432"/>
      <c r="N429" s="432"/>
      <c r="O429" s="432"/>
      <c r="P429" s="432"/>
      <c r="Q429" s="432"/>
      <c r="R429" s="432"/>
      <c r="S429" s="432"/>
      <c r="T429" s="432"/>
      <c r="U429" s="432"/>
      <c r="V429" s="432"/>
      <c r="W429" s="432"/>
      <c r="X429" s="432"/>
      <c r="Y429" s="432"/>
      <c r="Z429" s="432"/>
      <c r="AA429" s="432"/>
      <c r="AB429" s="432"/>
    </row>
    <row r="430">
      <c r="A430" s="432"/>
      <c r="B430" s="432"/>
      <c r="C430" s="432"/>
      <c r="D430" s="432"/>
      <c r="E430" s="432"/>
      <c r="F430" s="432"/>
      <c r="G430" s="432"/>
      <c r="H430" s="432"/>
      <c r="I430" s="432"/>
      <c r="J430" s="432"/>
      <c r="K430" s="432"/>
      <c r="L430" s="432"/>
      <c r="M430" s="432"/>
      <c r="N430" s="432"/>
      <c r="O430" s="432"/>
      <c r="P430" s="432"/>
      <c r="Q430" s="432"/>
      <c r="R430" s="432"/>
      <c r="S430" s="432"/>
      <c r="T430" s="432"/>
      <c r="U430" s="432"/>
      <c r="V430" s="432"/>
      <c r="W430" s="432"/>
      <c r="X430" s="432"/>
      <c r="Y430" s="432"/>
      <c r="Z430" s="432"/>
      <c r="AA430" s="432"/>
      <c r="AB430" s="432"/>
    </row>
    <row r="431">
      <c r="A431" s="432"/>
      <c r="B431" s="432"/>
      <c r="C431" s="432"/>
      <c r="D431" s="432"/>
      <c r="E431" s="432"/>
      <c r="F431" s="432"/>
      <c r="G431" s="432"/>
      <c r="H431" s="432"/>
      <c r="I431" s="432"/>
      <c r="J431" s="432"/>
      <c r="K431" s="432"/>
      <c r="L431" s="432"/>
      <c r="M431" s="432"/>
      <c r="N431" s="432"/>
      <c r="O431" s="432"/>
      <c r="P431" s="432"/>
      <c r="Q431" s="432"/>
      <c r="R431" s="432"/>
      <c r="S431" s="432"/>
      <c r="T431" s="432"/>
      <c r="U431" s="432"/>
      <c r="V431" s="432"/>
      <c r="W431" s="432"/>
      <c r="X431" s="432"/>
      <c r="Y431" s="432"/>
      <c r="Z431" s="432"/>
      <c r="AA431" s="432"/>
      <c r="AB431" s="432"/>
    </row>
    <row r="432">
      <c r="A432" s="432"/>
      <c r="B432" s="432"/>
      <c r="C432" s="432"/>
      <c r="D432" s="432"/>
      <c r="E432" s="432"/>
      <c r="F432" s="432"/>
      <c r="G432" s="432"/>
      <c r="H432" s="432"/>
      <c r="I432" s="432"/>
      <c r="J432" s="432"/>
      <c r="K432" s="432"/>
      <c r="L432" s="432"/>
      <c r="M432" s="432"/>
      <c r="N432" s="432"/>
      <c r="O432" s="432"/>
      <c r="P432" s="432"/>
      <c r="Q432" s="432"/>
      <c r="R432" s="432"/>
      <c r="S432" s="432"/>
      <c r="T432" s="432"/>
      <c r="U432" s="432"/>
      <c r="V432" s="432"/>
      <c r="W432" s="432"/>
      <c r="X432" s="432"/>
      <c r="Y432" s="432"/>
      <c r="Z432" s="432"/>
      <c r="AA432" s="432"/>
      <c r="AB432" s="432"/>
    </row>
    <row r="433">
      <c r="A433" s="432"/>
      <c r="B433" s="432"/>
      <c r="C433" s="432"/>
      <c r="D433" s="432"/>
      <c r="E433" s="432"/>
      <c r="F433" s="432"/>
      <c r="G433" s="432"/>
      <c r="H433" s="432"/>
      <c r="I433" s="432"/>
      <c r="J433" s="432"/>
      <c r="K433" s="432"/>
      <c r="L433" s="432"/>
      <c r="M433" s="432"/>
      <c r="N433" s="432"/>
      <c r="O433" s="432"/>
      <c r="P433" s="432"/>
      <c r="Q433" s="432"/>
      <c r="R433" s="432"/>
      <c r="S433" s="432"/>
      <c r="T433" s="432"/>
      <c r="U433" s="432"/>
      <c r="V433" s="432"/>
      <c r="W433" s="432"/>
      <c r="X433" s="432"/>
      <c r="Y433" s="432"/>
      <c r="Z433" s="432"/>
      <c r="AA433" s="432"/>
      <c r="AB433" s="432"/>
    </row>
    <row r="434">
      <c r="A434" s="432"/>
      <c r="B434" s="432"/>
      <c r="C434" s="432"/>
      <c r="D434" s="432"/>
      <c r="E434" s="432"/>
      <c r="F434" s="432"/>
      <c r="G434" s="432"/>
      <c r="H434" s="432"/>
      <c r="I434" s="432"/>
      <c r="J434" s="432"/>
      <c r="K434" s="432"/>
      <c r="L434" s="432"/>
      <c r="M434" s="432"/>
      <c r="N434" s="432"/>
      <c r="O434" s="432"/>
      <c r="P434" s="432"/>
      <c r="Q434" s="432"/>
      <c r="R434" s="432"/>
      <c r="S434" s="432"/>
      <c r="T434" s="432"/>
      <c r="U434" s="432"/>
      <c r="V434" s="432"/>
      <c r="W434" s="432"/>
      <c r="X434" s="432"/>
      <c r="Y434" s="432"/>
      <c r="Z434" s="432"/>
      <c r="AA434" s="432"/>
      <c r="AB434" s="432"/>
    </row>
    <row r="435">
      <c r="A435" s="432"/>
      <c r="B435" s="432"/>
      <c r="C435" s="432"/>
      <c r="D435" s="432"/>
      <c r="E435" s="432"/>
      <c r="F435" s="432"/>
      <c r="G435" s="432"/>
      <c r="H435" s="432"/>
      <c r="I435" s="432"/>
      <c r="J435" s="432"/>
      <c r="K435" s="432"/>
      <c r="L435" s="432"/>
      <c r="M435" s="432"/>
      <c r="N435" s="432"/>
      <c r="O435" s="432"/>
      <c r="P435" s="432"/>
      <c r="Q435" s="432"/>
      <c r="R435" s="432"/>
      <c r="S435" s="432"/>
      <c r="T435" s="432"/>
      <c r="U435" s="432"/>
      <c r="V435" s="432"/>
      <c r="W435" s="432"/>
      <c r="X435" s="432"/>
      <c r="Y435" s="432"/>
      <c r="Z435" s="432"/>
      <c r="AA435" s="432"/>
      <c r="AB435" s="432"/>
    </row>
    <row r="436">
      <c r="A436" s="432"/>
      <c r="B436" s="432"/>
      <c r="C436" s="432"/>
      <c r="D436" s="432"/>
      <c r="E436" s="432"/>
      <c r="F436" s="432"/>
      <c r="G436" s="432"/>
      <c r="H436" s="432"/>
      <c r="I436" s="432"/>
      <c r="J436" s="432"/>
      <c r="K436" s="432"/>
      <c r="L436" s="432"/>
      <c r="M436" s="432"/>
      <c r="N436" s="432"/>
      <c r="O436" s="432"/>
      <c r="P436" s="432"/>
      <c r="Q436" s="432"/>
      <c r="R436" s="432"/>
      <c r="S436" s="432"/>
      <c r="T436" s="432"/>
      <c r="U436" s="432"/>
      <c r="V436" s="432"/>
      <c r="W436" s="432"/>
      <c r="X436" s="432"/>
      <c r="Y436" s="432"/>
      <c r="Z436" s="432"/>
      <c r="AA436" s="432"/>
      <c r="AB436" s="432"/>
    </row>
    <row r="437">
      <c r="A437" s="432"/>
      <c r="B437" s="432"/>
      <c r="C437" s="432"/>
      <c r="D437" s="432"/>
      <c r="E437" s="432"/>
      <c r="F437" s="432"/>
      <c r="G437" s="432"/>
      <c r="H437" s="432"/>
      <c r="I437" s="432"/>
      <c r="J437" s="432"/>
      <c r="K437" s="432"/>
      <c r="L437" s="432"/>
      <c r="M437" s="432"/>
      <c r="N437" s="432"/>
      <c r="O437" s="432"/>
      <c r="P437" s="432"/>
      <c r="Q437" s="432"/>
      <c r="R437" s="432"/>
      <c r="S437" s="432"/>
      <c r="T437" s="432"/>
      <c r="U437" s="432"/>
      <c r="V437" s="432"/>
      <c r="W437" s="432"/>
      <c r="X437" s="432"/>
      <c r="Y437" s="432"/>
      <c r="Z437" s="432"/>
      <c r="AA437" s="432"/>
      <c r="AB437" s="432"/>
    </row>
    <row r="438">
      <c r="A438" s="432"/>
      <c r="B438" s="432"/>
      <c r="C438" s="432"/>
      <c r="D438" s="432"/>
      <c r="E438" s="432"/>
      <c r="F438" s="432"/>
      <c r="G438" s="432"/>
      <c r="H438" s="432"/>
      <c r="I438" s="432"/>
      <c r="J438" s="432"/>
      <c r="K438" s="432"/>
      <c r="L438" s="432"/>
      <c r="M438" s="432"/>
      <c r="N438" s="432"/>
      <c r="O438" s="432"/>
      <c r="P438" s="432"/>
      <c r="Q438" s="432"/>
      <c r="R438" s="432"/>
      <c r="S438" s="432"/>
      <c r="T438" s="432"/>
      <c r="U438" s="432"/>
      <c r="V438" s="432"/>
      <c r="W438" s="432"/>
      <c r="X438" s="432"/>
      <c r="Y438" s="432"/>
      <c r="Z438" s="432"/>
      <c r="AA438" s="432"/>
      <c r="AB438" s="432"/>
    </row>
    <row r="439">
      <c r="A439" s="432"/>
      <c r="B439" s="432"/>
      <c r="C439" s="432"/>
      <c r="D439" s="432"/>
      <c r="E439" s="432"/>
      <c r="F439" s="432"/>
      <c r="G439" s="432"/>
      <c r="H439" s="432"/>
      <c r="I439" s="432"/>
      <c r="J439" s="432"/>
      <c r="K439" s="432"/>
      <c r="L439" s="432"/>
      <c r="M439" s="432"/>
      <c r="N439" s="432"/>
      <c r="O439" s="432"/>
      <c r="P439" s="432"/>
      <c r="Q439" s="432"/>
      <c r="R439" s="432"/>
      <c r="S439" s="432"/>
      <c r="T439" s="432"/>
      <c r="U439" s="432"/>
      <c r="V439" s="432"/>
      <c r="W439" s="432"/>
      <c r="X439" s="432"/>
      <c r="Y439" s="432"/>
      <c r="Z439" s="432"/>
      <c r="AA439" s="432"/>
      <c r="AB439" s="432"/>
    </row>
    <row r="440">
      <c r="A440" s="432"/>
      <c r="B440" s="432"/>
      <c r="C440" s="432"/>
      <c r="D440" s="432"/>
      <c r="E440" s="432"/>
      <c r="F440" s="432"/>
      <c r="G440" s="432"/>
      <c r="H440" s="432"/>
      <c r="I440" s="432"/>
      <c r="J440" s="432"/>
      <c r="K440" s="432"/>
      <c r="L440" s="432"/>
      <c r="M440" s="432"/>
      <c r="N440" s="432"/>
      <c r="O440" s="432"/>
      <c r="P440" s="432"/>
      <c r="Q440" s="432"/>
      <c r="R440" s="432"/>
      <c r="S440" s="432"/>
      <c r="T440" s="432"/>
      <c r="U440" s="432"/>
      <c r="V440" s="432"/>
      <c r="W440" s="432"/>
      <c r="X440" s="432"/>
      <c r="Y440" s="432"/>
      <c r="Z440" s="432"/>
      <c r="AA440" s="432"/>
      <c r="AB440" s="432"/>
    </row>
    <row r="441">
      <c r="A441" s="432"/>
      <c r="B441" s="432"/>
      <c r="C441" s="432"/>
      <c r="D441" s="432"/>
      <c r="E441" s="432"/>
      <c r="F441" s="432"/>
      <c r="G441" s="432"/>
      <c r="H441" s="432"/>
      <c r="I441" s="432"/>
      <c r="J441" s="432"/>
      <c r="K441" s="432"/>
      <c r="L441" s="432"/>
      <c r="M441" s="432"/>
      <c r="N441" s="432"/>
      <c r="O441" s="432"/>
      <c r="P441" s="432"/>
      <c r="Q441" s="432"/>
      <c r="R441" s="432"/>
      <c r="S441" s="432"/>
      <c r="T441" s="432"/>
      <c r="U441" s="432"/>
      <c r="V441" s="432"/>
      <c r="W441" s="432"/>
      <c r="X441" s="432"/>
      <c r="Y441" s="432"/>
      <c r="Z441" s="432"/>
      <c r="AA441" s="432"/>
      <c r="AB441" s="432"/>
    </row>
    <row r="442">
      <c r="A442" s="432"/>
      <c r="B442" s="432"/>
      <c r="C442" s="432"/>
      <c r="D442" s="432"/>
      <c r="E442" s="432"/>
      <c r="F442" s="432"/>
      <c r="G442" s="432"/>
      <c r="H442" s="432"/>
      <c r="I442" s="432"/>
      <c r="J442" s="432"/>
      <c r="K442" s="432"/>
      <c r="L442" s="432"/>
      <c r="M442" s="432"/>
      <c r="N442" s="432"/>
      <c r="O442" s="432"/>
      <c r="P442" s="432"/>
      <c r="Q442" s="432"/>
      <c r="R442" s="432"/>
      <c r="S442" s="432"/>
      <c r="T442" s="432"/>
      <c r="U442" s="432"/>
      <c r="V442" s="432"/>
      <c r="W442" s="432"/>
      <c r="X442" s="432"/>
      <c r="Y442" s="432"/>
      <c r="Z442" s="432"/>
      <c r="AA442" s="432"/>
      <c r="AB442" s="432"/>
    </row>
    <row r="443">
      <c r="A443" s="432"/>
      <c r="B443" s="432"/>
      <c r="C443" s="432"/>
      <c r="D443" s="432"/>
      <c r="E443" s="432"/>
      <c r="F443" s="432"/>
      <c r="G443" s="432"/>
      <c r="H443" s="432"/>
      <c r="I443" s="432"/>
      <c r="J443" s="432"/>
      <c r="K443" s="432"/>
      <c r="L443" s="432"/>
      <c r="M443" s="432"/>
      <c r="N443" s="432"/>
      <c r="O443" s="432"/>
      <c r="P443" s="432"/>
      <c r="Q443" s="432"/>
      <c r="R443" s="432"/>
      <c r="S443" s="432"/>
      <c r="T443" s="432"/>
      <c r="U443" s="432"/>
      <c r="V443" s="432"/>
      <c r="W443" s="432"/>
      <c r="X443" s="432"/>
      <c r="Y443" s="432"/>
      <c r="Z443" s="432"/>
      <c r="AA443" s="432"/>
      <c r="AB443" s="432"/>
    </row>
    <row r="444">
      <c r="A444" s="432"/>
      <c r="B444" s="432"/>
      <c r="C444" s="432"/>
      <c r="D444" s="432"/>
      <c r="E444" s="432"/>
      <c r="F444" s="432"/>
      <c r="G444" s="432"/>
      <c r="H444" s="432"/>
      <c r="I444" s="432"/>
      <c r="J444" s="432"/>
      <c r="K444" s="432"/>
      <c r="L444" s="432"/>
      <c r="M444" s="432"/>
      <c r="N444" s="432"/>
      <c r="O444" s="432"/>
      <c r="P444" s="432"/>
      <c r="Q444" s="432"/>
      <c r="R444" s="432"/>
      <c r="S444" s="432"/>
      <c r="T444" s="432"/>
      <c r="U444" s="432"/>
      <c r="V444" s="432"/>
      <c r="W444" s="432"/>
      <c r="X444" s="432"/>
      <c r="Y444" s="432"/>
      <c r="Z444" s="432"/>
      <c r="AA444" s="432"/>
      <c r="AB444" s="432"/>
    </row>
    <row r="445">
      <c r="A445" s="432"/>
      <c r="B445" s="432"/>
      <c r="C445" s="432"/>
      <c r="D445" s="432"/>
      <c r="E445" s="432"/>
      <c r="F445" s="432"/>
      <c r="G445" s="432"/>
      <c r="H445" s="432"/>
      <c r="I445" s="432"/>
      <c r="J445" s="432"/>
      <c r="K445" s="432"/>
      <c r="L445" s="432"/>
      <c r="M445" s="432"/>
      <c r="N445" s="432"/>
      <c r="O445" s="432"/>
      <c r="P445" s="432"/>
      <c r="Q445" s="432"/>
      <c r="R445" s="432"/>
      <c r="S445" s="432"/>
      <c r="T445" s="432"/>
      <c r="U445" s="432"/>
      <c r="V445" s="432"/>
      <c r="W445" s="432"/>
      <c r="X445" s="432"/>
      <c r="Y445" s="432"/>
      <c r="Z445" s="432"/>
      <c r="AA445" s="432"/>
      <c r="AB445" s="432"/>
    </row>
    <row r="446">
      <c r="A446" s="432"/>
      <c r="B446" s="432"/>
      <c r="C446" s="432"/>
      <c r="D446" s="432"/>
      <c r="E446" s="432"/>
      <c r="F446" s="432"/>
      <c r="G446" s="432"/>
      <c r="H446" s="432"/>
      <c r="I446" s="432"/>
      <c r="J446" s="432"/>
      <c r="K446" s="432"/>
      <c r="L446" s="432"/>
      <c r="M446" s="432"/>
      <c r="N446" s="432"/>
      <c r="O446" s="432"/>
      <c r="P446" s="432"/>
      <c r="Q446" s="432"/>
      <c r="R446" s="432"/>
      <c r="S446" s="432"/>
      <c r="T446" s="432"/>
      <c r="U446" s="432"/>
      <c r="V446" s="432"/>
      <c r="W446" s="432"/>
      <c r="X446" s="432"/>
      <c r="Y446" s="432"/>
      <c r="Z446" s="432"/>
      <c r="AA446" s="432"/>
      <c r="AB446" s="432"/>
    </row>
    <row r="447">
      <c r="A447" s="432"/>
      <c r="B447" s="432"/>
      <c r="C447" s="432"/>
      <c r="D447" s="432"/>
      <c r="E447" s="432"/>
      <c r="F447" s="432"/>
      <c r="G447" s="432"/>
      <c r="H447" s="432"/>
      <c r="I447" s="432"/>
      <c r="J447" s="432"/>
      <c r="K447" s="432"/>
      <c r="L447" s="432"/>
      <c r="M447" s="432"/>
      <c r="N447" s="432"/>
      <c r="O447" s="432"/>
      <c r="P447" s="432"/>
      <c r="Q447" s="432"/>
      <c r="R447" s="432"/>
      <c r="S447" s="432"/>
      <c r="T447" s="432"/>
      <c r="U447" s="432"/>
      <c r="V447" s="432"/>
      <c r="W447" s="432"/>
      <c r="X447" s="432"/>
      <c r="Y447" s="432"/>
      <c r="Z447" s="432"/>
      <c r="AA447" s="432"/>
      <c r="AB447" s="432"/>
    </row>
    <row r="448">
      <c r="A448" s="432"/>
      <c r="B448" s="432"/>
      <c r="C448" s="432"/>
      <c r="D448" s="432"/>
      <c r="E448" s="432"/>
      <c r="F448" s="432"/>
      <c r="G448" s="432"/>
      <c r="H448" s="432"/>
      <c r="I448" s="432"/>
      <c r="J448" s="432"/>
      <c r="K448" s="432"/>
      <c r="L448" s="432"/>
      <c r="M448" s="432"/>
      <c r="N448" s="432"/>
      <c r="O448" s="432"/>
      <c r="P448" s="432"/>
      <c r="Q448" s="432"/>
      <c r="R448" s="432"/>
      <c r="S448" s="432"/>
      <c r="T448" s="432"/>
      <c r="U448" s="432"/>
      <c r="V448" s="432"/>
      <c r="W448" s="432"/>
      <c r="X448" s="432"/>
      <c r="Y448" s="432"/>
      <c r="Z448" s="432"/>
      <c r="AA448" s="432"/>
      <c r="AB448" s="432"/>
    </row>
    <row r="449">
      <c r="A449" s="432"/>
      <c r="B449" s="432"/>
      <c r="C449" s="432"/>
      <c r="D449" s="432"/>
      <c r="E449" s="432"/>
      <c r="F449" s="432"/>
      <c r="G449" s="432"/>
      <c r="H449" s="432"/>
      <c r="I449" s="432"/>
      <c r="J449" s="432"/>
      <c r="K449" s="432"/>
      <c r="L449" s="432"/>
      <c r="M449" s="432"/>
      <c r="N449" s="432"/>
      <c r="O449" s="432"/>
      <c r="P449" s="432"/>
      <c r="Q449" s="432"/>
      <c r="R449" s="432"/>
      <c r="S449" s="432"/>
      <c r="T449" s="432"/>
      <c r="U449" s="432"/>
      <c r="V449" s="432"/>
      <c r="W449" s="432"/>
      <c r="X449" s="432"/>
      <c r="Y449" s="432"/>
      <c r="Z449" s="432"/>
      <c r="AA449" s="432"/>
      <c r="AB449" s="432"/>
    </row>
    <row r="450">
      <c r="A450" s="432"/>
      <c r="B450" s="432"/>
      <c r="C450" s="432"/>
      <c r="D450" s="432"/>
      <c r="E450" s="432"/>
      <c r="F450" s="432"/>
      <c r="G450" s="432"/>
      <c r="H450" s="432"/>
      <c r="I450" s="432"/>
      <c r="J450" s="432"/>
      <c r="K450" s="432"/>
      <c r="L450" s="432"/>
      <c r="M450" s="432"/>
      <c r="N450" s="432"/>
      <c r="O450" s="432"/>
      <c r="P450" s="432"/>
      <c r="Q450" s="432"/>
      <c r="R450" s="432"/>
      <c r="S450" s="432"/>
      <c r="T450" s="432"/>
      <c r="U450" s="432"/>
      <c r="V450" s="432"/>
      <c r="W450" s="432"/>
      <c r="X450" s="432"/>
      <c r="Y450" s="432"/>
      <c r="Z450" s="432"/>
      <c r="AA450" s="432"/>
      <c r="AB450" s="432"/>
    </row>
    <row r="451">
      <c r="A451" s="432"/>
      <c r="B451" s="432"/>
      <c r="C451" s="432"/>
      <c r="D451" s="432"/>
      <c r="E451" s="432"/>
      <c r="F451" s="432"/>
      <c r="G451" s="432"/>
      <c r="H451" s="432"/>
      <c r="I451" s="432"/>
      <c r="J451" s="432"/>
      <c r="K451" s="432"/>
      <c r="L451" s="432"/>
      <c r="M451" s="432"/>
      <c r="N451" s="432"/>
      <c r="O451" s="432"/>
      <c r="P451" s="432"/>
      <c r="Q451" s="432"/>
      <c r="R451" s="432"/>
      <c r="S451" s="432"/>
      <c r="T451" s="432"/>
      <c r="U451" s="432"/>
      <c r="V451" s="432"/>
      <c r="W451" s="432"/>
      <c r="X451" s="432"/>
      <c r="Y451" s="432"/>
      <c r="Z451" s="432"/>
      <c r="AA451" s="432"/>
      <c r="AB451" s="432"/>
    </row>
    <row r="452">
      <c r="A452" s="432"/>
      <c r="B452" s="432"/>
      <c r="C452" s="432"/>
      <c r="D452" s="432"/>
      <c r="E452" s="432"/>
      <c r="F452" s="432"/>
      <c r="G452" s="432"/>
      <c r="H452" s="432"/>
      <c r="I452" s="432"/>
      <c r="J452" s="432"/>
      <c r="K452" s="432"/>
      <c r="L452" s="432"/>
      <c r="M452" s="432"/>
      <c r="N452" s="432"/>
      <c r="O452" s="432"/>
      <c r="P452" s="432"/>
      <c r="Q452" s="432"/>
      <c r="R452" s="432"/>
      <c r="S452" s="432"/>
      <c r="T452" s="432"/>
      <c r="U452" s="432"/>
      <c r="V452" s="432"/>
      <c r="W452" s="432"/>
      <c r="X452" s="432"/>
      <c r="Y452" s="432"/>
      <c r="Z452" s="432"/>
      <c r="AA452" s="432"/>
      <c r="AB452" s="432"/>
    </row>
    <row r="453">
      <c r="A453" s="432"/>
      <c r="B453" s="432"/>
      <c r="C453" s="432"/>
      <c r="D453" s="432"/>
      <c r="E453" s="432"/>
      <c r="F453" s="432"/>
      <c r="G453" s="432"/>
      <c r="H453" s="432"/>
      <c r="I453" s="432"/>
      <c r="J453" s="432"/>
      <c r="K453" s="432"/>
      <c r="L453" s="432"/>
      <c r="M453" s="432"/>
      <c r="N453" s="432"/>
      <c r="O453" s="432"/>
      <c r="P453" s="432"/>
      <c r="Q453" s="432"/>
      <c r="R453" s="432"/>
      <c r="S453" s="432"/>
      <c r="T453" s="432"/>
      <c r="U453" s="432"/>
      <c r="V453" s="432"/>
      <c r="W453" s="432"/>
      <c r="X453" s="432"/>
      <c r="Y453" s="432"/>
      <c r="Z453" s="432"/>
      <c r="AA453" s="432"/>
      <c r="AB453" s="432"/>
    </row>
    <row r="454">
      <c r="A454" s="432"/>
      <c r="B454" s="432"/>
      <c r="C454" s="432"/>
      <c r="D454" s="432"/>
      <c r="E454" s="432"/>
      <c r="F454" s="432"/>
      <c r="G454" s="432"/>
      <c r="H454" s="432"/>
      <c r="I454" s="432"/>
      <c r="J454" s="432"/>
      <c r="K454" s="432"/>
      <c r="L454" s="432"/>
      <c r="M454" s="432"/>
      <c r="N454" s="432"/>
      <c r="O454" s="432"/>
      <c r="P454" s="432"/>
      <c r="Q454" s="432"/>
      <c r="R454" s="432"/>
      <c r="S454" s="432"/>
      <c r="T454" s="432"/>
      <c r="U454" s="432"/>
      <c r="V454" s="432"/>
      <c r="W454" s="432"/>
      <c r="X454" s="432"/>
      <c r="Y454" s="432"/>
      <c r="Z454" s="432"/>
      <c r="AA454" s="432"/>
      <c r="AB454" s="432"/>
    </row>
    <row r="455">
      <c r="A455" s="432"/>
      <c r="B455" s="432"/>
      <c r="C455" s="432"/>
      <c r="D455" s="432"/>
      <c r="E455" s="432"/>
      <c r="F455" s="432"/>
      <c r="G455" s="432"/>
      <c r="H455" s="432"/>
      <c r="I455" s="432"/>
      <c r="J455" s="432"/>
      <c r="K455" s="432"/>
      <c r="L455" s="432"/>
      <c r="M455" s="432"/>
      <c r="N455" s="432"/>
      <c r="O455" s="432"/>
      <c r="P455" s="432"/>
      <c r="Q455" s="432"/>
      <c r="R455" s="432"/>
      <c r="S455" s="432"/>
      <c r="T455" s="432"/>
      <c r="U455" s="432"/>
      <c r="V455" s="432"/>
      <c r="W455" s="432"/>
      <c r="X455" s="432"/>
      <c r="Y455" s="432"/>
      <c r="Z455" s="432"/>
      <c r="AA455" s="432"/>
      <c r="AB455" s="432"/>
    </row>
    <row r="456">
      <c r="A456" s="432"/>
      <c r="B456" s="432"/>
      <c r="C456" s="432"/>
      <c r="D456" s="432"/>
      <c r="E456" s="432"/>
      <c r="F456" s="432"/>
      <c r="G456" s="432"/>
      <c r="H456" s="432"/>
      <c r="I456" s="432"/>
      <c r="J456" s="432"/>
      <c r="K456" s="432"/>
      <c r="L456" s="432"/>
      <c r="M456" s="432"/>
      <c r="N456" s="432"/>
      <c r="O456" s="432"/>
      <c r="P456" s="432"/>
      <c r="Q456" s="432"/>
      <c r="R456" s="432"/>
      <c r="S456" s="432"/>
      <c r="T456" s="432"/>
      <c r="U456" s="432"/>
      <c r="V456" s="432"/>
      <c r="W456" s="432"/>
      <c r="X456" s="432"/>
      <c r="Y456" s="432"/>
      <c r="Z456" s="432"/>
      <c r="AA456" s="432"/>
      <c r="AB456" s="432"/>
    </row>
    <row r="457">
      <c r="A457" s="432"/>
      <c r="B457" s="432"/>
      <c r="C457" s="432"/>
      <c r="D457" s="432"/>
      <c r="E457" s="432"/>
      <c r="F457" s="432"/>
      <c r="G457" s="432"/>
      <c r="H457" s="432"/>
      <c r="I457" s="432"/>
      <c r="J457" s="432"/>
      <c r="K457" s="432"/>
      <c r="L457" s="432"/>
      <c r="M457" s="432"/>
      <c r="N457" s="432"/>
      <c r="O457" s="432"/>
      <c r="P457" s="432"/>
      <c r="Q457" s="432"/>
      <c r="R457" s="432"/>
      <c r="S457" s="432"/>
      <c r="T457" s="432"/>
      <c r="U457" s="432"/>
      <c r="V457" s="432"/>
      <c r="W457" s="432"/>
      <c r="X457" s="432"/>
      <c r="Y457" s="432"/>
      <c r="Z457" s="432"/>
      <c r="AA457" s="432"/>
      <c r="AB457" s="432"/>
    </row>
    <row r="458">
      <c r="A458" s="432"/>
      <c r="B458" s="432"/>
      <c r="C458" s="432"/>
      <c r="D458" s="432"/>
      <c r="E458" s="432"/>
      <c r="F458" s="432"/>
      <c r="G458" s="432"/>
      <c r="H458" s="432"/>
      <c r="I458" s="432"/>
      <c r="J458" s="432"/>
      <c r="K458" s="432"/>
      <c r="L458" s="432"/>
      <c r="M458" s="432"/>
      <c r="N458" s="432"/>
      <c r="O458" s="432"/>
      <c r="P458" s="432"/>
      <c r="Q458" s="432"/>
      <c r="R458" s="432"/>
      <c r="S458" s="432"/>
      <c r="T458" s="432"/>
      <c r="U458" s="432"/>
      <c r="V458" s="432"/>
      <c r="W458" s="432"/>
      <c r="X458" s="432"/>
      <c r="Y458" s="432"/>
      <c r="Z458" s="432"/>
      <c r="AA458" s="432"/>
      <c r="AB458" s="432"/>
    </row>
    <row r="459">
      <c r="A459" s="432"/>
      <c r="B459" s="432"/>
      <c r="C459" s="432"/>
      <c r="D459" s="432"/>
      <c r="E459" s="432"/>
      <c r="F459" s="432"/>
      <c r="G459" s="432"/>
      <c r="H459" s="432"/>
      <c r="I459" s="432"/>
      <c r="J459" s="432"/>
      <c r="K459" s="432"/>
      <c r="L459" s="432"/>
      <c r="M459" s="432"/>
      <c r="N459" s="432"/>
      <c r="O459" s="432"/>
      <c r="P459" s="432"/>
      <c r="Q459" s="432"/>
      <c r="R459" s="432"/>
      <c r="S459" s="432"/>
      <c r="T459" s="432"/>
      <c r="U459" s="432"/>
      <c r="V459" s="432"/>
      <c r="W459" s="432"/>
      <c r="X459" s="432"/>
      <c r="Y459" s="432"/>
      <c r="Z459" s="432"/>
      <c r="AA459" s="432"/>
      <c r="AB459" s="432"/>
    </row>
    <row r="460">
      <c r="A460" s="432"/>
      <c r="B460" s="432"/>
      <c r="C460" s="432"/>
      <c r="D460" s="432"/>
      <c r="E460" s="432"/>
      <c r="F460" s="432"/>
      <c r="G460" s="432"/>
      <c r="H460" s="432"/>
      <c r="I460" s="432"/>
      <c r="J460" s="432"/>
      <c r="K460" s="432"/>
      <c r="L460" s="432"/>
      <c r="M460" s="432"/>
      <c r="N460" s="432"/>
      <c r="O460" s="432"/>
      <c r="P460" s="432"/>
      <c r="Q460" s="432"/>
      <c r="R460" s="432"/>
      <c r="S460" s="432"/>
      <c r="T460" s="432"/>
      <c r="U460" s="432"/>
      <c r="V460" s="432"/>
      <c r="W460" s="432"/>
      <c r="X460" s="432"/>
      <c r="Y460" s="432"/>
      <c r="Z460" s="432"/>
      <c r="AA460" s="432"/>
      <c r="AB460" s="432"/>
    </row>
    <row r="461">
      <c r="A461" s="432"/>
      <c r="B461" s="432"/>
      <c r="C461" s="432"/>
      <c r="D461" s="432"/>
      <c r="E461" s="432"/>
      <c r="F461" s="432"/>
      <c r="G461" s="432"/>
      <c r="H461" s="432"/>
      <c r="I461" s="432"/>
      <c r="J461" s="432"/>
      <c r="K461" s="432"/>
      <c r="L461" s="432"/>
      <c r="M461" s="432"/>
      <c r="N461" s="432"/>
      <c r="O461" s="432"/>
      <c r="P461" s="432"/>
      <c r="Q461" s="432"/>
      <c r="R461" s="432"/>
      <c r="S461" s="432"/>
      <c r="T461" s="432"/>
      <c r="U461" s="432"/>
      <c r="V461" s="432"/>
      <c r="W461" s="432"/>
      <c r="X461" s="432"/>
      <c r="Y461" s="432"/>
      <c r="Z461" s="432"/>
      <c r="AA461" s="432"/>
      <c r="AB461" s="432"/>
    </row>
    <row r="462">
      <c r="A462" s="432"/>
      <c r="B462" s="432"/>
      <c r="C462" s="432"/>
      <c r="D462" s="432"/>
      <c r="E462" s="432"/>
      <c r="F462" s="432"/>
      <c r="G462" s="432"/>
      <c r="H462" s="432"/>
      <c r="I462" s="432"/>
      <c r="J462" s="432"/>
      <c r="K462" s="432"/>
      <c r="L462" s="432"/>
      <c r="M462" s="432"/>
      <c r="N462" s="432"/>
      <c r="O462" s="432"/>
      <c r="P462" s="432"/>
      <c r="Q462" s="432"/>
      <c r="R462" s="432"/>
      <c r="S462" s="432"/>
      <c r="T462" s="432"/>
      <c r="U462" s="432"/>
      <c r="V462" s="432"/>
      <c r="W462" s="432"/>
      <c r="X462" s="432"/>
      <c r="Y462" s="432"/>
      <c r="Z462" s="432"/>
      <c r="AA462" s="432"/>
      <c r="AB462" s="432"/>
    </row>
    <row r="463">
      <c r="A463" s="432"/>
      <c r="B463" s="432"/>
      <c r="C463" s="432"/>
      <c r="D463" s="432"/>
      <c r="E463" s="432"/>
      <c r="F463" s="432"/>
      <c r="G463" s="432"/>
      <c r="H463" s="432"/>
      <c r="I463" s="432"/>
      <c r="J463" s="432"/>
      <c r="K463" s="432"/>
      <c r="L463" s="432"/>
      <c r="M463" s="432"/>
      <c r="N463" s="432"/>
      <c r="O463" s="432"/>
      <c r="P463" s="432"/>
      <c r="Q463" s="432"/>
      <c r="R463" s="432"/>
      <c r="S463" s="432"/>
      <c r="T463" s="432"/>
      <c r="U463" s="432"/>
      <c r="V463" s="432"/>
      <c r="W463" s="432"/>
      <c r="X463" s="432"/>
      <c r="Y463" s="432"/>
      <c r="Z463" s="432"/>
      <c r="AA463" s="432"/>
      <c r="AB463" s="432"/>
    </row>
    <row r="464">
      <c r="A464" s="432"/>
      <c r="B464" s="432"/>
      <c r="C464" s="432"/>
      <c r="D464" s="432"/>
      <c r="E464" s="432"/>
      <c r="F464" s="432"/>
      <c r="G464" s="432"/>
      <c r="H464" s="432"/>
      <c r="I464" s="432"/>
      <c r="J464" s="432"/>
      <c r="K464" s="432"/>
      <c r="L464" s="432"/>
      <c r="M464" s="432"/>
      <c r="N464" s="432"/>
      <c r="O464" s="432"/>
      <c r="P464" s="432"/>
      <c r="Q464" s="432"/>
      <c r="R464" s="432"/>
      <c r="S464" s="432"/>
      <c r="T464" s="432"/>
      <c r="U464" s="432"/>
      <c r="V464" s="432"/>
      <c r="W464" s="432"/>
      <c r="X464" s="432"/>
      <c r="Y464" s="432"/>
      <c r="Z464" s="432"/>
      <c r="AA464" s="432"/>
      <c r="AB464" s="432"/>
    </row>
    <row r="465">
      <c r="A465" s="432"/>
      <c r="B465" s="432"/>
      <c r="C465" s="432"/>
      <c r="D465" s="432"/>
      <c r="E465" s="432"/>
      <c r="F465" s="432"/>
      <c r="G465" s="432"/>
      <c r="H465" s="432"/>
      <c r="I465" s="432"/>
      <c r="J465" s="432"/>
      <c r="K465" s="432"/>
      <c r="L465" s="432"/>
      <c r="M465" s="432"/>
      <c r="N465" s="432"/>
      <c r="O465" s="432"/>
      <c r="P465" s="432"/>
      <c r="Q465" s="432"/>
      <c r="R465" s="432"/>
      <c r="S465" s="432"/>
      <c r="T465" s="432"/>
      <c r="U465" s="432"/>
      <c r="V465" s="432"/>
      <c r="W465" s="432"/>
      <c r="X465" s="432"/>
      <c r="Y465" s="432"/>
      <c r="Z465" s="432"/>
      <c r="AA465" s="432"/>
      <c r="AB465" s="432"/>
    </row>
    <row r="466">
      <c r="A466" s="432"/>
      <c r="B466" s="432"/>
      <c r="C466" s="432"/>
      <c r="D466" s="432"/>
      <c r="E466" s="432"/>
      <c r="F466" s="432"/>
      <c r="G466" s="432"/>
      <c r="H466" s="432"/>
      <c r="I466" s="432"/>
      <c r="J466" s="432"/>
      <c r="K466" s="432"/>
      <c r="L466" s="432"/>
      <c r="M466" s="432"/>
      <c r="N466" s="432"/>
      <c r="O466" s="432"/>
      <c r="P466" s="432"/>
      <c r="Q466" s="432"/>
      <c r="R466" s="432"/>
      <c r="S466" s="432"/>
      <c r="T466" s="432"/>
      <c r="U466" s="432"/>
      <c r="V466" s="432"/>
      <c r="W466" s="432"/>
      <c r="X466" s="432"/>
      <c r="Y466" s="432"/>
      <c r="Z466" s="432"/>
      <c r="AA466" s="432"/>
      <c r="AB466" s="432"/>
    </row>
    <row r="467">
      <c r="A467" s="432"/>
      <c r="B467" s="432"/>
      <c r="C467" s="432"/>
      <c r="D467" s="432"/>
      <c r="E467" s="432"/>
      <c r="F467" s="432"/>
      <c r="G467" s="432"/>
      <c r="H467" s="432"/>
      <c r="I467" s="432"/>
      <c r="J467" s="432"/>
      <c r="K467" s="432"/>
      <c r="L467" s="432"/>
      <c r="M467" s="432"/>
      <c r="N467" s="432"/>
      <c r="O467" s="432"/>
      <c r="P467" s="432"/>
      <c r="Q467" s="432"/>
      <c r="R467" s="432"/>
      <c r="S467" s="432"/>
      <c r="T467" s="432"/>
      <c r="U467" s="432"/>
      <c r="V467" s="432"/>
      <c r="W467" s="432"/>
      <c r="X467" s="432"/>
      <c r="Y467" s="432"/>
      <c r="Z467" s="432"/>
      <c r="AA467" s="432"/>
      <c r="AB467" s="432"/>
    </row>
    <row r="468">
      <c r="A468" s="432"/>
      <c r="B468" s="432"/>
      <c r="C468" s="432"/>
      <c r="D468" s="432"/>
      <c r="E468" s="432"/>
      <c r="F468" s="432"/>
      <c r="G468" s="432"/>
      <c r="H468" s="432"/>
      <c r="I468" s="432"/>
      <c r="J468" s="432"/>
      <c r="K468" s="432"/>
      <c r="L468" s="432"/>
      <c r="M468" s="432"/>
      <c r="N468" s="432"/>
      <c r="O468" s="432"/>
      <c r="P468" s="432"/>
      <c r="Q468" s="432"/>
      <c r="R468" s="432"/>
      <c r="S468" s="432"/>
      <c r="T468" s="432"/>
      <c r="U468" s="432"/>
      <c r="V468" s="432"/>
      <c r="W468" s="432"/>
      <c r="X468" s="432"/>
      <c r="Y468" s="432"/>
      <c r="Z468" s="432"/>
      <c r="AA468" s="432"/>
      <c r="AB468" s="432"/>
    </row>
    <row r="469">
      <c r="A469" s="432"/>
      <c r="B469" s="432"/>
      <c r="C469" s="432"/>
      <c r="D469" s="432"/>
      <c r="E469" s="432"/>
      <c r="F469" s="432"/>
      <c r="G469" s="432"/>
      <c r="H469" s="432"/>
      <c r="I469" s="432"/>
      <c r="J469" s="432"/>
      <c r="K469" s="432"/>
      <c r="L469" s="432"/>
      <c r="M469" s="432"/>
      <c r="N469" s="432"/>
      <c r="O469" s="432"/>
      <c r="P469" s="432"/>
      <c r="Q469" s="432"/>
      <c r="R469" s="432"/>
      <c r="S469" s="432"/>
      <c r="T469" s="432"/>
      <c r="U469" s="432"/>
      <c r="V469" s="432"/>
      <c r="W469" s="432"/>
      <c r="X469" s="432"/>
      <c r="Y469" s="432"/>
      <c r="Z469" s="432"/>
      <c r="AA469" s="432"/>
      <c r="AB469" s="432"/>
    </row>
    <row r="470">
      <c r="A470" s="432"/>
      <c r="B470" s="432"/>
      <c r="C470" s="432"/>
      <c r="D470" s="432"/>
      <c r="E470" s="432"/>
      <c r="F470" s="432"/>
      <c r="G470" s="432"/>
      <c r="H470" s="432"/>
      <c r="I470" s="432"/>
      <c r="J470" s="432"/>
      <c r="K470" s="432"/>
      <c r="L470" s="432"/>
      <c r="M470" s="432"/>
      <c r="N470" s="432"/>
      <c r="O470" s="432"/>
      <c r="P470" s="432"/>
      <c r="Q470" s="432"/>
      <c r="R470" s="432"/>
      <c r="S470" s="432"/>
      <c r="T470" s="432"/>
      <c r="U470" s="432"/>
      <c r="V470" s="432"/>
      <c r="W470" s="432"/>
      <c r="X470" s="432"/>
      <c r="Y470" s="432"/>
      <c r="Z470" s="432"/>
      <c r="AA470" s="432"/>
      <c r="AB470" s="432"/>
    </row>
    <row r="471">
      <c r="A471" s="432"/>
      <c r="B471" s="432"/>
      <c r="C471" s="432"/>
      <c r="D471" s="432"/>
      <c r="E471" s="432"/>
      <c r="F471" s="432"/>
      <c r="G471" s="432"/>
      <c r="H471" s="432"/>
      <c r="I471" s="432"/>
      <c r="J471" s="432"/>
      <c r="K471" s="432"/>
      <c r="L471" s="432"/>
      <c r="M471" s="432"/>
      <c r="N471" s="432"/>
      <c r="O471" s="432"/>
      <c r="P471" s="432"/>
      <c r="Q471" s="432"/>
      <c r="R471" s="432"/>
      <c r="S471" s="432"/>
      <c r="T471" s="432"/>
      <c r="U471" s="432"/>
      <c r="V471" s="432"/>
      <c r="W471" s="432"/>
      <c r="X471" s="432"/>
      <c r="Y471" s="432"/>
      <c r="Z471" s="432"/>
      <c r="AA471" s="432"/>
      <c r="AB471" s="432"/>
    </row>
    <row r="472">
      <c r="A472" s="432"/>
      <c r="B472" s="432"/>
      <c r="C472" s="432"/>
      <c r="D472" s="432"/>
      <c r="E472" s="432"/>
      <c r="F472" s="432"/>
      <c r="G472" s="432"/>
      <c r="H472" s="432"/>
      <c r="I472" s="432"/>
      <c r="J472" s="432"/>
      <c r="K472" s="432"/>
      <c r="L472" s="432"/>
      <c r="M472" s="432"/>
      <c r="N472" s="432"/>
      <c r="O472" s="432"/>
      <c r="P472" s="432"/>
      <c r="Q472" s="432"/>
      <c r="R472" s="432"/>
      <c r="S472" s="432"/>
      <c r="T472" s="432"/>
      <c r="U472" s="432"/>
      <c r="V472" s="432"/>
      <c r="W472" s="432"/>
      <c r="X472" s="432"/>
      <c r="Y472" s="432"/>
      <c r="Z472" s="432"/>
      <c r="AA472" s="432"/>
      <c r="AB472" s="432"/>
    </row>
    <row r="473">
      <c r="A473" s="432"/>
      <c r="B473" s="432"/>
      <c r="C473" s="432"/>
      <c r="D473" s="432"/>
      <c r="E473" s="432"/>
      <c r="F473" s="432"/>
      <c r="G473" s="432"/>
      <c r="H473" s="432"/>
      <c r="I473" s="432"/>
      <c r="J473" s="432"/>
      <c r="K473" s="432"/>
      <c r="L473" s="432"/>
      <c r="M473" s="432"/>
      <c r="N473" s="432"/>
      <c r="O473" s="432"/>
      <c r="P473" s="432"/>
      <c r="Q473" s="432"/>
      <c r="R473" s="432"/>
      <c r="S473" s="432"/>
      <c r="T473" s="432"/>
      <c r="U473" s="432"/>
      <c r="V473" s="432"/>
      <c r="W473" s="432"/>
      <c r="X473" s="432"/>
      <c r="Y473" s="432"/>
      <c r="Z473" s="432"/>
      <c r="AA473" s="432"/>
      <c r="AB473" s="432"/>
    </row>
    <row r="474">
      <c r="A474" s="432"/>
      <c r="B474" s="432"/>
      <c r="C474" s="432"/>
      <c r="D474" s="432"/>
      <c r="E474" s="432"/>
      <c r="F474" s="432"/>
      <c r="G474" s="432"/>
      <c r="H474" s="432"/>
      <c r="I474" s="432"/>
      <c r="J474" s="432"/>
      <c r="K474" s="432"/>
      <c r="L474" s="432"/>
      <c r="M474" s="432"/>
      <c r="N474" s="432"/>
      <c r="O474" s="432"/>
      <c r="P474" s="432"/>
      <c r="Q474" s="432"/>
      <c r="R474" s="432"/>
      <c r="S474" s="432"/>
      <c r="T474" s="432"/>
      <c r="U474" s="432"/>
      <c r="V474" s="432"/>
      <c r="W474" s="432"/>
      <c r="X474" s="432"/>
      <c r="Y474" s="432"/>
      <c r="Z474" s="432"/>
      <c r="AA474" s="432"/>
      <c r="AB474" s="432"/>
    </row>
    <row r="475">
      <c r="A475" s="432"/>
      <c r="B475" s="432"/>
      <c r="C475" s="432"/>
      <c r="D475" s="432"/>
      <c r="E475" s="432"/>
      <c r="F475" s="432"/>
      <c r="G475" s="432"/>
      <c r="H475" s="432"/>
      <c r="I475" s="432"/>
      <c r="J475" s="432"/>
      <c r="K475" s="432"/>
      <c r="L475" s="432"/>
      <c r="M475" s="432"/>
      <c r="N475" s="432"/>
      <c r="O475" s="432"/>
      <c r="P475" s="432"/>
      <c r="Q475" s="432"/>
      <c r="R475" s="432"/>
      <c r="S475" s="432"/>
      <c r="T475" s="432"/>
      <c r="U475" s="432"/>
      <c r="V475" s="432"/>
      <c r="W475" s="432"/>
      <c r="X475" s="432"/>
      <c r="Y475" s="432"/>
      <c r="Z475" s="432"/>
      <c r="AA475" s="432"/>
      <c r="AB475" s="432"/>
    </row>
    <row r="476">
      <c r="A476" s="432"/>
      <c r="B476" s="432"/>
      <c r="C476" s="432"/>
      <c r="D476" s="432"/>
      <c r="E476" s="432"/>
      <c r="F476" s="432"/>
      <c r="G476" s="432"/>
      <c r="H476" s="432"/>
      <c r="I476" s="432"/>
      <c r="J476" s="432"/>
      <c r="K476" s="432"/>
      <c r="L476" s="432"/>
      <c r="M476" s="432"/>
      <c r="N476" s="432"/>
      <c r="O476" s="432"/>
      <c r="P476" s="432"/>
      <c r="Q476" s="432"/>
      <c r="R476" s="432"/>
      <c r="S476" s="432"/>
      <c r="T476" s="432"/>
      <c r="U476" s="432"/>
      <c r="V476" s="432"/>
      <c r="W476" s="432"/>
      <c r="X476" s="432"/>
      <c r="Y476" s="432"/>
      <c r="Z476" s="432"/>
      <c r="AA476" s="432"/>
      <c r="AB476" s="432"/>
    </row>
    <row r="477">
      <c r="A477" s="432"/>
      <c r="B477" s="432"/>
      <c r="C477" s="432"/>
      <c r="D477" s="432"/>
      <c r="E477" s="432"/>
      <c r="F477" s="432"/>
      <c r="G477" s="432"/>
      <c r="H477" s="432"/>
      <c r="I477" s="432"/>
      <c r="J477" s="432"/>
      <c r="K477" s="432"/>
      <c r="L477" s="432"/>
      <c r="M477" s="432"/>
      <c r="N477" s="432"/>
      <c r="O477" s="432"/>
      <c r="P477" s="432"/>
      <c r="Q477" s="432"/>
      <c r="R477" s="432"/>
      <c r="S477" s="432"/>
      <c r="T477" s="432"/>
      <c r="U477" s="432"/>
      <c r="V477" s="432"/>
      <c r="W477" s="432"/>
      <c r="X477" s="432"/>
      <c r="Y477" s="432"/>
      <c r="Z477" s="432"/>
      <c r="AA477" s="432"/>
      <c r="AB477" s="432"/>
    </row>
    <row r="478">
      <c r="A478" s="432"/>
      <c r="B478" s="432"/>
      <c r="C478" s="432"/>
      <c r="D478" s="432"/>
      <c r="E478" s="432"/>
      <c r="F478" s="432"/>
      <c r="G478" s="432"/>
      <c r="H478" s="432"/>
      <c r="I478" s="432"/>
      <c r="J478" s="432"/>
      <c r="K478" s="432"/>
      <c r="L478" s="432"/>
      <c r="M478" s="432"/>
      <c r="N478" s="432"/>
      <c r="O478" s="432"/>
      <c r="P478" s="432"/>
      <c r="Q478" s="432"/>
      <c r="R478" s="432"/>
      <c r="S478" s="432"/>
      <c r="T478" s="432"/>
      <c r="U478" s="432"/>
      <c r="V478" s="432"/>
      <c r="W478" s="432"/>
      <c r="X478" s="432"/>
      <c r="Y478" s="432"/>
      <c r="Z478" s="432"/>
      <c r="AA478" s="432"/>
      <c r="AB478" s="432"/>
    </row>
    <row r="479">
      <c r="A479" s="432"/>
      <c r="B479" s="432"/>
      <c r="C479" s="432"/>
      <c r="D479" s="432"/>
      <c r="E479" s="432"/>
      <c r="F479" s="432"/>
      <c r="G479" s="432"/>
      <c r="H479" s="432"/>
      <c r="I479" s="432"/>
      <c r="J479" s="432"/>
      <c r="K479" s="432"/>
      <c r="L479" s="432"/>
      <c r="M479" s="432"/>
      <c r="N479" s="432"/>
      <c r="O479" s="432"/>
      <c r="P479" s="432"/>
      <c r="Q479" s="432"/>
      <c r="R479" s="432"/>
      <c r="S479" s="432"/>
      <c r="T479" s="432"/>
      <c r="U479" s="432"/>
      <c r="V479" s="432"/>
      <c r="W479" s="432"/>
      <c r="X479" s="432"/>
      <c r="Y479" s="432"/>
      <c r="Z479" s="432"/>
      <c r="AA479" s="432"/>
      <c r="AB479" s="432"/>
    </row>
    <row r="480">
      <c r="A480" s="432"/>
      <c r="B480" s="432"/>
      <c r="C480" s="432"/>
      <c r="D480" s="432"/>
      <c r="E480" s="432"/>
      <c r="F480" s="432"/>
      <c r="G480" s="432"/>
      <c r="H480" s="432"/>
      <c r="I480" s="432"/>
      <c r="J480" s="432"/>
      <c r="K480" s="432"/>
      <c r="L480" s="432"/>
      <c r="M480" s="432"/>
      <c r="N480" s="432"/>
      <c r="O480" s="432"/>
      <c r="P480" s="432"/>
      <c r="Q480" s="432"/>
      <c r="R480" s="432"/>
      <c r="S480" s="432"/>
      <c r="T480" s="432"/>
      <c r="U480" s="432"/>
      <c r="V480" s="432"/>
      <c r="W480" s="432"/>
      <c r="X480" s="432"/>
      <c r="Y480" s="432"/>
      <c r="Z480" s="432"/>
      <c r="AA480" s="432"/>
      <c r="AB480" s="432"/>
    </row>
    <row r="481">
      <c r="A481" s="432"/>
      <c r="B481" s="432"/>
      <c r="C481" s="432"/>
      <c r="D481" s="432"/>
      <c r="E481" s="432"/>
      <c r="F481" s="432"/>
      <c r="G481" s="432"/>
      <c r="H481" s="432"/>
      <c r="I481" s="432"/>
      <c r="J481" s="432"/>
      <c r="K481" s="432"/>
      <c r="L481" s="432"/>
      <c r="M481" s="432"/>
      <c r="N481" s="432"/>
      <c r="O481" s="432"/>
      <c r="P481" s="432"/>
      <c r="Q481" s="432"/>
      <c r="R481" s="432"/>
      <c r="S481" s="432"/>
      <c r="T481" s="432"/>
      <c r="U481" s="432"/>
      <c r="V481" s="432"/>
      <c r="W481" s="432"/>
      <c r="X481" s="432"/>
      <c r="Y481" s="432"/>
      <c r="Z481" s="432"/>
      <c r="AA481" s="432"/>
      <c r="AB481" s="432"/>
    </row>
    <row r="482">
      <c r="A482" s="432"/>
      <c r="B482" s="432"/>
      <c r="C482" s="432"/>
      <c r="D482" s="432"/>
      <c r="E482" s="432"/>
      <c r="F482" s="432"/>
      <c r="G482" s="432"/>
      <c r="H482" s="432"/>
      <c r="I482" s="432"/>
      <c r="J482" s="432"/>
      <c r="K482" s="432"/>
      <c r="L482" s="432"/>
      <c r="M482" s="432"/>
      <c r="N482" s="432"/>
      <c r="O482" s="432"/>
      <c r="P482" s="432"/>
      <c r="Q482" s="432"/>
      <c r="R482" s="432"/>
      <c r="S482" s="432"/>
      <c r="T482" s="432"/>
      <c r="U482" s="432"/>
      <c r="V482" s="432"/>
      <c r="W482" s="432"/>
      <c r="X482" s="432"/>
      <c r="Y482" s="432"/>
      <c r="Z482" s="432"/>
      <c r="AA482" s="432"/>
      <c r="AB482" s="432"/>
    </row>
    <row r="483">
      <c r="A483" s="432"/>
      <c r="B483" s="432"/>
      <c r="C483" s="432"/>
      <c r="D483" s="432"/>
      <c r="E483" s="432"/>
      <c r="F483" s="432"/>
      <c r="G483" s="432"/>
      <c r="H483" s="432"/>
      <c r="I483" s="432"/>
      <c r="J483" s="432"/>
      <c r="K483" s="432"/>
      <c r="L483" s="432"/>
      <c r="M483" s="432"/>
      <c r="N483" s="432"/>
      <c r="O483" s="432"/>
      <c r="P483" s="432"/>
      <c r="Q483" s="432"/>
      <c r="R483" s="432"/>
      <c r="S483" s="432"/>
      <c r="T483" s="432"/>
      <c r="U483" s="432"/>
      <c r="V483" s="432"/>
      <c r="W483" s="432"/>
      <c r="X483" s="432"/>
      <c r="Y483" s="432"/>
      <c r="Z483" s="432"/>
      <c r="AA483" s="432"/>
      <c r="AB483" s="432"/>
    </row>
    <row r="484">
      <c r="A484" s="432"/>
      <c r="B484" s="432"/>
      <c r="C484" s="432"/>
      <c r="D484" s="432"/>
      <c r="E484" s="432"/>
      <c r="F484" s="432"/>
      <c r="G484" s="432"/>
      <c r="H484" s="432"/>
      <c r="I484" s="432"/>
      <c r="J484" s="432"/>
      <c r="K484" s="432"/>
      <c r="L484" s="432"/>
      <c r="M484" s="432"/>
      <c r="N484" s="432"/>
      <c r="O484" s="432"/>
      <c r="P484" s="432"/>
      <c r="Q484" s="432"/>
      <c r="R484" s="432"/>
      <c r="S484" s="432"/>
      <c r="T484" s="432"/>
      <c r="U484" s="432"/>
      <c r="V484" s="432"/>
      <c r="W484" s="432"/>
      <c r="X484" s="432"/>
      <c r="Y484" s="432"/>
      <c r="Z484" s="432"/>
      <c r="AA484" s="432"/>
      <c r="AB484" s="432"/>
    </row>
    <row r="485">
      <c r="A485" s="432"/>
      <c r="B485" s="432"/>
      <c r="C485" s="432"/>
      <c r="D485" s="432"/>
      <c r="E485" s="432"/>
      <c r="F485" s="432"/>
      <c r="G485" s="432"/>
      <c r="H485" s="432"/>
      <c r="I485" s="432"/>
      <c r="J485" s="432"/>
      <c r="K485" s="432"/>
      <c r="L485" s="432"/>
      <c r="M485" s="432"/>
      <c r="N485" s="432"/>
      <c r="O485" s="432"/>
      <c r="P485" s="432"/>
      <c r="Q485" s="432"/>
      <c r="R485" s="432"/>
      <c r="S485" s="432"/>
      <c r="T485" s="432"/>
      <c r="U485" s="432"/>
      <c r="V485" s="432"/>
      <c r="W485" s="432"/>
      <c r="X485" s="432"/>
      <c r="Y485" s="432"/>
      <c r="Z485" s="432"/>
      <c r="AA485" s="432"/>
      <c r="AB485" s="432"/>
    </row>
    <row r="486">
      <c r="A486" s="432"/>
      <c r="B486" s="432"/>
      <c r="C486" s="432"/>
      <c r="D486" s="432"/>
      <c r="E486" s="432"/>
      <c r="F486" s="432"/>
      <c r="G486" s="432"/>
      <c r="H486" s="432"/>
      <c r="I486" s="432"/>
      <c r="J486" s="432"/>
      <c r="K486" s="432"/>
      <c r="L486" s="432"/>
      <c r="M486" s="432"/>
      <c r="N486" s="432"/>
      <c r="O486" s="432"/>
      <c r="P486" s="432"/>
      <c r="Q486" s="432"/>
      <c r="R486" s="432"/>
      <c r="S486" s="432"/>
      <c r="T486" s="432"/>
      <c r="U486" s="432"/>
      <c r="V486" s="432"/>
      <c r="W486" s="432"/>
      <c r="X486" s="432"/>
      <c r="Y486" s="432"/>
      <c r="Z486" s="432"/>
      <c r="AA486" s="432"/>
      <c r="AB486" s="432"/>
    </row>
    <row r="487">
      <c r="A487" s="432"/>
      <c r="B487" s="432"/>
      <c r="C487" s="432"/>
      <c r="D487" s="432"/>
      <c r="E487" s="432"/>
      <c r="F487" s="432"/>
      <c r="G487" s="432"/>
      <c r="H487" s="432"/>
      <c r="I487" s="432"/>
      <c r="J487" s="432"/>
      <c r="K487" s="432"/>
      <c r="L487" s="432"/>
      <c r="M487" s="432"/>
      <c r="N487" s="432"/>
      <c r="O487" s="432"/>
      <c r="P487" s="432"/>
      <c r="Q487" s="432"/>
      <c r="R487" s="432"/>
      <c r="S487" s="432"/>
      <c r="T487" s="432"/>
      <c r="U487" s="432"/>
      <c r="V487" s="432"/>
      <c r="W487" s="432"/>
      <c r="X487" s="432"/>
      <c r="Y487" s="432"/>
      <c r="Z487" s="432"/>
      <c r="AA487" s="432"/>
      <c r="AB487" s="432"/>
    </row>
    <row r="488">
      <c r="A488" s="432"/>
      <c r="B488" s="432"/>
      <c r="C488" s="432"/>
      <c r="D488" s="432"/>
      <c r="E488" s="432"/>
      <c r="F488" s="432"/>
      <c r="G488" s="432"/>
      <c r="H488" s="432"/>
      <c r="I488" s="432"/>
      <c r="J488" s="432"/>
      <c r="K488" s="432"/>
      <c r="L488" s="432"/>
      <c r="M488" s="432"/>
      <c r="N488" s="432"/>
      <c r="O488" s="432"/>
      <c r="P488" s="432"/>
      <c r="Q488" s="432"/>
      <c r="R488" s="432"/>
      <c r="S488" s="432"/>
      <c r="T488" s="432"/>
      <c r="U488" s="432"/>
      <c r="V488" s="432"/>
      <c r="W488" s="432"/>
      <c r="X488" s="432"/>
      <c r="Y488" s="432"/>
      <c r="Z488" s="432"/>
      <c r="AA488" s="432"/>
      <c r="AB488" s="432"/>
    </row>
    <row r="489">
      <c r="A489" s="432"/>
      <c r="B489" s="432"/>
      <c r="C489" s="432"/>
      <c r="D489" s="432"/>
      <c r="E489" s="432"/>
      <c r="F489" s="432"/>
      <c r="G489" s="432"/>
      <c r="H489" s="432"/>
      <c r="I489" s="432"/>
      <c r="J489" s="432"/>
      <c r="K489" s="432"/>
      <c r="L489" s="432"/>
      <c r="M489" s="432"/>
      <c r="N489" s="432"/>
      <c r="O489" s="432"/>
      <c r="P489" s="432"/>
      <c r="Q489" s="432"/>
      <c r="R489" s="432"/>
      <c r="S489" s="432"/>
      <c r="T489" s="432"/>
      <c r="U489" s="432"/>
      <c r="V489" s="432"/>
      <c r="W489" s="432"/>
      <c r="X489" s="432"/>
      <c r="Y489" s="432"/>
      <c r="Z489" s="432"/>
      <c r="AA489" s="432"/>
      <c r="AB489" s="432"/>
    </row>
    <row r="490">
      <c r="A490" s="432"/>
      <c r="B490" s="432"/>
      <c r="C490" s="432"/>
      <c r="D490" s="432"/>
      <c r="E490" s="432"/>
      <c r="F490" s="432"/>
      <c r="G490" s="432"/>
      <c r="H490" s="432"/>
      <c r="I490" s="432"/>
      <c r="J490" s="432"/>
      <c r="K490" s="432"/>
      <c r="L490" s="432"/>
      <c r="M490" s="432"/>
      <c r="N490" s="432"/>
      <c r="O490" s="432"/>
      <c r="P490" s="432"/>
      <c r="Q490" s="432"/>
      <c r="R490" s="432"/>
      <c r="S490" s="432"/>
      <c r="T490" s="432"/>
      <c r="U490" s="432"/>
      <c r="V490" s="432"/>
      <c r="W490" s="432"/>
      <c r="X490" s="432"/>
      <c r="Y490" s="432"/>
      <c r="Z490" s="432"/>
      <c r="AA490" s="432"/>
      <c r="AB490" s="432"/>
    </row>
    <row r="491">
      <c r="A491" s="432"/>
      <c r="B491" s="432"/>
      <c r="C491" s="432"/>
      <c r="D491" s="432"/>
      <c r="E491" s="432"/>
      <c r="F491" s="432"/>
      <c r="G491" s="432"/>
      <c r="H491" s="432"/>
      <c r="I491" s="432"/>
      <c r="J491" s="432"/>
      <c r="K491" s="432"/>
      <c r="L491" s="432"/>
      <c r="M491" s="432"/>
      <c r="N491" s="432"/>
      <c r="O491" s="432"/>
      <c r="P491" s="432"/>
      <c r="Q491" s="432"/>
      <c r="R491" s="432"/>
      <c r="S491" s="432"/>
      <c r="T491" s="432"/>
      <c r="U491" s="432"/>
      <c r="V491" s="432"/>
      <c r="W491" s="432"/>
      <c r="X491" s="432"/>
      <c r="Y491" s="432"/>
      <c r="Z491" s="432"/>
      <c r="AA491" s="432"/>
      <c r="AB491" s="432"/>
    </row>
    <row r="492">
      <c r="A492" s="432"/>
      <c r="B492" s="432"/>
      <c r="C492" s="432"/>
      <c r="D492" s="432"/>
      <c r="E492" s="432"/>
      <c r="F492" s="432"/>
      <c r="G492" s="432"/>
      <c r="H492" s="432"/>
      <c r="I492" s="432"/>
      <c r="J492" s="432"/>
      <c r="K492" s="432"/>
      <c r="L492" s="432"/>
      <c r="M492" s="432"/>
      <c r="N492" s="432"/>
      <c r="O492" s="432"/>
      <c r="P492" s="432"/>
      <c r="Q492" s="432"/>
      <c r="R492" s="432"/>
      <c r="S492" s="432"/>
      <c r="T492" s="432"/>
      <c r="U492" s="432"/>
      <c r="V492" s="432"/>
      <c r="W492" s="432"/>
      <c r="X492" s="432"/>
      <c r="Y492" s="432"/>
      <c r="Z492" s="432"/>
      <c r="AA492" s="432"/>
      <c r="AB492" s="432"/>
    </row>
    <row r="493">
      <c r="A493" s="432"/>
      <c r="B493" s="432"/>
      <c r="C493" s="432"/>
      <c r="D493" s="432"/>
      <c r="E493" s="432"/>
      <c r="F493" s="432"/>
      <c r="G493" s="432"/>
      <c r="H493" s="432"/>
      <c r="I493" s="432"/>
      <c r="J493" s="432"/>
      <c r="K493" s="432"/>
      <c r="L493" s="432"/>
      <c r="M493" s="432"/>
      <c r="N493" s="432"/>
      <c r="O493" s="432"/>
      <c r="P493" s="432"/>
      <c r="Q493" s="432"/>
      <c r="R493" s="432"/>
      <c r="S493" s="432"/>
      <c r="T493" s="432"/>
      <c r="U493" s="432"/>
      <c r="V493" s="432"/>
      <c r="W493" s="432"/>
      <c r="X493" s="432"/>
      <c r="Y493" s="432"/>
      <c r="Z493" s="432"/>
      <c r="AA493" s="432"/>
      <c r="AB493" s="432"/>
    </row>
    <row r="494">
      <c r="A494" s="432"/>
      <c r="B494" s="432"/>
      <c r="C494" s="432"/>
      <c r="D494" s="432"/>
      <c r="E494" s="432"/>
      <c r="F494" s="432"/>
      <c r="G494" s="432"/>
      <c r="H494" s="432"/>
      <c r="I494" s="432"/>
      <c r="J494" s="432"/>
      <c r="K494" s="432"/>
      <c r="L494" s="432"/>
      <c r="M494" s="432"/>
      <c r="N494" s="432"/>
      <c r="O494" s="432"/>
      <c r="P494" s="432"/>
      <c r="Q494" s="432"/>
      <c r="R494" s="432"/>
      <c r="S494" s="432"/>
      <c r="T494" s="432"/>
      <c r="U494" s="432"/>
      <c r="V494" s="432"/>
      <c r="W494" s="432"/>
      <c r="X494" s="432"/>
      <c r="Y494" s="432"/>
      <c r="Z494" s="432"/>
      <c r="AA494" s="432"/>
      <c r="AB494" s="432"/>
    </row>
    <row r="495">
      <c r="A495" s="432"/>
      <c r="B495" s="432"/>
      <c r="C495" s="432"/>
      <c r="D495" s="432"/>
      <c r="E495" s="432"/>
      <c r="F495" s="432"/>
      <c r="G495" s="432"/>
      <c r="H495" s="432"/>
      <c r="I495" s="432"/>
      <c r="J495" s="432"/>
      <c r="K495" s="432"/>
      <c r="L495" s="432"/>
      <c r="M495" s="432"/>
      <c r="N495" s="432"/>
      <c r="O495" s="432"/>
      <c r="P495" s="432"/>
      <c r="Q495" s="432"/>
      <c r="R495" s="432"/>
      <c r="S495" s="432"/>
      <c r="T495" s="432"/>
      <c r="U495" s="432"/>
      <c r="V495" s="432"/>
      <c r="W495" s="432"/>
      <c r="X495" s="432"/>
      <c r="Y495" s="432"/>
      <c r="Z495" s="432"/>
      <c r="AA495" s="432"/>
      <c r="AB495" s="432"/>
    </row>
    <row r="496">
      <c r="A496" s="432"/>
      <c r="B496" s="432"/>
      <c r="C496" s="432"/>
      <c r="D496" s="432"/>
      <c r="E496" s="432"/>
      <c r="F496" s="432"/>
      <c r="G496" s="432"/>
      <c r="H496" s="432"/>
      <c r="I496" s="432"/>
      <c r="J496" s="432"/>
      <c r="K496" s="432"/>
      <c r="L496" s="432"/>
      <c r="M496" s="432"/>
      <c r="N496" s="432"/>
      <c r="O496" s="432"/>
      <c r="P496" s="432"/>
      <c r="Q496" s="432"/>
      <c r="R496" s="432"/>
      <c r="S496" s="432"/>
      <c r="T496" s="432"/>
      <c r="U496" s="432"/>
      <c r="V496" s="432"/>
      <c r="W496" s="432"/>
      <c r="X496" s="432"/>
      <c r="Y496" s="432"/>
      <c r="Z496" s="432"/>
      <c r="AA496" s="432"/>
      <c r="AB496" s="432"/>
    </row>
    <row r="497">
      <c r="A497" s="432"/>
      <c r="B497" s="432"/>
      <c r="C497" s="432"/>
      <c r="D497" s="432"/>
      <c r="E497" s="432"/>
      <c r="F497" s="432"/>
      <c r="G497" s="432"/>
      <c r="H497" s="432"/>
      <c r="I497" s="432"/>
      <c r="J497" s="432"/>
      <c r="K497" s="432"/>
      <c r="L497" s="432"/>
      <c r="M497" s="432"/>
      <c r="N497" s="432"/>
      <c r="O497" s="432"/>
      <c r="P497" s="432"/>
      <c r="Q497" s="432"/>
      <c r="R497" s="432"/>
      <c r="S497" s="432"/>
      <c r="T497" s="432"/>
      <c r="U497" s="432"/>
      <c r="V497" s="432"/>
      <c r="W497" s="432"/>
      <c r="X497" s="432"/>
      <c r="Y497" s="432"/>
      <c r="Z497" s="432"/>
      <c r="AA497" s="432"/>
      <c r="AB497" s="432"/>
    </row>
    <row r="498">
      <c r="A498" s="432"/>
      <c r="B498" s="432"/>
      <c r="C498" s="432"/>
      <c r="D498" s="432"/>
      <c r="E498" s="432"/>
      <c r="F498" s="432"/>
      <c r="G498" s="432"/>
      <c r="H498" s="432"/>
      <c r="I498" s="432"/>
      <c r="J498" s="432"/>
      <c r="K498" s="432"/>
      <c r="L498" s="432"/>
      <c r="M498" s="432"/>
      <c r="N498" s="432"/>
      <c r="O498" s="432"/>
      <c r="P498" s="432"/>
      <c r="Q498" s="432"/>
      <c r="R498" s="432"/>
      <c r="S498" s="432"/>
      <c r="T498" s="432"/>
      <c r="U498" s="432"/>
      <c r="V498" s="432"/>
      <c r="W498" s="432"/>
      <c r="X498" s="432"/>
      <c r="Y498" s="432"/>
      <c r="Z498" s="432"/>
      <c r="AA498" s="432"/>
      <c r="AB498" s="432"/>
    </row>
    <row r="499">
      <c r="A499" s="432"/>
      <c r="B499" s="432"/>
      <c r="C499" s="432"/>
      <c r="D499" s="432"/>
      <c r="E499" s="432"/>
      <c r="F499" s="432"/>
      <c r="G499" s="432"/>
      <c r="H499" s="432"/>
      <c r="I499" s="432"/>
      <c r="J499" s="432"/>
      <c r="K499" s="432"/>
      <c r="L499" s="432"/>
      <c r="M499" s="432"/>
      <c r="N499" s="432"/>
      <c r="O499" s="432"/>
      <c r="P499" s="432"/>
      <c r="Q499" s="432"/>
      <c r="R499" s="432"/>
      <c r="S499" s="432"/>
      <c r="T499" s="432"/>
      <c r="U499" s="432"/>
      <c r="V499" s="432"/>
      <c r="W499" s="432"/>
      <c r="X499" s="432"/>
      <c r="Y499" s="432"/>
      <c r="Z499" s="432"/>
      <c r="AA499" s="432"/>
      <c r="AB499" s="432"/>
    </row>
    <row r="500">
      <c r="A500" s="432"/>
      <c r="B500" s="432"/>
      <c r="C500" s="432"/>
      <c r="D500" s="432"/>
      <c r="E500" s="432"/>
      <c r="F500" s="432"/>
      <c r="G500" s="432"/>
      <c r="H500" s="432"/>
      <c r="I500" s="432"/>
      <c r="J500" s="432"/>
      <c r="K500" s="432"/>
      <c r="L500" s="432"/>
      <c r="M500" s="432"/>
      <c r="N500" s="432"/>
      <c r="O500" s="432"/>
      <c r="P500" s="432"/>
      <c r="Q500" s="432"/>
      <c r="R500" s="432"/>
      <c r="S500" s="432"/>
      <c r="T500" s="432"/>
      <c r="U500" s="432"/>
      <c r="V500" s="432"/>
      <c r="W500" s="432"/>
      <c r="X500" s="432"/>
      <c r="Y500" s="432"/>
      <c r="Z500" s="432"/>
      <c r="AA500" s="432"/>
      <c r="AB500" s="432"/>
    </row>
    <row r="501">
      <c r="A501" s="432"/>
      <c r="B501" s="432"/>
      <c r="C501" s="432"/>
      <c r="D501" s="432"/>
      <c r="E501" s="432"/>
      <c r="F501" s="432"/>
      <c r="G501" s="432"/>
      <c r="H501" s="432"/>
      <c r="I501" s="432"/>
      <c r="J501" s="432"/>
      <c r="K501" s="432"/>
      <c r="L501" s="432"/>
      <c r="M501" s="432"/>
      <c r="N501" s="432"/>
      <c r="O501" s="432"/>
      <c r="P501" s="432"/>
      <c r="Q501" s="432"/>
      <c r="R501" s="432"/>
      <c r="S501" s="432"/>
      <c r="T501" s="432"/>
      <c r="U501" s="432"/>
      <c r="V501" s="432"/>
      <c r="W501" s="432"/>
      <c r="X501" s="432"/>
      <c r="Y501" s="432"/>
      <c r="Z501" s="432"/>
      <c r="AA501" s="432"/>
      <c r="AB501" s="432"/>
    </row>
    <row r="502">
      <c r="A502" s="432"/>
      <c r="B502" s="432"/>
      <c r="C502" s="432"/>
      <c r="D502" s="432"/>
      <c r="E502" s="432"/>
      <c r="F502" s="432"/>
      <c r="G502" s="432"/>
      <c r="H502" s="432"/>
      <c r="I502" s="432"/>
      <c r="J502" s="432"/>
      <c r="K502" s="432"/>
      <c r="L502" s="432"/>
      <c r="M502" s="432"/>
      <c r="N502" s="432"/>
      <c r="O502" s="432"/>
      <c r="P502" s="432"/>
      <c r="Q502" s="432"/>
      <c r="R502" s="432"/>
      <c r="S502" s="432"/>
      <c r="T502" s="432"/>
      <c r="U502" s="432"/>
      <c r="V502" s="432"/>
      <c r="W502" s="432"/>
      <c r="X502" s="432"/>
      <c r="Y502" s="432"/>
      <c r="Z502" s="432"/>
      <c r="AA502" s="432"/>
      <c r="AB502" s="432"/>
    </row>
    <row r="503">
      <c r="A503" s="432"/>
      <c r="B503" s="432"/>
      <c r="C503" s="432"/>
      <c r="D503" s="432"/>
      <c r="E503" s="432"/>
      <c r="F503" s="432"/>
      <c r="G503" s="432"/>
      <c r="H503" s="432"/>
      <c r="I503" s="432"/>
      <c r="J503" s="432"/>
      <c r="K503" s="432"/>
      <c r="L503" s="432"/>
      <c r="M503" s="432"/>
      <c r="N503" s="432"/>
      <c r="O503" s="432"/>
      <c r="P503" s="432"/>
      <c r="Q503" s="432"/>
      <c r="R503" s="432"/>
      <c r="S503" s="432"/>
      <c r="T503" s="432"/>
      <c r="U503" s="432"/>
      <c r="V503" s="432"/>
      <c r="W503" s="432"/>
      <c r="X503" s="432"/>
      <c r="Y503" s="432"/>
      <c r="Z503" s="432"/>
      <c r="AA503" s="432"/>
      <c r="AB503" s="432"/>
    </row>
    <row r="504">
      <c r="A504" s="432"/>
      <c r="B504" s="432"/>
      <c r="C504" s="432"/>
      <c r="D504" s="432"/>
      <c r="E504" s="432"/>
      <c r="F504" s="432"/>
      <c r="G504" s="432"/>
      <c r="H504" s="432"/>
      <c r="I504" s="432"/>
      <c r="J504" s="432"/>
      <c r="K504" s="432"/>
      <c r="L504" s="432"/>
      <c r="M504" s="432"/>
      <c r="N504" s="432"/>
      <c r="O504" s="432"/>
      <c r="P504" s="432"/>
      <c r="Q504" s="432"/>
      <c r="R504" s="432"/>
      <c r="S504" s="432"/>
      <c r="T504" s="432"/>
      <c r="U504" s="432"/>
      <c r="V504" s="432"/>
      <c r="W504" s="432"/>
      <c r="X504" s="432"/>
      <c r="Y504" s="432"/>
      <c r="Z504" s="432"/>
      <c r="AA504" s="432"/>
      <c r="AB504" s="432"/>
    </row>
    <row r="505">
      <c r="A505" s="432"/>
      <c r="B505" s="432"/>
      <c r="C505" s="432"/>
      <c r="D505" s="432"/>
      <c r="E505" s="432"/>
      <c r="F505" s="432"/>
      <c r="G505" s="432"/>
      <c r="H505" s="432"/>
      <c r="I505" s="432"/>
      <c r="J505" s="432"/>
      <c r="K505" s="432"/>
      <c r="L505" s="432"/>
      <c r="M505" s="432"/>
      <c r="N505" s="432"/>
      <c r="O505" s="432"/>
      <c r="P505" s="432"/>
      <c r="Q505" s="432"/>
      <c r="R505" s="432"/>
      <c r="S505" s="432"/>
      <c r="T505" s="432"/>
      <c r="U505" s="432"/>
      <c r="V505" s="432"/>
      <c r="W505" s="432"/>
      <c r="X505" s="432"/>
      <c r="Y505" s="432"/>
      <c r="Z505" s="432"/>
      <c r="AA505" s="432"/>
      <c r="AB505" s="432"/>
    </row>
    <row r="506">
      <c r="A506" s="432"/>
      <c r="B506" s="432"/>
      <c r="C506" s="432"/>
      <c r="D506" s="432"/>
      <c r="E506" s="432"/>
      <c r="F506" s="432"/>
      <c r="G506" s="432"/>
      <c r="H506" s="432"/>
      <c r="I506" s="432"/>
      <c r="J506" s="432"/>
      <c r="K506" s="432"/>
      <c r="L506" s="432"/>
      <c r="M506" s="432"/>
      <c r="N506" s="432"/>
      <c r="O506" s="432"/>
      <c r="P506" s="432"/>
      <c r="Q506" s="432"/>
      <c r="R506" s="432"/>
      <c r="S506" s="432"/>
      <c r="T506" s="432"/>
      <c r="U506" s="432"/>
      <c r="V506" s="432"/>
      <c r="W506" s="432"/>
      <c r="X506" s="432"/>
      <c r="Y506" s="432"/>
      <c r="Z506" s="432"/>
      <c r="AA506" s="432"/>
      <c r="AB506" s="432"/>
    </row>
    <row r="507">
      <c r="A507" s="432"/>
      <c r="B507" s="432"/>
      <c r="C507" s="432"/>
      <c r="D507" s="432"/>
      <c r="E507" s="432"/>
      <c r="F507" s="432"/>
      <c r="G507" s="432"/>
      <c r="H507" s="432"/>
      <c r="I507" s="432"/>
      <c r="J507" s="432"/>
      <c r="K507" s="432"/>
      <c r="L507" s="432"/>
      <c r="M507" s="432"/>
      <c r="N507" s="432"/>
      <c r="O507" s="432"/>
      <c r="P507" s="432"/>
      <c r="Q507" s="432"/>
      <c r="R507" s="432"/>
      <c r="S507" s="432"/>
      <c r="T507" s="432"/>
      <c r="U507" s="432"/>
      <c r="V507" s="432"/>
      <c r="W507" s="432"/>
      <c r="X507" s="432"/>
      <c r="Y507" s="432"/>
      <c r="Z507" s="432"/>
      <c r="AA507" s="432"/>
      <c r="AB507" s="432"/>
    </row>
    <row r="508">
      <c r="A508" s="432"/>
      <c r="B508" s="432"/>
      <c r="C508" s="432"/>
      <c r="D508" s="432"/>
      <c r="E508" s="432"/>
      <c r="F508" s="432"/>
      <c r="G508" s="432"/>
      <c r="H508" s="432"/>
      <c r="I508" s="432"/>
      <c r="J508" s="432"/>
      <c r="K508" s="432"/>
      <c r="L508" s="432"/>
      <c r="M508" s="432"/>
      <c r="N508" s="432"/>
      <c r="O508" s="432"/>
      <c r="P508" s="432"/>
      <c r="Q508" s="432"/>
      <c r="R508" s="432"/>
      <c r="S508" s="432"/>
      <c r="T508" s="432"/>
      <c r="U508" s="432"/>
      <c r="V508" s="432"/>
      <c r="W508" s="432"/>
      <c r="X508" s="432"/>
      <c r="Y508" s="432"/>
      <c r="Z508" s="432"/>
      <c r="AA508" s="432"/>
      <c r="AB508" s="432"/>
    </row>
    <row r="509">
      <c r="A509" s="432"/>
      <c r="B509" s="432"/>
      <c r="C509" s="432"/>
      <c r="D509" s="432"/>
      <c r="E509" s="432"/>
      <c r="F509" s="432"/>
      <c r="G509" s="432"/>
      <c r="H509" s="432"/>
      <c r="I509" s="432"/>
      <c r="J509" s="432"/>
      <c r="K509" s="432"/>
      <c r="L509" s="432"/>
      <c r="M509" s="432"/>
      <c r="N509" s="432"/>
      <c r="O509" s="432"/>
      <c r="P509" s="432"/>
      <c r="Q509" s="432"/>
      <c r="R509" s="432"/>
      <c r="S509" s="432"/>
      <c r="T509" s="432"/>
      <c r="U509" s="432"/>
      <c r="V509" s="432"/>
      <c r="W509" s="432"/>
      <c r="X509" s="432"/>
      <c r="Y509" s="432"/>
      <c r="Z509" s="432"/>
      <c r="AA509" s="432"/>
      <c r="AB509" s="432"/>
    </row>
    <row r="510">
      <c r="A510" s="432"/>
      <c r="B510" s="432"/>
      <c r="C510" s="432"/>
      <c r="D510" s="432"/>
      <c r="E510" s="432"/>
      <c r="F510" s="432"/>
      <c r="G510" s="432"/>
      <c r="H510" s="432"/>
      <c r="I510" s="432"/>
      <c r="J510" s="432"/>
      <c r="K510" s="432"/>
      <c r="L510" s="432"/>
      <c r="M510" s="432"/>
      <c r="N510" s="432"/>
      <c r="O510" s="432"/>
      <c r="P510" s="432"/>
      <c r="Q510" s="432"/>
      <c r="R510" s="432"/>
      <c r="S510" s="432"/>
      <c r="T510" s="432"/>
      <c r="U510" s="432"/>
      <c r="V510" s="432"/>
      <c r="W510" s="432"/>
      <c r="X510" s="432"/>
      <c r="Y510" s="432"/>
      <c r="Z510" s="432"/>
      <c r="AA510" s="432"/>
      <c r="AB510" s="432"/>
    </row>
    <row r="511">
      <c r="A511" s="432"/>
      <c r="B511" s="432"/>
      <c r="C511" s="432"/>
      <c r="D511" s="432"/>
      <c r="E511" s="432"/>
      <c r="F511" s="432"/>
      <c r="G511" s="432"/>
      <c r="H511" s="432"/>
      <c r="I511" s="432"/>
      <c r="J511" s="432"/>
      <c r="K511" s="432"/>
      <c r="L511" s="432"/>
      <c r="M511" s="432"/>
      <c r="N511" s="432"/>
      <c r="O511" s="432"/>
      <c r="P511" s="432"/>
      <c r="Q511" s="432"/>
      <c r="R511" s="432"/>
      <c r="S511" s="432"/>
      <c r="T511" s="432"/>
      <c r="U511" s="432"/>
      <c r="V511" s="432"/>
      <c r="W511" s="432"/>
      <c r="X511" s="432"/>
      <c r="Y511" s="432"/>
      <c r="Z511" s="432"/>
      <c r="AA511" s="432"/>
      <c r="AB511" s="432"/>
    </row>
    <row r="512">
      <c r="A512" s="432"/>
      <c r="B512" s="432"/>
      <c r="C512" s="432"/>
      <c r="D512" s="432"/>
      <c r="E512" s="432"/>
      <c r="F512" s="432"/>
      <c r="G512" s="432"/>
      <c r="H512" s="432"/>
      <c r="I512" s="432"/>
      <c r="J512" s="432"/>
      <c r="K512" s="432"/>
      <c r="L512" s="432"/>
      <c r="M512" s="432"/>
      <c r="N512" s="432"/>
      <c r="O512" s="432"/>
      <c r="P512" s="432"/>
      <c r="Q512" s="432"/>
      <c r="R512" s="432"/>
      <c r="S512" s="432"/>
      <c r="T512" s="432"/>
      <c r="U512" s="432"/>
      <c r="V512" s="432"/>
      <c r="W512" s="432"/>
      <c r="X512" s="432"/>
      <c r="Y512" s="432"/>
      <c r="Z512" s="432"/>
      <c r="AA512" s="432"/>
      <c r="AB512" s="432"/>
    </row>
    <row r="513">
      <c r="A513" s="432"/>
      <c r="B513" s="432"/>
      <c r="C513" s="432"/>
      <c r="D513" s="432"/>
      <c r="E513" s="432"/>
      <c r="F513" s="432"/>
      <c r="G513" s="432"/>
      <c r="H513" s="432"/>
      <c r="I513" s="432"/>
      <c r="J513" s="432"/>
      <c r="K513" s="432"/>
      <c r="L513" s="432"/>
      <c r="M513" s="432"/>
      <c r="N513" s="432"/>
      <c r="O513" s="432"/>
      <c r="P513" s="432"/>
      <c r="Q513" s="432"/>
      <c r="R513" s="432"/>
      <c r="S513" s="432"/>
      <c r="T513" s="432"/>
      <c r="U513" s="432"/>
      <c r="V513" s="432"/>
      <c r="W513" s="432"/>
      <c r="X513" s="432"/>
      <c r="Y513" s="432"/>
      <c r="Z513" s="432"/>
      <c r="AA513" s="432"/>
      <c r="AB513" s="432"/>
    </row>
    <row r="514">
      <c r="A514" s="432"/>
      <c r="B514" s="432"/>
      <c r="C514" s="432"/>
      <c r="D514" s="432"/>
      <c r="E514" s="432"/>
      <c r="F514" s="432"/>
      <c r="G514" s="432"/>
      <c r="H514" s="432"/>
      <c r="I514" s="432"/>
      <c r="J514" s="432"/>
      <c r="K514" s="432"/>
      <c r="L514" s="432"/>
      <c r="M514" s="432"/>
      <c r="N514" s="432"/>
      <c r="O514" s="432"/>
      <c r="P514" s="432"/>
      <c r="Q514" s="432"/>
      <c r="R514" s="432"/>
      <c r="S514" s="432"/>
      <c r="T514" s="432"/>
      <c r="U514" s="432"/>
      <c r="V514" s="432"/>
      <c r="W514" s="432"/>
      <c r="X514" s="432"/>
      <c r="Y514" s="432"/>
      <c r="Z514" s="432"/>
      <c r="AA514" s="432"/>
      <c r="AB514" s="432"/>
    </row>
    <row r="515">
      <c r="A515" s="432"/>
      <c r="B515" s="432"/>
      <c r="C515" s="432"/>
      <c r="D515" s="432"/>
      <c r="E515" s="432"/>
      <c r="F515" s="432"/>
      <c r="G515" s="432"/>
      <c r="H515" s="432"/>
      <c r="I515" s="432"/>
      <c r="J515" s="432"/>
      <c r="K515" s="432"/>
      <c r="L515" s="432"/>
      <c r="M515" s="432"/>
      <c r="N515" s="432"/>
      <c r="O515" s="432"/>
      <c r="P515" s="432"/>
      <c r="Q515" s="432"/>
      <c r="R515" s="432"/>
      <c r="S515" s="432"/>
      <c r="T515" s="432"/>
      <c r="U515" s="432"/>
      <c r="V515" s="432"/>
      <c r="W515" s="432"/>
      <c r="X515" s="432"/>
      <c r="Y515" s="432"/>
      <c r="Z515" s="432"/>
      <c r="AA515" s="432"/>
      <c r="AB515" s="432"/>
    </row>
    <row r="516">
      <c r="A516" s="432"/>
      <c r="B516" s="432"/>
      <c r="C516" s="432"/>
      <c r="D516" s="432"/>
      <c r="E516" s="432"/>
      <c r="F516" s="432"/>
      <c r="G516" s="432"/>
      <c r="H516" s="432"/>
      <c r="I516" s="432"/>
      <c r="J516" s="432"/>
      <c r="K516" s="432"/>
      <c r="L516" s="432"/>
      <c r="M516" s="432"/>
      <c r="N516" s="432"/>
      <c r="O516" s="432"/>
      <c r="P516" s="432"/>
      <c r="Q516" s="432"/>
      <c r="R516" s="432"/>
      <c r="S516" s="432"/>
      <c r="T516" s="432"/>
      <c r="U516" s="432"/>
      <c r="V516" s="432"/>
      <c r="W516" s="432"/>
      <c r="X516" s="432"/>
      <c r="Y516" s="432"/>
      <c r="Z516" s="432"/>
      <c r="AA516" s="432"/>
      <c r="AB516" s="432"/>
    </row>
    <row r="517">
      <c r="A517" s="432"/>
      <c r="B517" s="432"/>
      <c r="C517" s="432"/>
      <c r="D517" s="432"/>
      <c r="E517" s="432"/>
      <c r="F517" s="432"/>
      <c r="G517" s="432"/>
      <c r="H517" s="432"/>
      <c r="I517" s="432"/>
      <c r="J517" s="432"/>
      <c r="K517" s="432"/>
      <c r="L517" s="432"/>
      <c r="M517" s="432"/>
      <c r="N517" s="432"/>
      <c r="O517" s="432"/>
      <c r="P517" s="432"/>
      <c r="Q517" s="432"/>
      <c r="R517" s="432"/>
      <c r="S517" s="432"/>
      <c r="T517" s="432"/>
      <c r="U517" s="432"/>
      <c r="V517" s="432"/>
      <c r="W517" s="432"/>
      <c r="X517" s="432"/>
      <c r="Y517" s="432"/>
      <c r="Z517" s="432"/>
      <c r="AA517" s="432"/>
      <c r="AB517" s="432"/>
    </row>
    <row r="518">
      <c r="A518" s="432"/>
      <c r="B518" s="432"/>
      <c r="C518" s="432"/>
      <c r="D518" s="432"/>
      <c r="E518" s="432"/>
      <c r="F518" s="432"/>
      <c r="G518" s="432"/>
      <c r="H518" s="432"/>
      <c r="I518" s="432"/>
      <c r="J518" s="432"/>
      <c r="K518" s="432"/>
      <c r="L518" s="432"/>
      <c r="M518" s="432"/>
      <c r="N518" s="432"/>
      <c r="O518" s="432"/>
      <c r="P518" s="432"/>
      <c r="Q518" s="432"/>
      <c r="R518" s="432"/>
      <c r="S518" s="432"/>
      <c r="T518" s="432"/>
      <c r="U518" s="432"/>
      <c r="V518" s="432"/>
      <c r="W518" s="432"/>
      <c r="X518" s="432"/>
      <c r="Y518" s="432"/>
      <c r="Z518" s="432"/>
      <c r="AA518" s="432"/>
      <c r="AB518" s="432"/>
    </row>
    <row r="519">
      <c r="A519" s="432"/>
      <c r="B519" s="432"/>
      <c r="C519" s="432"/>
      <c r="D519" s="432"/>
      <c r="E519" s="432"/>
      <c r="F519" s="432"/>
      <c r="G519" s="432"/>
      <c r="H519" s="432"/>
      <c r="I519" s="432"/>
      <c r="J519" s="432"/>
      <c r="K519" s="432"/>
      <c r="L519" s="432"/>
      <c r="M519" s="432"/>
      <c r="N519" s="432"/>
      <c r="O519" s="432"/>
      <c r="P519" s="432"/>
      <c r="Q519" s="432"/>
      <c r="R519" s="432"/>
      <c r="S519" s="432"/>
      <c r="T519" s="432"/>
      <c r="U519" s="432"/>
      <c r="V519" s="432"/>
      <c r="W519" s="432"/>
      <c r="X519" s="432"/>
      <c r="Y519" s="432"/>
      <c r="Z519" s="432"/>
      <c r="AA519" s="432"/>
      <c r="AB519" s="432"/>
    </row>
    <row r="520">
      <c r="A520" s="432"/>
      <c r="B520" s="432"/>
      <c r="C520" s="432"/>
      <c r="D520" s="432"/>
      <c r="E520" s="432"/>
      <c r="F520" s="432"/>
      <c r="G520" s="432"/>
      <c r="H520" s="432"/>
      <c r="I520" s="432"/>
      <c r="J520" s="432"/>
      <c r="K520" s="432"/>
      <c r="L520" s="432"/>
      <c r="M520" s="432"/>
      <c r="N520" s="432"/>
      <c r="O520" s="432"/>
      <c r="P520" s="432"/>
      <c r="Q520" s="432"/>
      <c r="R520" s="432"/>
      <c r="S520" s="432"/>
      <c r="T520" s="432"/>
      <c r="U520" s="432"/>
      <c r="V520" s="432"/>
      <c r="W520" s="432"/>
      <c r="X520" s="432"/>
      <c r="Y520" s="432"/>
      <c r="Z520" s="432"/>
      <c r="AA520" s="432"/>
      <c r="AB520" s="432"/>
    </row>
    <row r="521">
      <c r="A521" s="432"/>
      <c r="B521" s="432"/>
      <c r="C521" s="432"/>
      <c r="D521" s="432"/>
      <c r="E521" s="432"/>
      <c r="F521" s="432"/>
      <c r="G521" s="432"/>
      <c r="H521" s="432"/>
      <c r="I521" s="432"/>
      <c r="J521" s="432"/>
      <c r="K521" s="432"/>
      <c r="L521" s="432"/>
      <c r="M521" s="432"/>
      <c r="N521" s="432"/>
      <c r="O521" s="432"/>
      <c r="P521" s="432"/>
      <c r="Q521" s="432"/>
      <c r="R521" s="432"/>
      <c r="S521" s="432"/>
      <c r="T521" s="432"/>
      <c r="U521" s="432"/>
      <c r="V521" s="432"/>
      <c r="W521" s="432"/>
      <c r="X521" s="432"/>
      <c r="Y521" s="432"/>
      <c r="Z521" s="432"/>
      <c r="AA521" s="432"/>
      <c r="AB521" s="432"/>
    </row>
    <row r="522">
      <c r="A522" s="432"/>
      <c r="B522" s="432"/>
      <c r="C522" s="432"/>
      <c r="D522" s="432"/>
      <c r="E522" s="432"/>
      <c r="F522" s="432"/>
      <c r="G522" s="432"/>
      <c r="H522" s="432"/>
      <c r="I522" s="432"/>
      <c r="J522" s="432"/>
      <c r="K522" s="432"/>
      <c r="L522" s="432"/>
      <c r="M522" s="432"/>
      <c r="N522" s="432"/>
      <c r="O522" s="432"/>
      <c r="P522" s="432"/>
      <c r="Q522" s="432"/>
      <c r="R522" s="432"/>
      <c r="S522" s="432"/>
      <c r="T522" s="432"/>
      <c r="U522" s="432"/>
      <c r="V522" s="432"/>
      <c r="W522" s="432"/>
      <c r="X522" s="432"/>
      <c r="Y522" s="432"/>
      <c r="Z522" s="432"/>
      <c r="AA522" s="432"/>
      <c r="AB522" s="432"/>
    </row>
    <row r="523">
      <c r="A523" s="432"/>
      <c r="B523" s="432"/>
      <c r="C523" s="432"/>
      <c r="D523" s="432"/>
      <c r="E523" s="432"/>
      <c r="F523" s="432"/>
      <c r="G523" s="432"/>
      <c r="H523" s="432"/>
      <c r="I523" s="432"/>
      <c r="J523" s="432"/>
      <c r="K523" s="432"/>
      <c r="L523" s="432"/>
      <c r="M523" s="432"/>
      <c r="N523" s="432"/>
      <c r="O523" s="432"/>
      <c r="P523" s="432"/>
      <c r="Q523" s="432"/>
      <c r="R523" s="432"/>
      <c r="S523" s="432"/>
      <c r="T523" s="432"/>
      <c r="U523" s="432"/>
      <c r="V523" s="432"/>
      <c r="W523" s="432"/>
      <c r="X523" s="432"/>
      <c r="Y523" s="432"/>
      <c r="Z523" s="432"/>
      <c r="AA523" s="432"/>
      <c r="AB523" s="432"/>
    </row>
    <row r="524">
      <c r="A524" s="432"/>
      <c r="B524" s="432"/>
      <c r="C524" s="432"/>
      <c r="D524" s="432"/>
      <c r="E524" s="432"/>
      <c r="F524" s="432"/>
      <c r="G524" s="432"/>
      <c r="H524" s="432"/>
      <c r="I524" s="432"/>
      <c r="J524" s="432"/>
      <c r="K524" s="432"/>
      <c r="L524" s="432"/>
      <c r="M524" s="432"/>
      <c r="N524" s="432"/>
      <c r="O524" s="432"/>
      <c r="P524" s="432"/>
      <c r="Q524" s="432"/>
      <c r="R524" s="432"/>
      <c r="S524" s="432"/>
      <c r="T524" s="432"/>
      <c r="U524" s="432"/>
      <c r="V524" s="432"/>
      <c r="W524" s="432"/>
      <c r="X524" s="432"/>
      <c r="Y524" s="432"/>
      <c r="Z524" s="432"/>
      <c r="AA524" s="432"/>
      <c r="AB524" s="432"/>
    </row>
    <row r="525">
      <c r="A525" s="432"/>
      <c r="B525" s="432"/>
      <c r="C525" s="432"/>
      <c r="D525" s="432"/>
      <c r="E525" s="432"/>
      <c r="F525" s="432"/>
      <c r="G525" s="432"/>
      <c r="H525" s="432"/>
      <c r="I525" s="432"/>
      <c r="J525" s="432"/>
      <c r="K525" s="432"/>
      <c r="L525" s="432"/>
      <c r="M525" s="432"/>
      <c r="N525" s="432"/>
      <c r="O525" s="432"/>
      <c r="P525" s="432"/>
      <c r="Q525" s="432"/>
      <c r="R525" s="432"/>
      <c r="S525" s="432"/>
      <c r="T525" s="432"/>
      <c r="U525" s="432"/>
      <c r="V525" s="432"/>
      <c r="W525" s="432"/>
      <c r="X525" s="432"/>
      <c r="Y525" s="432"/>
      <c r="Z525" s="432"/>
      <c r="AA525" s="432"/>
      <c r="AB525" s="432"/>
    </row>
    <row r="526">
      <c r="A526" s="432"/>
      <c r="B526" s="432"/>
      <c r="C526" s="432"/>
      <c r="D526" s="432"/>
      <c r="E526" s="432"/>
      <c r="F526" s="432"/>
      <c r="G526" s="432"/>
      <c r="H526" s="432"/>
      <c r="I526" s="432"/>
      <c r="J526" s="432"/>
      <c r="K526" s="432"/>
      <c r="L526" s="432"/>
      <c r="M526" s="432"/>
      <c r="N526" s="432"/>
      <c r="O526" s="432"/>
      <c r="P526" s="432"/>
      <c r="Q526" s="432"/>
      <c r="R526" s="432"/>
      <c r="S526" s="432"/>
      <c r="T526" s="432"/>
      <c r="U526" s="432"/>
      <c r="V526" s="432"/>
      <c r="W526" s="432"/>
      <c r="X526" s="432"/>
      <c r="Y526" s="432"/>
      <c r="Z526" s="432"/>
      <c r="AA526" s="432"/>
      <c r="AB526" s="432"/>
    </row>
    <row r="527">
      <c r="A527" s="432"/>
      <c r="B527" s="432"/>
      <c r="C527" s="432"/>
      <c r="D527" s="432"/>
      <c r="E527" s="432"/>
      <c r="F527" s="432"/>
      <c r="G527" s="432"/>
      <c r="H527" s="432"/>
      <c r="I527" s="432"/>
      <c r="J527" s="432"/>
      <c r="K527" s="432"/>
      <c r="L527" s="432"/>
      <c r="M527" s="432"/>
      <c r="N527" s="432"/>
      <c r="O527" s="432"/>
      <c r="P527" s="432"/>
      <c r="Q527" s="432"/>
      <c r="R527" s="432"/>
      <c r="S527" s="432"/>
      <c r="T527" s="432"/>
      <c r="U527" s="432"/>
      <c r="V527" s="432"/>
      <c r="W527" s="432"/>
      <c r="X527" s="432"/>
      <c r="Y527" s="432"/>
      <c r="Z527" s="432"/>
      <c r="AA527" s="432"/>
      <c r="AB527" s="432"/>
    </row>
    <row r="528">
      <c r="A528" s="432"/>
      <c r="B528" s="432"/>
      <c r="C528" s="432"/>
      <c r="D528" s="432"/>
      <c r="E528" s="432"/>
      <c r="F528" s="432"/>
      <c r="G528" s="432"/>
      <c r="H528" s="432"/>
      <c r="I528" s="432"/>
      <c r="J528" s="432"/>
      <c r="K528" s="432"/>
      <c r="L528" s="432"/>
      <c r="M528" s="432"/>
      <c r="N528" s="432"/>
      <c r="O528" s="432"/>
      <c r="P528" s="432"/>
      <c r="Q528" s="432"/>
      <c r="R528" s="432"/>
      <c r="S528" s="432"/>
      <c r="T528" s="432"/>
      <c r="U528" s="432"/>
      <c r="V528" s="432"/>
      <c r="W528" s="432"/>
      <c r="X528" s="432"/>
      <c r="Y528" s="432"/>
      <c r="Z528" s="432"/>
      <c r="AA528" s="432"/>
      <c r="AB528" s="432"/>
    </row>
    <row r="529">
      <c r="A529" s="432"/>
      <c r="B529" s="432"/>
      <c r="C529" s="432"/>
      <c r="D529" s="432"/>
      <c r="E529" s="432"/>
      <c r="F529" s="432"/>
      <c r="G529" s="432"/>
      <c r="H529" s="432"/>
      <c r="I529" s="432"/>
      <c r="J529" s="432"/>
      <c r="K529" s="432"/>
      <c r="L529" s="432"/>
      <c r="M529" s="432"/>
      <c r="N529" s="432"/>
      <c r="O529" s="432"/>
      <c r="P529" s="432"/>
      <c r="Q529" s="432"/>
      <c r="R529" s="432"/>
      <c r="S529" s="432"/>
      <c r="T529" s="432"/>
      <c r="U529" s="432"/>
      <c r="V529" s="432"/>
      <c r="W529" s="432"/>
      <c r="X529" s="432"/>
      <c r="Y529" s="432"/>
      <c r="Z529" s="432"/>
      <c r="AA529" s="432"/>
      <c r="AB529" s="432"/>
    </row>
    <row r="530">
      <c r="A530" s="432"/>
      <c r="B530" s="432"/>
      <c r="C530" s="432"/>
      <c r="D530" s="432"/>
      <c r="E530" s="432"/>
      <c r="F530" s="432"/>
      <c r="G530" s="432"/>
      <c r="H530" s="432"/>
      <c r="I530" s="432"/>
      <c r="J530" s="432"/>
      <c r="K530" s="432"/>
      <c r="L530" s="432"/>
      <c r="M530" s="432"/>
      <c r="N530" s="432"/>
      <c r="O530" s="432"/>
      <c r="P530" s="432"/>
      <c r="Q530" s="432"/>
      <c r="R530" s="432"/>
      <c r="S530" s="432"/>
      <c r="T530" s="432"/>
      <c r="U530" s="432"/>
      <c r="V530" s="432"/>
      <c r="W530" s="432"/>
      <c r="X530" s="432"/>
      <c r="Y530" s="432"/>
      <c r="Z530" s="432"/>
      <c r="AA530" s="432"/>
      <c r="AB530" s="432"/>
    </row>
    <row r="531">
      <c r="A531" s="432"/>
      <c r="B531" s="432"/>
      <c r="C531" s="432"/>
      <c r="D531" s="432"/>
      <c r="E531" s="432"/>
      <c r="F531" s="432"/>
      <c r="G531" s="432"/>
      <c r="H531" s="432"/>
      <c r="I531" s="432"/>
      <c r="J531" s="432"/>
      <c r="K531" s="432"/>
      <c r="L531" s="432"/>
      <c r="M531" s="432"/>
      <c r="N531" s="432"/>
      <c r="O531" s="432"/>
      <c r="P531" s="432"/>
      <c r="Q531" s="432"/>
      <c r="R531" s="432"/>
      <c r="S531" s="432"/>
      <c r="T531" s="432"/>
      <c r="U531" s="432"/>
      <c r="V531" s="432"/>
      <c r="W531" s="432"/>
      <c r="X531" s="432"/>
      <c r="Y531" s="432"/>
      <c r="Z531" s="432"/>
      <c r="AA531" s="432"/>
      <c r="AB531" s="432"/>
    </row>
    <row r="532">
      <c r="A532" s="432"/>
      <c r="B532" s="432"/>
      <c r="C532" s="432"/>
      <c r="D532" s="432"/>
      <c r="E532" s="432"/>
      <c r="F532" s="432"/>
      <c r="G532" s="432"/>
      <c r="H532" s="432"/>
      <c r="I532" s="432"/>
      <c r="J532" s="432"/>
      <c r="K532" s="432"/>
      <c r="L532" s="432"/>
      <c r="M532" s="432"/>
      <c r="N532" s="432"/>
      <c r="O532" s="432"/>
      <c r="P532" s="432"/>
      <c r="Q532" s="432"/>
      <c r="R532" s="432"/>
      <c r="S532" s="432"/>
      <c r="T532" s="432"/>
      <c r="U532" s="432"/>
      <c r="V532" s="432"/>
      <c r="W532" s="432"/>
      <c r="X532" s="432"/>
      <c r="Y532" s="432"/>
      <c r="Z532" s="432"/>
      <c r="AA532" s="432"/>
      <c r="AB532" s="432"/>
    </row>
    <row r="533">
      <c r="A533" s="432"/>
      <c r="B533" s="432"/>
      <c r="C533" s="432"/>
      <c r="D533" s="432"/>
      <c r="E533" s="432"/>
      <c r="F533" s="432"/>
      <c r="G533" s="432"/>
      <c r="H533" s="432"/>
      <c r="I533" s="432"/>
      <c r="J533" s="432"/>
      <c r="K533" s="432"/>
      <c r="L533" s="432"/>
      <c r="M533" s="432"/>
      <c r="N533" s="432"/>
      <c r="O533" s="432"/>
      <c r="P533" s="432"/>
      <c r="Q533" s="432"/>
      <c r="R533" s="432"/>
      <c r="S533" s="432"/>
      <c r="T533" s="432"/>
      <c r="U533" s="432"/>
      <c r="V533" s="432"/>
      <c r="W533" s="432"/>
      <c r="X533" s="432"/>
      <c r="Y533" s="432"/>
      <c r="Z533" s="432"/>
      <c r="AA533" s="432"/>
      <c r="AB533" s="432"/>
    </row>
    <row r="534">
      <c r="A534" s="432"/>
      <c r="B534" s="432"/>
      <c r="C534" s="432"/>
      <c r="D534" s="432"/>
      <c r="E534" s="432"/>
      <c r="F534" s="432"/>
      <c r="G534" s="432"/>
      <c r="H534" s="432"/>
      <c r="I534" s="432"/>
      <c r="J534" s="432"/>
      <c r="K534" s="432"/>
      <c r="L534" s="432"/>
      <c r="M534" s="432"/>
      <c r="N534" s="432"/>
      <c r="O534" s="432"/>
      <c r="P534" s="432"/>
      <c r="Q534" s="432"/>
      <c r="R534" s="432"/>
      <c r="S534" s="432"/>
      <c r="T534" s="432"/>
      <c r="U534" s="432"/>
      <c r="V534" s="432"/>
      <c r="W534" s="432"/>
      <c r="X534" s="432"/>
      <c r="Y534" s="432"/>
      <c r="Z534" s="432"/>
      <c r="AA534" s="432"/>
      <c r="AB534" s="432"/>
    </row>
    <row r="535">
      <c r="A535" s="432"/>
      <c r="B535" s="432"/>
      <c r="C535" s="432"/>
      <c r="D535" s="432"/>
      <c r="E535" s="432"/>
      <c r="F535" s="432"/>
      <c r="G535" s="432"/>
      <c r="H535" s="432"/>
      <c r="I535" s="432"/>
      <c r="J535" s="432"/>
      <c r="K535" s="432"/>
      <c r="L535" s="432"/>
      <c r="M535" s="432"/>
      <c r="N535" s="432"/>
      <c r="O535" s="432"/>
      <c r="P535" s="432"/>
      <c r="Q535" s="432"/>
      <c r="R535" s="432"/>
      <c r="S535" s="432"/>
      <c r="T535" s="432"/>
      <c r="U535" s="432"/>
      <c r="V535" s="432"/>
      <c r="W535" s="432"/>
      <c r="X535" s="432"/>
      <c r="Y535" s="432"/>
      <c r="Z535" s="432"/>
      <c r="AA535" s="432"/>
      <c r="AB535" s="432"/>
    </row>
    <row r="536">
      <c r="A536" s="432"/>
      <c r="B536" s="432"/>
      <c r="C536" s="432"/>
      <c r="D536" s="432"/>
      <c r="E536" s="432"/>
      <c r="F536" s="432"/>
      <c r="G536" s="432"/>
      <c r="H536" s="432"/>
      <c r="I536" s="432"/>
      <c r="J536" s="432"/>
      <c r="K536" s="432"/>
      <c r="L536" s="432"/>
      <c r="M536" s="432"/>
      <c r="N536" s="432"/>
      <c r="O536" s="432"/>
      <c r="P536" s="432"/>
      <c r="Q536" s="432"/>
      <c r="R536" s="432"/>
      <c r="S536" s="432"/>
      <c r="T536" s="432"/>
      <c r="U536" s="432"/>
      <c r="V536" s="432"/>
      <c r="W536" s="432"/>
      <c r="X536" s="432"/>
      <c r="Y536" s="432"/>
      <c r="Z536" s="432"/>
      <c r="AA536" s="432"/>
      <c r="AB536" s="432"/>
    </row>
    <row r="537">
      <c r="A537" s="432"/>
      <c r="B537" s="432"/>
      <c r="C537" s="432"/>
      <c r="D537" s="432"/>
      <c r="E537" s="432"/>
      <c r="F537" s="432"/>
      <c r="G537" s="432"/>
      <c r="H537" s="432"/>
      <c r="I537" s="432"/>
      <c r="J537" s="432"/>
      <c r="K537" s="432"/>
      <c r="L537" s="432"/>
      <c r="M537" s="432"/>
      <c r="N537" s="432"/>
      <c r="O537" s="432"/>
      <c r="P537" s="432"/>
      <c r="Q537" s="432"/>
      <c r="R537" s="432"/>
      <c r="S537" s="432"/>
      <c r="T537" s="432"/>
      <c r="U537" s="432"/>
      <c r="V537" s="432"/>
      <c r="W537" s="432"/>
      <c r="X537" s="432"/>
      <c r="Y537" s="432"/>
      <c r="Z537" s="432"/>
      <c r="AA537" s="432"/>
      <c r="AB537" s="432"/>
    </row>
    <row r="538">
      <c r="A538" s="432"/>
      <c r="B538" s="432"/>
      <c r="C538" s="432"/>
      <c r="D538" s="432"/>
      <c r="E538" s="432"/>
      <c r="F538" s="432"/>
      <c r="G538" s="432"/>
      <c r="H538" s="432"/>
      <c r="I538" s="432"/>
      <c r="J538" s="432"/>
      <c r="K538" s="432"/>
      <c r="L538" s="432"/>
      <c r="M538" s="432"/>
      <c r="N538" s="432"/>
      <c r="O538" s="432"/>
      <c r="P538" s="432"/>
      <c r="Q538" s="432"/>
      <c r="R538" s="432"/>
      <c r="S538" s="432"/>
      <c r="T538" s="432"/>
      <c r="U538" s="432"/>
      <c r="V538" s="432"/>
      <c r="W538" s="432"/>
      <c r="X538" s="432"/>
      <c r="Y538" s="432"/>
      <c r="Z538" s="432"/>
      <c r="AA538" s="432"/>
      <c r="AB538" s="432"/>
    </row>
    <row r="539">
      <c r="A539" s="432"/>
      <c r="B539" s="432"/>
      <c r="C539" s="432"/>
      <c r="D539" s="432"/>
      <c r="E539" s="432"/>
      <c r="F539" s="432"/>
      <c r="G539" s="432"/>
      <c r="H539" s="432"/>
      <c r="I539" s="432"/>
      <c r="J539" s="432"/>
      <c r="K539" s="432"/>
      <c r="L539" s="432"/>
      <c r="M539" s="432"/>
      <c r="N539" s="432"/>
      <c r="O539" s="432"/>
      <c r="P539" s="432"/>
      <c r="Q539" s="432"/>
      <c r="R539" s="432"/>
      <c r="S539" s="432"/>
      <c r="T539" s="432"/>
      <c r="U539" s="432"/>
      <c r="V539" s="432"/>
      <c r="W539" s="432"/>
      <c r="X539" s="432"/>
      <c r="Y539" s="432"/>
      <c r="Z539" s="432"/>
      <c r="AA539" s="432"/>
      <c r="AB539" s="432"/>
    </row>
    <row r="540">
      <c r="A540" s="432"/>
      <c r="B540" s="432"/>
      <c r="C540" s="432"/>
      <c r="D540" s="432"/>
      <c r="E540" s="432"/>
      <c r="F540" s="432"/>
      <c r="G540" s="432"/>
      <c r="H540" s="432"/>
      <c r="I540" s="432"/>
      <c r="J540" s="432"/>
      <c r="K540" s="432"/>
      <c r="L540" s="432"/>
      <c r="M540" s="432"/>
      <c r="N540" s="432"/>
      <c r="O540" s="432"/>
      <c r="P540" s="432"/>
      <c r="Q540" s="432"/>
      <c r="R540" s="432"/>
      <c r="S540" s="432"/>
      <c r="T540" s="432"/>
      <c r="U540" s="432"/>
      <c r="V540" s="432"/>
      <c r="W540" s="432"/>
      <c r="X540" s="432"/>
      <c r="Y540" s="432"/>
      <c r="Z540" s="432"/>
      <c r="AA540" s="432"/>
      <c r="AB540" s="432"/>
    </row>
    <row r="541">
      <c r="A541" s="432"/>
      <c r="B541" s="432"/>
      <c r="C541" s="432"/>
      <c r="D541" s="432"/>
      <c r="E541" s="432"/>
      <c r="F541" s="432"/>
      <c r="G541" s="432"/>
      <c r="H541" s="432"/>
      <c r="I541" s="432"/>
      <c r="J541" s="432"/>
      <c r="K541" s="432"/>
      <c r="L541" s="432"/>
      <c r="M541" s="432"/>
      <c r="N541" s="432"/>
      <c r="O541" s="432"/>
      <c r="P541" s="432"/>
      <c r="Q541" s="432"/>
      <c r="R541" s="432"/>
      <c r="S541" s="432"/>
      <c r="T541" s="432"/>
      <c r="U541" s="432"/>
      <c r="V541" s="432"/>
      <c r="W541" s="432"/>
      <c r="X541" s="432"/>
      <c r="Y541" s="432"/>
      <c r="Z541" s="432"/>
      <c r="AA541" s="432"/>
      <c r="AB541" s="432"/>
    </row>
    <row r="542">
      <c r="A542" s="432"/>
      <c r="B542" s="432"/>
      <c r="C542" s="432"/>
      <c r="D542" s="432"/>
      <c r="E542" s="432"/>
      <c r="F542" s="432"/>
      <c r="G542" s="432"/>
      <c r="H542" s="432"/>
      <c r="I542" s="432"/>
      <c r="J542" s="432"/>
      <c r="K542" s="432"/>
      <c r="L542" s="432"/>
      <c r="M542" s="432"/>
      <c r="N542" s="432"/>
      <c r="O542" s="432"/>
      <c r="P542" s="432"/>
      <c r="Q542" s="432"/>
      <c r="R542" s="432"/>
      <c r="S542" s="432"/>
      <c r="T542" s="432"/>
      <c r="U542" s="432"/>
      <c r="V542" s="432"/>
      <c r="W542" s="432"/>
      <c r="X542" s="432"/>
      <c r="Y542" s="432"/>
      <c r="Z542" s="432"/>
      <c r="AA542" s="432"/>
      <c r="AB542" s="432"/>
    </row>
    <row r="543">
      <c r="A543" s="432"/>
      <c r="B543" s="432"/>
      <c r="C543" s="432"/>
      <c r="D543" s="432"/>
      <c r="E543" s="432"/>
      <c r="F543" s="432"/>
      <c r="G543" s="432"/>
      <c r="H543" s="432"/>
      <c r="I543" s="432"/>
      <c r="J543" s="432"/>
      <c r="K543" s="432"/>
      <c r="L543" s="432"/>
      <c r="M543" s="432"/>
      <c r="N543" s="432"/>
      <c r="O543" s="432"/>
      <c r="P543" s="432"/>
      <c r="Q543" s="432"/>
      <c r="R543" s="432"/>
      <c r="S543" s="432"/>
      <c r="T543" s="432"/>
      <c r="U543" s="432"/>
      <c r="V543" s="432"/>
      <c r="W543" s="432"/>
      <c r="X543" s="432"/>
      <c r="Y543" s="432"/>
      <c r="Z543" s="432"/>
      <c r="AA543" s="432"/>
      <c r="AB543" s="432"/>
    </row>
    <row r="544">
      <c r="A544" s="432"/>
      <c r="B544" s="432"/>
      <c r="C544" s="432"/>
      <c r="D544" s="432"/>
      <c r="E544" s="432"/>
      <c r="F544" s="432"/>
      <c r="G544" s="432"/>
      <c r="H544" s="432"/>
      <c r="I544" s="432"/>
      <c r="J544" s="432"/>
      <c r="K544" s="432"/>
      <c r="L544" s="432"/>
      <c r="M544" s="432"/>
      <c r="N544" s="432"/>
      <c r="O544" s="432"/>
      <c r="P544" s="432"/>
      <c r="Q544" s="432"/>
      <c r="R544" s="432"/>
      <c r="S544" s="432"/>
      <c r="T544" s="432"/>
      <c r="U544" s="432"/>
      <c r="V544" s="432"/>
      <c r="W544" s="432"/>
      <c r="X544" s="432"/>
      <c r="Y544" s="432"/>
      <c r="Z544" s="432"/>
      <c r="AA544" s="432"/>
      <c r="AB544" s="432"/>
    </row>
    <row r="545">
      <c r="A545" s="432"/>
      <c r="B545" s="432"/>
      <c r="C545" s="432"/>
      <c r="D545" s="432"/>
      <c r="E545" s="432"/>
      <c r="F545" s="432"/>
      <c r="G545" s="432"/>
      <c r="H545" s="432"/>
      <c r="I545" s="432"/>
      <c r="J545" s="432"/>
      <c r="K545" s="432"/>
      <c r="L545" s="432"/>
      <c r="M545" s="432"/>
      <c r="N545" s="432"/>
      <c r="O545" s="432"/>
      <c r="P545" s="432"/>
      <c r="Q545" s="432"/>
      <c r="R545" s="432"/>
      <c r="S545" s="432"/>
      <c r="T545" s="432"/>
      <c r="U545" s="432"/>
      <c r="V545" s="432"/>
      <c r="W545" s="432"/>
      <c r="X545" s="432"/>
      <c r="Y545" s="432"/>
      <c r="Z545" s="432"/>
      <c r="AA545" s="432"/>
      <c r="AB545" s="432"/>
    </row>
    <row r="546">
      <c r="A546" s="432"/>
      <c r="B546" s="432"/>
      <c r="C546" s="432"/>
      <c r="D546" s="432"/>
      <c r="E546" s="432"/>
      <c r="F546" s="432"/>
      <c r="G546" s="432"/>
      <c r="H546" s="432"/>
      <c r="I546" s="432"/>
      <c r="J546" s="432"/>
      <c r="K546" s="432"/>
      <c r="L546" s="432"/>
      <c r="M546" s="432"/>
      <c r="N546" s="432"/>
      <c r="O546" s="432"/>
      <c r="P546" s="432"/>
      <c r="Q546" s="432"/>
      <c r="R546" s="432"/>
      <c r="S546" s="432"/>
      <c r="T546" s="432"/>
      <c r="U546" s="432"/>
      <c r="V546" s="432"/>
      <c r="W546" s="432"/>
      <c r="X546" s="432"/>
      <c r="Y546" s="432"/>
      <c r="Z546" s="432"/>
      <c r="AA546" s="432"/>
      <c r="AB546" s="432"/>
    </row>
    <row r="547">
      <c r="A547" s="432"/>
      <c r="B547" s="432"/>
      <c r="C547" s="432"/>
      <c r="D547" s="432"/>
      <c r="E547" s="432"/>
      <c r="F547" s="432"/>
      <c r="G547" s="432"/>
      <c r="H547" s="432"/>
      <c r="I547" s="432"/>
      <c r="J547" s="432"/>
      <c r="K547" s="432"/>
      <c r="L547" s="432"/>
      <c r="M547" s="432"/>
      <c r="N547" s="432"/>
      <c r="O547" s="432"/>
      <c r="P547" s="432"/>
      <c r="Q547" s="432"/>
      <c r="R547" s="432"/>
      <c r="S547" s="432"/>
      <c r="T547" s="432"/>
      <c r="U547" s="432"/>
      <c r="V547" s="432"/>
      <c r="W547" s="432"/>
      <c r="X547" s="432"/>
      <c r="Y547" s="432"/>
      <c r="Z547" s="432"/>
      <c r="AA547" s="432"/>
      <c r="AB547" s="432"/>
    </row>
    <row r="548">
      <c r="A548" s="432"/>
      <c r="B548" s="432"/>
      <c r="C548" s="432"/>
      <c r="D548" s="432"/>
      <c r="E548" s="432"/>
      <c r="F548" s="432"/>
      <c r="G548" s="432"/>
      <c r="H548" s="432"/>
      <c r="I548" s="432"/>
      <c r="J548" s="432"/>
      <c r="K548" s="432"/>
      <c r="L548" s="432"/>
      <c r="M548" s="432"/>
      <c r="N548" s="432"/>
      <c r="O548" s="432"/>
      <c r="P548" s="432"/>
      <c r="Q548" s="432"/>
      <c r="R548" s="432"/>
      <c r="S548" s="432"/>
      <c r="T548" s="432"/>
      <c r="U548" s="432"/>
      <c r="V548" s="432"/>
      <c r="W548" s="432"/>
      <c r="X548" s="432"/>
      <c r="Y548" s="432"/>
      <c r="Z548" s="432"/>
      <c r="AA548" s="432"/>
      <c r="AB548" s="432"/>
    </row>
    <row r="549">
      <c r="A549" s="432"/>
      <c r="B549" s="432"/>
      <c r="C549" s="432"/>
      <c r="D549" s="432"/>
      <c r="E549" s="432"/>
      <c r="F549" s="432"/>
      <c r="G549" s="432"/>
      <c r="H549" s="432"/>
      <c r="I549" s="432"/>
      <c r="J549" s="432"/>
      <c r="K549" s="432"/>
      <c r="L549" s="432"/>
      <c r="M549" s="432"/>
      <c r="N549" s="432"/>
      <c r="O549" s="432"/>
      <c r="P549" s="432"/>
      <c r="Q549" s="432"/>
      <c r="R549" s="432"/>
      <c r="S549" s="432"/>
      <c r="T549" s="432"/>
      <c r="U549" s="432"/>
      <c r="V549" s="432"/>
      <c r="W549" s="432"/>
      <c r="X549" s="432"/>
      <c r="Y549" s="432"/>
      <c r="Z549" s="432"/>
      <c r="AA549" s="432"/>
      <c r="AB549" s="432"/>
    </row>
    <row r="550">
      <c r="A550" s="432"/>
      <c r="B550" s="432"/>
      <c r="C550" s="432"/>
      <c r="D550" s="432"/>
      <c r="E550" s="432"/>
      <c r="F550" s="432"/>
      <c r="G550" s="432"/>
      <c r="H550" s="432"/>
      <c r="I550" s="432"/>
      <c r="J550" s="432"/>
      <c r="K550" s="432"/>
      <c r="L550" s="432"/>
      <c r="M550" s="432"/>
      <c r="N550" s="432"/>
      <c r="O550" s="432"/>
      <c r="P550" s="432"/>
      <c r="Q550" s="432"/>
      <c r="R550" s="432"/>
      <c r="S550" s="432"/>
      <c r="T550" s="432"/>
      <c r="U550" s="432"/>
      <c r="V550" s="432"/>
      <c r="W550" s="432"/>
      <c r="X550" s="432"/>
      <c r="Y550" s="432"/>
      <c r="Z550" s="432"/>
      <c r="AA550" s="432"/>
      <c r="AB550" s="432"/>
    </row>
    <row r="551">
      <c r="A551" s="432"/>
      <c r="B551" s="432"/>
      <c r="C551" s="432"/>
      <c r="D551" s="432"/>
      <c r="E551" s="432"/>
      <c r="F551" s="432"/>
      <c r="G551" s="432"/>
      <c r="H551" s="432"/>
      <c r="I551" s="432"/>
      <c r="J551" s="432"/>
      <c r="K551" s="432"/>
      <c r="L551" s="432"/>
      <c r="M551" s="432"/>
      <c r="N551" s="432"/>
      <c r="O551" s="432"/>
      <c r="P551" s="432"/>
      <c r="Q551" s="432"/>
      <c r="R551" s="432"/>
      <c r="S551" s="432"/>
      <c r="T551" s="432"/>
      <c r="U551" s="432"/>
      <c r="V551" s="432"/>
      <c r="W551" s="432"/>
      <c r="X551" s="432"/>
      <c r="Y551" s="432"/>
      <c r="Z551" s="432"/>
      <c r="AA551" s="432"/>
      <c r="AB551" s="432"/>
    </row>
    <row r="552">
      <c r="A552" s="432"/>
      <c r="B552" s="432"/>
      <c r="C552" s="432"/>
      <c r="D552" s="432"/>
      <c r="E552" s="432"/>
      <c r="F552" s="432"/>
      <c r="G552" s="432"/>
      <c r="H552" s="432"/>
      <c r="I552" s="432"/>
      <c r="J552" s="432"/>
      <c r="K552" s="432"/>
      <c r="L552" s="432"/>
      <c r="M552" s="432"/>
      <c r="N552" s="432"/>
      <c r="O552" s="432"/>
      <c r="P552" s="432"/>
      <c r="Q552" s="432"/>
      <c r="R552" s="432"/>
      <c r="S552" s="432"/>
      <c r="T552" s="432"/>
      <c r="U552" s="432"/>
      <c r="V552" s="432"/>
      <c r="W552" s="432"/>
      <c r="X552" s="432"/>
      <c r="Y552" s="432"/>
      <c r="Z552" s="432"/>
      <c r="AA552" s="432"/>
      <c r="AB552" s="432"/>
    </row>
    <row r="553">
      <c r="A553" s="432"/>
      <c r="B553" s="432"/>
      <c r="C553" s="432"/>
      <c r="D553" s="432"/>
      <c r="E553" s="432"/>
      <c r="F553" s="432"/>
      <c r="G553" s="432"/>
      <c r="H553" s="432"/>
      <c r="I553" s="432"/>
      <c r="J553" s="432"/>
      <c r="K553" s="432"/>
      <c r="L553" s="432"/>
      <c r="M553" s="432"/>
      <c r="N553" s="432"/>
      <c r="O553" s="432"/>
      <c r="P553" s="432"/>
      <c r="Q553" s="432"/>
      <c r="R553" s="432"/>
      <c r="S553" s="432"/>
      <c r="T553" s="432"/>
      <c r="U553" s="432"/>
      <c r="V553" s="432"/>
      <c r="W553" s="432"/>
      <c r="X553" s="432"/>
      <c r="Y553" s="432"/>
      <c r="Z553" s="432"/>
      <c r="AA553" s="432"/>
      <c r="AB553" s="432"/>
    </row>
    <row r="554">
      <c r="A554" s="432"/>
      <c r="B554" s="432"/>
      <c r="C554" s="432"/>
      <c r="D554" s="432"/>
      <c r="E554" s="432"/>
      <c r="F554" s="432"/>
      <c r="G554" s="432"/>
      <c r="H554" s="432"/>
      <c r="I554" s="432"/>
      <c r="J554" s="432"/>
      <c r="K554" s="432"/>
      <c r="L554" s="432"/>
      <c r="M554" s="432"/>
      <c r="N554" s="432"/>
      <c r="O554" s="432"/>
      <c r="P554" s="432"/>
      <c r="Q554" s="432"/>
      <c r="R554" s="432"/>
      <c r="S554" s="432"/>
      <c r="T554" s="432"/>
      <c r="U554" s="432"/>
      <c r="V554" s="432"/>
      <c r="W554" s="432"/>
      <c r="X554" s="432"/>
      <c r="Y554" s="432"/>
      <c r="Z554" s="432"/>
      <c r="AA554" s="432"/>
      <c r="AB554" s="432"/>
    </row>
    <row r="555">
      <c r="A555" s="432"/>
      <c r="B555" s="432"/>
      <c r="C555" s="432"/>
      <c r="D555" s="432"/>
      <c r="E555" s="432"/>
      <c r="F555" s="432"/>
      <c r="G555" s="432"/>
      <c r="H555" s="432"/>
      <c r="I555" s="432"/>
      <c r="J555" s="432"/>
      <c r="K555" s="432"/>
      <c r="L555" s="432"/>
      <c r="M555" s="432"/>
      <c r="N555" s="432"/>
      <c r="O555" s="432"/>
      <c r="P555" s="432"/>
      <c r="Q555" s="432"/>
      <c r="R555" s="432"/>
      <c r="S555" s="432"/>
      <c r="T555" s="432"/>
      <c r="U555" s="432"/>
      <c r="V555" s="432"/>
      <c r="W555" s="432"/>
      <c r="X555" s="432"/>
      <c r="Y555" s="432"/>
      <c r="Z555" s="432"/>
      <c r="AA555" s="432"/>
      <c r="AB555" s="432"/>
    </row>
    <row r="556">
      <c r="A556" s="432"/>
      <c r="B556" s="432"/>
      <c r="C556" s="432"/>
      <c r="D556" s="432"/>
      <c r="E556" s="432"/>
      <c r="F556" s="432"/>
      <c r="G556" s="432"/>
      <c r="H556" s="432"/>
      <c r="I556" s="432"/>
      <c r="J556" s="432"/>
      <c r="K556" s="432"/>
      <c r="L556" s="432"/>
      <c r="M556" s="432"/>
      <c r="N556" s="432"/>
      <c r="O556" s="432"/>
      <c r="P556" s="432"/>
      <c r="Q556" s="432"/>
      <c r="R556" s="432"/>
      <c r="S556" s="432"/>
      <c r="T556" s="432"/>
      <c r="U556" s="432"/>
      <c r="V556" s="432"/>
      <c r="W556" s="432"/>
      <c r="X556" s="432"/>
      <c r="Y556" s="432"/>
      <c r="Z556" s="432"/>
      <c r="AA556" s="432"/>
      <c r="AB556" s="432"/>
    </row>
    <row r="557">
      <c r="A557" s="432"/>
      <c r="B557" s="432"/>
      <c r="C557" s="432"/>
      <c r="D557" s="432"/>
      <c r="E557" s="432"/>
      <c r="F557" s="432"/>
      <c r="G557" s="432"/>
      <c r="H557" s="432"/>
      <c r="I557" s="432"/>
      <c r="J557" s="432"/>
      <c r="K557" s="432"/>
      <c r="L557" s="432"/>
      <c r="M557" s="432"/>
      <c r="N557" s="432"/>
      <c r="O557" s="432"/>
      <c r="P557" s="432"/>
      <c r="Q557" s="432"/>
      <c r="R557" s="432"/>
      <c r="S557" s="432"/>
      <c r="T557" s="432"/>
      <c r="U557" s="432"/>
      <c r="V557" s="432"/>
      <c r="W557" s="432"/>
      <c r="X557" s="432"/>
      <c r="Y557" s="432"/>
      <c r="Z557" s="432"/>
      <c r="AA557" s="432"/>
      <c r="AB557" s="432"/>
    </row>
    <row r="558">
      <c r="A558" s="432"/>
      <c r="B558" s="432"/>
      <c r="C558" s="432"/>
      <c r="D558" s="432"/>
      <c r="E558" s="432"/>
      <c r="F558" s="432"/>
      <c r="G558" s="432"/>
      <c r="H558" s="432"/>
      <c r="I558" s="432"/>
      <c r="J558" s="432"/>
      <c r="K558" s="432"/>
      <c r="L558" s="432"/>
      <c r="M558" s="432"/>
      <c r="N558" s="432"/>
      <c r="O558" s="432"/>
      <c r="P558" s="432"/>
      <c r="Q558" s="432"/>
      <c r="R558" s="432"/>
      <c r="S558" s="432"/>
      <c r="T558" s="432"/>
      <c r="U558" s="432"/>
      <c r="V558" s="432"/>
      <c r="W558" s="432"/>
      <c r="X558" s="432"/>
      <c r="Y558" s="432"/>
      <c r="Z558" s="432"/>
      <c r="AA558" s="432"/>
      <c r="AB558" s="432"/>
    </row>
    <row r="559">
      <c r="A559" s="432"/>
      <c r="B559" s="432"/>
      <c r="C559" s="432"/>
      <c r="D559" s="432"/>
      <c r="E559" s="432"/>
      <c r="F559" s="432"/>
      <c r="G559" s="432"/>
      <c r="H559" s="432"/>
      <c r="I559" s="432"/>
      <c r="J559" s="432"/>
      <c r="K559" s="432"/>
      <c r="L559" s="432"/>
      <c r="M559" s="432"/>
      <c r="N559" s="432"/>
      <c r="O559" s="432"/>
      <c r="P559" s="432"/>
      <c r="Q559" s="432"/>
      <c r="R559" s="432"/>
      <c r="S559" s="432"/>
      <c r="T559" s="432"/>
      <c r="U559" s="432"/>
      <c r="V559" s="432"/>
      <c r="W559" s="432"/>
      <c r="X559" s="432"/>
      <c r="Y559" s="432"/>
      <c r="Z559" s="432"/>
      <c r="AA559" s="432"/>
      <c r="AB559" s="432"/>
    </row>
    <row r="560">
      <c r="A560" s="432"/>
      <c r="B560" s="432"/>
      <c r="C560" s="432"/>
      <c r="D560" s="432"/>
      <c r="E560" s="432"/>
      <c r="F560" s="432"/>
      <c r="G560" s="432"/>
      <c r="H560" s="432"/>
      <c r="I560" s="432"/>
      <c r="J560" s="432"/>
      <c r="K560" s="432"/>
      <c r="L560" s="432"/>
      <c r="M560" s="432"/>
      <c r="N560" s="432"/>
      <c r="O560" s="432"/>
      <c r="P560" s="432"/>
      <c r="Q560" s="432"/>
      <c r="R560" s="432"/>
      <c r="S560" s="432"/>
      <c r="T560" s="432"/>
      <c r="U560" s="432"/>
      <c r="V560" s="432"/>
      <c r="W560" s="432"/>
      <c r="X560" s="432"/>
      <c r="Y560" s="432"/>
      <c r="Z560" s="432"/>
      <c r="AA560" s="432"/>
      <c r="AB560" s="432"/>
    </row>
    <row r="561">
      <c r="A561" s="432"/>
      <c r="B561" s="432"/>
      <c r="C561" s="432"/>
      <c r="D561" s="432"/>
      <c r="E561" s="432"/>
      <c r="F561" s="432"/>
      <c r="G561" s="432"/>
      <c r="H561" s="432"/>
      <c r="I561" s="432"/>
      <c r="J561" s="432"/>
      <c r="K561" s="432"/>
      <c r="L561" s="432"/>
      <c r="M561" s="432"/>
      <c r="N561" s="432"/>
      <c r="O561" s="432"/>
      <c r="P561" s="432"/>
      <c r="Q561" s="432"/>
      <c r="R561" s="432"/>
      <c r="S561" s="432"/>
      <c r="T561" s="432"/>
      <c r="U561" s="432"/>
      <c r="V561" s="432"/>
      <c r="W561" s="432"/>
      <c r="X561" s="432"/>
      <c r="Y561" s="432"/>
      <c r="Z561" s="432"/>
      <c r="AA561" s="432"/>
      <c r="AB561" s="432"/>
    </row>
    <row r="562">
      <c r="A562" s="432"/>
      <c r="B562" s="432"/>
      <c r="C562" s="432"/>
      <c r="D562" s="432"/>
      <c r="E562" s="432"/>
      <c r="F562" s="432"/>
      <c r="G562" s="432"/>
      <c r="H562" s="432"/>
      <c r="I562" s="432"/>
      <c r="J562" s="432"/>
      <c r="K562" s="432"/>
      <c r="L562" s="432"/>
      <c r="M562" s="432"/>
      <c r="N562" s="432"/>
      <c r="O562" s="432"/>
      <c r="P562" s="432"/>
      <c r="Q562" s="432"/>
      <c r="R562" s="432"/>
      <c r="S562" s="432"/>
      <c r="T562" s="432"/>
      <c r="U562" s="432"/>
      <c r="V562" s="432"/>
      <c r="W562" s="432"/>
      <c r="X562" s="432"/>
      <c r="Y562" s="432"/>
      <c r="Z562" s="432"/>
      <c r="AA562" s="432"/>
      <c r="AB562" s="432"/>
    </row>
    <row r="563">
      <c r="A563" s="432"/>
      <c r="B563" s="432"/>
      <c r="C563" s="432"/>
      <c r="D563" s="432"/>
      <c r="E563" s="432"/>
      <c r="F563" s="432"/>
      <c r="G563" s="432"/>
      <c r="H563" s="432"/>
      <c r="I563" s="432"/>
      <c r="J563" s="432"/>
      <c r="K563" s="432"/>
      <c r="L563" s="432"/>
      <c r="M563" s="432"/>
      <c r="N563" s="432"/>
      <c r="O563" s="432"/>
      <c r="P563" s="432"/>
      <c r="Q563" s="432"/>
      <c r="R563" s="432"/>
      <c r="S563" s="432"/>
      <c r="T563" s="432"/>
      <c r="U563" s="432"/>
      <c r="V563" s="432"/>
      <c r="W563" s="432"/>
      <c r="X563" s="432"/>
      <c r="Y563" s="432"/>
      <c r="Z563" s="432"/>
      <c r="AA563" s="432"/>
      <c r="AB563" s="432"/>
    </row>
    <row r="564">
      <c r="A564" s="432"/>
      <c r="B564" s="432"/>
      <c r="C564" s="432"/>
      <c r="D564" s="432"/>
      <c r="E564" s="432"/>
      <c r="F564" s="432"/>
      <c r="G564" s="432"/>
      <c r="H564" s="432"/>
      <c r="I564" s="432"/>
      <c r="J564" s="432"/>
      <c r="K564" s="432"/>
      <c r="L564" s="432"/>
      <c r="M564" s="432"/>
      <c r="N564" s="432"/>
      <c r="O564" s="432"/>
      <c r="P564" s="432"/>
      <c r="Q564" s="432"/>
      <c r="R564" s="432"/>
      <c r="S564" s="432"/>
      <c r="T564" s="432"/>
      <c r="U564" s="432"/>
      <c r="V564" s="432"/>
      <c r="W564" s="432"/>
      <c r="X564" s="432"/>
      <c r="Y564" s="432"/>
      <c r="Z564" s="432"/>
      <c r="AA564" s="432"/>
      <c r="AB564" s="432"/>
    </row>
    <row r="565">
      <c r="A565" s="432"/>
      <c r="B565" s="432"/>
      <c r="C565" s="432"/>
      <c r="D565" s="432"/>
      <c r="E565" s="432"/>
      <c r="F565" s="432"/>
      <c r="G565" s="432"/>
      <c r="H565" s="432"/>
      <c r="I565" s="432"/>
      <c r="J565" s="432"/>
      <c r="K565" s="432"/>
      <c r="L565" s="432"/>
      <c r="M565" s="432"/>
      <c r="N565" s="432"/>
      <c r="O565" s="432"/>
      <c r="P565" s="432"/>
      <c r="Q565" s="432"/>
      <c r="R565" s="432"/>
      <c r="S565" s="432"/>
      <c r="T565" s="432"/>
      <c r="U565" s="432"/>
      <c r="V565" s="432"/>
      <c r="W565" s="432"/>
      <c r="X565" s="432"/>
      <c r="Y565" s="432"/>
      <c r="Z565" s="432"/>
      <c r="AA565" s="432"/>
      <c r="AB565" s="432"/>
    </row>
    <row r="566">
      <c r="A566" s="432"/>
      <c r="B566" s="432"/>
      <c r="C566" s="432"/>
      <c r="D566" s="432"/>
      <c r="E566" s="432"/>
      <c r="F566" s="432"/>
      <c r="G566" s="432"/>
      <c r="H566" s="432"/>
      <c r="I566" s="432"/>
      <c r="J566" s="432"/>
      <c r="K566" s="432"/>
      <c r="L566" s="432"/>
      <c r="M566" s="432"/>
      <c r="N566" s="432"/>
      <c r="O566" s="432"/>
      <c r="P566" s="432"/>
      <c r="Q566" s="432"/>
      <c r="R566" s="432"/>
      <c r="S566" s="432"/>
      <c r="T566" s="432"/>
      <c r="U566" s="432"/>
      <c r="V566" s="432"/>
      <c r="W566" s="432"/>
      <c r="X566" s="432"/>
      <c r="Y566" s="432"/>
      <c r="Z566" s="432"/>
      <c r="AA566" s="432"/>
      <c r="AB566" s="432"/>
    </row>
    <row r="567">
      <c r="A567" s="432"/>
      <c r="B567" s="432"/>
      <c r="C567" s="432"/>
      <c r="D567" s="432"/>
      <c r="E567" s="432"/>
      <c r="F567" s="432"/>
      <c r="G567" s="432"/>
      <c r="H567" s="432"/>
      <c r="I567" s="432"/>
      <c r="J567" s="432"/>
      <c r="K567" s="432"/>
      <c r="L567" s="432"/>
      <c r="M567" s="432"/>
      <c r="N567" s="432"/>
      <c r="O567" s="432"/>
      <c r="P567" s="432"/>
      <c r="Q567" s="432"/>
      <c r="R567" s="432"/>
      <c r="S567" s="432"/>
      <c r="T567" s="432"/>
      <c r="U567" s="432"/>
      <c r="V567" s="432"/>
      <c r="W567" s="432"/>
      <c r="X567" s="432"/>
      <c r="Y567" s="432"/>
      <c r="Z567" s="432"/>
      <c r="AA567" s="432"/>
      <c r="AB567" s="432"/>
    </row>
    <row r="568">
      <c r="A568" s="432"/>
      <c r="B568" s="432"/>
      <c r="C568" s="432"/>
      <c r="D568" s="432"/>
      <c r="E568" s="432"/>
      <c r="F568" s="432"/>
      <c r="G568" s="432"/>
      <c r="H568" s="432"/>
      <c r="I568" s="432"/>
      <c r="J568" s="432"/>
      <c r="K568" s="432"/>
      <c r="L568" s="432"/>
      <c r="M568" s="432"/>
      <c r="N568" s="432"/>
      <c r="O568" s="432"/>
      <c r="P568" s="432"/>
      <c r="Q568" s="432"/>
      <c r="R568" s="432"/>
      <c r="S568" s="432"/>
      <c r="T568" s="432"/>
      <c r="U568" s="432"/>
      <c r="V568" s="432"/>
      <c r="W568" s="432"/>
      <c r="X568" s="432"/>
      <c r="Y568" s="432"/>
      <c r="Z568" s="432"/>
      <c r="AA568" s="432"/>
      <c r="AB568" s="432"/>
    </row>
    <row r="569">
      <c r="A569" s="432"/>
      <c r="B569" s="432"/>
      <c r="C569" s="432"/>
      <c r="D569" s="432"/>
      <c r="E569" s="432"/>
      <c r="F569" s="432"/>
      <c r="G569" s="432"/>
      <c r="H569" s="432"/>
      <c r="I569" s="432"/>
      <c r="J569" s="432"/>
      <c r="K569" s="432"/>
      <c r="L569" s="432"/>
      <c r="M569" s="432"/>
      <c r="N569" s="432"/>
      <c r="O569" s="432"/>
      <c r="P569" s="432"/>
      <c r="Q569" s="432"/>
      <c r="R569" s="432"/>
      <c r="S569" s="432"/>
      <c r="T569" s="432"/>
      <c r="U569" s="432"/>
      <c r="V569" s="432"/>
      <c r="W569" s="432"/>
      <c r="X569" s="432"/>
      <c r="Y569" s="432"/>
      <c r="Z569" s="432"/>
      <c r="AA569" s="432"/>
      <c r="AB569" s="432"/>
    </row>
    <row r="570">
      <c r="A570" s="432"/>
      <c r="B570" s="432"/>
      <c r="C570" s="432"/>
      <c r="D570" s="432"/>
      <c r="E570" s="432"/>
      <c r="F570" s="432"/>
      <c r="G570" s="432"/>
      <c r="H570" s="432"/>
      <c r="I570" s="432"/>
      <c r="J570" s="432"/>
      <c r="K570" s="432"/>
      <c r="L570" s="432"/>
      <c r="M570" s="432"/>
      <c r="N570" s="432"/>
      <c r="O570" s="432"/>
      <c r="P570" s="432"/>
      <c r="Q570" s="432"/>
      <c r="R570" s="432"/>
      <c r="S570" s="432"/>
      <c r="T570" s="432"/>
      <c r="U570" s="432"/>
      <c r="V570" s="432"/>
      <c r="W570" s="432"/>
      <c r="X570" s="432"/>
      <c r="Y570" s="432"/>
      <c r="Z570" s="432"/>
      <c r="AA570" s="432"/>
      <c r="AB570" s="432"/>
    </row>
    <row r="571">
      <c r="A571" s="432"/>
      <c r="B571" s="432"/>
      <c r="C571" s="432"/>
      <c r="D571" s="432"/>
      <c r="E571" s="432"/>
      <c r="F571" s="432"/>
      <c r="G571" s="432"/>
      <c r="H571" s="432"/>
      <c r="I571" s="432"/>
      <c r="J571" s="432"/>
      <c r="K571" s="432"/>
      <c r="L571" s="432"/>
      <c r="M571" s="432"/>
      <c r="N571" s="432"/>
      <c r="O571" s="432"/>
      <c r="P571" s="432"/>
      <c r="Q571" s="432"/>
      <c r="R571" s="432"/>
      <c r="S571" s="432"/>
      <c r="T571" s="432"/>
      <c r="U571" s="432"/>
      <c r="V571" s="432"/>
      <c r="W571" s="432"/>
      <c r="X571" s="432"/>
      <c r="Y571" s="432"/>
      <c r="Z571" s="432"/>
      <c r="AA571" s="432"/>
      <c r="AB571" s="432"/>
    </row>
    <row r="572">
      <c r="A572" s="432"/>
      <c r="B572" s="432"/>
      <c r="C572" s="432"/>
      <c r="D572" s="432"/>
      <c r="E572" s="432"/>
      <c r="F572" s="432"/>
      <c r="G572" s="432"/>
      <c r="H572" s="432"/>
      <c r="I572" s="432"/>
      <c r="J572" s="432"/>
      <c r="K572" s="432"/>
      <c r="L572" s="432"/>
      <c r="M572" s="432"/>
      <c r="N572" s="432"/>
      <c r="O572" s="432"/>
      <c r="P572" s="432"/>
      <c r="Q572" s="432"/>
      <c r="R572" s="432"/>
      <c r="S572" s="432"/>
      <c r="T572" s="432"/>
      <c r="U572" s="432"/>
      <c r="V572" s="432"/>
      <c r="W572" s="432"/>
      <c r="X572" s="432"/>
      <c r="Y572" s="432"/>
      <c r="Z572" s="432"/>
      <c r="AA572" s="432"/>
      <c r="AB572" s="432"/>
    </row>
    <row r="573">
      <c r="A573" s="432"/>
      <c r="B573" s="432"/>
      <c r="C573" s="432"/>
      <c r="D573" s="432"/>
      <c r="E573" s="432"/>
      <c r="F573" s="432"/>
      <c r="G573" s="432"/>
      <c r="H573" s="432"/>
      <c r="I573" s="432"/>
      <c r="J573" s="432"/>
      <c r="K573" s="432"/>
      <c r="L573" s="432"/>
      <c r="M573" s="432"/>
      <c r="N573" s="432"/>
      <c r="O573" s="432"/>
      <c r="P573" s="432"/>
      <c r="Q573" s="432"/>
      <c r="R573" s="432"/>
      <c r="S573" s="432"/>
      <c r="T573" s="432"/>
      <c r="U573" s="432"/>
      <c r="V573" s="432"/>
      <c r="W573" s="432"/>
      <c r="X573" s="432"/>
      <c r="Y573" s="432"/>
      <c r="Z573" s="432"/>
      <c r="AA573" s="432"/>
      <c r="AB573" s="432"/>
    </row>
    <row r="574">
      <c r="A574" s="432"/>
      <c r="B574" s="432"/>
      <c r="C574" s="432"/>
      <c r="D574" s="432"/>
      <c r="E574" s="432"/>
      <c r="F574" s="432"/>
      <c r="G574" s="432"/>
      <c r="H574" s="432"/>
      <c r="I574" s="432"/>
      <c r="J574" s="432"/>
      <c r="K574" s="432"/>
      <c r="L574" s="432"/>
      <c r="M574" s="432"/>
      <c r="N574" s="432"/>
      <c r="O574" s="432"/>
      <c r="P574" s="432"/>
      <c r="Q574" s="432"/>
      <c r="R574" s="432"/>
      <c r="S574" s="432"/>
      <c r="T574" s="432"/>
      <c r="U574" s="432"/>
      <c r="V574" s="432"/>
      <c r="W574" s="432"/>
      <c r="X574" s="432"/>
      <c r="Y574" s="432"/>
      <c r="Z574" s="432"/>
      <c r="AA574" s="432"/>
      <c r="AB574" s="432"/>
    </row>
    <row r="575">
      <c r="A575" s="432"/>
      <c r="B575" s="432"/>
      <c r="C575" s="432"/>
      <c r="D575" s="432"/>
      <c r="E575" s="432"/>
      <c r="F575" s="432"/>
      <c r="G575" s="432"/>
      <c r="H575" s="432"/>
      <c r="I575" s="432"/>
      <c r="J575" s="432"/>
      <c r="K575" s="432"/>
      <c r="L575" s="432"/>
      <c r="M575" s="432"/>
      <c r="N575" s="432"/>
      <c r="O575" s="432"/>
      <c r="P575" s="432"/>
      <c r="Q575" s="432"/>
      <c r="R575" s="432"/>
      <c r="S575" s="432"/>
      <c r="T575" s="432"/>
      <c r="U575" s="432"/>
      <c r="V575" s="432"/>
      <c r="W575" s="432"/>
      <c r="X575" s="432"/>
      <c r="Y575" s="432"/>
      <c r="Z575" s="432"/>
      <c r="AA575" s="432"/>
      <c r="AB575" s="432"/>
    </row>
    <row r="576">
      <c r="A576" s="432"/>
      <c r="B576" s="432"/>
      <c r="C576" s="432"/>
      <c r="D576" s="432"/>
      <c r="E576" s="432"/>
      <c r="F576" s="432"/>
      <c r="G576" s="432"/>
      <c r="H576" s="432"/>
      <c r="I576" s="432"/>
      <c r="J576" s="432"/>
      <c r="K576" s="432"/>
      <c r="L576" s="432"/>
      <c r="M576" s="432"/>
      <c r="N576" s="432"/>
      <c r="O576" s="432"/>
      <c r="P576" s="432"/>
      <c r="Q576" s="432"/>
      <c r="R576" s="432"/>
      <c r="S576" s="432"/>
      <c r="T576" s="432"/>
      <c r="U576" s="432"/>
      <c r="V576" s="432"/>
      <c r="W576" s="432"/>
      <c r="X576" s="432"/>
      <c r="Y576" s="432"/>
      <c r="Z576" s="432"/>
      <c r="AA576" s="432"/>
      <c r="AB576" s="432"/>
    </row>
    <row r="577">
      <c r="A577" s="432"/>
      <c r="B577" s="432"/>
      <c r="C577" s="432"/>
      <c r="D577" s="432"/>
      <c r="E577" s="432"/>
      <c r="F577" s="432"/>
      <c r="G577" s="432"/>
      <c r="H577" s="432"/>
      <c r="I577" s="432"/>
      <c r="J577" s="432"/>
      <c r="K577" s="432"/>
      <c r="L577" s="432"/>
      <c r="M577" s="432"/>
      <c r="N577" s="432"/>
      <c r="O577" s="432"/>
      <c r="P577" s="432"/>
      <c r="Q577" s="432"/>
      <c r="R577" s="432"/>
      <c r="S577" s="432"/>
      <c r="T577" s="432"/>
      <c r="U577" s="432"/>
      <c r="V577" s="432"/>
      <c r="W577" s="432"/>
      <c r="X577" s="432"/>
      <c r="Y577" s="432"/>
      <c r="Z577" s="432"/>
      <c r="AA577" s="432"/>
      <c r="AB577" s="432"/>
    </row>
    <row r="578">
      <c r="A578" s="432"/>
      <c r="B578" s="432"/>
      <c r="C578" s="432"/>
      <c r="D578" s="432"/>
      <c r="E578" s="432"/>
      <c r="F578" s="432"/>
      <c r="G578" s="432"/>
      <c r="H578" s="432"/>
      <c r="I578" s="432"/>
      <c r="J578" s="432"/>
      <c r="K578" s="432"/>
      <c r="L578" s="432"/>
      <c r="M578" s="432"/>
      <c r="N578" s="432"/>
      <c r="O578" s="432"/>
      <c r="P578" s="432"/>
      <c r="Q578" s="432"/>
      <c r="R578" s="432"/>
      <c r="S578" s="432"/>
      <c r="T578" s="432"/>
      <c r="U578" s="432"/>
      <c r="V578" s="432"/>
      <c r="W578" s="432"/>
      <c r="X578" s="432"/>
      <c r="Y578" s="432"/>
      <c r="Z578" s="432"/>
      <c r="AA578" s="432"/>
      <c r="AB578" s="432"/>
    </row>
    <row r="579">
      <c r="A579" s="432"/>
      <c r="B579" s="432"/>
      <c r="C579" s="432"/>
      <c r="D579" s="432"/>
      <c r="E579" s="432"/>
      <c r="F579" s="432"/>
      <c r="G579" s="432"/>
      <c r="H579" s="432"/>
      <c r="I579" s="432"/>
      <c r="J579" s="432"/>
      <c r="K579" s="432"/>
      <c r="L579" s="432"/>
      <c r="M579" s="432"/>
      <c r="N579" s="432"/>
      <c r="O579" s="432"/>
      <c r="P579" s="432"/>
      <c r="Q579" s="432"/>
      <c r="R579" s="432"/>
      <c r="S579" s="432"/>
      <c r="T579" s="432"/>
      <c r="U579" s="432"/>
      <c r="V579" s="432"/>
      <c r="W579" s="432"/>
      <c r="X579" s="432"/>
      <c r="Y579" s="432"/>
      <c r="Z579" s="432"/>
      <c r="AA579" s="432"/>
      <c r="AB579" s="432"/>
    </row>
    <row r="580">
      <c r="A580" s="432"/>
      <c r="B580" s="432"/>
      <c r="C580" s="432"/>
      <c r="D580" s="432"/>
      <c r="E580" s="432"/>
      <c r="F580" s="432"/>
      <c r="G580" s="432"/>
      <c r="H580" s="432"/>
      <c r="I580" s="432"/>
      <c r="J580" s="432"/>
      <c r="K580" s="432"/>
      <c r="L580" s="432"/>
      <c r="M580" s="432"/>
      <c r="N580" s="432"/>
      <c r="O580" s="432"/>
      <c r="P580" s="432"/>
      <c r="Q580" s="432"/>
      <c r="R580" s="432"/>
      <c r="S580" s="432"/>
      <c r="T580" s="432"/>
      <c r="U580" s="432"/>
      <c r="V580" s="432"/>
      <c r="W580" s="432"/>
      <c r="X580" s="432"/>
      <c r="Y580" s="432"/>
      <c r="Z580" s="432"/>
      <c r="AA580" s="432"/>
      <c r="AB580" s="432"/>
    </row>
    <row r="581">
      <c r="A581" s="432"/>
      <c r="B581" s="432"/>
      <c r="C581" s="432"/>
      <c r="D581" s="432"/>
      <c r="E581" s="432"/>
      <c r="F581" s="432"/>
      <c r="G581" s="432"/>
      <c r="H581" s="432"/>
      <c r="I581" s="432"/>
      <c r="J581" s="432"/>
      <c r="K581" s="432"/>
      <c r="L581" s="432"/>
      <c r="M581" s="432"/>
      <c r="N581" s="432"/>
      <c r="O581" s="432"/>
      <c r="P581" s="432"/>
      <c r="Q581" s="432"/>
      <c r="R581" s="432"/>
      <c r="S581" s="432"/>
      <c r="T581" s="432"/>
      <c r="U581" s="432"/>
      <c r="V581" s="432"/>
      <c r="W581" s="432"/>
      <c r="X581" s="432"/>
      <c r="Y581" s="432"/>
      <c r="Z581" s="432"/>
      <c r="AA581" s="432"/>
      <c r="AB581" s="432"/>
    </row>
    <row r="582">
      <c r="A582" s="432"/>
      <c r="B582" s="432"/>
      <c r="C582" s="432"/>
      <c r="D582" s="432"/>
      <c r="E582" s="432"/>
      <c r="F582" s="432"/>
      <c r="G582" s="432"/>
      <c r="H582" s="432"/>
      <c r="I582" s="432"/>
      <c r="J582" s="432"/>
      <c r="K582" s="432"/>
      <c r="L582" s="432"/>
      <c r="M582" s="432"/>
      <c r="N582" s="432"/>
      <c r="O582" s="432"/>
      <c r="P582" s="432"/>
      <c r="Q582" s="432"/>
      <c r="R582" s="432"/>
      <c r="S582" s="432"/>
      <c r="T582" s="432"/>
      <c r="U582" s="432"/>
      <c r="V582" s="432"/>
      <c r="W582" s="432"/>
      <c r="X582" s="432"/>
      <c r="Y582" s="432"/>
      <c r="Z582" s="432"/>
      <c r="AA582" s="432"/>
      <c r="AB582" s="432"/>
    </row>
    <row r="583">
      <c r="A583" s="432"/>
      <c r="B583" s="432"/>
      <c r="C583" s="432"/>
      <c r="D583" s="432"/>
      <c r="E583" s="432"/>
      <c r="F583" s="432"/>
      <c r="G583" s="432"/>
      <c r="H583" s="432"/>
      <c r="I583" s="432"/>
      <c r="J583" s="432"/>
      <c r="K583" s="432"/>
      <c r="L583" s="432"/>
      <c r="M583" s="432"/>
      <c r="N583" s="432"/>
      <c r="O583" s="432"/>
      <c r="P583" s="432"/>
      <c r="Q583" s="432"/>
      <c r="R583" s="432"/>
      <c r="S583" s="432"/>
      <c r="T583" s="432"/>
      <c r="U583" s="432"/>
      <c r="V583" s="432"/>
      <c r="W583" s="432"/>
      <c r="X583" s="432"/>
      <c r="Y583" s="432"/>
      <c r="Z583" s="432"/>
      <c r="AA583" s="432"/>
      <c r="AB583" s="432"/>
    </row>
    <row r="584">
      <c r="A584" s="432"/>
      <c r="B584" s="432"/>
      <c r="C584" s="432"/>
      <c r="D584" s="432"/>
      <c r="E584" s="432"/>
      <c r="F584" s="432"/>
      <c r="G584" s="432"/>
      <c r="H584" s="432"/>
      <c r="I584" s="432"/>
      <c r="J584" s="432"/>
      <c r="K584" s="432"/>
      <c r="L584" s="432"/>
      <c r="M584" s="432"/>
      <c r="N584" s="432"/>
      <c r="O584" s="432"/>
      <c r="P584" s="432"/>
      <c r="Q584" s="432"/>
      <c r="R584" s="432"/>
      <c r="S584" s="432"/>
      <c r="T584" s="432"/>
      <c r="U584" s="432"/>
      <c r="V584" s="432"/>
      <c r="W584" s="432"/>
      <c r="X584" s="432"/>
      <c r="Y584" s="432"/>
      <c r="Z584" s="432"/>
      <c r="AA584" s="432"/>
      <c r="AB584" s="432"/>
    </row>
    <row r="585">
      <c r="A585" s="432"/>
      <c r="B585" s="432"/>
      <c r="C585" s="432"/>
      <c r="D585" s="432"/>
      <c r="E585" s="432"/>
      <c r="F585" s="432"/>
      <c r="G585" s="432"/>
      <c r="H585" s="432"/>
      <c r="I585" s="432"/>
      <c r="J585" s="432"/>
      <c r="K585" s="432"/>
      <c r="L585" s="432"/>
      <c r="M585" s="432"/>
      <c r="N585" s="432"/>
      <c r="O585" s="432"/>
      <c r="P585" s="432"/>
      <c r="Q585" s="432"/>
      <c r="R585" s="432"/>
      <c r="S585" s="432"/>
      <c r="T585" s="432"/>
      <c r="U585" s="432"/>
      <c r="V585" s="432"/>
      <c r="W585" s="432"/>
      <c r="X585" s="432"/>
      <c r="Y585" s="432"/>
      <c r="Z585" s="432"/>
      <c r="AA585" s="432"/>
      <c r="AB585" s="432"/>
    </row>
    <row r="586">
      <c r="A586" s="432"/>
      <c r="B586" s="432"/>
      <c r="C586" s="432"/>
      <c r="D586" s="432"/>
      <c r="E586" s="432"/>
      <c r="F586" s="432"/>
      <c r="G586" s="432"/>
      <c r="H586" s="432"/>
      <c r="I586" s="432"/>
      <c r="J586" s="432"/>
      <c r="K586" s="432"/>
      <c r="L586" s="432"/>
      <c r="M586" s="432"/>
      <c r="N586" s="432"/>
      <c r="O586" s="432"/>
      <c r="P586" s="432"/>
      <c r="Q586" s="432"/>
      <c r="R586" s="432"/>
      <c r="S586" s="432"/>
      <c r="T586" s="432"/>
      <c r="U586" s="432"/>
      <c r="V586" s="432"/>
      <c r="W586" s="432"/>
      <c r="X586" s="432"/>
      <c r="Y586" s="432"/>
      <c r="Z586" s="432"/>
      <c r="AA586" s="432"/>
      <c r="AB586" s="432"/>
    </row>
    <row r="587">
      <c r="A587" s="432"/>
      <c r="B587" s="432"/>
      <c r="C587" s="432"/>
      <c r="D587" s="432"/>
      <c r="E587" s="432"/>
      <c r="F587" s="432"/>
      <c r="G587" s="432"/>
      <c r="H587" s="432"/>
      <c r="I587" s="432"/>
      <c r="J587" s="432"/>
      <c r="K587" s="432"/>
      <c r="L587" s="432"/>
      <c r="M587" s="432"/>
      <c r="N587" s="432"/>
      <c r="O587" s="432"/>
      <c r="P587" s="432"/>
      <c r="Q587" s="432"/>
      <c r="R587" s="432"/>
      <c r="S587" s="432"/>
      <c r="T587" s="432"/>
      <c r="U587" s="432"/>
      <c r="V587" s="432"/>
      <c r="W587" s="432"/>
      <c r="X587" s="432"/>
      <c r="Y587" s="432"/>
      <c r="Z587" s="432"/>
      <c r="AA587" s="432"/>
      <c r="AB587" s="432"/>
    </row>
    <row r="588">
      <c r="A588" s="432"/>
      <c r="B588" s="432"/>
      <c r="C588" s="432"/>
      <c r="D588" s="432"/>
      <c r="E588" s="432"/>
      <c r="F588" s="432"/>
      <c r="G588" s="432"/>
      <c r="H588" s="432"/>
      <c r="I588" s="432"/>
      <c r="J588" s="432"/>
      <c r="K588" s="432"/>
      <c r="L588" s="432"/>
      <c r="M588" s="432"/>
      <c r="N588" s="432"/>
      <c r="O588" s="432"/>
      <c r="P588" s="432"/>
      <c r="Q588" s="432"/>
      <c r="R588" s="432"/>
      <c r="S588" s="432"/>
      <c r="T588" s="432"/>
      <c r="U588" s="432"/>
      <c r="V588" s="432"/>
      <c r="W588" s="432"/>
      <c r="X588" s="432"/>
      <c r="Y588" s="432"/>
      <c r="Z588" s="432"/>
      <c r="AA588" s="432"/>
      <c r="AB588" s="432"/>
    </row>
    <row r="589">
      <c r="A589" s="432"/>
      <c r="B589" s="432"/>
      <c r="C589" s="432"/>
      <c r="D589" s="432"/>
      <c r="E589" s="432"/>
      <c r="F589" s="432"/>
      <c r="G589" s="432"/>
      <c r="H589" s="432"/>
      <c r="I589" s="432"/>
      <c r="J589" s="432"/>
      <c r="K589" s="432"/>
      <c r="L589" s="432"/>
      <c r="M589" s="432"/>
      <c r="N589" s="432"/>
      <c r="O589" s="432"/>
      <c r="P589" s="432"/>
      <c r="Q589" s="432"/>
      <c r="R589" s="432"/>
      <c r="S589" s="432"/>
      <c r="T589" s="432"/>
      <c r="U589" s="432"/>
      <c r="V589" s="432"/>
      <c r="W589" s="432"/>
      <c r="X589" s="432"/>
      <c r="Y589" s="432"/>
      <c r="Z589" s="432"/>
      <c r="AA589" s="432"/>
      <c r="AB589" s="432"/>
    </row>
    <row r="590">
      <c r="A590" s="432"/>
      <c r="B590" s="432"/>
      <c r="C590" s="432"/>
      <c r="D590" s="432"/>
      <c r="E590" s="432"/>
      <c r="F590" s="432"/>
      <c r="G590" s="432"/>
      <c r="H590" s="432"/>
      <c r="I590" s="432"/>
      <c r="J590" s="432"/>
      <c r="K590" s="432"/>
      <c r="L590" s="432"/>
      <c r="M590" s="432"/>
      <c r="N590" s="432"/>
      <c r="O590" s="432"/>
      <c r="P590" s="432"/>
      <c r="Q590" s="432"/>
      <c r="R590" s="432"/>
      <c r="S590" s="432"/>
      <c r="T590" s="432"/>
      <c r="U590" s="432"/>
      <c r="V590" s="432"/>
      <c r="W590" s="432"/>
      <c r="X590" s="432"/>
      <c r="Y590" s="432"/>
      <c r="Z590" s="432"/>
      <c r="AA590" s="432"/>
      <c r="AB590" s="432"/>
    </row>
    <row r="591">
      <c r="A591" s="432"/>
      <c r="B591" s="432"/>
      <c r="C591" s="432"/>
      <c r="D591" s="432"/>
      <c r="E591" s="432"/>
      <c r="F591" s="432"/>
      <c r="G591" s="432"/>
      <c r="H591" s="432"/>
      <c r="I591" s="432"/>
      <c r="J591" s="432"/>
      <c r="K591" s="432"/>
      <c r="L591" s="432"/>
      <c r="M591" s="432"/>
      <c r="N591" s="432"/>
      <c r="O591" s="432"/>
      <c r="P591" s="432"/>
      <c r="Q591" s="432"/>
      <c r="R591" s="432"/>
      <c r="S591" s="432"/>
      <c r="T591" s="432"/>
      <c r="U591" s="432"/>
      <c r="V591" s="432"/>
      <c r="W591" s="432"/>
      <c r="X591" s="432"/>
      <c r="Y591" s="432"/>
      <c r="Z591" s="432"/>
      <c r="AA591" s="432"/>
      <c r="AB591" s="432"/>
    </row>
    <row r="592">
      <c r="A592" s="432"/>
      <c r="B592" s="432"/>
      <c r="C592" s="432"/>
      <c r="D592" s="432"/>
      <c r="E592" s="432"/>
      <c r="F592" s="432"/>
      <c r="G592" s="432"/>
      <c r="H592" s="432"/>
      <c r="I592" s="432"/>
      <c r="J592" s="432"/>
      <c r="K592" s="432"/>
      <c r="L592" s="432"/>
      <c r="M592" s="432"/>
      <c r="N592" s="432"/>
      <c r="O592" s="432"/>
      <c r="P592" s="432"/>
      <c r="Q592" s="432"/>
      <c r="R592" s="432"/>
      <c r="S592" s="432"/>
      <c r="T592" s="432"/>
      <c r="U592" s="432"/>
      <c r="V592" s="432"/>
      <c r="W592" s="432"/>
      <c r="X592" s="432"/>
      <c r="Y592" s="432"/>
      <c r="Z592" s="432"/>
      <c r="AA592" s="432"/>
      <c r="AB592" s="432"/>
    </row>
    <row r="593">
      <c r="A593" s="432"/>
      <c r="B593" s="432"/>
      <c r="C593" s="432"/>
      <c r="D593" s="432"/>
      <c r="E593" s="432"/>
      <c r="F593" s="432"/>
      <c r="G593" s="432"/>
      <c r="H593" s="432"/>
      <c r="I593" s="432"/>
      <c r="J593" s="432"/>
      <c r="K593" s="432"/>
      <c r="L593" s="432"/>
      <c r="M593" s="432"/>
      <c r="N593" s="432"/>
      <c r="O593" s="432"/>
      <c r="P593" s="432"/>
      <c r="Q593" s="432"/>
      <c r="R593" s="432"/>
      <c r="S593" s="432"/>
      <c r="T593" s="432"/>
      <c r="U593" s="432"/>
      <c r="V593" s="432"/>
      <c r="W593" s="432"/>
      <c r="X593" s="432"/>
      <c r="Y593" s="432"/>
      <c r="Z593" s="432"/>
      <c r="AA593" s="432"/>
      <c r="AB593" s="432"/>
    </row>
    <row r="594">
      <c r="A594" s="432"/>
      <c r="B594" s="432"/>
      <c r="C594" s="432"/>
      <c r="D594" s="432"/>
      <c r="E594" s="432"/>
      <c r="F594" s="432"/>
      <c r="G594" s="432"/>
      <c r="H594" s="432"/>
      <c r="I594" s="432"/>
      <c r="J594" s="432"/>
      <c r="K594" s="432"/>
      <c r="L594" s="432"/>
      <c r="M594" s="432"/>
      <c r="N594" s="432"/>
      <c r="O594" s="432"/>
      <c r="P594" s="432"/>
      <c r="Q594" s="432"/>
      <c r="R594" s="432"/>
      <c r="S594" s="432"/>
      <c r="T594" s="432"/>
      <c r="U594" s="432"/>
      <c r="V594" s="432"/>
      <c r="W594" s="432"/>
      <c r="X594" s="432"/>
      <c r="Y594" s="432"/>
      <c r="Z594" s="432"/>
      <c r="AA594" s="432"/>
      <c r="AB594" s="432"/>
    </row>
    <row r="595">
      <c r="A595" s="432"/>
      <c r="B595" s="432"/>
      <c r="C595" s="432"/>
      <c r="D595" s="432"/>
      <c r="E595" s="432"/>
      <c r="F595" s="432"/>
      <c r="G595" s="432"/>
      <c r="H595" s="432"/>
      <c r="I595" s="432"/>
      <c r="J595" s="432"/>
      <c r="K595" s="432"/>
      <c r="L595" s="432"/>
      <c r="M595" s="432"/>
      <c r="N595" s="432"/>
      <c r="O595" s="432"/>
      <c r="P595" s="432"/>
      <c r="Q595" s="432"/>
      <c r="R595" s="432"/>
      <c r="S595" s="432"/>
      <c r="T595" s="432"/>
      <c r="U595" s="432"/>
      <c r="V595" s="432"/>
      <c r="W595" s="432"/>
      <c r="X595" s="432"/>
      <c r="Y595" s="432"/>
      <c r="Z595" s="432"/>
      <c r="AA595" s="432"/>
      <c r="AB595" s="432"/>
    </row>
    <row r="596">
      <c r="A596" s="432"/>
      <c r="B596" s="432"/>
      <c r="C596" s="432"/>
      <c r="D596" s="432"/>
      <c r="E596" s="432"/>
      <c r="F596" s="432"/>
      <c r="G596" s="432"/>
      <c r="H596" s="432"/>
      <c r="I596" s="432"/>
      <c r="J596" s="432"/>
      <c r="K596" s="432"/>
      <c r="L596" s="432"/>
      <c r="M596" s="432"/>
      <c r="N596" s="432"/>
      <c r="O596" s="432"/>
      <c r="P596" s="432"/>
      <c r="Q596" s="432"/>
      <c r="R596" s="432"/>
      <c r="S596" s="432"/>
      <c r="T596" s="432"/>
      <c r="U596" s="432"/>
      <c r="V596" s="432"/>
      <c r="W596" s="432"/>
      <c r="X596" s="432"/>
      <c r="Y596" s="432"/>
      <c r="Z596" s="432"/>
      <c r="AA596" s="432"/>
      <c r="AB596" s="432"/>
    </row>
    <row r="597">
      <c r="A597" s="432"/>
      <c r="B597" s="432"/>
      <c r="C597" s="432"/>
      <c r="D597" s="432"/>
      <c r="E597" s="432"/>
      <c r="F597" s="432"/>
      <c r="G597" s="432"/>
      <c r="H597" s="432"/>
      <c r="I597" s="432"/>
      <c r="J597" s="432"/>
      <c r="K597" s="432"/>
      <c r="L597" s="432"/>
      <c r="M597" s="432"/>
      <c r="N597" s="432"/>
      <c r="O597" s="432"/>
      <c r="P597" s="432"/>
      <c r="Q597" s="432"/>
      <c r="R597" s="432"/>
      <c r="S597" s="432"/>
      <c r="T597" s="432"/>
      <c r="U597" s="432"/>
      <c r="V597" s="432"/>
      <c r="W597" s="432"/>
      <c r="X597" s="432"/>
      <c r="Y597" s="432"/>
      <c r="Z597" s="432"/>
      <c r="AA597" s="432"/>
      <c r="AB597" s="432"/>
    </row>
    <row r="598">
      <c r="A598" s="432"/>
      <c r="B598" s="432"/>
      <c r="C598" s="432"/>
      <c r="D598" s="432"/>
      <c r="E598" s="432"/>
      <c r="F598" s="432"/>
      <c r="G598" s="432"/>
      <c r="H598" s="432"/>
      <c r="I598" s="432"/>
      <c r="J598" s="432"/>
      <c r="K598" s="432"/>
      <c r="L598" s="432"/>
      <c r="M598" s="432"/>
      <c r="N598" s="432"/>
      <c r="O598" s="432"/>
      <c r="P598" s="432"/>
      <c r="Q598" s="432"/>
      <c r="R598" s="432"/>
      <c r="S598" s="432"/>
      <c r="T598" s="432"/>
      <c r="U598" s="432"/>
      <c r="V598" s="432"/>
      <c r="W598" s="432"/>
      <c r="X598" s="432"/>
      <c r="Y598" s="432"/>
      <c r="Z598" s="432"/>
      <c r="AA598" s="432"/>
      <c r="AB598" s="432"/>
    </row>
    <row r="599">
      <c r="A599" s="432"/>
      <c r="B599" s="432"/>
      <c r="C599" s="432"/>
      <c r="D599" s="432"/>
      <c r="E599" s="432"/>
      <c r="F599" s="432"/>
      <c r="G599" s="432"/>
      <c r="H599" s="432"/>
      <c r="I599" s="432"/>
      <c r="J599" s="432"/>
      <c r="K599" s="432"/>
      <c r="L599" s="432"/>
      <c r="M599" s="432"/>
      <c r="N599" s="432"/>
      <c r="O599" s="432"/>
      <c r="P599" s="432"/>
      <c r="Q599" s="432"/>
      <c r="R599" s="432"/>
      <c r="S599" s="432"/>
      <c r="T599" s="432"/>
      <c r="U599" s="432"/>
      <c r="V599" s="432"/>
      <c r="W599" s="432"/>
      <c r="X599" s="432"/>
      <c r="Y599" s="432"/>
      <c r="Z599" s="432"/>
      <c r="AA599" s="432"/>
      <c r="AB599" s="432"/>
    </row>
    <row r="600">
      <c r="A600" s="432"/>
      <c r="B600" s="432"/>
      <c r="C600" s="432"/>
      <c r="D600" s="432"/>
      <c r="E600" s="432"/>
      <c r="F600" s="432"/>
      <c r="G600" s="432"/>
      <c r="H600" s="432"/>
      <c r="I600" s="432"/>
      <c r="J600" s="432"/>
      <c r="K600" s="432"/>
      <c r="L600" s="432"/>
      <c r="M600" s="432"/>
      <c r="N600" s="432"/>
      <c r="O600" s="432"/>
      <c r="P600" s="432"/>
      <c r="Q600" s="432"/>
      <c r="R600" s="432"/>
      <c r="S600" s="432"/>
      <c r="T600" s="432"/>
      <c r="U600" s="432"/>
      <c r="V600" s="432"/>
      <c r="W600" s="432"/>
      <c r="X600" s="432"/>
      <c r="Y600" s="432"/>
      <c r="Z600" s="432"/>
      <c r="AA600" s="432"/>
      <c r="AB600" s="432"/>
    </row>
    <row r="601">
      <c r="A601" s="432"/>
      <c r="B601" s="432"/>
      <c r="C601" s="432"/>
      <c r="D601" s="432"/>
      <c r="E601" s="432"/>
      <c r="F601" s="432"/>
      <c r="G601" s="432"/>
      <c r="H601" s="432"/>
      <c r="I601" s="432"/>
      <c r="J601" s="432"/>
      <c r="K601" s="432"/>
      <c r="L601" s="432"/>
      <c r="M601" s="432"/>
      <c r="N601" s="432"/>
      <c r="O601" s="432"/>
      <c r="P601" s="432"/>
      <c r="Q601" s="432"/>
      <c r="R601" s="432"/>
      <c r="S601" s="432"/>
      <c r="T601" s="432"/>
      <c r="U601" s="432"/>
      <c r="V601" s="432"/>
      <c r="W601" s="432"/>
      <c r="X601" s="432"/>
      <c r="Y601" s="432"/>
      <c r="Z601" s="432"/>
      <c r="AA601" s="432"/>
      <c r="AB601" s="432"/>
    </row>
    <row r="602">
      <c r="A602" s="432"/>
      <c r="B602" s="432"/>
      <c r="C602" s="432"/>
      <c r="D602" s="432"/>
      <c r="E602" s="432"/>
      <c r="F602" s="432"/>
      <c r="G602" s="432"/>
      <c r="H602" s="432"/>
      <c r="I602" s="432"/>
      <c r="J602" s="432"/>
      <c r="K602" s="432"/>
      <c r="L602" s="432"/>
      <c r="M602" s="432"/>
      <c r="N602" s="432"/>
      <c r="O602" s="432"/>
      <c r="P602" s="432"/>
      <c r="Q602" s="432"/>
      <c r="R602" s="432"/>
      <c r="S602" s="432"/>
      <c r="T602" s="432"/>
      <c r="U602" s="432"/>
      <c r="V602" s="432"/>
      <c r="W602" s="432"/>
      <c r="X602" s="432"/>
      <c r="Y602" s="432"/>
      <c r="Z602" s="432"/>
      <c r="AA602" s="432"/>
      <c r="AB602" s="432"/>
    </row>
    <row r="603">
      <c r="A603" s="432"/>
      <c r="B603" s="432"/>
      <c r="C603" s="432"/>
      <c r="D603" s="432"/>
      <c r="E603" s="432"/>
      <c r="F603" s="432"/>
      <c r="G603" s="432"/>
      <c r="H603" s="432"/>
      <c r="I603" s="432"/>
      <c r="J603" s="432"/>
      <c r="K603" s="432"/>
      <c r="L603" s="432"/>
      <c r="M603" s="432"/>
      <c r="N603" s="432"/>
      <c r="O603" s="432"/>
      <c r="P603" s="432"/>
      <c r="Q603" s="432"/>
      <c r="R603" s="432"/>
      <c r="S603" s="432"/>
      <c r="T603" s="432"/>
      <c r="U603" s="432"/>
      <c r="V603" s="432"/>
      <c r="W603" s="432"/>
      <c r="X603" s="432"/>
      <c r="Y603" s="432"/>
      <c r="Z603" s="432"/>
      <c r="AA603" s="432"/>
      <c r="AB603" s="432"/>
    </row>
    <row r="604">
      <c r="A604" s="432"/>
      <c r="B604" s="432"/>
      <c r="C604" s="432"/>
      <c r="D604" s="432"/>
      <c r="E604" s="432"/>
      <c r="F604" s="432"/>
      <c r="G604" s="432"/>
      <c r="H604" s="432"/>
      <c r="I604" s="432"/>
      <c r="J604" s="432"/>
      <c r="K604" s="432"/>
      <c r="L604" s="432"/>
      <c r="M604" s="432"/>
      <c r="N604" s="432"/>
      <c r="O604" s="432"/>
      <c r="P604" s="432"/>
      <c r="Q604" s="432"/>
      <c r="R604" s="432"/>
      <c r="S604" s="432"/>
      <c r="T604" s="432"/>
      <c r="U604" s="432"/>
      <c r="V604" s="432"/>
      <c r="W604" s="432"/>
      <c r="X604" s="432"/>
      <c r="Y604" s="432"/>
      <c r="Z604" s="432"/>
      <c r="AA604" s="432"/>
      <c r="AB604" s="432"/>
    </row>
    <row r="605">
      <c r="A605" s="432"/>
      <c r="B605" s="432"/>
      <c r="C605" s="432"/>
      <c r="D605" s="432"/>
      <c r="E605" s="432"/>
      <c r="F605" s="432"/>
      <c r="G605" s="432"/>
      <c r="H605" s="432"/>
      <c r="I605" s="432"/>
      <c r="J605" s="432"/>
      <c r="K605" s="432"/>
      <c r="L605" s="432"/>
      <c r="M605" s="432"/>
      <c r="N605" s="432"/>
      <c r="O605" s="432"/>
      <c r="P605" s="432"/>
      <c r="Q605" s="432"/>
      <c r="R605" s="432"/>
      <c r="S605" s="432"/>
      <c r="T605" s="432"/>
      <c r="U605" s="432"/>
      <c r="V605" s="432"/>
      <c r="W605" s="432"/>
      <c r="X605" s="432"/>
      <c r="Y605" s="432"/>
      <c r="Z605" s="432"/>
      <c r="AA605" s="432"/>
      <c r="AB605" s="432"/>
    </row>
    <row r="606">
      <c r="A606" s="432"/>
      <c r="B606" s="432"/>
      <c r="C606" s="432"/>
      <c r="D606" s="432"/>
      <c r="E606" s="432"/>
      <c r="F606" s="432"/>
      <c r="G606" s="432"/>
      <c r="H606" s="432"/>
      <c r="I606" s="432"/>
      <c r="J606" s="432"/>
      <c r="K606" s="432"/>
      <c r="L606" s="432"/>
      <c r="M606" s="432"/>
      <c r="N606" s="432"/>
      <c r="O606" s="432"/>
      <c r="P606" s="432"/>
      <c r="Q606" s="432"/>
      <c r="R606" s="432"/>
      <c r="S606" s="432"/>
      <c r="T606" s="432"/>
      <c r="U606" s="432"/>
      <c r="V606" s="432"/>
      <c r="W606" s="432"/>
      <c r="X606" s="432"/>
      <c r="Y606" s="432"/>
      <c r="Z606" s="432"/>
      <c r="AA606" s="432"/>
      <c r="AB606" s="432"/>
    </row>
    <row r="607">
      <c r="A607" s="432"/>
      <c r="B607" s="432"/>
      <c r="C607" s="432"/>
      <c r="D607" s="432"/>
      <c r="E607" s="432"/>
      <c r="F607" s="432"/>
      <c r="G607" s="432"/>
      <c r="H607" s="432"/>
      <c r="I607" s="432"/>
      <c r="J607" s="432"/>
      <c r="K607" s="432"/>
      <c r="L607" s="432"/>
      <c r="M607" s="432"/>
      <c r="N607" s="432"/>
      <c r="O607" s="432"/>
      <c r="P607" s="432"/>
      <c r="Q607" s="432"/>
      <c r="R607" s="432"/>
      <c r="S607" s="432"/>
      <c r="T607" s="432"/>
      <c r="U607" s="432"/>
      <c r="V607" s="432"/>
      <c r="W607" s="432"/>
      <c r="X607" s="432"/>
      <c r="Y607" s="432"/>
      <c r="Z607" s="432"/>
      <c r="AA607" s="432"/>
      <c r="AB607" s="432"/>
    </row>
    <row r="608">
      <c r="A608" s="432"/>
      <c r="B608" s="432"/>
      <c r="C608" s="432"/>
      <c r="D608" s="432"/>
      <c r="E608" s="432"/>
      <c r="F608" s="432"/>
      <c r="G608" s="432"/>
      <c r="H608" s="432"/>
      <c r="I608" s="432"/>
      <c r="J608" s="432"/>
      <c r="K608" s="432"/>
      <c r="L608" s="432"/>
      <c r="M608" s="432"/>
      <c r="N608" s="432"/>
      <c r="O608" s="432"/>
      <c r="P608" s="432"/>
      <c r="Q608" s="432"/>
      <c r="R608" s="432"/>
      <c r="S608" s="432"/>
      <c r="T608" s="432"/>
      <c r="U608" s="432"/>
      <c r="V608" s="432"/>
      <c r="W608" s="432"/>
      <c r="X608" s="432"/>
      <c r="Y608" s="432"/>
      <c r="Z608" s="432"/>
      <c r="AA608" s="432"/>
      <c r="AB608" s="432"/>
    </row>
    <row r="609">
      <c r="A609" s="432"/>
      <c r="B609" s="432"/>
      <c r="C609" s="432"/>
      <c r="D609" s="432"/>
      <c r="E609" s="432"/>
      <c r="F609" s="432"/>
      <c r="G609" s="432"/>
      <c r="H609" s="432"/>
      <c r="I609" s="432"/>
      <c r="J609" s="432"/>
      <c r="K609" s="432"/>
      <c r="L609" s="432"/>
      <c r="M609" s="432"/>
      <c r="N609" s="432"/>
      <c r="O609" s="432"/>
      <c r="P609" s="432"/>
      <c r="Q609" s="432"/>
      <c r="R609" s="432"/>
      <c r="S609" s="432"/>
      <c r="T609" s="432"/>
      <c r="U609" s="432"/>
      <c r="V609" s="432"/>
      <c r="W609" s="432"/>
      <c r="X609" s="432"/>
      <c r="Y609" s="432"/>
      <c r="Z609" s="432"/>
      <c r="AA609" s="432"/>
      <c r="AB609" s="432"/>
    </row>
    <row r="610">
      <c r="A610" s="432"/>
      <c r="B610" s="432"/>
      <c r="C610" s="432"/>
      <c r="D610" s="432"/>
      <c r="E610" s="432"/>
      <c r="F610" s="432"/>
      <c r="G610" s="432"/>
      <c r="H610" s="432"/>
      <c r="I610" s="432"/>
      <c r="J610" s="432"/>
      <c r="K610" s="432"/>
      <c r="L610" s="432"/>
      <c r="M610" s="432"/>
      <c r="N610" s="432"/>
      <c r="O610" s="432"/>
      <c r="P610" s="432"/>
      <c r="Q610" s="432"/>
      <c r="R610" s="432"/>
      <c r="S610" s="432"/>
      <c r="T610" s="432"/>
      <c r="U610" s="432"/>
      <c r="V610" s="432"/>
      <c r="W610" s="432"/>
      <c r="X610" s="432"/>
      <c r="Y610" s="432"/>
      <c r="Z610" s="432"/>
      <c r="AA610" s="432"/>
      <c r="AB610" s="432"/>
    </row>
    <row r="611">
      <c r="A611" s="432"/>
      <c r="B611" s="432"/>
      <c r="C611" s="432"/>
      <c r="D611" s="432"/>
      <c r="E611" s="432"/>
      <c r="F611" s="432"/>
      <c r="G611" s="432"/>
      <c r="H611" s="432"/>
      <c r="I611" s="432"/>
      <c r="J611" s="432"/>
      <c r="K611" s="432"/>
      <c r="L611" s="432"/>
      <c r="M611" s="432"/>
      <c r="N611" s="432"/>
      <c r="O611" s="432"/>
      <c r="P611" s="432"/>
      <c r="Q611" s="432"/>
      <c r="R611" s="432"/>
      <c r="S611" s="432"/>
      <c r="T611" s="432"/>
      <c r="U611" s="432"/>
      <c r="V611" s="432"/>
      <c r="W611" s="432"/>
      <c r="X611" s="432"/>
      <c r="Y611" s="432"/>
      <c r="Z611" s="432"/>
      <c r="AA611" s="432"/>
      <c r="AB611" s="432"/>
    </row>
    <row r="612">
      <c r="A612" s="432"/>
      <c r="B612" s="432"/>
      <c r="C612" s="432"/>
      <c r="D612" s="432"/>
      <c r="E612" s="432"/>
      <c r="F612" s="432"/>
      <c r="G612" s="432"/>
      <c r="H612" s="432"/>
      <c r="I612" s="432"/>
      <c r="J612" s="432"/>
      <c r="K612" s="432"/>
      <c r="L612" s="432"/>
      <c r="M612" s="432"/>
      <c r="N612" s="432"/>
      <c r="O612" s="432"/>
      <c r="P612" s="432"/>
      <c r="Q612" s="432"/>
      <c r="R612" s="432"/>
      <c r="S612" s="432"/>
      <c r="T612" s="432"/>
      <c r="U612" s="432"/>
      <c r="V612" s="432"/>
      <c r="W612" s="432"/>
      <c r="X612" s="432"/>
      <c r="Y612" s="432"/>
      <c r="Z612" s="432"/>
      <c r="AA612" s="432"/>
      <c r="AB612" s="432"/>
    </row>
    <row r="613">
      <c r="A613" s="432"/>
      <c r="B613" s="432"/>
      <c r="C613" s="432"/>
      <c r="D613" s="432"/>
      <c r="E613" s="432"/>
      <c r="F613" s="432"/>
      <c r="G613" s="432"/>
      <c r="H613" s="432"/>
      <c r="I613" s="432"/>
      <c r="J613" s="432"/>
      <c r="K613" s="432"/>
      <c r="L613" s="432"/>
      <c r="M613" s="432"/>
      <c r="N613" s="432"/>
      <c r="O613" s="432"/>
      <c r="P613" s="432"/>
      <c r="Q613" s="432"/>
      <c r="R613" s="432"/>
      <c r="S613" s="432"/>
      <c r="T613" s="432"/>
      <c r="U613" s="432"/>
      <c r="V613" s="432"/>
      <c r="W613" s="432"/>
      <c r="X613" s="432"/>
      <c r="Y613" s="432"/>
      <c r="Z613" s="432"/>
      <c r="AA613" s="432"/>
      <c r="AB613" s="432"/>
    </row>
    <row r="614">
      <c r="A614" s="432"/>
      <c r="B614" s="432"/>
      <c r="C614" s="432"/>
      <c r="D614" s="432"/>
      <c r="E614" s="432"/>
      <c r="F614" s="432"/>
      <c r="G614" s="432"/>
      <c r="H614" s="432"/>
      <c r="I614" s="432"/>
      <c r="J614" s="432"/>
      <c r="K614" s="432"/>
      <c r="L614" s="432"/>
      <c r="M614" s="432"/>
      <c r="N614" s="432"/>
      <c r="O614" s="432"/>
      <c r="P614" s="432"/>
      <c r="Q614" s="432"/>
      <c r="R614" s="432"/>
      <c r="S614" s="432"/>
      <c r="T614" s="432"/>
      <c r="U614" s="432"/>
      <c r="V614" s="432"/>
      <c r="W614" s="432"/>
      <c r="X614" s="432"/>
      <c r="Y614" s="432"/>
      <c r="Z614" s="432"/>
      <c r="AA614" s="432"/>
      <c r="AB614" s="432"/>
    </row>
    <row r="615">
      <c r="A615" s="432"/>
      <c r="B615" s="432"/>
      <c r="C615" s="432"/>
      <c r="D615" s="432"/>
      <c r="E615" s="432"/>
      <c r="F615" s="432"/>
      <c r="G615" s="432"/>
      <c r="H615" s="432"/>
      <c r="I615" s="432"/>
      <c r="J615" s="432"/>
      <c r="K615" s="432"/>
      <c r="L615" s="432"/>
      <c r="M615" s="432"/>
      <c r="N615" s="432"/>
      <c r="O615" s="432"/>
      <c r="P615" s="432"/>
      <c r="Q615" s="432"/>
      <c r="R615" s="432"/>
      <c r="S615" s="432"/>
      <c r="T615" s="432"/>
      <c r="U615" s="432"/>
      <c r="V615" s="432"/>
      <c r="W615" s="432"/>
      <c r="X615" s="432"/>
      <c r="Y615" s="432"/>
      <c r="Z615" s="432"/>
      <c r="AA615" s="432"/>
      <c r="AB615" s="432"/>
    </row>
    <row r="616">
      <c r="A616" s="432"/>
      <c r="B616" s="432"/>
      <c r="C616" s="432"/>
      <c r="D616" s="432"/>
      <c r="E616" s="432"/>
      <c r="F616" s="432"/>
      <c r="G616" s="432"/>
      <c r="H616" s="432"/>
      <c r="I616" s="432"/>
      <c r="J616" s="432"/>
      <c r="K616" s="432"/>
      <c r="L616" s="432"/>
      <c r="M616" s="432"/>
      <c r="N616" s="432"/>
      <c r="O616" s="432"/>
      <c r="P616" s="432"/>
      <c r="Q616" s="432"/>
      <c r="R616" s="432"/>
      <c r="S616" s="432"/>
      <c r="T616" s="432"/>
      <c r="U616" s="432"/>
      <c r="V616" s="432"/>
      <c r="W616" s="432"/>
      <c r="X616" s="432"/>
      <c r="Y616" s="432"/>
      <c r="Z616" s="432"/>
      <c r="AA616" s="432"/>
      <c r="AB616" s="432"/>
    </row>
    <row r="617">
      <c r="A617" s="432"/>
      <c r="B617" s="432"/>
      <c r="C617" s="432"/>
      <c r="D617" s="432"/>
      <c r="E617" s="432"/>
      <c r="F617" s="432"/>
      <c r="G617" s="432"/>
      <c r="H617" s="432"/>
      <c r="I617" s="432"/>
      <c r="J617" s="432"/>
      <c r="K617" s="432"/>
      <c r="L617" s="432"/>
      <c r="M617" s="432"/>
      <c r="N617" s="432"/>
      <c r="O617" s="432"/>
      <c r="P617" s="432"/>
      <c r="Q617" s="432"/>
      <c r="R617" s="432"/>
      <c r="S617" s="432"/>
      <c r="T617" s="432"/>
      <c r="U617" s="432"/>
      <c r="V617" s="432"/>
      <c r="W617" s="432"/>
      <c r="X617" s="432"/>
      <c r="Y617" s="432"/>
      <c r="Z617" s="432"/>
      <c r="AA617" s="432"/>
      <c r="AB617" s="432"/>
    </row>
    <row r="618">
      <c r="A618" s="432"/>
      <c r="B618" s="432"/>
      <c r="C618" s="432"/>
      <c r="D618" s="432"/>
      <c r="E618" s="432"/>
      <c r="F618" s="432"/>
      <c r="G618" s="432"/>
      <c r="H618" s="432"/>
      <c r="I618" s="432"/>
      <c r="J618" s="432"/>
      <c r="K618" s="432"/>
      <c r="L618" s="432"/>
      <c r="M618" s="432"/>
      <c r="N618" s="432"/>
      <c r="O618" s="432"/>
      <c r="P618" s="432"/>
      <c r="Q618" s="432"/>
      <c r="R618" s="432"/>
      <c r="S618" s="432"/>
      <c r="T618" s="432"/>
      <c r="U618" s="432"/>
      <c r="V618" s="432"/>
      <c r="W618" s="432"/>
      <c r="X618" s="432"/>
      <c r="Y618" s="432"/>
      <c r="Z618" s="432"/>
      <c r="AA618" s="432"/>
      <c r="AB618" s="432"/>
    </row>
    <row r="619">
      <c r="A619" s="432"/>
      <c r="B619" s="432"/>
      <c r="C619" s="432"/>
      <c r="D619" s="432"/>
      <c r="E619" s="432"/>
      <c r="F619" s="432"/>
      <c r="G619" s="432"/>
      <c r="H619" s="432"/>
      <c r="I619" s="432"/>
      <c r="J619" s="432"/>
      <c r="K619" s="432"/>
      <c r="L619" s="432"/>
      <c r="M619" s="432"/>
      <c r="N619" s="432"/>
      <c r="O619" s="432"/>
      <c r="P619" s="432"/>
      <c r="Q619" s="432"/>
      <c r="R619" s="432"/>
      <c r="S619" s="432"/>
      <c r="T619" s="432"/>
      <c r="U619" s="432"/>
      <c r="V619" s="432"/>
      <c r="W619" s="432"/>
      <c r="X619" s="432"/>
      <c r="Y619" s="432"/>
      <c r="Z619" s="432"/>
      <c r="AA619" s="432"/>
      <c r="AB619" s="432"/>
    </row>
    <row r="620">
      <c r="A620" s="432"/>
      <c r="B620" s="432"/>
      <c r="C620" s="432"/>
      <c r="D620" s="432"/>
      <c r="E620" s="432"/>
      <c r="F620" s="432"/>
      <c r="G620" s="432"/>
      <c r="H620" s="432"/>
      <c r="I620" s="432"/>
      <c r="J620" s="432"/>
      <c r="K620" s="432"/>
      <c r="L620" s="432"/>
      <c r="M620" s="432"/>
      <c r="N620" s="432"/>
      <c r="O620" s="432"/>
      <c r="P620" s="432"/>
      <c r="Q620" s="432"/>
      <c r="R620" s="432"/>
      <c r="S620" s="432"/>
      <c r="T620" s="432"/>
      <c r="U620" s="432"/>
      <c r="V620" s="432"/>
      <c r="W620" s="432"/>
      <c r="X620" s="432"/>
      <c r="Y620" s="432"/>
      <c r="Z620" s="432"/>
      <c r="AA620" s="432"/>
      <c r="AB620" s="432"/>
    </row>
    <row r="621">
      <c r="A621" s="432"/>
      <c r="B621" s="432"/>
      <c r="C621" s="432"/>
      <c r="D621" s="432"/>
      <c r="E621" s="432"/>
      <c r="F621" s="432"/>
      <c r="G621" s="432"/>
      <c r="H621" s="432"/>
      <c r="I621" s="432"/>
      <c r="J621" s="432"/>
      <c r="K621" s="432"/>
      <c r="L621" s="432"/>
      <c r="M621" s="432"/>
      <c r="N621" s="432"/>
      <c r="O621" s="432"/>
      <c r="P621" s="432"/>
      <c r="Q621" s="432"/>
      <c r="R621" s="432"/>
      <c r="S621" s="432"/>
      <c r="T621" s="432"/>
      <c r="U621" s="432"/>
      <c r="V621" s="432"/>
      <c r="W621" s="432"/>
      <c r="X621" s="432"/>
      <c r="Y621" s="432"/>
      <c r="Z621" s="432"/>
      <c r="AA621" s="432"/>
      <c r="AB621" s="432"/>
    </row>
    <row r="622">
      <c r="A622" s="432"/>
      <c r="B622" s="432"/>
      <c r="C622" s="432"/>
      <c r="D622" s="432"/>
      <c r="E622" s="432"/>
      <c r="F622" s="432"/>
      <c r="G622" s="432"/>
      <c r="H622" s="432"/>
      <c r="I622" s="432"/>
      <c r="J622" s="432"/>
      <c r="K622" s="432"/>
      <c r="L622" s="432"/>
      <c r="M622" s="432"/>
      <c r="N622" s="432"/>
      <c r="O622" s="432"/>
      <c r="P622" s="432"/>
      <c r="Q622" s="432"/>
      <c r="R622" s="432"/>
      <c r="S622" s="432"/>
      <c r="T622" s="432"/>
      <c r="U622" s="432"/>
      <c r="V622" s="432"/>
      <c r="W622" s="432"/>
      <c r="X622" s="432"/>
      <c r="Y622" s="432"/>
      <c r="Z622" s="432"/>
      <c r="AA622" s="432"/>
      <c r="AB622" s="432"/>
    </row>
    <row r="623">
      <c r="A623" s="432"/>
      <c r="B623" s="432"/>
      <c r="C623" s="432"/>
      <c r="D623" s="432"/>
      <c r="E623" s="432"/>
      <c r="F623" s="432"/>
      <c r="G623" s="432"/>
      <c r="H623" s="432"/>
      <c r="I623" s="432"/>
      <c r="J623" s="432"/>
      <c r="K623" s="432"/>
      <c r="L623" s="432"/>
      <c r="M623" s="432"/>
      <c r="N623" s="432"/>
      <c r="O623" s="432"/>
      <c r="P623" s="432"/>
      <c r="Q623" s="432"/>
      <c r="R623" s="432"/>
      <c r="S623" s="432"/>
      <c r="T623" s="432"/>
      <c r="U623" s="432"/>
      <c r="V623" s="432"/>
      <c r="W623" s="432"/>
      <c r="X623" s="432"/>
      <c r="Y623" s="432"/>
      <c r="Z623" s="432"/>
      <c r="AA623" s="432"/>
      <c r="AB623" s="432"/>
    </row>
    <row r="624">
      <c r="A624" s="432"/>
      <c r="B624" s="432"/>
      <c r="C624" s="432"/>
      <c r="D624" s="432"/>
      <c r="E624" s="432"/>
      <c r="F624" s="432"/>
      <c r="G624" s="432"/>
      <c r="H624" s="432"/>
      <c r="I624" s="432"/>
      <c r="J624" s="432"/>
      <c r="K624" s="432"/>
      <c r="L624" s="432"/>
      <c r="M624" s="432"/>
      <c r="N624" s="432"/>
      <c r="O624" s="432"/>
      <c r="P624" s="432"/>
      <c r="Q624" s="432"/>
      <c r="R624" s="432"/>
      <c r="S624" s="432"/>
      <c r="T624" s="432"/>
      <c r="U624" s="432"/>
      <c r="V624" s="432"/>
      <c r="W624" s="432"/>
      <c r="X624" s="432"/>
      <c r="Y624" s="432"/>
      <c r="Z624" s="432"/>
      <c r="AA624" s="432"/>
      <c r="AB624" s="432"/>
    </row>
    <row r="625">
      <c r="A625" s="432"/>
      <c r="B625" s="432"/>
      <c r="C625" s="432"/>
      <c r="D625" s="432"/>
      <c r="E625" s="432"/>
      <c r="F625" s="432"/>
      <c r="G625" s="432"/>
      <c r="H625" s="432"/>
      <c r="I625" s="432"/>
      <c r="J625" s="432"/>
      <c r="K625" s="432"/>
      <c r="L625" s="432"/>
      <c r="M625" s="432"/>
      <c r="N625" s="432"/>
      <c r="O625" s="432"/>
      <c r="P625" s="432"/>
      <c r="Q625" s="432"/>
      <c r="R625" s="432"/>
      <c r="S625" s="432"/>
      <c r="T625" s="432"/>
      <c r="U625" s="432"/>
      <c r="V625" s="432"/>
      <c r="W625" s="432"/>
      <c r="X625" s="432"/>
      <c r="Y625" s="432"/>
      <c r="Z625" s="432"/>
      <c r="AA625" s="432"/>
      <c r="AB625" s="432"/>
    </row>
    <row r="626">
      <c r="A626" s="432"/>
      <c r="B626" s="432"/>
      <c r="C626" s="432"/>
      <c r="D626" s="432"/>
      <c r="E626" s="432"/>
      <c r="F626" s="432"/>
      <c r="G626" s="432"/>
      <c r="H626" s="432"/>
      <c r="I626" s="432"/>
      <c r="J626" s="432"/>
      <c r="K626" s="432"/>
      <c r="L626" s="432"/>
      <c r="M626" s="432"/>
      <c r="N626" s="432"/>
      <c r="O626" s="432"/>
      <c r="P626" s="432"/>
      <c r="Q626" s="432"/>
      <c r="R626" s="432"/>
      <c r="S626" s="432"/>
      <c r="T626" s="432"/>
      <c r="U626" s="432"/>
      <c r="V626" s="432"/>
      <c r="W626" s="432"/>
      <c r="X626" s="432"/>
      <c r="Y626" s="432"/>
      <c r="Z626" s="432"/>
      <c r="AA626" s="432"/>
      <c r="AB626" s="432"/>
    </row>
    <row r="627">
      <c r="A627" s="432"/>
      <c r="B627" s="432"/>
      <c r="C627" s="432"/>
      <c r="D627" s="432"/>
      <c r="E627" s="432"/>
      <c r="F627" s="432"/>
      <c r="G627" s="432"/>
      <c r="H627" s="432"/>
      <c r="I627" s="432"/>
      <c r="J627" s="432"/>
      <c r="K627" s="432"/>
      <c r="L627" s="432"/>
      <c r="M627" s="432"/>
      <c r="N627" s="432"/>
      <c r="O627" s="432"/>
      <c r="P627" s="432"/>
      <c r="Q627" s="432"/>
      <c r="R627" s="432"/>
      <c r="S627" s="432"/>
      <c r="T627" s="432"/>
      <c r="U627" s="432"/>
      <c r="V627" s="432"/>
      <c r="W627" s="432"/>
      <c r="X627" s="432"/>
      <c r="Y627" s="432"/>
      <c r="Z627" s="432"/>
      <c r="AA627" s="432"/>
      <c r="AB627" s="432"/>
    </row>
    <row r="628">
      <c r="A628" s="432"/>
      <c r="B628" s="432"/>
      <c r="C628" s="432"/>
      <c r="D628" s="432"/>
      <c r="E628" s="432"/>
      <c r="F628" s="432"/>
      <c r="G628" s="432"/>
      <c r="H628" s="432"/>
      <c r="I628" s="432"/>
      <c r="J628" s="432"/>
      <c r="K628" s="432"/>
      <c r="L628" s="432"/>
      <c r="M628" s="432"/>
      <c r="N628" s="432"/>
      <c r="O628" s="432"/>
      <c r="P628" s="432"/>
      <c r="Q628" s="432"/>
      <c r="R628" s="432"/>
      <c r="S628" s="432"/>
      <c r="T628" s="432"/>
      <c r="U628" s="432"/>
      <c r="V628" s="432"/>
      <c r="W628" s="432"/>
      <c r="X628" s="432"/>
      <c r="Y628" s="432"/>
      <c r="Z628" s="432"/>
      <c r="AA628" s="432"/>
      <c r="AB628" s="432"/>
    </row>
    <row r="629">
      <c r="A629" s="432"/>
      <c r="B629" s="432"/>
      <c r="C629" s="432"/>
      <c r="D629" s="432"/>
      <c r="E629" s="432"/>
      <c r="F629" s="432"/>
      <c r="G629" s="432"/>
      <c r="H629" s="432"/>
      <c r="I629" s="432"/>
      <c r="J629" s="432"/>
      <c r="K629" s="432"/>
      <c r="L629" s="432"/>
      <c r="M629" s="432"/>
      <c r="N629" s="432"/>
      <c r="O629" s="432"/>
      <c r="P629" s="432"/>
      <c r="Q629" s="432"/>
      <c r="R629" s="432"/>
      <c r="S629" s="432"/>
      <c r="T629" s="432"/>
      <c r="U629" s="432"/>
      <c r="V629" s="432"/>
      <c r="W629" s="432"/>
      <c r="X629" s="432"/>
      <c r="Y629" s="432"/>
      <c r="Z629" s="432"/>
      <c r="AA629" s="432"/>
      <c r="AB629" s="432"/>
    </row>
    <row r="630">
      <c r="A630" s="432"/>
      <c r="B630" s="432"/>
      <c r="C630" s="432"/>
      <c r="D630" s="432"/>
      <c r="E630" s="432"/>
      <c r="F630" s="432"/>
      <c r="G630" s="432"/>
      <c r="H630" s="432"/>
      <c r="I630" s="432"/>
      <c r="J630" s="432"/>
      <c r="K630" s="432"/>
      <c r="L630" s="432"/>
      <c r="M630" s="432"/>
      <c r="N630" s="432"/>
      <c r="O630" s="432"/>
      <c r="P630" s="432"/>
      <c r="Q630" s="432"/>
      <c r="R630" s="432"/>
      <c r="S630" s="432"/>
      <c r="T630" s="432"/>
      <c r="U630" s="432"/>
      <c r="V630" s="432"/>
      <c r="W630" s="432"/>
      <c r="X630" s="432"/>
      <c r="Y630" s="432"/>
      <c r="Z630" s="432"/>
      <c r="AA630" s="432"/>
      <c r="AB630" s="432"/>
    </row>
    <row r="631">
      <c r="A631" s="432"/>
      <c r="B631" s="432"/>
      <c r="C631" s="432"/>
      <c r="D631" s="432"/>
      <c r="E631" s="432"/>
      <c r="F631" s="432"/>
      <c r="G631" s="432"/>
      <c r="H631" s="432"/>
      <c r="I631" s="432"/>
      <c r="J631" s="432"/>
      <c r="K631" s="432"/>
      <c r="L631" s="432"/>
      <c r="M631" s="432"/>
      <c r="N631" s="432"/>
      <c r="O631" s="432"/>
      <c r="P631" s="432"/>
      <c r="Q631" s="432"/>
      <c r="R631" s="432"/>
      <c r="S631" s="432"/>
      <c r="T631" s="432"/>
      <c r="U631" s="432"/>
      <c r="V631" s="432"/>
      <c r="W631" s="432"/>
      <c r="X631" s="432"/>
      <c r="Y631" s="432"/>
      <c r="Z631" s="432"/>
      <c r="AA631" s="432"/>
      <c r="AB631" s="432"/>
    </row>
    <row r="632">
      <c r="A632" s="432"/>
      <c r="B632" s="432"/>
      <c r="C632" s="432"/>
      <c r="D632" s="432"/>
      <c r="E632" s="432"/>
      <c r="F632" s="432"/>
      <c r="G632" s="432"/>
      <c r="H632" s="432"/>
      <c r="I632" s="432"/>
      <c r="J632" s="432"/>
      <c r="K632" s="432"/>
      <c r="L632" s="432"/>
      <c r="M632" s="432"/>
      <c r="N632" s="432"/>
      <c r="O632" s="432"/>
      <c r="P632" s="432"/>
      <c r="Q632" s="432"/>
      <c r="R632" s="432"/>
      <c r="S632" s="432"/>
      <c r="T632" s="432"/>
      <c r="U632" s="432"/>
      <c r="V632" s="432"/>
      <c r="W632" s="432"/>
      <c r="X632" s="432"/>
      <c r="Y632" s="432"/>
      <c r="Z632" s="432"/>
      <c r="AA632" s="432"/>
      <c r="AB632" s="432"/>
    </row>
    <row r="633">
      <c r="A633" s="432"/>
      <c r="B633" s="432"/>
      <c r="C633" s="432"/>
      <c r="D633" s="432"/>
      <c r="E633" s="432"/>
      <c r="F633" s="432"/>
      <c r="G633" s="432"/>
      <c r="H633" s="432"/>
      <c r="I633" s="432"/>
      <c r="J633" s="432"/>
      <c r="K633" s="432"/>
      <c r="L633" s="432"/>
      <c r="M633" s="432"/>
      <c r="N633" s="432"/>
      <c r="O633" s="432"/>
      <c r="P633" s="432"/>
      <c r="Q633" s="432"/>
      <c r="R633" s="432"/>
      <c r="S633" s="432"/>
      <c r="T633" s="432"/>
      <c r="U633" s="432"/>
      <c r="V633" s="432"/>
      <c r="W633" s="432"/>
      <c r="X633" s="432"/>
      <c r="Y633" s="432"/>
      <c r="Z633" s="432"/>
      <c r="AA633" s="432"/>
      <c r="AB633" s="432"/>
    </row>
    <row r="634">
      <c r="A634" s="432"/>
      <c r="B634" s="432"/>
      <c r="C634" s="432"/>
      <c r="D634" s="432"/>
      <c r="E634" s="432"/>
      <c r="F634" s="432"/>
      <c r="G634" s="432"/>
      <c r="H634" s="432"/>
      <c r="I634" s="432"/>
      <c r="J634" s="432"/>
      <c r="K634" s="432"/>
      <c r="L634" s="432"/>
      <c r="M634" s="432"/>
      <c r="N634" s="432"/>
      <c r="O634" s="432"/>
      <c r="P634" s="432"/>
      <c r="Q634" s="432"/>
      <c r="R634" s="432"/>
      <c r="S634" s="432"/>
      <c r="T634" s="432"/>
      <c r="U634" s="432"/>
      <c r="V634" s="432"/>
      <c r="W634" s="432"/>
      <c r="X634" s="432"/>
      <c r="Y634" s="432"/>
      <c r="Z634" s="432"/>
      <c r="AA634" s="432"/>
      <c r="AB634" s="432"/>
    </row>
    <row r="635">
      <c r="A635" s="432"/>
      <c r="B635" s="432"/>
      <c r="C635" s="432"/>
      <c r="D635" s="432"/>
      <c r="E635" s="432"/>
      <c r="F635" s="432"/>
      <c r="G635" s="432"/>
      <c r="H635" s="432"/>
      <c r="I635" s="432"/>
      <c r="J635" s="432"/>
      <c r="K635" s="432"/>
      <c r="L635" s="432"/>
      <c r="M635" s="432"/>
      <c r="N635" s="432"/>
      <c r="O635" s="432"/>
      <c r="P635" s="432"/>
      <c r="Q635" s="432"/>
      <c r="R635" s="432"/>
      <c r="S635" s="432"/>
      <c r="T635" s="432"/>
      <c r="U635" s="432"/>
      <c r="V635" s="432"/>
      <c r="W635" s="432"/>
      <c r="X635" s="432"/>
      <c r="Y635" s="432"/>
      <c r="Z635" s="432"/>
      <c r="AA635" s="432"/>
      <c r="AB635" s="432"/>
    </row>
    <row r="636">
      <c r="A636" s="432"/>
      <c r="B636" s="432"/>
      <c r="C636" s="432"/>
      <c r="D636" s="432"/>
      <c r="E636" s="432"/>
      <c r="F636" s="432"/>
      <c r="G636" s="432"/>
      <c r="H636" s="432"/>
      <c r="I636" s="432"/>
      <c r="J636" s="432"/>
      <c r="K636" s="432"/>
      <c r="L636" s="432"/>
      <c r="M636" s="432"/>
      <c r="N636" s="432"/>
      <c r="O636" s="432"/>
      <c r="P636" s="432"/>
      <c r="Q636" s="432"/>
      <c r="R636" s="432"/>
      <c r="S636" s="432"/>
      <c r="T636" s="432"/>
      <c r="U636" s="432"/>
      <c r="V636" s="432"/>
      <c r="W636" s="432"/>
      <c r="X636" s="432"/>
      <c r="Y636" s="432"/>
      <c r="Z636" s="432"/>
      <c r="AA636" s="432"/>
      <c r="AB636" s="432"/>
    </row>
    <row r="637">
      <c r="A637" s="432"/>
      <c r="B637" s="432"/>
      <c r="C637" s="432"/>
      <c r="D637" s="432"/>
      <c r="E637" s="432"/>
      <c r="F637" s="432"/>
      <c r="G637" s="432"/>
      <c r="H637" s="432"/>
      <c r="I637" s="432"/>
      <c r="J637" s="432"/>
      <c r="K637" s="432"/>
      <c r="L637" s="432"/>
      <c r="M637" s="432"/>
      <c r="N637" s="432"/>
      <c r="O637" s="432"/>
      <c r="P637" s="432"/>
      <c r="Q637" s="432"/>
      <c r="R637" s="432"/>
      <c r="S637" s="432"/>
      <c r="T637" s="432"/>
      <c r="U637" s="432"/>
      <c r="V637" s="432"/>
      <c r="W637" s="432"/>
      <c r="X637" s="432"/>
      <c r="Y637" s="432"/>
      <c r="Z637" s="432"/>
      <c r="AA637" s="432"/>
      <c r="AB637" s="432"/>
    </row>
    <row r="638">
      <c r="A638" s="432"/>
      <c r="B638" s="432"/>
      <c r="C638" s="432"/>
      <c r="D638" s="432"/>
      <c r="E638" s="432"/>
      <c r="F638" s="432"/>
      <c r="G638" s="432"/>
      <c r="H638" s="432"/>
      <c r="I638" s="432"/>
      <c r="J638" s="432"/>
      <c r="K638" s="432"/>
      <c r="L638" s="432"/>
      <c r="M638" s="432"/>
      <c r="N638" s="432"/>
      <c r="O638" s="432"/>
      <c r="P638" s="432"/>
      <c r="Q638" s="432"/>
      <c r="R638" s="432"/>
      <c r="S638" s="432"/>
      <c r="T638" s="432"/>
      <c r="U638" s="432"/>
      <c r="V638" s="432"/>
      <c r="W638" s="432"/>
      <c r="X638" s="432"/>
      <c r="Y638" s="432"/>
      <c r="Z638" s="432"/>
      <c r="AA638" s="432"/>
      <c r="AB638" s="432"/>
    </row>
    <row r="639">
      <c r="A639" s="432"/>
      <c r="B639" s="432"/>
      <c r="C639" s="432"/>
      <c r="D639" s="432"/>
      <c r="E639" s="432"/>
      <c r="F639" s="432"/>
      <c r="G639" s="432"/>
      <c r="H639" s="432"/>
      <c r="I639" s="432"/>
      <c r="J639" s="432"/>
      <c r="K639" s="432"/>
      <c r="L639" s="432"/>
      <c r="M639" s="432"/>
      <c r="N639" s="432"/>
      <c r="O639" s="432"/>
      <c r="P639" s="432"/>
      <c r="Q639" s="432"/>
      <c r="R639" s="432"/>
      <c r="S639" s="432"/>
      <c r="T639" s="432"/>
      <c r="U639" s="432"/>
      <c r="V639" s="432"/>
      <c r="W639" s="432"/>
      <c r="X639" s="432"/>
      <c r="Y639" s="432"/>
      <c r="Z639" s="432"/>
      <c r="AA639" s="432"/>
      <c r="AB639" s="432"/>
    </row>
    <row r="640">
      <c r="A640" s="432"/>
      <c r="B640" s="432"/>
      <c r="C640" s="432"/>
      <c r="D640" s="432"/>
      <c r="E640" s="432"/>
      <c r="F640" s="432"/>
      <c r="G640" s="432"/>
      <c r="H640" s="432"/>
      <c r="I640" s="432"/>
      <c r="J640" s="432"/>
      <c r="K640" s="432"/>
      <c r="L640" s="432"/>
      <c r="M640" s="432"/>
      <c r="N640" s="432"/>
      <c r="O640" s="432"/>
      <c r="P640" s="432"/>
      <c r="Q640" s="432"/>
      <c r="R640" s="432"/>
      <c r="S640" s="432"/>
      <c r="T640" s="432"/>
      <c r="U640" s="432"/>
      <c r="V640" s="432"/>
      <c r="W640" s="432"/>
      <c r="X640" s="432"/>
      <c r="Y640" s="432"/>
      <c r="Z640" s="432"/>
      <c r="AA640" s="432"/>
      <c r="AB640" s="432"/>
    </row>
    <row r="641">
      <c r="A641" s="432"/>
      <c r="B641" s="432"/>
      <c r="C641" s="432"/>
      <c r="D641" s="432"/>
      <c r="E641" s="432"/>
      <c r="F641" s="432"/>
      <c r="G641" s="432"/>
      <c r="H641" s="432"/>
      <c r="I641" s="432"/>
      <c r="J641" s="432"/>
      <c r="K641" s="432"/>
      <c r="L641" s="432"/>
      <c r="M641" s="432"/>
      <c r="N641" s="432"/>
      <c r="O641" s="432"/>
      <c r="P641" s="432"/>
      <c r="Q641" s="432"/>
      <c r="R641" s="432"/>
      <c r="S641" s="432"/>
      <c r="T641" s="432"/>
      <c r="U641" s="432"/>
      <c r="V641" s="432"/>
      <c r="W641" s="432"/>
      <c r="X641" s="432"/>
      <c r="Y641" s="432"/>
      <c r="Z641" s="432"/>
      <c r="AA641" s="432"/>
      <c r="AB641" s="432"/>
    </row>
    <row r="642">
      <c r="A642" s="432"/>
      <c r="B642" s="432"/>
      <c r="C642" s="432"/>
      <c r="D642" s="432"/>
      <c r="E642" s="432"/>
      <c r="F642" s="432"/>
      <c r="G642" s="432"/>
      <c r="H642" s="432"/>
      <c r="I642" s="432"/>
      <c r="J642" s="432"/>
      <c r="K642" s="432"/>
      <c r="L642" s="432"/>
      <c r="M642" s="432"/>
      <c r="N642" s="432"/>
      <c r="O642" s="432"/>
      <c r="P642" s="432"/>
      <c r="Q642" s="432"/>
      <c r="R642" s="432"/>
      <c r="S642" s="432"/>
      <c r="T642" s="432"/>
      <c r="U642" s="432"/>
      <c r="V642" s="432"/>
      <c r="W642" s="432"/>
      <c r="X642" s="432"/>
      <c r="Y642" s="432"/>
      <c r="Z642" s="432"/>
      <c r="AA642" s="432"/>
      <c r="AB642" s="432"/>
    </row>
    <row r="643">
      <c r="A643" s="432"/>
      <c r="B643" s="432"/>
      <c r="C643" s="432"/>
      <c r="D643" s="432"/>
      <c r="E643" s="432"/>
      <c r="F643" s="432"/>
      <c r="G643" s="432"/>
      <c r="H643" s="432"/>
      <c r="I643" s="432"/>
      <c r="J643" s="432"/>
      <c r="K643" s="432"/>
      <c r="L643" s="432"/>
      <c r="M643" s="432"/>
      <c r="N643" s="432"/>
      <c r="O643" s="432"/>
      <c r="P643" s="432"/>
      <c r="Q643" s="432"/>
      <c r="R643" s="432"/>
      <c r="S643" s="432"/>
      <c r="T643" s="432"/>
      <c r="U643" s="432"/>
      <c r="V643" s="432"/>
      <c r="W643" s="432"/>
      <c r="X643" s="432"/>
      <c r="Y643" s="432"/>
      <c r="Z643" s="432"/>
      <c r="AA643" s="432"/>
      <c r="AB643" s="432"/>
    </row>
    <row r="644">
      <c r="A644" s="432"/>
      <c r="B644" s="432"/>
      <c r="C644" s="432"/>
      <c r="D644" s="432"/>
      <c r="E644" s="432"/>
      <c r="F644" s="432"/>
      <c r="G644" s="432"/>
      <c r="H644" s="432"/>
      <c r="I644" s="432"/>
      <c r="J644" s="432"/>
      <c r="K644" s="432"/>
      <c r="L644" s="432"/>
      <c r="M644" s="432"/>
      <c r="N644" s="432"/>
      <c r="O644" s="432"/>
      <c r="P644" s="432"/>
      <c r="Q644" s="432"/>
      <c r="R644" s="432"/>
      <c r="S644" s="432"/>
      <c r="T644" s="432"/>
      <c r="U644" s="432"/>
      <c r="V644" s="432"/>
      <c r="W644" s="432"/>
      <c r="X644" s="432"/>
      <c r="Y644" s="432"/>
      <c r="Z644" s="432"/>
      <c r="AA644" s="432"/>
      <c r="AB644" s="432"/>
    </row>
    <row r="645">
      <c r="A645" s="432"/>
      <c r="B645" s="432"/>
      <c r="C645" s="432"/>
      <c r="D645" s="432"/>
      <c r="E645" s="432"/>
      <c r="F645" s="432"/>
      <c r="G645" s="432"/>
      <c r="H645" s="432"/>
      <c r="I645" s="432"/>
      <c r="J645" s="432"/>
      <c r="K645" s="432"/>
      <c r="L645" s="432"/>
      <c r="M645" s="432"/>
      <c r="N645" s="432"/>
      <c r="O645" s="432"/>
      <c r="P645" s="432"/>
      <c r="Q645" s="432"/>
      <c r="R645" s="432"/>
      <c r="S645" s="432"/>
      <c r="T645" s="432"/>
      <c r="U645" s="432"/>
      <c r="V645" s="432"/>
      <c r="W645" s="432"/>
      <c r="X645" s="432"/>
      <c r="Y645" s="432"/>
      <c r="Z645" s="432"/>
      <c r="AA645" s="432"/>
      <c r="AB645" s="432"/>
    </row>
    <row r="646">
      <c r="A646" s="432"/>
      <c r="B646" s="432"/>
      <c r="C646" s="432"/>
      <c r="D646" s="432"/>
      <c r="E646" s="432"/>
      <c r="F646" s="432"/>
      <c r="G646" s="432"/>
      <c r="H646" s="432"/>
      <c r="I646" s="432"/>
      <c r="J646" s="432"/>
      <c r="K646" s="432"/>
      <c r="L646" s="432"/>
      <c r="M646" s="432"/>
      <c r="N646" s="432"/>
      <c r="O646" s="432"/>
      <c r="P646" s="432"/>
      <c r="Q646" s="432"/>
      <c r="R646" s="432"/>
      <c r="S646" s="432"/>
      <c r="T646" s="432"/>
      <c r="U646" s="432"/>
      <c r="V646" s="432"/>
      <c r="W646" s="432"/>
      <c r="X646" s="432"/>
      <c r="Y646" s="432"/>
      <c r="Z646" s="432"/>
      <c r="AA646" s="432"/>
      <c r="AB646" s="432"/>
    </row>
    <row r="647">
      <c r="A647" s="432"/>
      <c r="B647" s="432"/>
      <c r="C647" s="432"/>
      <c r="D647" s="432"/>
      <c r="E647" s="432"/>
      <c r="F647" s="432"/>
      <c r="G647" s="432"/>
      <c r="H647" s="432"/>
      <c r="I647" s="432"/>
      <c r="J647" s="432"/>
      <c r="K647" s="432"/>
      <c r="L647" s="432"/>
      <c r="M647" s="432"/>
      <c r="N647" s="432"/>
      <c r="O647" s="432"/>
      <c r="P647" s="432"/>
      <c r="Q647" s="432"/>
      <c r="R647" s="432"/>
      <c r="S647" s="432"/>
      <c r="T647" s="432"/>
      <c r="U647" s="432"/>
      <c r="V647" s="432"/>
      <c r="W647" s="432"/>
      <c r="X647" s="432"/>
      <c r="Y647" s="432"/>
      <c r="Z647" s="432"/>
      <c r="AA647" s="432"/>
      <c r="AB647" s="432"/>
    </row>
    <row r="648">
      <c r="A648" s="432"/>
      <c r="B648" s="432"/>
      <c r="C648" s="432"/>
      <c r="D648" s="432"/>
      <c r="E648" s="432"/>
      <c r="F648" s="432"/>
      <c r="G648" s="432"/>
      <c r="H648" s="432"/>
      <c r="I648" s="432"/>
      <c r="J648" s="432"/>
      <c r="K648" s="432"/>
      <c r="L648" s="432"/>
      <c r="M648" s="432"/>
      <c r="N648" s="432"/>
      <c r="O648" s="432"/>
      <c r="P648" s="432"/>
      <c r="Q648" s="432"/>
      <c r="R648" s="432"/>
      <c r="S648" s="432"/>
      <c r="T648" s="432"/>
      <c r="U648" s="432"/>
      <c r="V648" s="432"/>
      <c r="W648" s="432"/>
      <c r="X648" s="432"/>
      <c r="Y648" s="432"/>
      <c r="Z648" s="432"/>
      <c r="AA648" s="432"/>
      <c r="AB648" s="432"/>
    </row>
    <row r="649">
      <c r="A649" s="432"/>
      <c r="B649" s="432"/>
      <c r="C649" s="432"/>
      <c r="D649" s="432"/>
      <c r="E649" s="432"/>
      <c r="F649" s="432"/>
      <c r="G649" s="432"/>
      <c r="H649" s="432"/>
      <c r="I649" s="432"/>
      <c r="J649" s="432"/>
      <c r="K649" s="432"/>
      <c r="L649" s="432"/>
      <c r="M649" s="432"/>
      <c r="N649" s="432"/>
      <c r="O649" s="432"/>
      <c r="P649" s="432"/>
      <c r="Q649" s="432"/>
      <c r="R649" s="432"/>
      <c r="S649" s="432"/>
      <c r="T649" s="432"/>
      <c r="U649" s="432"/>
      <c r="V649" s="432"/>
      <c r="W649" s="432"/>
      <c r="X649" s="432"/>
      <c r="Y649" s="432"/>
      <c r="Z649" s="432"/>
      <c r="AA649" s="432"/>
      <c r="AB649" s="432"/>
    </row>
    <row r="650">
      <c r="A650" s="432"/>
      <c r="B650" s="432"/>
      <c r="C650" s="432"/>
      <c r="D650" s="432"/>
      <c r="E650" s="432"/>
      <c r="F650" s="432"/>
      <c r="G650" s="432"/>
      <c r="H650" s="432"/>
      <c r="I650" s="432"/>
      <c r="J650" s="432"/>
      <c r="K650" s="432"/>
      <c r="L650" s="432"/>
      <c r="M650" s="432"/>
      <c r="N650" s="432"/>
      <c r="O650" s="432"/>
      <c r="P650" s="432"/>
      <c r="Q650" s="432"/>
      <c r="R650" s="432"/>
      <c r="S650" s="432"/>
      <c r="T650" s="432"/>
      <c r="U650" s="432"/>
      <c r="V650" s="432"/>
      <c r="W650" s="432"/>
      <c r="X650" s="432"/>
      <c r="Y650" s="432"/>
      <c r="Z650" s="432"/>
      <c r="AA650" s="432"/>
      <c r="AB650" s="432"/>
    </row>
    <row r="651">
      <c r="A651" s="432"/>
      <c r="B651" s="432"/>
      <c r="C651" s="432"/>
      <c r="D651" s="432"/>
      <c r="E651" s="432"/>
      <c r="F651" s="432"/>
      <c r="G651" s="432"/>
      <c r="H651" s="432"/>
      <c r="I651" s="432"/>
      <c r="J651" s="432"/>
      <c r="K651" s="432"/>
      <c r="L651" s="432"/>
      <c r="M651" s="432"/>
      <c r="N651" s="432"/>
      <c r="O651" s="432"/>
      <c r="P651" s="432"/>
      <c r="Q651" s="432"/>
      <c r="R651" s="432"/>
      <c r="S651" s="432"/>
      <c r="T651" s="432"/>
      <c r="U651" s="432"/>
      <c r="V651" s="432"/>
      <c r="W651" s="432"/>
      <c r="X651" s="432"/>
      <c r="Y651" s="432"/>
      <c r="Z651" s="432"/>
      <c r="AA651" s="432"/>
      <c r="AB651" s="432"/>
    </row>
    <row r="652">
      <c r="A652" s="432"/>
      <c r="B652" s="432"/>
      <c r="C652" s="432"/>
      <c r="D652" s="432"/>
      <c r="E652" s="432"/>
      <c r="F652" s="432"/>
      <c r="G652" s="432"/>
      <c r="H652" s="432"/>
      <c r="I652" s="432"/>
      <c r="J652" s="432"/>
      <c r="K652" s="432"/>
      <c r="L652" s="432"/>
      <c r="M652" s="432"/>
      <c r="N652" s="432"/>
      <c r="O652" s="432"/>
      <c r="P652" s="432"/>
      <c r="Q652" s="432"/>
      <c r="R652" s="432"/>
      <c r="S652" s="432"/>
      <c r="T652" s="432"/>
      <c r="U652" s="432"/>
      <c r="V652" s="432"/>
      <c r="W652" s="432"/>
      <c r="X652" s="432"/>
      <c r="Y652" s="432"/>
      <c r="Z652" s="432"/>
      <c r="AA652" s="432"/>
      <c r="AB652" s="432"/>
    </row>
    <row r="653">
      <c r="A653" s="432"/>
      <c r="B653" s="432"/>
      <c r="C653" s="432"/>
      <c r="D653" s="432"/>
      <c r="E653" s="432"/>
      <c r="F653" s="432"/>
      <c r="G653" s="432"/>
      <c r="H653" s="432"/>
      <c r="I653" s="432"/>
      <c r="J653" s="432"/>
      <c r="K653" s="432"/>
      <c r="L653" s="432"/>
      <c r="M653" s="432"/>
      <c r="N653" s="432"/>
      <c r="O653" s="432"/>
      <c r="P653" s="432"/>
      <c r="Q653" s="432"/>
      <c r="R653" s="432"/>
      <c r="S653" s="432"/>
      <c r="T653" s="432"/>
      <c r="U653" s="432"/>
      <c r="V653" s="432"/>
      <c r="W653" s="432"/>
      <c r="X653" s="432"/>
      <c r="Y653" s="432"/>
      <c r="Z653" s="432"/>
      <c r="AA653" s="432"/>
      <c r="AB653" s="432"/>
    </row>
    <row r="654">
      <c r="A654" s="432"/>
      <c r="B654" s="432"/>
      <c r="C654" s="432"/>
      <c r="D654" s="432"/>
      <c r="E654" s="432"/>
      <c r="F654" s="432"/>
      <c r="G654" s="432"/>
      <c r="H654" s="432"/>
      <c r="I654" s="432"/>
      <c r="J654" s="432"/>
      <c r="K654" s="432"/>
      <c r="L654" s="432"/>
      <c r="M654" s="432"/>
      <c r="N654" s="432"/>
      <c r="O654" s="432"/>
      <c r="P654" s="432"/>
      <c r="Q654" s="432"/>
      <c r="R654" s="432"/>
      <c r="S654" s="432"/>
      <c r="T654" s="432"/>
      <c r="U654" s="432"/>
      <c r="V654" s="432"/>
      <c r="W654" s="432"/>
      <c r="X654" s="432"/>
      <c r="Y654" s="432"/>
      <c r="Z654" s="432"/>
      <c r="AA654" s="432"/>
      <c r="AB654" s="432"/>
    </row>
    <row r="655">
      <c r="A655" s="432"/>
      <c r="B655" s="432"/>
      <c r="C655" s="432"/>
      <c r="D655" s="432"/>
      <c r="E655" s="432"/>
      <c r="F655" s="432"/>
      <c r="G655" s="432"/>
      <c r="H655" s="432"/>
      <c r="I655" s="432"/>
      <c r="J655" s="432"/>
      <c r="K655" s="432"/>
      <c r="L655" s="432"/>
      <c r="M655" s="432"/>
      <c r="N655" s="432"/>
      <c r="O655" s="432"/>
      <c r="P655" s="432"/>
      <c r="Q655" s="432"/>
      <c r="R655" s="432"/>
      <c r="S655" s="432"/>
      <c r="T655" s="432"/>
      <c r="U655" s="432"/>
      <c r="V655" s="432"/>
      <c r="W655" s="432"/>
      <c r="X655" s="432"/>
      <c r="Y655" s="432"/>
      <c r="Z655" s="432"/>
      <c r="AA655" s="432"/>
      <c r="AB655" s="432"/>
    </row>
    <row r="656">
      <c r="A656" s="432"/>
      <c r="B656" s="432"/>
      <c r="C656" s="432"/>
      <c r="D656" s="432"/>
      <c r="E656" s="432"/>
      <c r="F656" s="432"/>
      <c r="G656" s="432"/>
      <c r="H656" s="432"/>
      <c r="I656" s="432"/>
      <c r="J656" s="432"/>
      <c r="K656" s="432"/>
      <c r="L656" s="432"/>
      <c r="M656" s="432"/>
      <c r="N656" s="432"/>
      <c r="O656" s="432"/>
      <c r="P656" s="432"/>
      <c r="Q656" s="432"/>
      <c r="R656" s="432"/>
      <c r="S656" s="432"/>
      <c r="T656" s="432"/>
      <c r="U656" s="432"/>
      <c r="V656" s="432"/>
      <c r="W656" s="432"/>
      <c r="X656" s="432"/>
      <c r="Y656" s="432"/>
      <c r="Z656" s="432"/>
      <c r="AA656" s="432"/>
      <c r="AB656" s="432"/>
    </row>
    <row r="657">
      <c r="A657" s="432"/>
      <c r="B657" s="432"/>
      <c r="C657" s="432"/>
      <c r="D657" s="432"/>
      <c r="E657" s="432"/>
      <c r="F657" s="432"/>
      <c r="G657" s="432"/>
      <c r="H657" s="432"/>
      <c r="I657" s="432"/>
      <c r="J657" s="432"/>
      <c r="K657" s="432"/>
      <c r="L657" s="432"/>
      <c r="M657" s="432"/>
      <c r="N657" s="432"/>
      <c r="O657" s="432"/>
      <c r="P657" s="432"/>
      <c r="Q657" s="432"/>
      <c r="R657" s="432"/>
      <c r="S657" s="432"/>
      <c r="T657" s="432"/>
      <c r="U657" s="432"/>
      <c r="V657" s="432"/>
      <c r="W657" s="432"/>
      <c r="X657" s="432"/>
      <c r="Y657" s="432"/>
      <c r="Z657" s="432"/>
      <c r="AA657" s="432"/>
      <c r="AB657" s="432"/>
    </row>
    <row r="658">
      <c r="A658" s="432"/>
      <c r="B658" s="432"/>
      <c r="C658" s="432"/>
      <c r="D658" s="432"/>
      <c r="E658" s="432"/>
      <c r="F658" s="432"/>
      <c r="G658" s="432"/>
      <c r="H658" s="432"/>
      <c r="I658" s="432"/>
      <c r="J658" s="432"/>
      <c r="K658" s="432"/>
      <c r="L658" s="432"/>
      <c r="M658" s="432"/>
      <c r="N658" s="432"/>
      <c r="O658" s="432"/>
      <c r="P658" s="432"/>
      <c r="Q658" s="432"/>
      <c r="R658" s="432"/>
      <c r="S658" s="432"/>
      <c r="T658" s="432"/>
      <c r="U658" s="432"/>
      <c r="V658" s="432"/>
      <c r="W658" s="432"/>
      <c r="X658" s="432"/>
      <c r="Y658" s="432"/>
      <c r="Z658" s="432"/>
      <c r="AA658" s="432"/>
      <c r="AB658" s="432"/>
    </row>
    <row r="659">
      <c r="A659" s="432"/>
      <c r="B659" s="432"/>
      <c r="C659" s="432"/>
      <c r="D659" s="432"/>
      <c r="E659" s="432"/>
      <c r="F659" s="432"/>
      <c r="G659" s="432"/>
      <c r="H659" s="432"/>
      <c r="I659" s="432"/>
      <c r="J659" s="432"/>
      <c r="K659" s="432"/>
      <c r="L659" s="432"/>
      <c r="M659" s="432"/>
      <c r="N659" s="432"/>
      <c r="O659" s="432"/>
      <c r="P659" s="432"/>
      <c r="Q659" s="432"/>
      <c r="R659" s="432"/>
      <c r="S659" s="432"/>
      <c r="T659" s="432"/>
      <c r="U659" s="432"/>
      <c r="V659" s="432"/>
      <c r="W659" s="432"/>
      <c r="X659" s="432"/>
      <c r="Y659" s="432"/>
      <c r="Z659" s="432"/>
      <c r="AA659" s="432"/>
      <c r="AB659" s="432"/>
    </row>
    <row r="660">
      <c r="A660" s="432"/>
      <c r="B660" s="432"/>
      <c r="C660" s="432"/>
      <c r="D660" s="432"/>
      <c r="E660" s="432"/>
      <c r="F660" s="432"/>
      <c r="G660" s="432"/>
      <c r="H660" s="432"/>
      <c r="I660" s="432"/>
      <c r="J660" s="432"/>
      <c r="K660" s="432"/>
      <c r="L660" s="432"/>
      <c r="M660" s="432"/>
      <c r="N660" s="432"/>
      <c r="O660" s="432"/>
      <c r="P660" s="432"/>
      <c r="Q660" s="432"/>
      <c r="R660" s="432"/>
      <c r="S660" s="432"/>
      <c r="T660" s="432"/>
      <c r="U660" s="432"/>
      <c r="V660" s="432"/>
      <c r="W660" s="432"/>
      <c r="X660" s="432"/>
      <c r="Y660" s="432"/>
      <c r="Z660" s="432"/>
      <c r="AA660" s="432"/>
      <c r="AB660" s="432"/>
    </row>
    <row r="661">
      <c r="A661" s="432"/>
      <c r="B661" s="432"/>
      <c r="C661" s="432"/>
      <c r="D661" s="432"/>
      <c r="E661" s="432"/>
      <c r="F661" s="432"/>
      <c r="G661" s="432"/>
      <c r="H661" s="432"/>
      <c r="I661" s="432"/>
      <c r="J661" s="432"/>
      <c r="K661" s="432"/>
      <c r="L661" s="432"/>
      <c r="M661" s="432"/>
      <c r="N661" s="432"/>
      <c r="O661" s="432"/>
      <c r="P661" s="432"/>
      <c r="Q661" s="432"/>
      <c r="R661" s="432"/>
      <c r="S661" s="432"/>
      <c r="T661" s="432"/>
      <c r="U661" s="432"/>
      <c r="V661" s="432"/>
      <c r="W661" s="432"/>
      <c r="X661" s="432"/>
      <c r="Y661" s="432"/>
      <c r="Z661" s="432"/>
      <c r="AA661" s="432"/>
      <c r="AB661" s="432"/>
    </row>
    <row r="662">
      <c r="A662" s="432"/>
      <c r="B662" s="432"/>
      <c r="C662" s="432"/>
      <c r="D662" s="432"/>
      <c r="E662" s="432"/>
      <c r="F662" s="432"/>
      <c r="G662" s="432"/>
      <c r="H662" s="432"/>
      <c r="I662" s="432"/>
      <c r="J662" s="432"/>
      <c r="K662" s="432"/>
      <c r="L662" s="432"/>
      <c r="M662" s="432"/>
      <c r="N662" s="432"/>
      <c r="O662" s="432"/>
      <c r="P662" s="432"/>
      <c r="Q662" s="432"/>
      <c r="R662" s="432"/>
      <c r="S662" s="432"/>
      <c r="T662" s="432"/>
      <c r="U662" s="432"/>
      <c r="V662" s="432"/>
      <c r="W662" s="432"/>
      <c r="X662" s="432"/>
      <c r="Y662" s="432"/>
      <c r="Z662" s="432"/>
      <c r="AA662" s="432"/>
      <c r="AB662" s="432"/>
    </row>
    <row r="663">
      <c r="A663" s="432"/>
      <c r="B663" s="432"/>
      <c r="C663" s="432"/>
      <c r="D663" s="432"/>
      <c r="E663" s="432"/>
      <c r="F663" s="432"/>
      <c r="G663" s="432"/>
      <c r="H663" s="432"/>
      <c r="I663" s="432"/>
      <c r="J663" s="432"/>
      <c r="K663" s="432"/>
      <c r="L663" s="432"/>
      <c r="M663" s="432"/>
      <c r="N663" s="432"/>
      <c r="O663" s="432"/>
      <c r="P663" s="432"/>
      <c r="Q663" s="432"/>
      <c r="R663" s="432"/>
      <c r="S663" s="432"/>
      <c r="T663" s="432"/>
      <c r="U663" s="432"/>
      <c r="V663" s="432"/>
      <c r="W663" s="432"/>
      <c r="X663" s="432"/>
      <c r="Y663" s="432"/>
      <c r="Z663" s="432"/>
      <c r="AA663" s="432"/>
      <c r="AB663" s="432"/>
    </row>
    <row r="664">
      <c r="A664" s="432"/>
      <c r="B664" s="432"/>
      <c r="C664" s="432"/>
      <c r="D664" s="432"/>
      <c r="E664" s="432"/>
      <c r="F664" s="432"/>
      <c r="G664" s="432"/>
      <c r="H664" s="432"/>
      <c r="I664" s="432"/>
      <c r="J664" s="432"/>
      <c r="K664" s="432"/>
      <c r="L664" s="432"/>
      <c r="M664" s="432"/>
      <c r="N664" s="432"/>
      <c r="O664" s="432"/>
      <c r="P664" s="432"/>
      <c r="Q664" s="432"/>
      <c r="R664" s="432"/>
      <c r="S664" s="432"/>
      <c r="T664" s="432"/>
      <c r="U664" s="432"/>
      <c r="V664" s="432"/>
      <c r="W664" s="432"/>
      <c r="X664" s="432"/>
      <c r="Y664" s="432"/>
      <c r="Z664" s="432"/>
      <c r="AA664" s="432"/>
      <c r="AB664" s="432"/>
    </row>
    <row r="665">
      <c r="A665" s="432"/>
      <c r="B665" s="432"/>
      <c r="C665" s="432"/>
      <c r="D665" s="432"/>
      <c r="E665" s="432"/>
      <c r="F665" s="432"/>
      <c r="G665" s="432"/>
      <c r="H665" s="432"/>
      <c r="I665" s="432"/>
      <c r="J665" s="432"/>
      <c r="K665" s="432"/>
      <c r="L665" s="432"/>
      <c r="M665" s="432"/>
      <c r="N665" s="432"/>
      <c r="O665" s="432"/>
      <c r="P665" s="432"/>
      <c r="Q665" s="432"/>
      <c r="R665" s="432"/>
      <c r="S665" s="432"/>
      <c r="T665" s="432"/>
      <c r="U665" s="432"/>
      <c r="V665" s="432"/>
      <c r="W665" s="432"/>
      <c r="X665" s="432"/>
      <c r="Y665" s="432"/>
      <c r="Z665" s="432"/>
      <c r="AA665" s="432"/>
      <c r="AB665" s="432"/>
    </row>
    <row r="666">
      <c r="A666" s="432"/>
      <c r="B666" s="432"/>
      <c r="C666" s="432"/>
      <c r="D666" s="432"/>
      <c r="E666" s="432"/>
      <c r="F666" s="432"/>
      <c r="G666" s="432"/>
      <c r="H666" s="432"/>
      <c r="I666" s="432"/>
      <c r="J666" s="432"/>
      <c r="K666" s="432"/>
      <c r="L666" s="432"/>
      <c r="M666" s="432"/>
      <c r="N666" s="432"/>
      <c r="O666" s="432"/>
      <c r="P666" s="432"/>
      <c r="Q666" s="432"/>
      <c r="R666" s="432"/>
      <c r="S666" s="432"/>
      <c r="T666" s="432"/>
      <c r="U666" s="432"/>
      <c r="V666" s="432"/>
      <c r="W666" s="432"/>
      <c r="X666" s="432"/>
      <c r="Y666" s="432"/>
      <c r="Z666" s="432"/>
      <c r="AA666" s="432"/>
      <c r="AB666" s="432"/>
    </row>
    <row r="667">
      <c r="A667" s="432"/>
      <c r="B667" s="432"/>
      <c r="C667" s="432"/>
      <c r="D667" s="432"/>
      <c r="E667" s="432"/>
      <c r="F667" s="432"/>
      <c r="G667" s="432"/>
      <c r="H667" s="432"/>
      <c r="I667" s="432"/>
      <c r="J667" s="432"/>
      <c r="K667" s="432"/>
      <c r="L667" s="432"/>
      <c r="M667" s="432"/>
      <c r="N667" s="432"/>
      <c r="O667" s="432"/>
      <c r="P667" s="432"/>
      <c r="Q667" s="432"/>
      <c r="R667" s="432"/>
      <c r="S667" s="432"/>
      <c r="T667" s="432"/>
      <c r="U667" s="432"/>
      <c r="V667" s="432"/>
      <c r="W667" s="432"/>
      <c r="X667" s="432"/>
      <c r="Y667" s="432"/>
      <c r="Z667" s="432"/>
      <c r="AA667" s="432"/>
      <c r="AB667" s="432"/>
    </row>
    <row r="668">
      <c r="A668" s="432"/>
      <c r="B668" s="432"/>
      <c r="C668" s="432"/>
      <c r="D668" s="432"/>
      <c r="E668" s="432"/>
      <c r="F668" s="432"/>
      <c r="G668" s="432"/>
      <c r="H668" s="432"/>
      <c r="I668" s="432"/>
      <c r="J668" s="432"/>
      <c r="K668" s="432"/>
      <c r="L668" s="432"/>
      <c r="M668" s="432"/>
      <c r="N668" s="432"/>
      <c r="O668" s="432"/>
      <c r="P668" s="432"/>
      <c r="Q668" s="432"/>
      <c r="R668" s="432"/>
      <c r="S668" s="432"/>
      <c r="T668" s="432"/>
      <c r="U668" s="432"/>
      <c r="V668" s="432"/>
      <c r="W668" s="432"/>
      <c r="X668" s="432"/>
      <c r="Y668" s="432"/>
      <c r="Z668" s="432"/>
      <c r="AA668" s="432"/>
      <c r="AB668" s="432"/>
    </row>
    <row r="669">
      <c r="A669" s="432"/>
      <c r="B669" s="432"/>
      <c r="C669" s="432"/>
      <c r="D669" s="432"/>
      <c r="E669" s="432"/>
      <c r="F669" s="432"/>
      <c r="G669" s="432"/>
      <c r="H669" s="432"/>
      <c r="I669" s="432"/>
      <c r="J669" s="432"/>
      <c r="K669" s="432"/>
      <c r="L669" s="432"/>
      <c r="M669" s="432"/>
      <c r="N669" s="432"/>
      <c r="O669" s="432"/>
      <c r="P669" s="432"/>
      <c r="Q669" s="432"/>
      <c r="R669" s="432"/>
      <c r="S669" s="432"/>
      <c r="T669" s="432"/>
      <c r="U669" s="432"/>
      <c r="V669" s="432"/>
      <c r="W669" s="432"/>
      <c r="X669" s="432"/>
      <c r="Y669" s="432"/>
      <c r="Z669" s="432"/>
      <c r="AA669" s="432"/>
      <c r="AB669" s="432"/>
    </row>
    <row r="670">
      <c r="A670" s="432"/>
      <c r="B670" s="432"/>
      <c r="C670" s="432"/>
      <c r="D670" s="432"/>
      <c r="E670" s="432"/>
      <c r="F670" s="432"/>
      <c r="G670" s="432"/>
      <c r="H670" s="432"/>
      <c r="I670" s="432"/>
      <c r="J670" s="432"/>
      <c r="K670" s="432"/>
      <c r="L670" s="432"/>
      <c r="M670" s="432"/>
      <c r="N670" s="432"/>
      <c r="O670" s="432"/>
      <c r="P670" s="432"/>
      <c r="Q670" s="432"/>
      <c r="R670" s="432"/>
      <c r="S670" s="432"/>
      <c r="T670" s="432"/>
      <c r="U670" s="432"/>
      <c r="V670" s="432"/>
      <c r="W670" s="432"/>
      <c r="X670" s="432"/>
      <c r="Y670" s="432"/>
      <c r="Z670" s="432"/>
      <c r="AA670" s="432"/>
      <c r="AB670" s="432"/>
    </row>
    <row r="671">
      <c r="A671" s="432"/>
      <c r="B671" s="432"/>
      <c r="C671" s="432"/>
      <c r="D671" s="432"/>
      <c r="E671" s="432"/>
      <c r="F671" s="432"/>
      <c r="G671" s="432"/>
      <c r="H671" s="432"/>
      <c r="I671" s="432"/>
      <c r="J671" s="432"/>
      <c r="K671" s="432"/>
      <c r="L671" s="432"/>
      <c r="M671" s="432"/>
      <c r="N671" s="432"/>
      <c r="O671" s="432"/>
      <c r="P671" s="432"/>
      <c r="Q671" s="432"/>
      <c r="R671" s="432"/>
      <c r="S671" s="432"/>
      <c r="T671" s="432"/>
      <c r="U671" s="432"/>
      <c r="V671" s="432"/>
      <c r="W671" s="432"/>
      <c r="X671" s="432"/>
      <c r="Y671" s="432"/>
      <c r="Z671" s="432"/>
      <c r="AA671" s="432"/>
      <c r="AB671" s="432"/>
    </row>
    <row r="672">
      <c r="A672" s="432"/>
      <c r="B672" s="432"/>
      <c r="C672" s="432"/>
      <c r="D672" s="432"/>
      <c r="E672" s="432"/>
      <c r="F672" s="432"/>
      <c r="G672" s="432"/>
      <c r="H672" s="432"/>
      <c r="I672" s="432"/>
      <c r="J672" s="432"/>
      <c r="K672" s="432"/>
      <c r="L672" s="432"/>
      <c r="M672" s="432"/>
      <c r="N672" s="432"/>
      <c r="O672" s="432"/>
      <c r="P672" s="432"/>
      <c r="Q672" s="432"/>
      <c r="R672" s="432"/>
      <c r="S672" s="432"/>
      <c r="T672" s="432"/>
      <c r="U672" s="432"/>
      <c r="V672" s="432"/>
      <c r="W672" s="432"/>
      <c r="X672" s="432"/>
      <c r="Y672" s="432"/>
      <c r="Z672" s="432"/>
      <c r="AA672" s="432"/>
      <c r="AB672" s="432"/>
    </row>
    <row r="673">
      <c r="A673" s="432"/>
      <c r="B673" s="432"/>
      <c r="C673" s="432"/>
      <c r="D673" s="432"/>
      <c r="E673" s="432"/>
      <c r="F673" s="432"/>
      <c r="G673" s="432"/>
      <c r="H673" s="432"/>
      <c r="I673" s="432"/>
      <c r="J673" s="432"/>
      <c r="K673" s="432"/>
      <c r="L673" s="432"/>
      <c r="M673" s="432"/>
      <c r="N673" s="432"/>
      <c r="O673" s="432"/>
      <c r="P673" s="432"/>
      <c r="Q673" s="432"/>
      <c r="R673" s="432"/>
      <c r="S673" s="432"/>
      <c r="T673" s="432"/>
      <c r="U673" s="432"/>
      <c r="V673" s="432"/>
      <c r="W673" s="432"/>
      <c r="X673" s="432"/>
      <c r="Y673" s="432"/>
      <c r="Z673" s="432"/>
      <c r="AA673" s="432"/>
      <c r="AB673" s="432"/>
    </row>
    <row r="674">
      <c r="A674" s="432"/>
      <c r="B674" s="432"/>
      <c r="C674" s="432"/>
      <c r="D674" s="432"/>
      <c r="E674" s="432"/>
      <c r="F674" s="432"/>
      <c r="G674" s="432"/>
      <c r="H674" s="432"/>
      <c r="I674" s="432"/>
      <c r="J674" s="432"/>
      <c r="K674" s="432"/>
      <c r="L674" s="432"/>
      <c r="M674" s="432"/>
      <c r="N674" s="432"/>
      <c r="O674" s="432"/>
      <c r="P674" s="432"/>
      <c r="Q674" s="432"/>
      <c r="R674" s="432"/>
      <c r="S674" s="432"/>
      <c r="T674" s="432"/>
      <c r="U674" s="432"/>
      <c r="V674" s="432"/>
      <c r="W674" s="432"/>
      <c r="X674" s="432"/>
      <c r="Y674" s="432"/>
      <c r="Z674" s="432"/>
      <c r="AA674" s="432"/>
      <c r="AB674" s="432"/>
    </row>
    <row r="675">
      <c r="A675" s="432"/>
      <c r="B675" s="432"/>
      <c r="C675" s="432"/>
      <c r="D675" s="432"/>
      <c r="E675" s="432"/>
      <c r="F675" s="432"/>
      <c r="G675" s="432"/>
      <c r="H675" s="432"/>
      <c r="I675" s="432"/>
      <c r="J675" s="432"/>
      <c r="K675" s="432"/>
      <c r="L675" s="432"/>
      <c r="M675" s="432"/>
      <c r="N675" s="432"/>
      <c r="O675" s="432"/>
      <c r="P675" s="432"/>
      <c r="Q675" s="432"/>
      <c r="R675" s="432"/>
      <c r="S675" s="432"/>
      <c r="T675" s="432"/>
      <c r="U675" s="432"/>
      <c r="V675" s="432"/>
      <c r="W675" s="432"/>
      <c r="X675" s="432"/>
      <c r="Y675" s="432"/>
      <c r="Z675" s="432"/>
      <c r="AA675" s="432"/>
      <c r="AB675" s="432"/>
    </row>
    <row r="676">
      <c r="A676" s="432"/>
      <c r="B676" s="432"/>
      <c r="C676" s="432"/>
      <c r="D676" s="432"/>
      <c r="E676" s="432"/>
      <c r="F676" s="432"/>
      <c r="G676" s="432"/>
      <c r="H676" s="432"/>
      <c r="I676" s="432"/>
      <c r="J676" s="432"/>
      <c r="K676" s="432"/>
      <c r="L676" s="432"/>
      <c r="M676" s="432"/>
      <c r="N676" s="432"/>
      <c r="O676" s="432"/>
      <c r="P676" s="432"/>
      <c r="Q676" s="432"/>
      <c r="R676" s="432"/>
      <c r="S676" s="432"/>
      <c r="T676" s="432"/>
      <c r="U676" s="432"/>
      <c r="V676" s="432"/>
      <c r="W676" s="432"/>
      <c r="X676" s="432"/>
      <c r="Y676" s="432"/>
      <c r="Z676" s="432"/>
      <c r="AA676" s="432"/>
      <c r="AB676" s="432"/>
    </row>
    <row r="677">
      <c r="A677" s="432"/>
      <c r="B677" s="432"/>
      <c r="C677" s="432"/>
      <c r="D677" s="432"/>
      <c r="E677" s="432"/>
      <c r="F677" s="432"/>
      <c r="G677" s="432"/>
      <c r="H677" s="432"/>
      <c r="I677" s="432"/>
      <c r="J677" s="432"/>
      <c r="K677" s="432"/>
      <c r="L677" s="432"/>
      <c r="M677" s="432"/>
      <c r="N677" s="432"/>
      <c r="O677" s="432"/>
      <c r="P677" s="432"/>
      <c r="Q677" s="432"/>
      <c r="R677" s="432"/>
      <c r="S677" s="432"/>
      <c r="T677" s="432"/>
      <c r="U677" s="432"/>
      <c r="V677" s="432"/>
      <c r="W677" s="432"/>
      <c r="X677" s="432"/>
      <c r="Y677" s="432"/>
      <c r="Z677" s="432"/>
      <c r="AA677" s="432"/>
      <c r="AB677" s="432"/>
    </row>
    <row r="678">
      <c r="A678" s="432"/>
      <c r="B678" s="432"/>
      <c r="C678" s="432"/>
      <c r="D678" s="432"/>
      <c r="E678" s="432"/>
      <c r="F678" s="432"/>
      <c r="G678" s="432"/>
      <c r="H678" s="432"/>
      <c r="I678" s="432"/>
      <c r="J678" s="432"/>
      <c r="K678" s="432"/>
      <c r="L678" s="432"/>
      <c r="M678" s="432"/>
      <c r="N678" s="432"/>
      <c r="O678" s="432"/>
      <c r="P678" s="432"/>
      <c r="Q678" s="432"/>
      <c r="R678" s="432"/>
      <c r="S678" s="432"/>
      <c r="T678" s="432"/>
      <c r="U678" s="432"/>
      <c r="V678" s="432"/>
      <c r="W678" s="432"/>
      <c r="X678" s="432"/>
      <c r="Y678" s="432"/>
      <c r="Z678" s="432"/>
      <c r="AA678" s="432"/>
      <c r="AB678" s="432"/>
    </row>
    <row r="679">
      <c r="A679" s="432"/>
      <c r="B679" s="432"/>
      <c r="C679" s="432"/>
      <c r="D679" s="432"/>
      <c r="E679" s="432"/>
      <c r="F679" s="432"/>
      <c r="G679" s="432"/>
      <c r="H679" s="432"/>
      <c r="I679" s="432"/>
      <c r="J679" s="432"/>
      <c r="K679" s="432"/>
      <c r="L679" s="432"/>
      <c r="M679" s="432"/>
      <c r="N679" s="432"/>
      <c r="O679" s="432"/>
      <c r="P679" s="432"/>
      <c r="Q679" s="432"/>
      <c r="R679" s="432"/>
      <c r="S679" s="432"/>
      <c r="T679" s="432"/>
      <c r="U679" s="432"/>
      <c r="V679" s="432"/>
      <c r="W679" s="432"/>
      <c r="X679" s="432"/>
      <c r="Y679" s="432"/>
      <c r="Z679" s="432"/>
      <c r="AA679" s="432"/>
      <c r="AB679" s="432"/>
    </row>
    <row r="680">
      <c r="A680" s="432"/>
      <c r="B680" s="432"/>
      <c r="C680" s="432"/>
      <c r="D680" s="432"/>
      <c r="E680" s="432"/>
      <c r="F680" s="432"/>
      <c r="G680" s="432"/>
      <c r="H680" s="432"/>
      <c r="I680" s="432"/>
      <c r="J680" s="432"/>
      <c r="K680" s="432"/>
      <c r="L680" s="432"/>
      <c r="M680" s="432"/>
      <c r="N680" s="432"/>
      <c r="O680" s="432"/>
      <c r="P680" s="432"/>
      <c r="Q680" s="432"/>
      <c r="R680" s="432"/>
      <c r="S680" s="432"/>
      <c r="T680" s="432"/>
      <c r="U680" s="432"/>
      <c r="V680" s="432"/>
      <c r="W680" s="432"/>
      <c r="X680" s="432"/>
      <c r="Y680" s="432"/>
      <c r="Z680" s="432"/>
      <c r="AA680" s="432"/>
      <c r="AB680" s="432"/>
    </row>
    <row r="681">
      <c r="A681" s="432"/>
      <c r="B681" s="432"/>
      <c r="C681" s="432"/>
      <c r="D681" s="432"/>
      <c r="E681" s="432"/>
      <c r="F681" s="432"/>
      <c r="G681" s="432"/>
      <c r="H681" s="432"/>
      <c r="I681" s="432"/>
      <c r="J681" s="432"/>
      <c r="K681" s="432"/>
      <c r="L681" s="432"/>
      <c r="M681" s="432"/>
      <c r="N681" s="432"/>
      <c r="O681" s="432"/>
      <c r="P681" s="432"/>
      <c r="Q681" s="432"/>
      <c r="R681" s="432"/>
      <c r="S681" s="432"/>
      <c r="T681" s="432"/>
      <c r="U681" s="432"/>
      <c r="V681" s="432"/>
      <c r="W681" s="432"/>
      <c r="X681" s="432"/>
      <c r="Y681" s="432"/>
      <c r="Z681" s="432"/>
      <c r="AA681" s="432"/>
      <c r="AB681" s="432"/>
    </row>
    <row r="682">
      <c r="A682" s="432"/>
      <c r="B682" s="432"/>
      <c r="C682" s="432"/>
      <c r="D682" s="432"/>
      <c r="E682" s="432"/>
      <c r="F682" s="432"/>
      <c r="G682" s="432"/>
      <c r="H682" s="432"/>
      <c r="I682" s="432"/>
      <c r="J682" s="432"/>
      <c r="K682" s="432"/>
      <c r="L682" s="432"/>
      <c r="M682" s="432"/>
      <c r="N682" s="432"/>
      <c r="O682" s="432"/>
      <c r="P682" s="432"/>
      <c r="Q682" s="432"/>
      <c r="R682" s="432"/>
      <c r="S682" s="432"/>
      <c r="T682" s="432"/>
      <c r="U682" s="432"/>
      <c r="V682" s="432"/>
      <c r="W682" s="432"/>
      <c r="X682" s="432"/>
      <c r="Y682" s="432"/>
      <c r="Z682" s="432"/>
      <c r="AA682" s="432"/>
      <c r="AB682" s="432"/>
    </row>
    <row r="683">
      <c r="A683" s="432"/>
      <c r="B683" s="432"/>
      <c r="C683" s="432"/>
      <c r="D683" s="432"/>
      <c r="E683" s="432"/>
      <c r="F683" s="432"/>
      <c r="G683" s="432"/>
      <c r="H683" s="432"/>
      <c r="I683" s="432"/>
      <c r="J683" s="432"/>
      <c r="K683" s="432"/>
      <c r="L683" s="432"/>
      <c r="M683" s="432"/>
      <c r="N683" s="432"/>
      <c r="O683" s="432"/>
      <c r="P683" s="432"/>
      <c r="Q683" s="432"/>
      <c r="R683" s="432"/>
      <c r="S683" s="432"/>
      <c r="T683" s="432"/>
      <c r="U683" s="432"/>
      <c r="V683" s="432"/>
      <c r="W683" s="432"/>
      <c r="X683" s="432"/>
      <c r="Y683" s="432"/>
      <c r="Z683" s="432"/>
      <c r="AA683" s="432"/>
      <c r="AB683" s="432"/>
    </row>
    <row r="684">
      <c r="A684" s="432"/>
      <c r="B684" s="432"/>
      <c r="C684" s="432"/>
      <c r="D684" s="432"/>
      <c r="E684" s="432"/>
      <c r="F684" s="432"/>
      <c r="G684" s="432"/>
      <c r="H684" s="432"/>
      <c r="I684" s="432"/>
      <c r="J684" s="432"/>
      <c r="K684" s="432"/>
      <c r="L684" s="432"/>
      <c r="M684" s="432"/>
      <c r="N684" s="432"/>
      <c r="O684" s="432"/>
      <c r="P684" s="432"/>
      <c r="Q684" s="432"/>
      <c r="R684" s="432"/>
      <c r="S684" s="432"/>
      <c r="T684" s="432"/>
      <c r="U684" s="432"/>
      <c r="V684" s="432"/>
      <c r="W684" s="432"/>
      <c r="X684" s="432"/>
      <c r="Y684" s="432"/>
      <c r="Z684" s="432"/>
      <c r="AA684" s="432"/>
      <c r="AB684" s="432"/>
    </row>
    <row r="685">
      <c r="A685" s="432"/>
      <c r="B685" s="432"/>
      <c r="C685" s="432"/>
      <c r="D685" s="432"/>
      <c r="E685" s="432"/>
      <c r="F685" s="432"/>
      <c r="G685" s="432"/>
      <c r="H685" s="432"/>
      <c r="I685" s="432"/>
      <c r="J685" s="432"/>
      <c r="K685" s="432"/>
      <c r="L685" s="432"/>
      <c r="M685" s="432"/>
      <c r="N685" s="432"/>
      <c r="O685" s="432"/>
      <c r="P685" s="432"/>
      <c r="Q685" s="432"/>
      <c r="R685" s="432"/>
      <c r="S685" s="432"/>
      <c r="T685" s="432"/>
      <c r="U685" s="432"/>
      <c r="V685" s="432"/>
      <c r="W685" s="432"/>
      <c r="X685" s="432"/>
      <c r="Y685" s="432"/>
      <c r="Z685" s="432"/>
      <c r="AA685" s="432"/>
      <c r="AB685" s="432"/>
    </row>
    <row r="686">
      <c r="A686" s="432"/>
      <c r="B686" s="432"/>
      <c r="C686" s="432"/>
      <c r="D686" s="432"/>
      <c r="E686" s="432"/>
      <c r="F686" s="432"/>
      <c r="G686" s="432"/>
      <c r="H686" s="432"/>
      <c r="I686" s="432"/>
      <c r="J686" s="432"/>
      <c r="K686" s="432"/>
      <c r="L686" s="432"/>
      <c r="M686" s="432"/>
      <c r="N686" s="432"/>
      <c r="O686" s="432"/>
      <c r="P686" s="432"/>
      <c r="Q686" s="432"/>
      <c r="R686" s="432"/>
      <c r="S686" s="432"/>
      <c r="T686" s="432"/>
      <c r="U686" s="432"/>
      <c r="V686" s="432"/>
      <c r="W686" s="432"/>
      <c r="X686" s="432"/>
      <c r="Y686" s="432"/>
      <c r="Z686" s="432"/>
      <c r="AA686" s="432"/>
      <c r="AB686" s="432"/>
    </row>
    <row r="687">
      <c r="A687" s="432"/>
      <c r="B687" s="432"/>
      <c r="C687" s="432"/>
      <c r="D687" s="432"/>
      <c r="E687" s="432"/>
      <c r="F687" s="432"/>
      <c r="G687" s="432"/>
      <c r="H687" s="432"/>
      <c r="I687" s="432"/>
      <c r="J687" s="432"/>
      <c r="K687" s="432"/>
      <c r="L687" s="432"/>
      <c r="M687" s="432"/>
      <c r="N687" s="432"/>
      <c r="O687" s="432"/>
      <c r="P687" s="432"/>
      <c r="Q687" s="432"/>
      <c r="R687" s="432"/>
      <c r="S687" s="432"/>
      <c r="T687" s="432"/>
      <c r="U687" s="432"/>
      <c r="V687" s="432"/>
      <c r="W687" s="432"/>
      <c r="X687" s="432"/>
      <c r="Y687" s="432"/>
      <c r="Z687" s="432"/>
      <c r="AA687" s="432"/>
      <c r="AB687" s="432"/>
    </row>
    <row r="688">
      <c r="A688" s="432"/>
      <c r="B688" s="432"/>
      <c r="C688" s="432"/>
      <c r="D688" s="432"/>
      <c r="E688" s="432"/>
      <c r="F688" s="432"/>
      <c r="G688" s="432"/>
      <c r="H688" s="432"/>
      <c r="I688" s="432"/>
      <c r="J688" s="432"/>
      <c r="K688" s="432"/>
      <c r="L688" s="432"/>
      <c r="M688" s="432"/>
      <c r="N688" s="432"/>
      <c r="O688" s="432"/>
      <c r="P688" s="432"/>
      <c r="Q688" s="432"/>
      <c r="R688" s="432"/>
      <c r="S688" s="432"/>
      <c r="T688" s="432"/>
      <c r="U688" s="432"/>
      <c r="V688" s="432"/>
      <c r="W688" s="432"/>
      <c r="X688" s="432"/>
      <c r="Y688" s="432"/>
      <c r="Z688" s="432"/>
      <c r="AA688" s="432"/>
      <c r="AB688" s="432"/>
    </row>
    <row r="689">
      <c r="A689" s="432"/>
      <c r="B689" s="432"/>
      <c r="C689" s="432"/>
      <c r="D689" s="432"/>
      <c r="E689" s="432"/>
      <c r="F689" s="432"/>
      <c r="G689" s="432"/>
      <c r="H689" s="432"/>
      <c r="I689" s="432"/>
      <c r="J689" s="432"/>
      <c r="K689" s="432"/>
      <c r="L689" s="432"/>
      <c r="M689" s="432"/>
      <c r="N689" s="432"/>
      <c r="O689" s="432"/>
      <c r="P689" s="432"/>
      <c r="Q689" s="432"/>
      <c r="R689" s="432"/>
      <c r="S689" s="432"/>
      <c r="T689" s="432"/>
      <c r="U689" s="432"/>
      <c r="V689" s="432"/>
      <c r="W689" s="432"/>
      <c r="X689" s="432"/>
      <c r="Y689" s="432"/>
      <c r="Z689" s="432"/>
      <c r="AA689" s="432"/>
      <c r="AB689" s="432"/>
    </row>
    <row r="690">
      <c r="A690" s="432"/>
      <c r="B690" s="432"/>
      <c r="C690" s="432"/>
      <c r="D690" s="432"/>
      <c r="E690" s="432"/>
      <c r="F690" s="432"/>
      <c r="G690" s="432"/>
      <c r="H690" s="432"/>
      <c r="I690" s="432"/>
      <c r="J690" s="432"/>
      <c r="K690" s="432"/>
      <c r="L690" s="432"/>
      <c r="M690" s="432"/>
      <c r="N690" s="432"/>
      <c r="O690" s="432"/>
      <c r="P690" s="432"/>
      <c r="Q690" s="432"/>
      <c r="R690" s="432"/>
      <c r="S690" s="432"/>
      <c r="T690" s="432"/>
      <c r="U690" s="432"/>
      <c r="V690" s="432"/>
      <c r="W690" s="432"/>
      <c r="X690" s="432"/>
      <c r="Y690" s="432"/>
      <c r="Z690" s="432"/>
      <c r="AA690" s="432"/>
      <c r="AB690" s="432"/>
    </row>
    <row r="691">
      <c r="A691" s="432"/>
      <c r="B691" s="432"/>
      <c r="C691" s="432"/>
      <c r="D691" s="432"/>
      <c r="E691" s="432"/>
      <c r="F691" s="432"/>
      <c r="G691" s="432"/>
      <c r="H691" s="432"/>
      <c r="I691" s="432"/>
      <c r="J691" s="432"/>
      <c r="K691" s="432"/>
      <c r="L691" s="432"/>
      <c r="M691" s="432"/>
      <c r="N691" s="432"/>
      <c r="O691" s="432"/>
      <c r="P691" s="432"/>
      <c r="Q691" s="432"/>
      <c r="R691" s="432"/>
      <c r="S691" s="432"/>
      <c r="T691" s="432"/>
      <c r="U691" s="432"/>
      <c r="V691" s="432"/>
      <c r="W691" s="432"/>
      <c r="X691" s="432"/>
      <c r="Y691" s="432"/>
      <c r="Z691" s="432"/>
      <c r="AA691" s="432"/>
      <c r="AB691" s="432"/>
    </row>
    <row r="692">
      <c r="A692" s="432"/>
      <c r="B692" s="432"/>
      <c r="C692" s="432"/>
      <c r="D692" s="432"/>
      <c r="E692" s="432"/>
      <c r="F692" s="432"/>
      <c r="G692" s="432"/>
      <c r="H692" s="432"/>
      <c r="I692" s="432"/>
      <c r="J692" s="432"/>
      <c r="K692" s="432"/>
      <c r="L692" s="432"/>
      <c r="M692" s="432"/>
      <c r="N692" s="432"/>
      <c r="O692" s="432"/>
      <c r="P692" s="432"/>
      <c r="Q692" s="432"/>
      <c r="R692" s="432"/>
      <c r="S692" s="432"/>
      <c r="T692" s="432"/>
      <c r="U692" s="432"/>
      <c r="V692" s="432"/>
      <c r="W692" s="432"/>
      <c r="X692" s="432"/>
      <c r="Y692" s="432"/>
      <c r="Z692" s="432"/>
      <c r="AA692" s="432"/>
      <c r="AB692" s="432"/>
    </row>
    <row r="693">
      <c r="A693" s="432"/>
      <c r="B693" s="432"/>
      <c r="C693" s="432"/>
      <c r="D693" s="432"/>
      <c r="E693" s="432"/>
      <c r="F693" s="432"/>
      <c r="G693" s="432"/>
      <c r="H693" s="432"/>
      <c r="I693" s="432"/>
      <c r="J693" s="432"/>
      <c r="K693" s="432"/>
      <c r="L693" s="432"/>
      <c r="M693" s="432"/>
      <c r="N693" s="432"/>
      <c r="O693" s="432"/>
      <c r="P693" s="432"/>
      <c r="Q693" s="432"/>
      <c r="R693" s="432"/>
      <c r="S693" s="432"/>
      <c r="T693" s="432"/>
      <c r="U693" s="432"/>
      <c r="V693" s="432"/>
      <c r="W693" s="432"/>
      <c r="X693" s="432"/>
      <c r="Y693" s="432"/>
      <c r="Z693" s="432"/>
      <c r="AA693" s="432"/>
      <c r="AB693" s="432"/>
    </row>
    <row r="694">
      <c r="A694" s="432"/>
      <c r="B694" s="432"/>
      <c r="C694" s="432"/>
      <c r="D694" s="432"/>
      <c r="E694" s="432"/>
      <c r="F694" s="432"/>
      <c r="G694" s="432"/>
      <c r="H694" s="432"/>
      <c r="I694" s="432"/>
      <c r="J694" s="432"/>
      <c r="K694" s="432"/>
      <c r="L694" s="432"/>
      <c r="M694" s="432"/>
      <c r="N694" s="432"/>
      <c r="O694" s="432"/>
      <c r="P694" s="432"/>
      <c r="Q694" s="432"/>
      <c r="R694" s="432"/>
      <c r="S694" s="432"/>
      <c r="T694" s="432"/>
      <c r="U694" s="432"/>
      <c r="V694" s="432"/>
      <c r="W694" s="432"/>
      <c r="X694" s="432"/>
      <c r="Y694" s="432"/>
      <c r="Z694" s="432"/>
      <c r="AA694" s="432"/>
      <c r="AB694" s="432"/>
    </row>
    <row r="695">
      <c r="A695" s="432"/>
      <c r="B695" s="432"/>
      <c r="C695" s="432"/>
      <c r="D695" s="432"/>
      <c r="E695" s="432"/>
      <c r="F695" s="432"/>
      <c r="G695" s="432"/>
      <c r="H695" s="432"/>
      <c r="I695" s="432"/>
      <c r="J695" s="432"/>
      <c r="K695" s="432"/>
      <c r="L695" s="432"/>
      <c r="M695" s="432"/>
      <c r="N695" s="432"/>
      <c r="O695" s="432"/>
      <c r="P695" s="432"/>
      <c r="Q695" s="432"/>
      <c r="R695" s="432"/>
      <c r="S695" s="432"/>
      <c r="T695" s="432"/>
      <c r="U695" s="432"/>
      <c r="V695" s="432"/>
      <c r="W695" s="432"/>
      <c r="X695" s="432"/>
      <c r="Y695" s="432"/>
      <c r="Z695" s="432"/>
      <c r="AA695" s="432"/>
      <c r="AB695" s="432"/>
    </row>
    <row r="696">
      <c r="A696" s="432"/>
      <c r="B696" s="432"/>
      <c r="C696" s="432"/>
      <c r="D696" s="432"/>
      <c r="E696" s="432"/>
      <c r="F696" s="432"/>
      <c r="G696" s="432"/>
      <c r="H696" s="432"/>
      <c r="I696" s="432"/>
      <c r="J696" s="432"/>
      <c r="K696" s="432"/>
      <c r="L696" s="432"/>
      <c r="M696" s="432"/>
      <c r="N696" s="432"/>
      <c r="O696" s="432"/>
      <c r="P696" s="432"/>
      <c r="Q696" s="432"/>
      <c r="R696" s="432"/>
      <c r="S696" s="432"/>
      <c r="T696" s="432"/>
      <c r="U696" s="432"/>
      <c r="V696" s="432"/>
      <c r="W696" s="432"/>
      <c r="X696" s="432"/>
      <c r="Y696" s="432"/>
      <c r="Z696" s="432"/>
      <c r="AA696" s="432"/>
      <c r="AB696" s="432"/>
    </row>
    <row r="697">
      <c r="A697" s="432"/>
      <c r="B697" s="432"/>
      <c r="C697" s="432"/>
      <c r="D697" s="432"/>
      <c r="E697" s="432"/>
      <c r="F697" s="432"/>
      <c r="G697" s="432"/>
      <c r="H697" s="432"/>
      <c r="I697" s="432"/>
      <c r="J697" s="432"/>
      <c r="K697" s="432"/>
      <c r="L697" s="432"/>
      <c r="M697" s="432"/>
      <c r="N697" s="432"/>
      <c r="O697" s="432"/>
      <c r="P697" s="432"/>
      <c r="Q697" s="432"/>
      <c r="R697" s="432"/>
      <c r="S697" s="432"/>
      <c r="T697" s="432"/>
      <c r="U697" s="432"/>
      <c r="V697" s="432"/>
      <c r="W697" s="432"/>
      <c r="X697" s="432"/>
      <c r="Y697" s="432"/>
      <c r="Z697" s="432"/>
      <c r="AA697" s="432"/>
      <c r="AB697" s="432"/>
    </row>
    <row r="698">
      <c r="A698" s="432"/>
      <c r="B698" s="432"/>
      <c r="C698" s="432"/>
      <c r="D698" s="432"/>
      <c r="E698" s="432"/>
      <c r="F698" s="432"/>
      <c r="G698" s="432"/>
      <c r="H698" s="432"/>
      <c r="I698" s="432"/>
      <c r="J698" s="432"/>
      <c r="K698" s="432"/>
      <c r="L698" s="432"/>
      <c r="M698" s="432"/>
      <c r="N698" s="432"/>
      <c r="O698" s="432"/>
      <c r="P698" s="432"/>
      <c r="Q698" s="432"/>
      <c r="R698" s="432"/>
      <c r="S698" s="432"/>
      <c r="T698" s="432"/>
      <c r="U698" s="432"/>
      <c r="V698" s="432"/>
      <c r="W698" s="432"/>
      <c r="X698" s="432"/>
      <c r="Y698" s="432"/>
      <c r="Z698" s="432"/>
      <c r="AA698" s="432"/>
      <c r="AB698" s="432"/>
    </row>
    <row r="699">
      <c r="A699" s="432"/>
      <c r="B699" s="432"/>
      <c r="C699" s="432"/>
      <c r="D699" s="432"/>
      <c r="E699" s="432"/>
      <c r="F699" s="432"/>
      <c r="G699" s="432"/>
      <c r="H699" s="432"/>
      <c r="I699" s="432"/>
      <c r="J699" s="432"/>
      <c r="K699" s="432"/>
      <c r="L699" s="432"/>
      <c r="M699" s="432"/>
      <c r="N699" s="432"/>
      <c r="O699" s="432"/>
      <c r="P699" s="432"/>
      <c r="Q699" s="432"/>
      <c r="R699" s="432"/>
      <c r="S699" s="432"/>
      <c r="T699" s="432"/>
      <c r="U699" s="432"/>
      <c r="V699" s="432"/>
      <c r="W699" s="432"/>
      <c r="X699" s="432"/>
      <c r="Y699" s="432"/>
      <c r="Z699" s="432"/>
      <c r="AA699" s="432"/>
      <c r="AB699" s="432"/>
    </row>
    <row r="700">
      <c r="A700" s="432"/>
      <c r="B700" s="432"/>
      <c r="C700" s="432"/>
      <c r="D700" s="432"/>
      <c r="E700" s="432"/>
      <c r="F700" s="432"/>
      <c r="G700" s="432"/>
      <c r="H700" s="432"/>
      <c r="I700" s="432"/>
      <c r="J700" s="432"/>
      <c r="K700" s="432"/>
      <c r="L700" s="432"/>
      <c r="M700" s="432"/>
      <c r="N700" s="432"/>
      <c r="O700" s="432"/>
      <c r="P700" s="432"/>
      <c r="Q700" s="432"/>
      <c r="R700" s="432"/>
      <c r="S700" s="432"/>
      <c r="T700" s="432"/>
      <c r="U700" s="432"/>
      <c r="V700" s="432"/>
      <c r="W700" s="432"/>
      <c r="X700" s="432"/>
      <c r="Y700" s="432"/>
      <c r="Z700" s="432"/>
      <c r="AA700" s="432"/>
      <c r="AB700" s="432"/>
    </row>
    <row r="701">
      <c r="A701" s="432"/>
      <c r="B701" s="432"/>
      <c r="C701" s="432"/>
      <c r="D701" s="432"/>
      <c r="E701" s="432"/>
      <c r="F701" s="432"/>
      <c r="G701" s="432"/>
      <c r="H701" s="432"/>
      <c r="I701" s="432"/>
      <c r="J701" s="432"/>
      <c r="K701" s="432"/>
      <c r="L701" s="432"/>
      <c r="M701" s="432"/>
      <c r="N701" s="432"/>
      <c r="O701" s="432"/>
      <c r="P701" s="432"/>
      <c r="Q701" s="432"/>
      <c r="R701" s="432"/>
      <c r="S701" s="432"/>
      <c r="T701" s="432"/>
      <c r="U701" s="432"/>
      <c r="V701" s="432"/>
      <c r="W701" s="432"/>
      <c r="X701" s="432"/>
      <c r="Y701" s="432"/>
      <c r="Z701" s="432"/>
      <c r="AA701" s="432"/>
      <c r="AB701" s="432"/>
    </row>
    <row r="702">
      <c r="A702" s="432"/>
      <c r="B702" s="432"/>
      <c r="C702" s="432"/>
      <c r="D702" s="432"/>
      <c r="E702" s="432"/>
      <c r="F702" s="432"/>
      <c r="G702" s="432"/>
      <c r="H702" s="432"/>
      <c r="I702" s="432"/>
      <c r="J702" s="432"/>
      <c r="K702" s="432"/>
      <c r="L702" s="432"/>
      <c r="M702" s="432"/>
      <c r="N702" s="432"/>
      <c r="O702" s="432"/>
      <c r="P702" s="432"/>
      <c r="Q702" s="432"/>
      <c r="R702" s="432"/>
      <c r="S702" s="432"/>
      <c r="T702" s="432"/>
      <c r="U702" s="432"/>
      <c r="V702" s="432"/>
      <c r="W702" s="432"/>
      <c r="X702" s="432"/>
      <c r="Y702" s="432"/>
      <c r="Z702" s="432"/>
      <c r="AA702" s="432"/>
      <c r="AB702" s="432"/>
    </row>
    <row r="703">
      <c r="A703" s="432"/>
      <c r="B703" s="432"/>
      <c r="C703" s="432"/>
      <c r="D703" s="432"/>
      <c r="E703" s="432"/>
      <c r="F703" s="432"/>
      <c r="G703" s="432"/>
      <c r="H703" s="432"/>
      <c r="I703" s="432"/>
      <c r="J703" s="432"/>
      <c r="K703" s="432"/>
      <c r="L703" s="432"/>
      <c r="M703" s="432"/>
      <c r="N703" s="432"/>
      <c r="O703" s="432"/>
      <c r="P703" s="432"/>
      <c r="Q703" s="432"/>
      <c r="R703" s="432"/>
      <c r="S703" s="432"/>
      <c r="T703" s="432"/>
      <c r="U703" s="432"/>
      <c r="V703" s="432"/>
      <c r="W703" s="432"/>
      <c r="X703" s="432"/>
      <c r="Y703" s="432"/>
      <c r="Z703" s="432"/>
      <c r="AA703" s="432"/>
      <c r="AB703" s="432"/>
    </row>
    <row r="704">
      <c r="A704" s="432"/>
      <c r="B704" s="432"/>
      <c r="C704" s="432"/>
      <c r="D704" s="432"/>
      <c r="E704" s="432"/>
      <c r="F704" s="432"/>
      <c r="G704" s="432"/>
      <c r="H704" s="432"/>
      <c r="I704" s="432"/>
      <c r="J704" s="432"/>
      <c r="K704" s="432"/>
      <c r="L704" s="432"/>
      <c r="M704" s="432"/>
      <c r="N704" s="432"/>
      <c r="O704" s="432"/>
      <c r="P704" s="432"/>
      <c r="Q704" s="432"/>
      <c r="R704" s="432"/>
      <c r="S704" s="432"/>
      <c r="T704" s="432"/>
      <c r="U704" s="432"/>
      <c r="V704" s="432"/>
      <c r="W704" s="432"/>
      <c r="X704" s="432"/>
      <c r="Y704" s="432"/>
      <c r="Z704" s="432"/>
      <c r="AA704" s="432"/>
      <c r="AB704" s="432"/>
    </row>
    <row r="705">
      <c r="A705" s="432"/>
      <c r="B705" s="432"/>
      <c r="C705" s="432"/>
      <c r="D705" s="432"/>
      <c r="E705" s="432"/>
      <c r="F705" s="432"/>
      <c r="G705" s="432"/>
      <c r="H705" s="432"/>
      <c r="I705" s="432"/>
      <c r="J705" s="432"/>
      <c r="K705" s="432"/>
      <c r="L705" s="432"/>
      <c r="M705" s="432"/>
      <c r="N705" s="432"/>
      <c r="O705" s="432"/>
      <c r="P705" s="432"/>
      <c r="Q705" s="432"/>
      <c r="R705" s="432"/>
      <c r="S705" s="432"/>
      <c r="T705" s="432"/>
      <c r="U705" s="432"/>
      <c r="V705" s="432"/>
      <c r="W705" s="432"/>
      <c r="X705" s="432"/>
      <c r="Y705" s="432"/>
      <c r="Z705" s="432"/>
      <c r="AA705" s="432"/>
      <c r="AB705" s="432"/>
    </row>
    <row r="706">
      <c r="A706" s="432"/>
      <c r="B706" s="432"/>
      <c r="C706" s="432"/>
      <c r="D706" s="432"/>
      <c r="E706" s="432"/>
      <c r="F706" s="432"/>
      <c r="G706" s="432"/>
      <c r="H706" s="432"/>
      <c r="I706" s="432"/>
      <c r="J706" s="432"/>
      <c r="K706" s="432"/>
      <c r="L706" s="432"/>
      <c r="M706" s="432"/>
      <c r="N706" s="432"/>
      <c r="O706" s="432"/>
      <c r="P706" s="432"/>
      <c r="Q706" s="432"/>
      <c r="R706" s="432"/>
      <c r="S706" s="432"/>
      <c r="T706" s="432"/>
      <c r="U706" s="432"/>
      <c r="V706" s="432"/>
      <c r="W706" s="432"/>
      <c r="X706" s="432"/>
      <c r="Y706" s="432"/>
      <c r="Z706" s="432"/>
      <c r="AA706" s="432"/>
      <c r="AB706" s="432"/>
    </row>
    <row r="707">
      <c r="A707" s="432"/>
      <c r="B707" s="432"/>
      <c r="C707" s="432"/>
      <c r="D707" s="432"/>
      <c r="E707" s="432"/>
      <c r="F707" s="432"/>
      <c r="G707" s="432"/>
      <c r="H707" s="432"/>
      <c r="I707" s="432"/>
      <c r="J707" s="432"/>
      <c r="K707" s="432"/>
      <c r="L707" s="432"/>
      <c r="M707" s="432"/>
      <c r="N707" s="432"/>
      <c r="O707" s="432"/>
      <c r="P707" s="432"/>
      <c r="Q707" s="432"/>
      <c r="R707" s="432"/>
      <c r="S707" s="432"/>
      <c r="T707" s="432"/>
      <c r="U707" s="432"/>
      <c r="V707" s="432"/>
      <c r="W707" s="432"/>
      <c r="X707" s="432"/>
      <c r="Y707" s="432"/>
      <c r="Z707" s="432"/>
      <c r="AA707" s="432"/>
      <c r="AB707" s="432"/>
    </row>
    <row r="708">
      <c r="A708" s="432"/>
      <c r="B708" s="432"/>
      <c r="C708" s="432"/>
      <c r="D708" s="432"/>
      <c r="E708" s="432"/>
      <c r="F708" s="432"/>
      <c r="G708" s="432"/>
      <c r="H708" s="432"/>
      <c r="I708" s="432"/>
      <c r="J708" s="432"/>
      <c r="K708" s="432"/>
      <c r="L708" s="432"/>
      <c r="M708" s="432"/>
      <c r="N708" s="432"/>
      <c r="O708" s="432"/>
      <c r="P708" s="432"/>
      <c r="Q708" s="432"/>
      <c r="R708" s="432"/>
      <c r="S708" s="432"/>
      <c r="T708" s="432"/>
      <c r="U708" s="432"/>
      <c r="V708" s="432"/>
      <c r="W708" s="432"/>
      <c r="X708" s="432"/>
      <c r="Y708" s="432"/>
      <c r="Z708" s="432"/>
      <c r="AA708" s="432"/>
      <c r="AB708" s="432"/>
    </row>
    <row r="709">
      <c r="A709" s="432"/>
      <c r="B709" s="432"/>
      <c r="C709" s="432"/>
      <c r="D709" s="432"/>
      <c r="E709" s="432"/>
      <c r="F709" s="432"/>
      <c r="G709" s="432"/>
      <c r="H709" s="432"/>
      <c r="I709" s="432"/>
      <c r="J709" s="432"/>
      <c r="K709" s="432"/>
      <c r="L709" s="432"/>
      <c r="M709" s="432"/>
      <c r="N709" s="432"/>
      <c r="O709" s="432"/>
      <c r="P709" s="432"/>
      <c r="Q709" s="432"/>
      <c r="R709" s="432"/>
      <c r="S709" s="432"/>
      <c r="T709" s="432"/>
      <c r="U709" s="432"/>
      <c r="V709" s="432"/>
      <c r="W709" s="432"/>
      <c r="X709" s="432"/>
      <c r="Y709" s="432"/>
      <c r="Z709" s="432"/>
      <c r="AA709" s="432"/>
      <c r="AB709" s="432"/>
    </row>
    <row r="710">
      <c r="A710" s="432"/>
      <c r="B710" s="432"/>
      <c r="C710" s="432"/>
      <c r="D710" s="432"/>
      <c r="E710" s="432"/>
      <c r="F710" s="432"/>
      <c r="G710" s="432"/>
      <c r="H710" s="432"/>
      <c r="I710" s="432"/>
      <c r="J710" s="432"/>
      <c r="K710" s="432"/>
      <c r="L710" s="432"/>
      <c r="M710" s="432"/>
      <c r="N710" s="432"/>
      <c r="O710" s="432"/>
      <c r="P710" s="432"/>
      <c r="Q710" s="432"/>
      <c r="R710" s="432"/>
      <c r="S710" s="432"/>
      <c r="T710" s="432"/>
      <c r="U710" s="432"/>
      <c r="V710" s="432"/>
      <c r="W710" s="432"/>
      <c r="X710" s="432"/>
      <c r="Y710" s="432"/>
      <c r="Z710" s="432"/>
      <c r="AA710" s="432"/>
      <c r="AB710" s="432"/>
    </row>
    <row r="711">
      <c r="A711" s="432"/>
      <c r="B711" s="432"/>
      <c r="C711" s="432"/>
      <c r="D711" s="432"/>
      <c r="E711" s="432"/>
      <c r="F711" s="432"/>
      <c r="G711" s="432"/>
      <c r="H711" s="432"/>
      <c r="I711" s="432"/>
      <c r="J711" s="432"/>
      <c r="K711" s="432"/>
      <c r="L711" s="432"/>
      <c r="M711" s="432"/>
      <c r="N711" s="432"/>
      <c r="O711" s="432"/>
      <c r="P711" s="432"/>
      <c r="Q711" s="432"/>
      <c r="R711" s="432"/>
      <c r="S711" s="432"/>
      <c r="T711" s="432"/>
      <c r="U711" s="432"/>
      <c r="V711" s="432"/>
      <c r="W711" s="432"/>
      <c r="X711" s="432"/>
      <c r="Y711" s="432"/>
      <c r="Z711" s="432"/>
      <c r="AA711" s="432"/>
      <c r="AB711" s="432"/>
    </row>
    <row r="712">
      <c r="A712" s="432"/>
      <c r="B712" s="432"/>
      <c r="C712" s="432"/>
      <c r="D712" s="432"/>
      <c r="E712" s="432"/>
      <c r="F712" s="432"/>
      <c r="G712" s="432"/>
      <c r="H712" s="432"/>
      <c r="I712" s="432"/>
      <c r="J712" s="432"/>
      <c r="K712" s="432"/>
      <c r="L712" s="432"/>
      <c r="M712" s="432"/>
      <c r="N712" s="432"/>
      <c r="O712" s="432"/>
      <c r="P712" s="432"/>
      <c r="Q712" s="432"/>
      <c r="R712" s="432"/>
      <c r="S712" s="432"/>
      <c r="T712" s="432"/>
      <c r="U712" s="432"/>
      <c r="V712" s="432"/>
      <c r="W712" s="432"/>
      <c r="X712" s="432"/>
      <c r="Y712" s="432"/>
      <c r="Z712" s="432"/>
      <c r="AA712" s="432"/>
      <c r="AB712" s="432"/>
    </row>
    <row r="713">
      <c r="A713" s="432"/>
      <c r="B713" s="432"/>
      <c r="C713" s="432"/>
      <c r="D713" s="432"/>
      <c r="E713" s="432"/>
      <c r="F713" s="432"/>
      <c r="G713" s="432"/>
      <c r="H713" s="432"/>
      <c r="I713" s="432"/>
      <c r="J713" s="432"/>
      <c r="K713" s="432"/>
      <c r="L713" s="432"/>
      <c r="M713" s="432"/>
      <c r="N713" s="432"/>
      <c r="O713" s="432"/>
      <c r="P713" s="432"/>
      <c r="Q713" s="432"/>
      <c r="R713" s="432"/>
      <c r="S713" s="432"/>
      <c r="T713" s="432"/>
      <c r="U713" s="432"/>
      <c r="V713" s="432"/>
      <c r="W713" s="432"/>
      <c r="X713" s="432"/>
      <c r="Y713" s="432"/>
      <c r="Z713" s="432"/>
      <c r="AA713" s="432"/>
      <c r="AB713" s="432"/>
    </row>
    <row r="714">
      <c r="A714" s="432"/>
      <c r="B714" s="432"/>
      <c r="C714" s="432"/>
      <c r="D714" s="432"/>
      <c r="E714" s="432"/>
      <c r="F714" s="432"/>
      <c r="G714" s="432"/>
      <c r="H714" s="432"/>
      <c r="I714" s="432"/>
      <c r="J714" s="432"/>
      <c r="K714" s="432"/>
      <c r="L714" s="432"/>
      <c r="M714" s="432"/>
      <c r="N714" s="432"/>
      <c r="O714" s="432"/>
      <c r="P714" s="432"/>
      <c r="Q714" s="432"/>
      <c r="R714" s="432"/>
      <c r="S714" s="432"/>
      <c r="T714" s="432"/>
      <c r="U714" s="432"/>
      <c r="V714" s="432"/>
      <c r="W714" s="432"/>
      <c r="X714" s="432"/>
      <c r="Y714" s="432"/>
      <c r="Z714" s="432"/>
      <c r="AA714" s="432"/>
      <c r="AB714" s="432"/>
    </row>
    <row r="715">
      <c r="A715" s="432"/>
      <c r="B715" s="432"/>
      <c r="C715" s="432"/>
      <c r="D715" s="432"/>
      <c r="E715" s="432"/>
      <c r="F715" s="432"/>
      <c r="G715" s="432"/>
      <c r="H715" s="432"/>
      <c r="I715" s="432"/>
      <c r="J715" s="432"/>
      <c r="K715" s="432"/>
      <c r="L715" s="432"/>
      <c r="M715" s="432"/>
      <c r="N715" s="432"/>
      <c r="O715" s="432"/>
      <c r="P715" s="432"/>
      <c r="Q715" s="432"/>
      <c r="R715" s="432"/>
      <c r="S715" s="432"/>
      <c r="T715" s="432"/>
      <c r="U715" s="432"/>
      <c r="V715" s="432"/>
      <c r="W715" s="432"/>
      <c r="X715" s="432"/>
      <c r="Y715" s="432"/>
      <c r="Z715" s="432"/>
      <c r="AA715" s="432"/>
      <c r="AB715" s="432"/>
    </row>
    <row r="716">
      <c r="A716" s="432"/>
      <c r="B716" s="432"/>
      <c r="C716" s="432"/>
      <c r="D716" s="432"/>
      <c r="E716" s="432"/>
      <c r="F716" s="432"/>
      <c r="G716" s="432"/>
      <c r="H716" s="432"/>
      <c r="I716" s="432"/>
      <c r="J716" s="432"/>
      <c r="K716" s="432"/>
      <c r="L716" s="432"/>
      <c r="M716" s="432"/>
      <c r="N716" s="432"/>
      <c r="O716" s="432"/>
      <c r="P716" s="432"/>
      <c r="Q716" s="432"/>
      <c r="R716" s="432"/>
      <c r="S716" s="432"/>
      <c r="T716" s="432"/>
      <c r="U716" s="432"/>
      <c r="V716" s="432"/>
      <c r="W716" s="432"/>
      <c r="X716" s="432"/>
      <c r="Y716" s="432"/>
      <c r="Z716" s="432"/>
      <c r="AA716" s="432"/>
      <c r="AB716" s="432"/>
    </row>
    <row r="717">
      <c r="A717" s="432"/>
      <c r="B717" s="432"/>
      <c r="C717" s="432"/>
      <c r="D717" s="432"/>
      <c r="E717" s="432"/>
      <c r="F717" s="432"/>
      <c r="G717" s="432"/>
      <c r="H717" s="432"/>
      <c r="I717" s="432"/>
      <c r="J717" s="432"/>
      <c r="K717" s="432"/>
      <c r="L717" s="432"/>
      <c r="M717" s="432"/>
      <c r="N717" s="432"/>
      <c r="O717" s="432"/>
      <c r="P717" s="432"/>
      <c r="Q717" s="432"/>
      <c r="R717" s="432"/>
      <c r="S717" s="432"/>
      <c r="T717" s="432"/>
      <c r="U717" s="432"/>
      <c r="V717" s="432"/>
      <c r="W717" s="432"/>
      <c r="X717" s="432"/>
      <c r="Y717" s="432"/>
      <c r="Z717" s="432"/>
      <c r="AA717" s="432"/>
      <c r="AB717" s="432"/>
    </row>
    <row r="718">
      <c r="A718" s="432"/>
      <c r="B718" s="432"/>
      <c r="C718" s="432"/>
      <c r="D718" s="432"/>
      <c r="E718" s="432"/>
      <c r="F718" s="432"/>
      <c r="G718" s="432"/>
      <c r="H718" s="432"/>
      <c r="I718" s="432"/>
      <c r="J718" s="432"/>
      <c r="K718" s="432"/>
      <c r="L718" s="432"/>
      <c r="M718" s="432"/>
      <c r="N718" s="432"/>
      <c r="O718" s="432"/>
      <c r="P718" s="432"/>
      <c r="Q718" s="432"/>
      <c r="R718" s="432"/>
      <c r="S718" s="432"/>
      <c r="T718" s="432"/>
      <c r="U718" s="432"/>
      <c r="V718" s="432"/>
      <c r="W718" s="432"/>
      <c r="X718" s="432"/>
      <c r="Y718" s="432"/>
      <c r="Z718" s="432"/>
      <c r="AA718" s="432"/>
      <c r="AB718" s="432"/>
    </row>
    <row r="719">
      <c r="A719" s="432"/>
      <c r="B719" s="432"/>
      <c r="C719" s="432"/>
      <c r="D719" s="432"/>
      <c r="E719" s="432"/>
      <c r="F719" s="432"/>
      <c r="G719" s="432"/>
      <c r="H719" s="432"/>
      <c r="I719" s="432"/>
      <c r="J719" s="432"/>
      <c r="K719" s="432"/>
      <c r="L719" s="432"/>
      <c r="M719" s="432"/>
      <c r="N719" s="432"/>
      <c r="O719" s="432"/>
      <c r="P719" s="432"/>
      <c r="Q719" s="432"/>
      <c r="R719" s="432"/>
      <c r="S719" s="432"/>
      <c r="T719" s="432"/>
      <c r="U719" s="432"/>
      <c r="V719" s="432"/>
      <c r="W719" s="432"/>
      <c r="X719" s="432"/>
      <c r="Y719" s="432"/>
      <c r="Z719" s="432"/>
      <c r="AA719" s="432"/>
      <c r="AB719" s="432"/>
    </row>
    <row r="720">
      <c r="A720" s="432"/>
      <c r="B720" s="432"/>
      <c r="C720" s="432"/>
      <c r="D720" s="432"/>
      <c r="E720" s="432"/>
      <c r="F720" s="432"/>
      <c r="G720" s="432"/>
      <c r="H720" s="432"/>
      <c r="I720" s="432"/>
      <c r="J720" s="432"/>
      <c r="K720" s="432"/>
      <c r="L720" s="432"/>
      <c r="M720" s="432"/>
      <c r="N720" s="432"/>
      <c r="O720" s="432"/>
      <c r="P720" s="432"/>
      <c r="Q720" s="432"/>
      <c r="R720" s="432"/>
      <c r="S720" s="432"/>
      <c r="T720" s="432"/>
      <c r="U720" s="432"/>
      <c r="V720" s="432"/>
      <c r="W720" s="432"/>
      <c r="X720" s="432"/>
      <c r="Y720" s="432"/>
      <c r="Z720" s="432"/>
      <c r="AA720" s="432"/>
      <c r="AB720" s="432"/>
    </row>
    <row r="721">
      <c r="A721" s="432"/>
      <c r="B721" s="432"/>
      <c r="C721" s="432"/>
      <c r="D721" s="432"/>
      <c r="E721" s="432"/>
      <c r="F721" s="432"/>
      <c r="G721" s="432"/>
      <c r="H721" s="432"/>
      <c r="I721" s="432"/>
      <c r="J721" s="432"/>
      <c r="K721" s="432"/>
      <c r="L721" s="432"/>
      <c r="M721" s="432"/>
      <c r="N721" s="432"/>
      <c r="O721" s="432"/>
      <c r="P721" s="432"/>
      <c r="Q721" s="432"/>
      <c r="R721" s="432"/>
      <c r="S721" s="432"/>
      <c r="T721" s="432"/>
      <c r="U721" s="432"/>
      <c r="V721" s="432"/>
      <c r="W721" s="432"/>
      <c r="X721" s="432"/>
      <c r="Y721" s="432"/>
      <c r="Z721" s="432"/>
      <c r="AA721" s="432"/>
      <c r="AB721" s="432"/>
    </row>
    <row r="722">
      <c r="A722" s="432"/>
      <c r="B722" s="432"/>
      <c r="C722" s="432"/>
      <c r="D722" s="432"/>
      <c r="E722" s="432"/>
      <c r="F722" s="432"/>
      <c r="G722" s="432"/>
      <c r="H722" s="432"/>
      <c r="I722" s="432"/>
      <c r="J722" s="432"/>
      <c r="K722" s="432"/>
      <c r="L722" s="432"/>
      <c r="M722" s="432"/>
      <c r="N722" s="432"/>
      <c r="O722" s="432"/>
      <c r="P722" s="432"/>
      <c r="Q722" s="432"/>
      <c r="R722" s="432"/>
      <c r="S722" s="432"/>
      <c r="T722" s="432"/>
      <c r="U722" s="432"/>
      <c r="V722" s="432"/>
      <c r="W722" s="432"/>
      <c r="X722" s="432"/>
      <c r="Y722" s="432"/>
      <c r="Z722" s="432"/>
      <c r="AA722" s="432"/>
      <c r="AB722" s="432"/>
    </row>
    <row r="723">
      <c r="A723" s="432"/>
      <c r="B723" s="432"/>
      <c r="C723" s="432"/>
      <c r="D723" s="432"/>
      <c r="E723" s="432"/>
      <c r="F723" s="432"/>
      <c r="G723" s="432"/>
      <c r="H723" s="432"/>
      <c r="I723" s="432"/>
      <c r="J723" s="432"/>
      <c r="K723" s="432"/>
      <c r="L723" s="432"/>
      <c r="M723" s="432"/>
      <c r="N723" s="432"/>
      <c r="O723" s="432"/>
      <c r="P723" s="432"/>
      <c r="Q723" s="432"/>
      <c r="R723" s="432"/>
      <c r="S723" s="432"/>
      <c r="T723" s="432"/>
      <c r="U723" s="432"/>
      <c r="V723" s="432"/>
      <c r="W723" s="432"/>
      <c r="X723" s="432"/>
      <c r="Y723" s="432"/>
      <c r="Z723" s="432"/>
      <c r="AA723" s="432"/>
      <c r="AB723" s="432"/>
    </row>
    <row r="724">
      <c r="A724" s="432"/>
      <c r="B724" s="432"/>
      <c r="C724" s="432"/>
      <c r="D724" s="432"/>
      <c r="E724" s="432"/>
      <c r="F724" s="432"/>
      <c r="G724" s="432"/>
      <c r="H724" s="432"/>
      <c r="I724" s="432"/>
      <c r="J724" s="432"/>
      <c r="K724" s="432"/>
      <c r="L724" s="432"/>
      <c r="M724" s="432"/>
      <c r="N724" s="432"/>
      <c r="O724" s="432"/>
      <c r="P724" s="432"/>
      <c r="Q724" s="432"/>
      <c r="R724" s="432"/>
      <c r="S724" s="432"/>
      <c r="T724" s="432"/>
      <c r="U724" s="432"/>
      <c r="V724" s="432"/>
      <c r="W724" s="432"/>
      <c r="X724" s="432"/>
      <c r="Y724" s="432"/>
      <c r="Z724" s="432"/>
      <c r="AA724" s="432"/>
      <c r="AB724" s="432"/>
    </row>
    <row r="725">
      <c r="A725" s="432"/>
      <c r="B725" s="432"/>
      <c r="C725" s="432"/>
      <c r="D725" s="432"/>
      <c r="E725" s="432"/>
      <c r="F725" s="432"/>
      <c r="G725" s="432"/>
      <c r="H725" s="432"/>
      <c r="I725" s="432"/>
      <c r="J725" s="432"/>
      <c r="K725" s="432"/>
      <c r="L725" s="432"/>
      <c r="M725" s="432"/>
      <c r="N725" s="432"/>
      <c r="O725" s="432"/>
      <c r="P725" s="432"/>
      <c r="Q725" s="432"/>
      <c r="R725" s="432"/>
      <c r="S725" s="432"/>
      <c r="T725" s="432"/>
      <c r="U725" s="432"/>
      <c r="V725" s="432"/>
      <c r="W725" s="432"/>
      <c r="X725" s="432"/>
      <c r="Y725" s="432"/>
      <c r="Z725" s="432"/>
      <c r="AA725" s="432"/>
      <c r="AB725" s="432"/>
    </row>
    <row r="726">
      <c r="A726" s="432"/>
      <c r="B726" s="432"/>
      <c r="C726" s="432"/>
      <c r="D726" s="432"/>
      <c r="E726" s="432"/>
      <c r="F726" s="432"/>
      <c r="G726" s="432"/>
      <c r="H726" s="432"/>
      <c r="I726" s="432"/>
      <c r="J726" s="432"/>
      <c r="K726" s="432"/>
      <c r="L726" s="432"/>
      <c r="M726" s="432"/>
      <c r="N726" s="432"/>
      <c r="O726" s="432"/>
      <c r="P726" s="432"/>
      <c r="Q726" s="432"/>
      <c r="R726" s="432"/>
      <c r="S726" s="432"/>
      <c r="T726" s="432"/>
      <c r="U726" s="432"/>
      <c r="V726" s="432"/>
      <c r="W726" s="432"/>
      <c r="X726" s="432"/>
      <c r="Y726" s="432"/>
      <c r="Z726" s="432"/>
      <c r="AA726" s="432"/>
      <c r="AB726" s="432"/>
    </row>
    <row r="727">
      <c r="A727" s="432"/>
      <c r="B727" s="432"/>
      <c r="C727" s="432"/>
      <c r="D727" s="432"/>
      <c r="E727" s="432"/>
      <c r="F727" s="432"/>
      <c r="G727" s="432"/>
      <c r="H727" s="432"/>
      <c r="I727" s="432"/>
      <c r="J727" s="432"/>
      <c r="K727" s="432"/>
      <c r="L727" s="432"/>
      <c r="M727" s="432"/>
      <c r="N727" s="432"/>
      <c r="O727" s="432"/>
      <c r="P727" s="432"/>
      <c r="Q727" s="432"/>
      <c r="R727" s="432"/>
      <c r="S727" s="432"/>
      <c r="T727" s="432"/>
      <c r="U727" s="432"/>
      <c r="V727" s="432"/>
      <c r="W727" s="432"/>
      <c r="X727" s="432"/>
      <c r="Y727" s="432"/>
      <c r="Z727" s="432"/>
      <c r="AA727" s="432"/>
      <c r="AB727" s="432"/>
    </row>
    <row r="728">
      <c r="A728" s="432"/>
      <c r="B728" s="432"/>
      <c r="C728" s="432"/>
      <c r="D728" s="432"/>
      <c r="E728" s="432"/>
      <c r="F728" s="432"/>
      <c r="G728" s="432"/>
      <c r="H728" s="432"/>
      <c r="I728" s="432"/>
      <c r="J728" s="432"/>
      <c r="K728" s="432"/>
      <c r="L728" s="432"/>
      <c r="M728" s="432"/>
      <c r="N728" s="432"/>
      <c r="O728" s="432"/>
      <c r="P728" s="432"/>
      <c r="Q728" s="432"/>
      <c r="R728" s="432"/>
      <c r="S728" s="432"/>
      <c r="T728" s="432"/>
      <c r="U728" s="432"/>
      <c r="V728" s="432"/>
      <c r="W728" s="432"/>
      <c r="X728" s="432"/>
      <c r="Y728" s="432"/>
      <c r="Z728" s="432"/>
      <c r="AA728" s="432"/>
      <c r="AB728" s="432"/>
    </row>
    <row r="729">
      <c r="A729" s="432"/>
      <c r="B729" s="432"/>
      <c r="C729" s="432"/>
      <c r="D729" s="432"/>
      <c r="E729" s="432"/>
      <c r="F729" s="432"/>
      <c r="G729" s="432"/>
      <c r="H729" s="432"/>
      <c r="I729" s="432"/>
      <c r="J729" s="432"/>
      <c r="K729" s="432"/>
      <c r="L729" s="432"/>
      <c r="M729" s="432"/>
      <c r="N729" s="432"/>
      <c r="O729" s="432"/>
      <c r="P729" s="432"/>
      <c r="Q729" s="432"/>
      <c r="R729" s="432"/>
      <c r="S729" s="432"/>
      <c r="T729" s="432"/>
      <c r="U729" s="432"/>
      <c r="V729" s="432"/>
      <c r="W729" s="432"/>
      <c r="X729" s="432"/>
      <c r="Y729" s="432"/>
      <c r="Z729" s="432"/>
      <c r="AA729" s="432"/>
      <c r="AB729" s="432"/>
    </row>
    <row r="730">
      <c r="A730" s="432"/>
      <c r="B730" s="432"/>
      <c r="C730" s="432"/>
      <c r="D730" s="432"/>
      <c r="E730" s="432"/>
      <c r="F730" s="432"/>
      <c r="G730" s="432"/>
      <c r="H730" s="432"/>
      <c r="I730" s="432"/>
      <c r="J730" s="432"/>
      <c r="K730" s="432"/>
      <c r="L730" s="432"/>
      <c r="M730" s="432"/>
      <c r="N730" s="432"/>
      <c r="O730" s="432"/>
      <c r="P730" s="432"/>
      <c r="Q730" s="432"/>
      <c r="R730" s="432"/>
      <c r="S730" s="432"/>
      <c r="T730" s="432"/>
      <c r="U730" s="432"/>
      <c r="V730" s="432"/>
      <c r="W730" s="432"/>
      <c r="X730" s="432"/>
      <c r="Y730" s="432"/>
      <c r="Z730" s="432"/>
      <c r="AA730" s="432"/>
      <c r="AB730" s="432"/>
    </row>
    <row r="731">
      <c r="A731" s="432"/>
      <c r="B731" s="432"/>
      <c r="C731" s="432"/>
      <c r="D731" s="432"/>
      <c r="E731" s="432"/>
      <c r="F731" s="432"/>
      <c r="G731" s="432"/>
      <c r="H731" s="432"/>
      <c r="I731" s="432"/>
      <c r="J731" s="432"/>
      <c r="K731" s="432"/>
      <c r="L731" s="432"/>
      <c r="M731" s="432"/>
      <c r="N731" s="432"/>
      <c r="O731" s="432"/>
      <c r="P731" s="432"/>
      <c r="Q731" s="432"/>
      <c r="R731" s="432"/>
      <c r="S731" s="432"/>
      <c r="T731" s="432"/>
      <c r="U731" s="432"/>
      <c r="V731" s="432"/>
      <c r="W731" s="432"/>
      <c r="X731" s="432"/>
      <c r="Y731" s="432"/>
      <c r="Z731" s="432"/>
      <c r="AA731" s="432"/>
      <c r="AB731" s="432"/>
    </row>
    <row r="732">
      <c r="A732" s="432"/>
      <c r="B732" s="432"/>
      <c r="C732" s="432"/>
      <c r="D732" s="432"/>
      <c r="E732" s="432"/>
      <c r="F732" s="432"/>
      <c r="G732" s="432"/>
      <c r="H732" s="432"/>
      <c r="I732" s="432"/>
      <c r="J732" s="432"/>
      <c r="K732" s="432"/>
      <c r="L732" s="432"/>
      <c r="M732" s="432"/>
      <c r="N732" s="432"/>
      <c r="O732" s="432"/>
      <c r="P732" s="432"/>
      <c r="Q732" s="432"/>
      <c r="R732" s="432"/>
      <c r="S732" s="432"/>
      <c r="T732" s="432"/>
      <c r="U732" s="432"/>
      <c r="V732" s="432"/>
      <c r="W732" s="432"/>
      <c r="X732" s="432"/>
      <c r="Y732" s="432"/>
      <c r="Z732" s="432"/>
      <c r="AA732" s="432"/>
      <c r="AB732" s="432"/>
    </row>
    <row r="733">
      <c r="A733" s="432"/>
      <c r="B733" s="432"/>
      <c r="C733" s="432"/>
      <c r="D733" s="432"/>
      <c r="E733" s="432"/>
      <c r="F733" s="432"/>
      <c r="G733" s="432"/>
      <c r="H733" s="432"/>
      <c r="I733" s="432"/>
      <c r="J733" s="432"/>
      <c r="K733" s="432"/>
      <c r="L733" s="432"/>
      <c r="M733" s="432"/>
      <c r="N733" s="432"/>
      <c r="O733" s="432"/>
      <c r="P733" s="432"/>
      <c r="Q733" s="432"/>
      <c r="R733" s="432"/>
      <c r="S733" s="432"/>
      <c r="T733" s="432"/>
      <c r="U733" s="432"/>
      <c r="V733" s="432"/>
      <c r="W733" s="432"/>
      <c r="X733" s="432"/>
      <c r="Y733" s="432"/>
      <c r="Z733" s="432"/>
      <c r="AA733" s="432"/>
      <c r="AB733" s="432"/>
    </row>
    <row r="734">
      <c r="A734" s="432"/>
      <c r="B734" s="432"/>
      <c r="C734" s="432"/>
      <c r="D734" s="432"/>
      <c r="E734" s="432"/>
      <c r="F734" s="432"/>
      <c r="G734" s="432"/>
      <c r="H734" s="432"/>
      <c r="I734" s="432"/>
      <c r="J734" s="432"/>
      <c r="K734" s="432"/>
      <c r="L734" s="432"/>
      <c r="M734" s="432"/>
      <c r="N734" s="432"/>
      <c r="O734" s="432"/>
      <c r="P734" s="432"/>
      <c r="Q734" s="432"/>
      <c r="R734" s="432"/>
      <c r="S734" s="432"/>
      <c r="T734" s="432"/>
      <c r="U734" s="432"/>
      <c r="V734" s="432"/>
      <c r="W734" s="432"/>
      <c r="X734" s="432"/>
      <c r="Y734" s="432"/>
      <c r="Z734" s="432"/>
      <c r="AA734" s="432"/>
      <c r="AB734" s="432"/>
    </row>
    <row r="735">
      <c r="A735" s="432"/>
      <c r="B735" s="432"/>
      <c r="C735" s="432"/>
      <c r="D735" s="432"/>
      <c r="E735" s="432"/>
      <c r="F735" s="432"/>
      <c r="G735" s="432"/>
      <c r="H735" s="432"/>
      <c r="I735" s="432"/>
      <c r="J735" s="432"/>
      <c r="K735" s="432"/>
      <c r="L735" s="432"/>
      <c r="M735" s="432"/>
      <c r="N735" s="432"/>
      <c r="O735" s="432"/>
      <c r="P735" s="432"/>
      <c r="Q735" s="432"/>
      <c r="R735" s="432"/>
      <c r="S735" s="432"/>
      <c r="T735" s="432"/>
      <c r="U735" s="432"/>
      <c r="V735" s="432"/>
      <c r="W735" s="432"/>
      <c r="X735" s="432"/>
      <c r="Y735" s="432"/>
      <c r="Z735" s="432"/>
      <c r="AA735" s="432"/>
      <c r="AB735" s="432"/>
    </row>
    <row r="736">
      <c r="A736" s="432"/>
      <c r="B736" s="432"/>
      <c r="C736" s="432"/>
      <c r="D736" s="432"/>
      <c r="E736" s="432"/>
      <c r="F736" s="432"/>
      <c r="G736" s="432"/>
      <c r="H736" s="432"/>
      <c r="I736" s="432"/>
      <c r="J736" s="432"/>
      <c r="K736" s="432"/>
      <c r="L736" s="432"/>
      <c r="M736" s="432"/>
      <c r="N736" s="432"/>
      <c r="O736" s="432"/>
      <c r="P736" s="432"/>
      <c r="Q736" s="432"/>
      <c r="R736" s="432"/>
      <c r="S736" s="432"/>
      <c r="T736" s="432"/>
      <c r="U736" s="432"/>
      <c r="V736" s="432"/>
      <c r="W736" s="432"/>
      <c r="X736" s="432"/>
      <c r="Y736" s="432"/>
      <c r="Z736" s="432"/>
      <c r="AA736" s="432"/>
      <c r="AB736" s="432"/>
    </row>
    <row r="737">
      <c r="A737" s="432"/>
      <c r="B737" s="432"/>
      <c r="C737" s="432"/>
      <c r="D737" s="432"/>
      <c r="E737" s="432"/>
      <c r="F737" s="432"/>
      <c r="G737" s="432"/>
      <c r="H737" s="432"/>
      <c r="I737" s="432"/>
      <c r="J737" s="432"/>
      <c r="K737" s="432"/>
      <c r="L737" s="432"/>
      <c r="M737" s="432"/>
      <c r="N737" s="432"/>
      <c r="O737" s="432"/>
      <c r="P737" s="432"/>
      <c r="Q737" s="432"/>
      <c r="R737" s="432"/>
      <c r="S737" s="432"/>
      <c r="T737" s="432"/>
      <c r="U737" s="432"/>
      <c r="V737" s="432"/>
      <c r="W737" s="432"/>
      <c r="X737" s="432"/>
      <c r="Y737" s="432"/>
      <c r="Z737" s="432"/>
      <c r="AA737" s="432"/>
      <c r="AB737" s="432"/>
    </row>
    <row r="738">
      <c r="A738" s="432"/>
      <c r="B738" s="432"/>
      <c r="C738" s="432"/>
      <c r="D738" s="432"/>
      <c r="E738" s="432"/>
      <c r="F738" s="432"/>
      <c r="G738" s="432"/>
      <c r="H738" s="432"/>
      <c r="I738" s="432"/>
      <c r="J738" s="432"/>
      <c r="K738" s="432"/>
      <c r="L738" s="432"/>
      <c r="M738" s="432"/>
      <c r="N738" s="432"/>
      <c r="O738" s="432"/>
      <c r="P738" s="432"/>
      <c r="Q738" s="432"/>
      <c r="R738" s="432"/>
      <c r="S738" s="432"/>
      <c r="T738" s="432"/>
      <c r="U738" s="432"/>
      <c r="V738" s="432"/>
      <c r="W738" s="432"/>
      <c r="X738" s="432"/>
      <c r="Y738" s="432"/>
      <c r="Z738" s="432"/>
      <c r="AA738" s="432"/>
      <c r="AB738" s="432"/>
    </row>
    <row r="739">
      <c r="A739" s="432"/>
      <c r="B739" s="432"/>
      <c r="C739" s="432"/>
      <c r="D739" s="432"/>
      <c r="E739" s="432"/>
      <c r="F739" s="432"/>
      <c r="G739" s="432"/>
      <c r="H739" s="432"/>
      <c r="I739" s="432"/>
      <c r="J739" s="432"/>
      <c r="K739" s="432"/>
      <c r="L739" s="432"/>
      <c r="M739" s="432"/>
      <c r="N739" s="432"/>
      <c r="O739" s="432"/>
      <c r="P739" s="432"/>
      <c r="Q739" s="432"/>
      <c r="R739" s="432"/>
      <c r="S739" s="432"/>
      <c r="T739" s="432"/>
      <c r="U739" s="432"/>
      <c r="V739" s="432"/>
      <c r="W739" s="432"/>
      <c r="X739" s="432"/>
      <c r="Y739" s="432"/>
      <c r="Z739" s="432"/>
      <c r="AA739" s="432"/>
      <c r="AB739" s="432"/>
    </row>
    <row r="740">
      <c r="A740" s="432"/>
      <c r="B740" s="432"/>
      <c r="C740" s="432"/>
      <c r="D740" s="432"/>
      <c r="E740" s="432"/>
      <c r="F740" s="432"/>
      <c r="G740" s="432"/>
      <c r="H740" s="432"/>
      <c r="I740" s="432"/>
      <c r="J740" s="432"/>
      <c r="K740" s="432"/>
      <c r="L740" s="432"/>
      <c r="M740" s="432"/>
      <c r="N740" s="432"/>
      <c r="O740" s="432"/>
      <c r="P740" s="432"/>
      <c r="Q740" s="432"/>
      <c r="R740" s="432"/>
      <c r="S740" s="432"/>
      <c r="T740" s="432"/>
      <c r="U740" s="432"/>
      <c r="V740" s="432"/>
      <c r="W740" s="432"/>
      <c r="X740" s="432"/>
      <c r="Y740" s="432"/>
      <c r="Z740" s="432"/>
      <c r="AA740" s="432"/>
      <c r="AB740" s="432"/>
    </row>
    <row r="741">
      <c r="A741" s="432"/>
      <c r="B741" s="432"/>
      <c r="C741" s="432"/>
      <c r="D741" s="432"/>
      <c r="E741" s="432"/>
      <c r="F741" s="432"/>
      <c r="G741" s="432"/>
      <c r="H741" s="432"/>
      <c r="I741" s="432"/>
      <c r="J741" s="432"/>
      <c r="K741" s="432"/>
      <c r="L741" s="432"/>
      <c r="M741" s="432"/>
      <c r="N741" s="432"/>
      <c r="O741" s="432"/>
      <c r="P741" s="432"/>
      <c r="Q741" s="432"/>
      <c r="R741" s="432"/>
      <c r="S741" s="432"/>
      <c r="T741" s="432"/>
      <c r="U741" s="432"/>
      <c r="V741" s="432"/>
      <c r="W741" s="432"/>
      <c r="X741" s="432"/>
      <c r="Y741" s="432"/>
      <c r="Z741" s="432"/>
      <c r="AA741" s="432"/>
      <c r="AB741" s="432"/>
    </row>
    <row r="742">
      <c r="A742" s="432"/>
      <c r="B742" s="432"/>
      <c r="C742" s="432"/>
      <c r="D742" s="432"/>
      <c r="E742" s="432"/>
      <c r="F742" s="432"/>
      <c r="G742" s="432"/>
      <c r="H742" s="432"/>
      <c r="I742" s="432"/>
      <c r="J742" s="432"/>
      <c r="K742" s="432"/>
      <c r="L742" s="432"/>
      <c r="M742" s="432"/>
      <c r="N742" s="432"/>
      <c r="O742" s="432"/>
      <c r="P742" s="432"/>
      <c r="Q742" s="432"/>
      <c r="R742" s="432"/>
      <c r="S742" s="432"/>
      <c r="T742" s="432"/>
      <c r="U742" s="432"/>
      <c r="V742" s="432"/>
      <c r="W742" s="432"/>
      <c r="X742" s="432"/>
      <c r="Y742" s="432"/>
      <c r="Z742" s="432"/>
      <c r="AA742" s="432"/>
      <c r="AB742" s="432"/>
    </row>
    <row r="743">
      <c r="A743" s="432"/>
      <c r="B743" s="432"/>
      <c r="C743" s="432"/>
      <c r="D743" s="432"/>
      <c r="E743" s="432"/>
      <c r="F743" s="432"/>
      <c r="G743" s="432"/>
      <c r="H743" s="432"/>
      <c r="I743" s="432"/>
      <c r="J743" s="432"/>
      <c r="K743" s="432"/>
      <c r="L743" s="432"/>
      <c r="M743" s="432"/>
      <c r="N743" s="432"/>
      <c r="O743" s="432"/>
      <c r="P743" s="432"/>
      <c r="Q743" s="432"/>
      <c r="R743" s="432"/>
      <c r="S743" s="432"/>
      <c r="T743" s="432"/>
      <c r="U743" s="432"/>
      <c r="V743" s="432"/>
      <c r="W743" s="432"/>
      <c r="X743" s="432"/>
      <c r="Y743" s="432"/>
      <c r="Z743" s="432"/>
      <c r="AA743" s="432"/>
      <c r="AB743" s="432"/>
    </row>
    <row r="744">
      <c r="A744" s="432"/>
      <c r="B744" s="432"/>
      <c r="C744" s="432"/>
      <c r="D744" s="432"/>
      <c r="E744" s="432"/>
      <c r="F744" s="432"/>
      <c r="G744" s="432"/>
      <c r="H744" s="432"/>
      <c r="I744" s="432"/>
      <c r="J744" s="432"/>
      <c r="K744" s="432"/>
      <c r="L744" s="432"/>
      <c r="M744" s="432"/>
      <c r="N744" s="432"/>
      <c r="O744" s="432"/>
      <c r="P744" s="432"/>
      <c r="Q744" s="432"/>
      <c r="R744" s="432"/>
      <c r="S744" s="432"/>
      <c r="T744" s="432"/>
      <c r="U744" s="432"/>
      <c r="V744" s="432"/>
      <c r="W744" s="432"/>
      <c r="X744" s="432"/>
      <c r="Y744" s="432"/>
      <c r="Z744" s="432"/>
      <c r="AA744" s="432"/>
      <c r="AB744" s="432"/>
    </row>
    <row r="745">
      <c r="A745" s="432"/>
      <c r="B745" s="432"/>
      <c r="C745" s="432"/>
      <c r="D745" s="432"/>
      <c r="E745" s="432"/>
      <c r="F745" s="432"/>
      <c r="G745" s="432"/>
      <c r="H745" s="432"/>
      <c r="I745" s="432"/>
      <c r="J745" s="432"/>
      <c r="K745" s="432"/>
      <c r="L745" s="432"/>
      <c r="M745" s="432"/>
      <c r="N745" s="432"/>
      <c r="O745" s="432"/>
      <c r="P745" s="432"/>
      <c r="Q745" s="432"/>
      <c r="R745" s="432"/>
      <c r="S745" s="432"/>
      <c r="T745" s="432"/>
      <c r="U745" s="432"/>
      <c r="V745" s="432"/>
      <c r="W745" s="432"/>
      <c r="X745" s="432"/>
      <c r="Y745" s="432"/>
      <c r="Z745" s="432"/>
      <c r="AA745" s="432"/>
      <c r="AB745" s="432"/>
    </row>
    <row r="746">
      <c r="A746" s="432"/>
      <c r="B746" s="432"/>
      <c r="C746" s="432"/>
      <c r="D746" s="432"/>
      <c r="E746" s="432"/>
      <c r="F746" s="432"/>
      <c r="G746" s="432"/>
      <c r="H746" s="432"/>
      <c r="I746" s="432"/>
      <c r="J746" s="432"/>
      <c r="K746" s="432"/>
      <c r="L746" s="432"/>
      <c r="M746" s="432"/>
      <c r="N746" s="432"/>
      <c r="O746" s="432"/>
      <c r="P746" s="432"/>
      <c r="Q746" s="432"/>
      <c r="R746" s="432"/>
      <c r="S746" s="432"/>
      <c r="T746" s="432"/>
      <c r="U746" s="432"/>
      <c r="V746" s="432"/>
      <c r="W746" s="432"/>
      <c r="X746" s="432"/>
      <c r="Y746" s="432"/>
      <c r="Z746" s="432"/>
      <c r="AA746" s="432"/>
      <c r="AB746" s="432"/>
    </row>
    <row r="747">
      <c r="A747" s="432"/>
      <c r="B747" s="432"/>
      <c r="C747" s="432"/>
      <c r="D747" s="432"/>
      <c r="E747" s="432"/>
      <c r="F747" s="432"/>
      <c r="G747" s="432"/>
      <c r="H747" s="432"/>
      <c r="I747" s="432"/>
      <c r="J747" s="432"/>
      <c r="K747" s="432"/>
      <c r="L747" s="432"/>
      <c r="M747" s="432"/>
      <c r="N747" s="432"/>
      <c r="O747" s="432"/>
      <c r="P747" s="432"/>
      <c r="Q747" s="432"/>
      <c r="R747" s="432"/>
      <c r="S747" s="432"/>
      <c r="T747" s="432"/>
      <c r="U747" s="432"/>
      <c r="V747" s="432"/>
      <c r="W747" s="432"/>
      <c r="X747" s="432"/>
      <c r="Y747" s="432"/>
      <c r="Z747" s="432"/>
      <c r="AA747" s="432"/>
      <c r="AB747" s="432"/>
    </row>
    <row r="748">
      <c r="A748" s="432"/>
      <c r="B748" s="432"/>
      <c r="C748" s="432"/>
      <c r="D748" s="432"/>
      <c r="E748" s="432"/>
      <c r="F748" s="432"/>
      <c r="G748" s="432"/>
      <c r="H748" s="432"/>
      <c r="I748" s="432"/>
      <c r="J748" s="432"/>
      <c r="K748" s="432"/>
      <c r="L748" s="432"/>
      <c r="M748" s="432"/>
      <c r="N748" s="432"/>
      <c r="O748" s="432"/>
      <c r="P748" s="432"/>
      <c r="Q748" s="432"/>
      <c r="R748" s="432"/>
      <c r="S748" s="432"/>
      <c r="T748" s="432"/>
      <c r="U748" s="432"/>
      <c r="V748" s="432"/>
      <c r="W748" s="432"/>
      <c r="X748" s="432"/>
      <c r="Y748" s="432"/>
      <c r="Z748" s="432"/>
      <c r="AA748" s="432"/>
      <c r="AB748" s="432"/>
    </row>
    <row r="749">
      <c r="A749" s="432"/>
      <c r="B749" s="432"/>
      <c r="C749" s="432"/>
      <c r="D749" s="432"/>
      <c r="E749" s="432"/>
      <c r="F749" s="432"/>
      <c r="G749" s="432"/>
      <c r="H749" s="432"/>
      <c r="I749" s="432"/>
      <c r="J749" s="432"/>
      <c r="K749" s="432"/>
      <c r="L749" s="432"/>
      <c r="M749" s="432"/>
      <c r="N749" s="432"/>
      <c r="O749" s="432"/>
      <c r="P749" s="432"/>
      <c r="Q749" s="432"/>
      <c r="R749" s="432"/>
      <c r="S749" s="432"/>
      <c r="T749" s="432"/>
      <c r="U749" s="432"/>
      <c r="V749" s="432"/>
      <c r="W749" s="432"/>
      <c r="X749" s="432"/>
      <c r="Y749" s="432"/>
      <c r="Z749" s="432"/>
      <c r="AA749" s="432"/>
      <c r="AB749" s="432"/>
    </row>
    <row r="750">
      <c r="A750" s="432"/>
      <c r="B750" s="432"/>
      <c r="C750" s="432"/>
      <c r="D750" s="432"/>
      <c r="E750" s="432"/>
      <c r="F750" s="432"/>
      <c r="G750" s="432"/>
      <c r="H750" s="432"/>
      <c r="I750" s="432"/>
      <c r="J750" s="432"/>
      <c r="K750" s="432"/>
      <c r="L750" s="432"/>
      <c r="M750" s="432"/>
      <c r="N750" s="432"/>
      <c r="O750" s="432"/>
      <c r="P750" s="432"/>
      <c r="Q750" s="432"/>
      <c r="R750" s="432"/>
      <c r="S750" s="432"/>
      <c r="T750" s="432"/>
      <c r="U750" s="432"/>
      <c r="V750" s="432"/>
      <c r="W750" s="432"/>
      <c r="X750" s="432"/>
      <c r="Y750" s="432"/>
      <c r="Z750" s="432"/>
      <c r="AA750" s="432"/>
      <c r="AB750" s="432"/>
    </row>
    <row r="751">
      <c r="A751" s="432"/>
      <c r="B751" s="432"/>
      <c r="C751" s="432"/>
      <c r="D751" s="432"/>
      <c r="E751" s="432"/>
      <c r="F751" s="432"/>
      <c r="G751" s="432"/>
      <c r="H751" s="432"/>
      <c r="I751" s="432"/>
      <c r="J751" s="432"/>
      <c r="K751" s="432"/>
      <c r="L751" s="432"/>
      <c r="M751" s="432"/>
      <c r="N751" s="432"/>
      <c r="O751" s="432"/>
      <c r="P751" s="432"/>
      <c r="Q751" s="432"/>
      <c r="R751" s="432"/>
      <c r="S751" s="432"/>
      <c r="T751" s="432"/>
      <c r="U751" s="432"/>
      <c r="V751" s="432"/>
      <c r="W751" s="432"/>
      <c r="X751" s="432"/>
      <c r="Y751" s="432"/>
      <c r="Z751" s="432"/>
      <c r="AA751" s="432"/>
      <c r="AB751" s="432"/>
    </row>
    <row r="752">
      <c r="A752" s="432"/>
      <c r="B752" s="432"/>
      <c r="C752" s="432"/>
      <c r="D752" s="432"/>
      <c r="E752" s="432"/>
      <c r="F752" s="432"/>
      <c r="G752" s="432"/>
      <c r="H752" s="432"/>
      <c r="I752" s="432"/>
      <c r="J752" s="432"/>
      <c r="K752" s="432"/>
      <c r="L752" s="432"/>
      <c r="M752" s="432"/>
      <c r="N752" s="432"/>
      <c r="O752" s="432"/>
      <c r="P752" s="432"/>
      <c r="Q752" s="432"/>
      <c r="R752" s="432"/>
      <c r="S752" s="432"/>
      <c r="T752" s="432"/>
      <c r="U752" s="432"/>
      <c r="V752" s="432"/>
      <c r="W752" s="432"/>
      <c r="X752" s="432"/>
      <c r="Y752" s="432"/>
      <c r="Z752" s="432"/>
      <c r="AA752" s="432"/>
      <c r="AB752" s="432"/>
    </row>
    <row r="753">
      <c r="A753" s="432"/>
      <c r="B753" s="432"/>
      <c r="C753" s="432"/>
      <c r="D753" s="432"/>
      <c r="E753" s="432"/>
      <c r="F753" s="432"/>
      <c r="G753" s="432"/>
      <c r="H753" s="432"/>
      <c r="I753" s="432"/>
      <c r="J753" s="432"/>
      <c r="K753" s="432"/>
      <c r="L753" s="432"/>
      <c r="M753" s="432"/>
      <c r="N753" s="432"/>
      <c r="O753" s="432"/>
      <c r="P753" s="432"/>
      <c r="Q753" s="432"/>
      <c r="R753" s="432"/>
      <c r="S753" s="432"/>
      <c r="T753" s="432"/>
      <c r="U753" s="432"/>
      <c r="V753" s="432"/>
      <c r="W753" s="432"/>
      <c r="X753" s="432"/>
      <c r="Y753" s="432"/>
      <c r="Z753" s="432"/>
      <c r="AA753" s="432"/>
      <c r="AB753" s="432"/>
    </row>
    <row r="754">
      <c r="A754" s="432"/>
      <c r="B754" s="432"/>
      <c r="C754" s="432"/>
      <c r="D754" s="432"/>
      <c r="E754" s="432"/>
      <c r="F754" s="432"/>
      <c r="G754" s="432"/>
      <c r="H754" s="432"/>
      <c r="I754" s="432"/>
      <c r="J754" s="432"/>
      <c r="K754" s="432"/>
      <c r="L754" s="432"/>
      <c r="M754" s="432"/>
      <c r="N754" s="432"/>
      <c r="O754" s="432"/>
      <c r="P754" s="432"/>
      <c r="Q754" s="432"/>
      <c r="R754" s="432"/>
      <c r="S754" s="432"/>
      <c r="T754" s="432"/>
      <c r="U754" s="432"/>
      <c r="V754" s="432"/>
      <c r="W754" s="432"/>
      <c r="X754" s="432"/>
      <c r="Y754" s="432"/>
      <c r="Z754" s="432"/>
      <c r="AA754" s="432"/>
      <c r="AB754" s="432"/>
    </row>
    <row r="755">
      <c r="A755" s="432"/>
      <c r="B755" s="432"/>
      <c r="C755" s="432"/>
      <c r="D755" s="432"/>
      <c r="E755" s="432"/>
      <c r="F755" s="432"/>
      <c r="G755" s="432"/>
      <c r="H755" s="432"/>
      <c r="I755" s="432"/>
      <c r="J755" s="432"/>
      <c r="K755" s="432"/>
      <c r="L755" s="432"/>
      <c r="M755" s="432"/>
      <c r="N755" s="432"/>
      <c r="O755" s="432"/>
      <c r="P755" s="432"/>
      <c r="Q755" s="432"/>
      <c r="R755" s="432"/>
      <c r="S755" s="432"/>
      <c r="T755" s="432"/>
      <c r="U755" s="432"/>
      <c r="V755" s="432"/>
      <c r="W755" s="432"/>
      <c r="X755" s="432"/>
      <c r="Y755" s="432"/>
      <c r="Z755" s="432"/>
      <c r="AA755" s="432"/>
      <c r="AB755" s="432"/>
    </row>
    <row r="756">
      <c r="A756" s="432"/>
      <c r="B756" s="432"/>
      <c r="C756" s="432"/>
      <c r="D756" s="432"/>
      <c r="E756" s="432"/>
      <c r="F756" s="432"/>
      <c r="G756" s="432"/>
      <c r="H756" s="432"/>
      <c r="I756" s="432"/>
      <c r="J756" s="432"/>
      <c r="K756" s="432"/>
      <c r="L756" s="432"/>
      <c r="M756" s="432"/>
      <c r="N756" s="432"/>
      <c r="O756" s="432"/>
      <c r="P756" s="432"/>
      <c r="Q756" s="432"/>
      <c r="R756" s="432"/>
      <c r="S756" s="432"/>
      <c r="T756" s="432"/>
      <c r="U756" s="432"/>
      <c r="V756" s="432"/>
      <c r="W756" s="432"/>
      <c r="X756" s="432"/>
      <c r="Y756" s="432"/>
      <c r="Z756" s="432"/>
      <c r="AA756" s="432"/>
      <c r="AB756" s="432"/>
    </row>
    <row r="757">
      <c r="A757" s="432"/>
      <c r="B757" s="432"/>
      <c r="C757" s="432"/>
      <c r="D757" s="432"/>
      <c r="E757" s="432"/>
      <c r="F757" s="432"/>
      <c r="G757" s="432"/>
      <c r="H757" s="432"/>
      <c r="I757" s="432"/>
      <c r="J757" s="432"/>
      <c r="K757" s="432"/>
      <c r="L757" s="432"/>
      <c r="M757" s="432"/>
      <c r="N757" s="432"/>
      <c r="O757" s="432"/>
      <c r="P757" s="432"/>
      <c r="Q757" s="432"/>
      <c r="R757" s="432"/>
      <c r="S757" s="432"/>
      <c r="T757" s="432"/>
      <c r="U757" s="432"/>
      <c r="V757" s="432"/>
      <c r="W757" s="432"/>
      <c r="X757" s="432"/>
      <c r="Y757" s="432"/>
      <c r="Z757" s="432"/>
      <c r="AA757" s="432"/>
      <c r="AB757" s="432"/>
    </row>
    <row r="758">
      <c r="A758" s="432"/>
      <c r="B758" s="432"/>
      <c r="C758" s="432"/>
      <c r="D758" s="432"/>
      <c r="E758" s="432"/>
      <c r="F758" s="432"/>
      <c r="G758" s="432"/>
      <c r="H758" s="432"/>
      <c r="I758" s="432"/>
      <c r="J758" s="432"/>
      <c r="K758" s="432"/>
      <c r="L758" s="432"/>
      <c r="M758" s="432"/>
      <c r="N758" s="432"/>
      <c r="O758" s="432"/>
      <c r="P758" s="432"/>
      <c r="Q758" s="432"/>
      <c r="R758" s="432"/>
      <c r="S758" s="432"/>
      <c r="T758" s="432"/>
      <c r="U758" s="432"/>
      <c r="V758" s="432"/>
      <c r="W758" s="432"/>
      <c r="X758" s="432"/>
      <c r="Y758" s="432"/>
      <c r="Z758" s="432"/>
      <c r="AA758" s="432"/>
      <c r="AB758" s="432"/>
    </row>
    <row r="759">
      <c r="A759" s="432"/>
      <c r="B759" s="432"/>
      <c r="C759" s="432"/>
      <c r="D759" s="432"/>
      <c r="E759" s="432"/>
      <c r="F759" s="432"/>
      <c r="G759" s="432"/>
      <c r="H759" s="432"/>
      <c r="I759" s="432"/>
      <c r="J759" s="432"/>
      <c r="K759" s="432"/>
      <c r="L759" s="432"/>
      <c r="M759" s="432"/>
      <c r="N759" s="432"/>
      <c r="O759" s="432"/>
      <c r="P759" s="432"/>
      <c r="Q759" s="432"/>
      <c r="R759" s="432"/>
      <c r="S759" s="432"/>
      <c r="T759" s="432"/>
      <c r="U759" s="432"/>
      <c r="V759" s="432"/>
      <c r="W759" s="432"/>
      <c r="X759" s="432"/>
      <c r="Y759" s="432"/>
      <c r="Z759" s="432"/>
      <c r="AA759" s="432"/>
      <c r="AB759" s="432"/>
    </row>
    <row r="760">
      <c r="A760" s="432"/>
      <c r="B760" s="432"/>
      <c r="C760" s="432"/>
      <c r="D760" s="432"/>
      <c r="E760" s="432"/>
      <c r="F760" s="432"/>
      <c r="G760" s="432"/>
      <c r="H760" s="432"/>
      <c r="I760" s="432"/>
      <c r="J760" s="432"/>
      <c r="K760" s="432"/>
      <c r="L760" s="432"/>
      <c r="M760" s="432"/>
      <c r="N760" s="432"/>
      <c r="O760" s="432"/>
      <c r="P760" s="432"/>
      <c r="Q760" s="432"/>
      <c r="R760" s="432"/>
      <c r="S760" s="432"/>
      <c r="T760" s="432"/>
      <c r="U760" s="432"/>
      <c r="V760" s="432"/>
      <c r="W760" s="432"/>
      <c r="X760" s="432"/>
      <c r="Y760" s="432"/>
      <c r="Z760" s="432"/>
      <c r="AA760" s="432"/>
      <c r="AB760" s="432"/>
    </row>
    <row r="761">
      <c r="A761" s="432"/>
      <c r="B761" s="432"/>
      <c r="C761" s="432"/>
      <c r="D761" s="432"/>
      <c r="E761" s="432"/>
      <c r="F761" s="432"/>
      <c r="G761" s="432"/>
      <c r="H761" s="432"/>
      <c r="I761" s="432"/>
      <c r="J761" s="432"/>
      <c r="K761" s="432"/>
      <c r="L761" s="432"/>
      <c r="M761" s="432"/>
      <c r="N761" s="432"/>
      <c r="O761" s="432"/>
      <c r="P761" s="432"/>
      <c r="Q761" s="432"/>
      <c r="R761" s="432"/>
      <c r="S761" s="432"/>
      <c r="T761" s="432"/>
      <c r="U761" s="432"/>
      <c r="V761" s="432"/>
      <c r="W761" s="432"/>
      <c r="X761" s="432"/>
      <c r="Y761" s="432"/>
      <c r="Z761" s="432"/>
      <c r="AA761" s="432"/>
      <c r="AB761" s="432"/>
    </row>
    <row r="762">
      <c r="A762" s="432"/>
      <c r="B762" s="432"/>
      <c r="C762" s="432"/>
      <c r="D762" s="432"/>
      <c r="E762" s="432"/>
      <c r="F762" s="432"/>
      <c r="G762" s="432"/>
      <c r="H762" s="432"/>
      <c r="I762" s="432"/>
      <c r="J762" s="432"/>
      <c r="K762" s="432"/>
      <c r="L762" s="432"/>
      <c r="M762" s="432"/>
      <c r="N762" s="432"/>
      <c r="O762" s="432"/>
      <c r="P762" s="432"/>
      <c r="Q762" s="432"/>
      <c r="R762" s="432"/>
      <c r="S762" s="432"/>
      <c r="T762" s="432"/>
      <c r="U762" s="432"/>
      <c r="V762" s="432"/>
      <c r="W762" s="432"/>
      <c r="X762" s="432"/>
      <c r="Y762" s="432"/>
      <c r="Z762" s="432"/>
      <c r="AA762" s="432"/>
      <c r="AB762" s="432"/>
    </row>
    <row r="763">
      <c r="A763" s="432"/>
      <c r="B763" s="432"/>
      <c r="C763" s="432"/>
      <c r="D763" s="432"/>
      <c r="E763" s="432"/>
      <c r="F763" s="432"/>
      <c r="G763" s="432"/>
      <c r="H763" s="432"/>
      <c r="I763" s="432"/>
      <c r="J763" s="432"/>
      <c r="K763" s="432"/>
      <c r="L763" s="432"/>
      <c r="M763" s="432"/>
      <c r="N763" s="432"/>
      <c r="O763" s="432"/>
      <c r="P763" s="432"/>
      <c r="Q763" s="432"/>
      <c r="R763" s="432"/>
      <c r="S763" s="432"/>
      <c r="T763" s="432"/>
      <c r="U763" s="432"/>
      <c r="V763" s="432"/>
      <c r="W763" s="432"/>
      <c r="X763" s="432"/>
      <c r="Y763" s="432"/>
      <c r="Z763" s="432"/>
      <c r="AA763" s="432"/>
      <c r="AB763" s="432"/>
    </row>
    <row r="764">
      <c r="A764" s="432"/>
      <c r="B764" s="432"/>
      <c r="C764" s="432"/>
      <c r="D764" s="432"/>
      <c r="E764" s="432"/>
      <c r="F764" s="432"/>
      <c r="G764" s="432"/>
      <c r="H764" s="432"/>
      <c r="I764" s="432"/>
      <c r="J764" s="432"/>
      <c r="K764" s="432"/>
      <c r="L764" s="432"/>
      <c r="M764" s="432"/>
      <c r="N764" s="432"/>
      <c r="O764" s="432"/>
      <c r="P764" s="432"/>
      <c r="Q764" s="432"/>
      <c r="R764" s="432"/>
      <c r="S764" s="432"/>
      <c r="T764" s="432"/>
      <c r="U764" s="432"/>
      <c r="V764" s="432"/>
      <c r="W764" s="432"/>
      <c r="X764" s="432"/>
      <c r="Y764" s="432"/>
      <c r="Z764" s="432"/>
      <c r="AA764" s="432"/>
      <c r="AB764" s="432"/>
    </row>
    <row r="765">
      <c r="A765" s="432"/>
      <c r="B765" s="432"/>
      <c r="C765" s="432"/>
      <c r="D765" s="432"/>
      <c r="E765" s="432"/>
      <c r="F765" s="432"/>
      <c r="G765" s="432"/>
      <c r="H765" s="432"/>
      <c r="I765" s="432"/>
      <c r="J765" s="432"/>
      <c r="K765" s="432"/>
      <c r="L765" s="432"/>
      <c r="M765" s="432"/>
      <c r="N765" s="432"/>
      <c r="O765" s="432"/>
      <c r="P765" s="432"/>
      <c r="Q765" s="432"/>
      <c r="R765" s="432"/>
      <c r="S765" s="432"/>
      <c r="T765" s="432"/>
      <c r="U765" s="432"/>
      <c r="V765" s="432"/>
      <c r="W765" s="432"/>
      <c r="X765" s="432"/>
      <c r="Y765" s="432"/>
      <c r="Z765" s="432"/>
      <c r="AA765" s="432"/>
      <c r="AB765" s="432"/>
    </row>
    <row r="766">
      <c r="A766" s="432"/>
      <c r="B766" s="432"/>
      <c r="C766" s="432"/>
      <c r="D766" s="432"/>
      <c r="E766" s="432"/>
      <c r="F766" s="432"/>
      <c r="G766" s="432"/>
      <c r="H766" s="432"/>
      <c r="I766" s="432"/>
      <c r="J766" s="432"/>
      <c r="K766" s="432"/>
      <c r="L766" s="432"/>
      <c r="M766" s="432"/>
      <c r="N766" s="432"/>
      <c r="O766" s="432"/>
      <c r="P766" s="432"/>
      <c r="Q766" s="432"/>
      <c r="R766" s="432"/>
      <c r="S766" s="432"/>
      <c r="T766" s="432"/>
      <c r="U766" s="432"/>
      <c r="V766" s="432"/>
      <c r="W766" s="432"/>
      <c r="X766" s="432"/>
      <c r="Y766" s="432"/>
      <c r="Z766" s="432"/>
      <c r="AA766" s="432"/>
      <c r="AB766" s="432"/>
    </row>
    <row r="767">
      <c r="A767" s="432"/>
      <c r="B767" s="432"/>
      <c r="C767" s="432"/>
      <c r="D767" s="432"/>
      <c r="E767" s="432"/>
      <c r="F767" s="432"/>
      <c r="G767" s="432"/>
      <c r="H767" s="432"/>
      <c r="I767" s="432"/>
      <c r="J767" s="432"/>
      <c r="K767" s="432"/>
      <c r="L767" s="432"/>
      <c r="M767" s="432"/>
      <c r="N767" s="432"/>
      <c r="O767" s="432"/>
      <c r="P767" s="432"/>
      <c r="Q767" s="432"/>
      <c r="R767" s="432"/>
      <c r="S767" s="432"/>
      <c r="T767" s="432"/>
      <c r="U767" s="432"/>
      <c r="V767" s="432"/>
      <c r="W767" s="432"/>
      <c r="X767" s="432"/>
      <c r="Y767" s="432"/>
      <c r="Z767" s="432"/>
      <c r="AA767" s="432"/>
      <c r="AB767" s="432"/>
    </row>
    <row r="768">
      <c r="A768" s="432"/>
      <c r="B768" s="432"/>
      <c r="C768" s="432"/>
      <c r="D768" s="432"/>
      <c r="E768" s="432"/>
      <c r="F768" s="432"/>
      <c r="G768" s="432"/>
      <c r="H768" s="432"/>
      <c r="I768" s="432"/>
      <c r="J768" s="432"/>
      <c r="K768" s="432"/>
      <c r="L768" s="432"/>
      <c r="M768" s="432"/>
      <c r="N768" s="432"/>
      <c r="O768" s="432"/>
      <c r="P768" s="432"/>
      <c r="Q768" s="432"/>
      <c r="R768" s="432"/>
      <c r="S768" s="432"/>
      <c r="T768" s="432"/>
      <c r="U768" s="432"/>
      <c r="V768" s="432"/>
      <c r="W768" s="432"/>
      <c r="X768" s="432"/>
      <c r="Y768" s="432"/>
      <c r="Z768" s="432"/>
      <c r="AA768" s="432"/>
      <c r="AB768" s="432"/>
    </row>
    <row r="769">
      <c r="A769" s="432"/>
      <c r="B769" s="432"/>
      <c r="C769" s="432"/>
      <c r="D769" s="432"/>
      <c r="E769" s="432"/>
      <c r="F769" s="432"/>
      <c r="G769" s="432"/>
      <c r="H769" s="432"/>
      <c r="I769" s="432"/>
      <c r="J769" s="432"/>
      <c r="K769" s="432"/>
      <c r="L769" s="432"/>
      <c r="M769" s="432"/>
      <c r="N769" s="432"/>
      <c r="O769" s="432"/>
      <c r="P769" s="432"/>
      <c r="Q769" s="432"/>
      <c r="R769" s="432"/>
      <c r="S769" s="432"/>
      <c r="T769" s="432"/>
      <c r="U769" s="432"/>
      <c r="V769" s="432"/>
      <c r="W769" s="432"/>
      <c r="X769" s="432"/>
      <c r="Y769" s="432"/>
      <c r="Z769" s="432"/>
      <c r="AA769" s="432"/>
      <c r="AB769" s="432"/>
    </row>
    <row r="770">
      <c r="A770" s="432"/>
      <c r="B770" s="432"/>
      <c r="C770" s="432"/>
      <c r="D770" s="432"/>
      <c r="E770" s="432"/>
      <c r="F770" s="432"/>
      <c r="G770" s="432"/>
      <c r="H770" s="432"/>
      <c r="I770" s="432"/>
      <c r="J770" s="432"/>
      <c r="K770" s="432"/>
      <c r="L770" s="432"/>
      <c r="M770" s="432"/>
      <c r="N770" s="432"/>
      <c r="O770" s="432"/>
      <c r="P770" s="432"/>
      <c r="Q770" s="432"/>
      <c r="R770" s="432"/>
      <c r="S770" s="432"/>
      <c r="T770" s="432"/>
      <c r="U770" s="432"/>
      <c r="V770" s="432"/>
      <c r="W770" s="432"/>
      <c r="X770" s="432"/>
      <c r="Y770" s="432"/>
      <c r="Z770" s="432"/>
      <c r="AA770" s="432"/>
      <c r="AB770" s="432"/>
    </row>
    <row r="771">
      <c r="A771" s="432"/>
      <c r="B771" s="432"/>
      <c r="C771" s="432"/>
      <c r="D771" s="432"/>
      <c r="E771" s="432"/>
      <c r="F771" s="432"/>
      <c r="G771" s="432"/>
      <c r="H771" s="432"/>
      <c r="I771" s="432"/>
      <c r="J771" s="432"/>
      <c r="K771" s="432"/>
      <c r="L771" s="432"/>
      <c r="M771" s="432"/>
      <c r="N771" s="432"/>
      <c r="O771" s="432"/>
      <c r="P771" s="432"/>
      <c r="Q771" s="432"/>
      <c r="R771" s="432"/>
      <c r="S771" s="432"/>
      <c r="T771" s="432"/>
      <c r="U771" s="432"/>
      <c r="V771" s="432"/>
      <c r="W771" s="432"/>
      <c r="X771" s="432"/>
      <c r="Y771" s="432"/>
      <c r="Z771" s="432"/>
      <c r="AA771" s="432"/>
      <c r="AB771" s="432"/>
    </row>
    <row r="772">
      <c r="A772" s="432"/>
      <c r="B772" s="432"/>
      <c r="C772" s="432"/>
      <c r="D772" s="432"/>
      <c r="E772" s="432"/>
      <c r="F772" s="432"/>
      <c r="G772" s="432"/>
      <c r="H772" s="432"/>
      <c r="I772" s="432"/>
      <c r="J772" s="432"/>
      <c r="K772" s="432"/>
      <c r="L772" s="432"/>
      <c r="M772" s="432"/>
      <c r="N772" s="432"/>
      <c r="O772" s="432"/>
      <c r="P772" s="432"/>
      <c r="Q772" s="432"/>
      <c r="R772" s="432"/>
      <c r="S772" s="432"/>
      <c r="T772" s="432"/>
      <c r="U772" s="432"/>
      <c r="V772" s="432"/>
      <c r="W772" s="432"/>
      <c r="X772" s="432"/>
      <c r="Y772" s="432"/>
      <c r="Z772" s="432"/>
      <c r="AA772" s="432"/>
      <c r="AB772" s="432"/>
    </row>
    <row r="773">
      <c r="A773" s="432"/>
      <c r="B773" s="432"/>
      <c r="C773" s="432"/>
      <c r="D773" s="432"/>
      <c r="E773" s="432"/>
      <c r="F773" s="432"/>
      <c r="G773" s="432"/>
      <c r="H773" s="432"/>
      <c r="I773" s="432"/>
      <c r="J773" s="432"/>
      <c r="K773" s="432"/>
      <c r="L773" s="432"/>
      <c r="M773" s="432"/>
      <c r="N773" s="432"/>
      <c r="O773" s="432"/>
      <c r="P773" s="432"/>
      <c r="Q773" s="432"/>
      <c r="R773" s="432"/>
      <c r="S773" s="432"/>
      <c r="T773" s="432"/>
      <c r="U773" s="432"/>
      <c r="V773" s="432"/>
      <c r="W773" s="432"/>
      <c r="X773" s="432"/>
      <c r="Y773" s="432"/>
      <c r="Z773" s="432"/>
      <c r="AA773" s="432"/>
      <c r="AB773" s="432"/>
    </row>
    <row r="774">
      <c r="A774" s="432"/>
      <c r="B774" s="432"/>
      <c r="C774" s="432"/>
      <c r="D774" s="432"/>
      <c r="E774" s="432"/>
      <c r="F774" s="432"/>
      <c r="G774" s="432"/>
      <c r="H774" s="432"/>
      <c r="I774" s="432"/>
      <c r="J774" s="432"/>
      <c r="K774" s="432"/>
      <c r="L774" s="432"/>
      <c r="M774" s="432"/>
      <c r="N774" s="432"/>
      <c r="O774" s="432"/>
      <c r="P774" s="432"/>
      <c r="Q774" s="432"/>
      <c r="R774" s="432"/>
      <c r="S774" s="432"/>
      <c r="T774" s="432"/>
      <c r="U774" s="432"/>
      <c r="V774" s="432"/>
      <c r="W774" s="432"/>
      <c r="X774" s="432"/>
      <c r="Y774" s="432"/>
      <c r="Z774" s="432"/>
      <c r="AA774" s="432"/>
      <c r="AB774" s="432"/>
    </row>
    <row r="775">
      <c r="A775" s="432"/>
      <c r="B775" s="432"/>
      <c r="C775" s="432"/>
      <c r="D775" s="432"/>
      <c r="E775" s="432"/>
      <c r="F775" s="432"/>
      <c r="G775" s="432"/>
      <c r="H775" s="432"/>
      <c r="I775" s="432"/>
      <c r="J775" s="432"/>
      <c r="K775" s="432"/>
      <c r="L775" s="432"/>
      <c r="M775" s="432"/>
      <c r="N775" s="432"/>
      <c r="O775" s="432"/>
      <c r="P775" s="432"/>
      <c r="Q775" s="432"/>
      <c r="R775" s="432"/>
      <c r="S775" s="432"/>
      <c r="T775" s="432"/>
      <c r="U775" s="432"/>
      <c r="V775" s="432"/>
      <c r="W775" s="432"/>
      <c r="X775" s="432"/>
      <c r="Y775" s="432"/>
      <c r="Z775" s="432"/>
      <c r="AA775" s="432"/>
      <c r="AB775" s="432"/>
    </row>
    <row r="776">
      <c r="A776" s="432"/>
      <c r="B776" s="432"/>
      <c r="C776" s="432"/>
      <c r="D776" s="432"/>
      <c r="E776" s="432"/>
      <c r="F776" s="432"/>
      <c r="G776" s="432"/>
      <c r="H776" s="432"/>
      <c r="I776" s="432"/>
      <c r="J776" s="432"/>
      <c r="K776" s="432"/>
      <c r="L776" s="432"/>
      <c r="M776" s="432"/>
      <c r="N776" s="432"/>
      <c r="O776" s="432"/>
      <c r="P776" s="432"/>
      <c r="Q776" s="432"/>
      <c r="R776" s="432"/>
      <c r="S776" s="432"/>
      <c r="T776" s="432"/>
      <c r="U776" s="432"/>
      <c r="V776" s="432"/>
      <c r="W776" s="432"/>
      <c r="X776" s="432"/>
      <c r="Y776" s="432"/>
      <c r="Z776" s="432"/>
      <c r="AA776" s="432"/>
      <c r="AB776" s="432"/>
    </row>
    <row r="777">
      <c r="A777" s="432"/>
      <c r="B777" s="432"/>
      <c r="C777" s="432"/>
      <c r="D777" s="432"/>
      <c r="E777" s="432"/>
      <c r="F777" s="432"/>
      <c r="G777" s="432"/>
      <c r="H777" s="432"/>
      <c r="I777" s="432"/>
      <c r="J777" s="432"/>
      <c r="K777" s="432"/>
      <c r="L777" s="432"/>
      <c r="M777" s="432"/>
      <c r="N777" s="432"/>
      <c r="O777" s="432"/>
      <c r="P777" s="432"/>
      <c r="Q777" s="432"/>
      <c r="R777" s="432"/>
      <c r="S777" s="432"/>
      <c r="T777" s="432"/>
      <c r="U777" s="432"/>
      <c r="V777" s="432"/>
      <c r="W777" s="432"/>
      <c r="X777" s="432"/>
      <c r="Y777" s="432"/>
      <c r="Z777" s="432"/>
      <c r="AA777" s="432"/>
      <c r="AB777" s="432"/>
    </row>
    <row r="778">
      <c r="A778" s="432"/>
      <c r="B778" s="432"/>
      <c r="C778" s="432"/>
      <c r="D778" s="432"/>
      <c r="E778" s="432"/>
      <c r="F778" s="432"/>
      <c r="G778" s="432"/>
      <c r="H778" s="432"/>
      <c r="I778" s="432"/>
      <c r="J778" s="432"/>
      <c r="K778" s="432"/>
      <c r="L778" s="432"/>
      <c r="M778" s="432"/>
      <c r="N778" s="432"/>
      <c r="O778" s="432"/>
      <c r="P778" s="432"/>
      <c r="Q778" s="432"/>
      <c r="R778" s="432"/>
      <c r="S778" s="432"/>
      <c r="T778" s="432"/>
      <c r="U778" s="432"/>
      <c r="V778" s="432"/>
      <c r="W778" s="432"/>
      <c r="X778" s="432"/>
      <c r="Y778" s="432"/>
      <c r="Z778" s="432"/>
      <c r="AA778" s="432"/>
      <c r="AB778" s="432"/>
    </row>
    <row r="779">
      <c r="A779" s="432"/>
      <c r="B779" s="432"/>
      <c r="C779" s="432"/>
      <c r="D779" s="432"/>
      <c r="E779" s="432"/>
      <c r="F779" s="432"/>
      <c r="G779" s="432"/>
      <c r="H779" s="432"/>
      <c r="I779" s="432"/>
      <c r="J779" s="432"/>
      <c r="K779" s="432"/>
      <c r="L779" s="432"/>
      <c r="M779" s="432"/>
      <c r="N779" s="432"/>
      <c r="O779" s="432"/>
      <c r="P779" s="432"/>
      <c r="Q779" s="432"/>
      <c r="R779" s="432"/>
      <c r="S779" s="432"/>
      <c r="T779" s="432"/>
      <c r="U779" s="432"/>
      <c r="V779" s="432"/>
      <c r="W779" s="432"/>
      <c r="X779" s="432"/>
      <c r="Y779" s="432"/>
      <c r="Z779" s="432"/>
      <c r="AA779" s="432"/>
      <c r="AB779" s="432"/>
    </row>
    <row r="780">
      <c r="A780" s="432"/>
      <c r="B780" s="432"/>
      <c r="C780" s="432"/>
      <c r="D780" s="432"/>
      <c r="E780" s="432"/>
      <c r="F780" s="432"/>
      <c r="G780" s="432"/>
      <c r="H780" s="432"/>
      <c r="I780" s="432"/>
      <c r="J780" s="432"/>
      <c r="K780" s="432"/>
      <c r="L780" s="432"/>
      <c r="M780" s="432"/>
      <c r="N780" s="432"/>
      <c r="O780" s="432"/>
      <c r="P780" s="432"/>
      <c r="Q780" s="432"/>
      <c r="R780" s="432"/>
      <c r="S780" s="432"/>
      <c r="T780" s="432"/>
      <c r="U780" s="432"/>
      <c r="V780" s="432"/>
      <c r="W780" s="432"/>
      <c r="X780" s="432"/>
      <c r="Y780" s="432"/>
      <c r="Z780" s="432"/>
      <c r="AA780" s="432"/>
      <c r="AB780" s="432"/>
    </row>
    <row r="781">
      <c r="A781" s="432"/>
      <c r="B781" s="432"/>
      <c r="C781" s="432"/>
      <c r="D781" s="432"/>
      <c r="E781" s="432"/>
      <c r="F781" s="432"/>
      <c r="G781" s="432"/>
      <c r="H781" s="432"/>
      <c r="I781" s="432"/>
      <c r="J781" s="432"/>
      <c r="K781" s="432"/>
      <c r="L781" s="432"/>
      <c r="M781" s="432"/>
      <c r="N781" s="432"/>
      <c r="O781" s="432"/>
      <c r="P781" s="432"/>
      <c r="Q781" s="432"/>
      <c r="R781" s="432"/>
      <c r="S781" s="432"/>
      <c r="T781" s="432"/>
      <c r="U781" s="432"/>
      <c r="V781" s="432"/>
      <c r="W781" s="432"/>
      <c r="X781" s="432"/>
      <c r="Y781" s="432"/>
      <c r="Z781" s="432"/>
      <c r="AA781" s="432"/>
      <c r="AB781" s="432"/>
    </row>
    <row r="782">
      <c r="A782" s="432"/>
      <c r="B782" s="432"/>
      <c r="C782" s="432"/>
      <c r="D782" s="432"/>
      <c r="E782" s="432"/>
      <c r="F782" s="432"/>
      <c r="G782" s="432"/>
      <c r="H782" s="432"/>
      <c r="I782" s="432"/>
      <c r="J782" s="432"/>
      <c r="K782" s="432"/>
      <c r="L782" s="432"/>
      <c r="M782" s="432"/>
      <c r="N782" s="432"/>
      <c r="O782" s="432"/>
      <c r="P782" s="432"/>
      <c r="Q782" s="432"/>
      <c r="R782" s="432"/>
      <c r="S782" s="432"/>
      <c r="T782" s="432"/>
      <c r="U782" s="432"/>
      <c r="V782" s="432"/>
      <c r="W782" s="432"/>
      <c r="X782" s="432"/>
      <c r="Y782" s="432"/>
      <c r="Z782" s="432"/>
      <c r="AA782" s="432"/>
      <c r="AB782" s="432"/>
    </row>
    <row r="783">
      <c r="A783" s="432"/>
      <c r="B783" s="432"/>
      <c r="C783" s="432"/>
      <c r="D783" s="432"/>
      <c r="E783" s="432"/>
      <c r="F783" s="432"/>
      <c r="G783" s="432"/>
      <c r="H783" s="432"/>
      <c r="I783" s="432"/>
      <c r="J783" s="432"/>
      <c r="K783" s="432"/>
      <c r="L783" s="432"/>
      <c r="M783" s="432"/>
      <c r="N783" s="432"/>
      <c r="O783" s="432"/>
      <c r="P783" s="432"/>
      <c r="Q783" s="432"/>
      <c r="R783" s="432"/>
      <c r="S783" s="432"/>
      <c r="T783" s="432"/>
      <c r="U783" s="432"/>
      <c r="V783" s="432"/>
      <c r="W783" s="432"/>
      <c r="X783" s="432"/>
      <c r="Y783" s="432"/>
      <c r="Z783" s="432"/>
      <c r="AA783" s="432"/>
      <c r="AB783" s="432"/>
    </row>
    <row r="784">
      <c r="A784" s="432"/>
      <c r="B784" s="432"/>
      <c r="C784" s="432"/>
      <c r="D784" s="432"/>
      <c r="E784" s="432"/>
      <c r="F784" s="432"/>
      <c r="G784" s="432"/>
      <c r="H784" s="432"/>
      <c r="I784" s="432"/>
      <c r="J784" s="432"/>
      <c r="K784" s="432"/>
      <c r="L784" s="432"/>
      <c r="M784" s="432"/>
      <c r="N784" s="432"/>
      <c r="O784" s="432"/>
      <c r="P784" s="432"/>
      <c r="Q784" s="432"/>
      <c r="R784" s="432"/>
      <c r="S784" s="432"/>
      <c r="T784" s="432"/>
      <c r="U784" s="432"/>
      <c r="V784" s="432"/>
      <c r="W784" s="432"/>
      <c r="X784" s="432"/>
      <c r="Y784" s="432"/>
      <c r="Z784" s="432"/>
      <c r="AA784" s="432"/>
      <c r="AB784" s="432"/>
    </row>
    <row r="785">
      <c r="A785" s="432"/>
      <c r="B785" s="432"/>
      <c r="C785" s="432"/>
      <c r="D785" s="432"/>
      <c r="E785" s="432"/>
      <c r="F785" s="432"/>
      <c r="G785" s="432"/>
      <c r="H785" s="432"/>
      <c r="I785" s="432"/>
      <c r="J785" s="432"/>
      <c r="K785" s="432"/>
      <c r="L785" s="432"/>
      <c r="M785" s="432"/>
      <c r="N785" s="432"/>
      <c r="O785" s="432"/>
      <c r="P785" s="432"/>
      <c r="Q785" s="432"/>
      <c r="R785" s="432"/>
      <c r="S785" s="432"/>
      <c r="T785" s="432"/>
      <c r="U785" s="432"/>
      <c r="V785" s="432"/>
      <c r="W785" s="432"/>
      <c r="X785" s="432"/>
      <c r="Y785" s="432"/>
      <c r="Z785" s="432"/>
      <c r="AA785" s="432"/>
      <c r="AB785" s="432"/>
    </row>
    <row r="786">
      <c r="A786" s="432"/>
      <c r="B786" s="432"/>
      <c r="C786" s="432"/>
      <c r="D786" s="432"/>
      <c r="E786" s="432"/>
      <c r="F786" s="432"/>
      <c r="G786" s="432"/>
      <c r="H786" s="432"/>
      <c r="I786" s="432"/>
      <c r="J786" s="432"/>
      <c r="K786" s="432"/>
      <c r="L786" s="432"/>
      <c r="M786" s="432"/>
      <c r="N786" s="432"/>
      <c r="O786" s="432"/>
      <c r="P786" s="432"/>
      <c r="Q786" s="432"/>
      <c r="R786" s="432"/>
      <c r="S786" s="432"/>
      <c r="T786" s="432"/>
      <c r="U786" s="432"/>
      <c r="V786" s="432"/>
      <c r="W786" s="432"/>
      <c r="X786" s="432"/>
      <c r="Y786" s="432"/>
      <c r="Z786" s="432"/>
      <c r="AA786" s="432"/>
      <c r="AB786" s="432"/>
    </row>
    <row r="787">
      <c r="A787" s="432"/>
      <c r="B787" s="432"/>
      <c r="C787" s="432"/>
      <c r="D787" s="432"/>
      <c r="E787" s="432"/>
      <c r="F787" s="432"/>
      <c r="G787" s="432"/>
      <c r="H787" s="432"/>
      <c r="I787" s="432"/>
      <c r="J787" s="432"/>
      <c r="K787" s="432"/>
      <c r="L787" s="432"/>
      <c r="M787" s="432"/>
      <c r="N787" s="432"/>
      <c r="O787" s="432"/>
      <c r="P787" s="432"/>
      <c r="Q787" s="432"/>
      <c r="R787" s="432"/>
      <c r="S787" s="432"/>
      <c r="T787" s="432"/>
      <c r="U787" s="432"/>
      <c r="V787" s="432"/>
      <c r="W787" s="432"/>
      <c r="X787" s="432"/>
      <c r="Y787" s="432"/>
      <c r="Z787" s="432"/>
      <c r="AA787" s="432"/>
      <c r="AB787" s="432"/>
    </row>
    <row r="788">
      <c r="A788" s="432"/>
      <c r="B788" s="432"/>
      <c r="C788" s="432"/>
      <c r="D788" s="432"/>
      <c r="E788" s="432"/>
      <c r="F788" s="432"/>
      <c r="G788" s="432"/>
      <c r="H788" s="432"/>
      <c r="I788" s="432"/>
      <c r="J788" s="432"/>
      <c r="K788" s="432"/>
      <c r="L788" s="432"/>
      <c r="M788" s="432"/>
      <c r="N788" s="432"/>
      <c r="O788" s="432"/>
      <c r="P788" s="432"/>
      <c r="Q788" s="432"/>
      <c r="R788" s="432"/>
      <c r="S788" s="432"/>
      <c r="T788" s="432"/>
      <c r="U788" s="432"/>
      <c r="V788" s="432"/>
      <c r="W788" s="432"/>
      <c r="X788" s="432"/>
      <c r="Y788" s="432"/>
      <c r="Z788" s="432"/>
      <c r="AA788" s="432"/>
      <c r="AB788" s="432"/>
    </row>
    <row r="789">
      <c r="A789" s="432"/>
      <c r="B789" s="432"/>
      <c r="C789" s="432"/>
      <c r="D789" s="432"/>
      <c r="E789" s="432"/>
      <c r="F789" s="432"/>
      <c r="G789" s="432"/>
      <c r="H789" s="432"/>
      <c r="I789" s="432"/>
      <c r="J789" s="432"/>
      <c r="K789" s="432"/>
      <c r="L789" s="432"/>
      <c r="M789" s="432"/>
      <c r="N789" s="432"/>
      <c r="O789" s="432"/>
      <c r="P789" s="432"/>
      <c r="Q789" s="432"/>
      <c r="R789" s="432"/>
      <c r="S789" s="432"/>
      <c r="T789" s="432"/>
      <c r="U789" s="432"/>
      <c r="V789" s="432"/>
      <c r="W789" s="432"/>
      <c r="X789" s="432"/>
      <c r="Y789" s="432"/>
      <c r="Z789" s="432"/>
      <c r="AA789" s="432"/>
      <c r="AB789" s="432"/>
    </row>
    <row r="790">
      <c r="A790" s="432"/>
      <c r="B790" s="432"/>
      <c r="C790" s="432"/>
      <c r="D790" s="432"/>
      <c r="E790" s="432"/>
      <c r="F790" s="432"/>
      <c r="G790" s="432"/>
      <c r="H790" s="432"/>
      <c r="I790" s="432"/>
      <c r="J790" s="432"/>
      <c r="K790" s="432"/>
      <c r="L790" s="432"/>
      <c r="M790" s="432"/>
      <c r="N790" s="432"/>
      <c r="O790" s="432"/>
      <c r="P790" s="432"/>
      <c r="Q790" s="432"/>
      <c r="R790" s="432"/>
      <c r="S790" s="432"/>
      <c r="T790" s="432"/>
      <c r="U790" s="432"/>
      <c r="V790" s="432"/>
      <c r="W790" s="432"/>
      <c r="X790" s="432"/>
      <c r="Y790" s="432"/>
      <c r="Z790" s="432"/>
      <c r="AA790" s="432"/>
      <c r="AB790" s="432"/>
    </row>
    <row r="791">
      <c r="A791" s="432"/>
      <c r="B791" s="432"/>
      <c r="C791" s="432"/>
      <c r="D791" s="432"/>
      <c r="E791" s="432"/>
      <c r="F791" s="432"/>
      <c r="G791" s="432"/>
      <c r="H791" s="432"/>
      <c r="I791" s="432"/>
      <c r="J791" s="432"/>
      <c r="K791" s="432"/>
      <c r="L791" s="432"/>
      <c r="M791" s="432"/>
      <c r="N791" s="432"/>
      <c r="O791" s="432"/>
      <c r="P791" s="432"/>
      <c r="Q791" s="432"/>
      <c r="R791" s="432"/>
      <c r="S791" s="432"/>
      <c r="T791" s="432"/>
      <c r="U791" s="432"/>
      <c r="V791" s="432"/>
      <c r="W791" s="432"/>
      <c r="X791" s="432"/>
      <c r="Y791" s="432"/>
      <c r="Z791" s="432"/>
      <c r="AA791" s="432"/>
      <c r="AB791" s="432"/>
    </row>
    <row r="792">
      <c r="A792" s="432"/>
      <c r="B792" s="432"/>
      <c r="C792" s="432"/>
      <c r="D792" s="432"/>
      <c r="E792" s="432"/>
      <c r="F792" s="432"/>
      <c r="G792" s="432"/>
      <c r="H792" s="432"/>
      <c r="I792" s="432"/>
      <c r="J792" s="432"/>
      <c r="K792" s="432"/>
      <c r="L792" s="432"/>
      <c r="M792" s="432"/>
      <c r="N792" s="432"/>
      <c r="O792" s="432"/>
      <c r="P792" s="432"/>
      <c r="Q792" s="432"/>
      <c r="R792" s="432"/>
      <c r="S792" s="432"/>
      <c r="T792" s="432"/>
      <c r="U792" s="432"/>
      <c r="V792" s="432"/>
      <c r="W792" s="432"/>
      <c r="X792" s="432"/>
      <c r="Y792" s="432"/>
      <c r="Z792" s="432"/>
      <c r="AA792" s="432"/>
      <c r="AB792" s="432"/>
    </row>
    <row r="793">
      <c r="A793" s="432"/>
      <c r="B793" s="432"/>
      <c r="C793" s="432"/>
      <c r="D793" s="432"/>
      <c r="E793" s="432"/>
      <c r="F793" s="432"/>
      <c r="G793" s="432"/>
      <c r="H793" s="432"/>
      <c r="I793" s="432"/>
      <c r="J793" s="432"/>
      <c r="K793" s="432"/>
      <c r="L793" s="432"/>
      <c r="M793" s="432"/>
      <c r="N793" s="432"/>
      <c r="O793" s="432"/>
      <c r="P793" s="432"/>
      <c r="Q793" s="432"/>
      <c r="R793" s="432"/>
      <c r="S793" s="432"/>
      <c r="T793" s="432"/>
      <c r="U793" s="432"/>
      <c r="V793" s="432"/>
      <c r="W793" s="432"/>
      <c r="X793" s="432"/>
      <c r="Y793" s="432"/>
      <c r="Z793" s="432"/>
      <c r="AA793" s="432"/>
      <c r="AB793" s="432"/>
    </row>
    <row r="794">
      <c r="A794" s="432"/>
      <c r="B794" s="432"/>
      <c r="C794" s="432"/>
      <c r="D794" s="432"/>
      <c r="E794" s="432"/>
      <c r="F794" s="432"/>
      <c r="G794" s="432"/>
      <c r="H794" s="432"/>
      <c r="I794" s="432"/>
      <c r="J794" s="432"/>
      <c r="K794" s="432"/>
      <c r="L794" s="432"/>
      <c r="M794" s="432"/>
      <c r="N794" s="432"/>
      <c r="O794" s="432"/>
      <c r="P794" s="432"/>
      <c r="Q794" s="432"/>
      <c r="R794" s="432"/>
      <c r="S794" s="432"/>
      <c r="T794" s="432"/>
      <c r="U794" s="432"/>
      <c r="V794" s="432"/>
      <c r="W794" s="432"/>
      <c r="X794" s="432"/>
      <c r="Y794" s="432"/>
      <c r="Z794" s="432"/>
      <c r="AA794" s="432"/>
      <c r="AB794" s="432"/>
    </row>
    <row r="795">
      <c r="A795" s="432"/>
      <c r="B795" s="432"/>
      <c r="C795" s="432"/>
      <c r="D795" s="432"/>
      <c r="E795" s="432"/>
      <c r="F795" s="432"/>
      <c r="G795" s="432"/>
      <c r="H795" s="432"/>
      <c r="I795" s="432"/>
      <c r="J795" s="432"/>
      <c r="K795" s="432"/>
      <c r="L795" s="432"/>
      <c r="M795" s="432"/>
      <c r="N795" s="432"/>
      <c r="O795" s="432"/>
      <c r="P795" s="432"/>
      <c r="Q795" s="432"/>
      <c r="R795" s="432"/>
      <c r="S795" s="432"/>
      <c r="T795" s="432"/>
      <c r="U795" s="432"/>
      <c r="V795" s="432"/>
      <c r="W795" s="432"/>
      <c r="X795" s="432"/>
      <c r="Y795" s="432"/>
      <c r="Z795" s="432"/>
      <c r="AA795" s="432"/>
      <c r="AB795" s="432"/>
    </row>
    <row r="796">
      <c r="A796" s="432"/>
      <c r="B796" s="432"/>
      <c r="C796" s="432"/>
      <c r="D796" s="432"/>
      <c r="E796" s="432"/>
      <c r="F796" s="432"/>
      <c r="G796" s="432"/>
      <c r="H796" s="432"/>
      <c r="I796" s="432"/>
      <c r="J796" s="432"/>
      <c r="K796" s="432"/>
      <c r="L796" s="432"/>
      <c r="M796" s="432"/>
      <c r="N796" s="432"/>
      <c r="O796" s="432"/>
      <c r="P796" s="432"/>
      <c r="Q796" s="432"/>
      <c r="R796" s="432"/>
      <c r="S796" s="432"/>
      <c r="T796" s="432"/>
      <c r="U796" s="432"/>
      <c r="V796" s="432"/>
      <c r="W796" s="432"/>
      <c r="X796" s="432"/>
      <c r="Y796" s="432"/>
      <c r="Z796" s="432"/>
      <c r="AA796" s="432"/>
      <c r="AB796" s="432"/>
    </row>
    <row r="797">
      <c r="A797" s="432"/>
      <c r="B797" s="432"/>
      <c r="C797" s="432"/>
      <c r="D797" s="432"/>
      <c r="E797" s="432"/>
      <c r="F797" s="432"/>
      <c r="G797" s="432"/>
      <c r="H797" s="432"/>
      <c r="I797" s="432"/>
      <c r="J797" s="432"/>
      <c r="K797" s="432"/>
      <c r="L797" s="432"/>
      <c r="M797" s="432"/>
      <c r="N797" s="432"/>
      <c r="O797" s="432"/>
      <c r="P797" s="432"/>
      <c r="Q797" s="432"/>
      <c r="R797" s="432"/>
      <c r="S797" s="432"/>
      <c r="T797" s="432"/>
      <c r="U797" s="432"/>
      <c r="V797" s="432"/>
      <c r="W797" s="432"/>
      <c r="X797" s="432"/>
      <c r="Y797" s="432"/>
      <c r="Z797" s="432"/>
      <c r="AA797" s="432"/>
      <c r="AB797" s="432"/>
    </row>
    <row r="798">
      <c r="A798" s="432"/>
      <c r="B798" s="432"/>
      <c r="C798" s="432"/>
      <c r="D798" s="432"/>
      <c r="E798" s="432"/>
      <c r="F798" s="432"/>
      <c r="G798" s="432"/>
      <c r="H798" s="432"/>
      <c r="I798" s="432"/>
      <c r="J798" s="432"/>
      <c r="K798" s="432"/>
      <c r="L798" s="432"/>
      <c r="M798" s="432"/>
      <c r="N798" s="432"/>
      <c r="O798" s="432"/>
      <c r="P798" s="432"/>
      <c r="Q798" s="432"/>
      <c r="R798" s="432"/>
      <c r="S798" s="432"/>
      <c r="T798" s="432"/>
      <c r="U798" s="432"/>
      <c r="V798" s="432"/>
      <c r="W798" s="432"/>
      <c r="X798" s="432"/>
      <c r="Y798" s="432"/>
      <c r="Z798" s="432"/>
      <c r="AA798" s="432"/>
      <c r="AB798" s="432"/>
    </row>
    <row r="799">
      <c r="A799" s="432"/>
      <c r="B799" s="432"/>
      <c r="C799" s="432"/>
      <c r="D799" s="432"/>
      <c r="E799" s="432"/>
      <c r="F799" s="432"/>
      <c r="G799" s="432"/>
      <c r="H799" s="432"/>
      <c r="I799" s="432"/>
      <c r="J799" s="432"/>
      <c r="K799" s="432"/>
      <c r="L799" s="432"/>
      <c r="M799" s="432"/>
      <c r="N799" s="432"/>
      <c r="O799" s="432"/>
      <c r="P799" s="432"/>
      <c r="Q799" s="432"/>
      <c r="R799" s="432"/>
      <c r="S799" s="432"/>
      <c r="T799" s="432"/>
      <c r="U799" s="432"/>
      <c r="V799" s="432"/>
      <c r="W799" s="432"/>
      <c r="X799" s="432"/>
      <c r="Y799" s="432"/>
      <c r="Z799" s="432"/>
      <c r="AA799" s="432"/>
      <c r="AB799" s="432"/>
    </row>
    <row r="800">
      <c r="A800" s="432"/>
      <c r="B800" s="432"/>
      <c r="C800" s="432"/>
      <c r="D800" s="432"/>
      <c r="E800" s="432"/>
      <c r="F800" s="432"/>
      <c r="G800" s="432"/>
      <c r="H800" s="432"/>
      <c r="I800" s="432"/>
      <c r="J800" s="432"/>
      <c r="K800" s="432"/>
      <c r="L800" s="432"/>
      <c r="M800" s="432"/>
      <c r="N800" s="432"/>
      <c r="O800" s="432"/>
      <c r="P800" s="432"/>
      <c r="Q800" s="432"/>
      <c r="R800" s="432"/>
      <c r="S800" s="432"/>
      <c r="T800" s="432"/>
      <c r="U800" s="432"/>
      <c r="V800" s="432"/>
      <c r="W800" s="432"/>
      <c r="X800" s="432"/>
      <c r="Y800" s="432"/>
      <c r="Z800" s="432"/>
      <c r="AA800" s="432"/>
      <c r="AB800" s="432"/>
    </row>
    <row r="801">
      <c r="A801" s="432"/>
      <c r="B801" s="432"/>
      <c r="C801" s="432"/>
      <c r="D801" s="432"/>
      <c r="E801" s="432"/>
      <c r="F801" s="432"/>
      <c r="G801" s="432"/>
      <c r="H801" s="432"/>
      <c r="I801" s="432"/>
      <c r="J801" s="432"/>
      <c r="K801" s="432"/>
      <c r="L801" s="432"/>
      <c r="M801" s="432"/>
      <c r="N801" s="432"/>
      <c r="O801" s="432"/>
      <c r="P801" s="432"/>
      <c r="Q801" s="432"/>
      <c r="R801" s="432"/>
      <c r="S801" s="432"/>
      <c r="T801" s="432"/>
      <c r="U801" s="432"/>
      <c r="V801" s="432"/>
      <c r="W801" s="432"/>
      <c r="X801" s="432"/>
      <c r="Y801" s="432"/>
      <c r="Z801" s="432"/>
      <c r="AA801" s="432"/>
      <c r="AB801" s="432"/>
    </row>
    <row r="802">
      <c r="A802" s="432"/>
      <c r="B802" s="432"/>
      <c r="C802" s="432"/>
      <c r="D802" s="432"/>
      <c r="E802" s="432"/>
      <c r="F802" s="432"/>
      <c r="G802" s="432"/>
      <c r="H802" s="432"/>
      <c r="I802" s="432"/>
      <c r="J802" s="432"/>
      <c r="K802" s="432"/>
      <c r="L802" s="432"/>
      <c r="M802" s="432"/>
      <c r="N802" s="432"/>
      <c r="O802" s="432"/>
      <c r="P802" s="432"/>
      <c r="Q802" s="432"/>
      <c r="R802" s="432"/>
      <c r="S802" s="432"/>
      <c r="T802" s="432"/>
      <c r="U802" s="432"/>
      <c r="V802" s="432"/>
      <c r="W802" s="432"/>
      <c r="X802" s="432"/>
      <c r="Y802" s="432"/>
      <c r="Z802" s="432"/>
      <c r="AA802" s="432"/>
      <c r="AB802" s="432"/>
    </row>
    <row r="803">
      <c r="A803" s="432"/>
      <c r="B803" s="432"/>
      <c r="C803" s="432"/>
      <c r="D803" s="432"/>
      <c r="E803" s="432"/>
      <c r="F803" s="432"/>
      <c r="G803" s="432"/>
      <c r="H803" s="432"/>
      <c r="I803" s="432"/>
      <c r="J803" s="432"/>
      <c r="K803" s="432"/>
      <c r="L803" s="432"/>
      <c r="M803" s="432"/>
      <c r="N803" s="432"/>
      <c r="O803" s="432"/>
      <c r="P803" s="432"/>
      <c r="Q803" s="432"/>
      <c r="R803" s="432"/>
      <c r="S803" s="432"/>
      <c r="T803" s="432"/>
      <c r="U803" s="432"/>
      <c r="V803" s="432"/>
      <c r="W803" s="432"/>
      <c r="X803" s="432"/>
      <c r="Y803" s="432"/>
      <c r="Z803" s="432"/>
      <c r="AA803" s="432"/>
      <c r="AB803" s="432"/>
    </row>
    <row r="804">
      <c r="A804" s="432"/>
      <c r="B804" s="432"/>
      <c r="C804" s="432"/>
      <c r="D804" s="432"/>
      <c r="E804" s="432"/>
      <c r="F804" s="432"/>
      <c r="G804" s="432"/>
      <c r="H804" s="432"/>
      <c r="I804" s="432"/>
      <c r="J804" s="432"/>
      <c r="K804" s="432"/>
      <c r="L804" s="432"/>
      <c r="M804" s="432"/>
      <c r="N804" s="432"/>
      <c r="O804" s="432"/>
      <c r="P804" s="432"/>
      <c r="Q804" s="432"/>
      <c r="R804" s="432"/>
      <c r="S804" s="432"/>
      <c r="T804" s="432"/>
      <c r="U804" s="432"/>
      <c r="V804" s="432"/>
      <c r="W804" s="432"/>
      <c r="X804" s="432"/>
      <c r="Y804" s="432"/>
      <c r="Z804" s="432"/>
      <c r="AA804" s="432"/>
      <c r="AB804" s="432"/>
    </row>
    <row r="805">
      <c r="A805" s="432"/>
      <c r="B805" s="432"/>
      <c r="C805" s="432"/>
      <c r="D805" s="432"/>
      <c r="E805" s="432"/>
      <c r="F805" s="432"/>
      <c r="G805" s="432"/>
      <c r="H805" s="432"/>
      <c r="I805" s="432"/>
      <c r="J805" s="432"/>
      <c r="K805" s="432"/>
      <c r="L805" s="432"/>
      <c r="M805" s="432"/>
      <c r="N805" s="432"/>
      <c r="O805" s="432"/>
      <c r="P805" s="432"/>
      <c r="Q805" s="432"/>
      <c r="R805" s="432"/>
      <c r="S805" s="432"/>
      <c r="T805" s="432"/>
      <c r="U805" s="432"/>
      <c r="V805" s="432"/>
      <c r="W805" s="432"/>
      <c r="X805" s="432"/>
      <c r="Y805" s="432"/>
      <c r="Z805" s="432"/>
      <c r="AA805" s="432"/>
      <c r="AB805" s="432"/>
    </row>
    <row r="806">
      <c r="A806" s="432"/>
      <c r="B806" s="432"/>
      <c r="C806" s="432"/>
      <c r="D806" s="432"/>
      <c r="E806" s="432"/>
      <c r="F806" s="432"/>
      <c r="G806" s="432"/>
      <c r="H806" s="432"/>
      <c r="I806" s="432"/>
      <c r="J806" s="432"/>
      <c r="K806" s="432"/>
      <c r="L806" s="432"/>
      <c r="M806" s="432"/>
      <c r="N806" s="432"/>
      <c r="O806" s="432"/>
      <c r="P806" s="432"/>
      <c r="Q806" s="432"/>
      <c r="R806" s="432"/>
      <c r="S806" s="432"/>
      <c r="T806" s="432"/>
      <c r="U806" s="432"/>
      <c r="V806" s="432"/>
      <c r="W806" s="432"/>
      <c r="X806" s="432"/>
      <c r="Y806" s="432"/>
      <c r="Z806" s="432"/>
      <c r="AA806" s="432"/>
      <c r="AB806" s="432"/>
    </row>
    <row r="807">
      <c r="A807" s="432"/>
      <c r="B807" s="432"/>
      <c r="C807" s="432"/>
      <c r="D807" s="432"/>
      <c r="E807" s="432"/>
      <c r="F807" s="432"/>
      <c r="G807" s="432"/>
      <c r="H807" s="432"/>
      <c r="I807" s="432"/>
      <c r="J807" s="432"/>
      <c r="K807" s="432"/>
      <c r="L807" s="432"/>
      <c r="M807" s="432"/>
      <c r="N807" s="432"/>
      <c r="O807" s="432"/>
      <c r="P807" s="432"/>
      <c r="Q807" s="432"/>
      <c r="R807" s="432"/>
      <c r="S807" s="432"/>
      <c r="T807" s="432"/>
      <c r="U807" s="432"/>
      <c r="V807" s="432"/>
      <c r="W807" s="432"/>
      <c r="X807" s="432"/>
      <c r="Y807" s="432"/>
      <c r="Z807" s="432"/>
      <c r="AA807" s="432"/>
      <c r="AB807" s="432"/>
    </row>
    <row r="808">
      <c r="A808" s="432"/>
      <c r="B808" s="432"/>
      <c r="C808" s="432"/>
      <c r="D808" s="432"/>
      <c r="E808" s="432"/>
      <c r="F808" s="432"/>
      <c r="G808" s="432"/>
      <c r="H808" s="432"/>
      <c r="I808" s="432"/>
      <c r="J808" s="432"/>
      <c r="K808" s="432"/>
      <c r="L808" s="432"/>
      <c r="M808" s="432"/>
      <c r="N808" s="432"/>
      <c r="O808" s="432"/>
      <c r="P808" s="432"/>
      <c r="Q808" s="432"/>
      <c r="R808" s="432"/>
      <c r="S808" s="432"/>
      <c r="T808" s="432"/>
      <c r="U808" s="432"/>
      <c r="V808" s="432"/>
      <c r="W808" s="432"/>
      <c r="X808" s="432"/>
      <c r="Y808" s="432"/>
      <c r="Z808" s="432"/>
      <c r="AA808" s="432"/>
      <c r="AB808" s="432"/>
    </row>
    <row r="809">
      <c r="A809" s="432"/>
      <c r="B809" s="432"/>
      <c r="C809" s="432"/>
      <c r="D809" s="432"/>
      <c r="E809" s="432"/>
      <c r="F809" s="432"/>
      <c r="G809" s="432"/>
      <c r="H809" s="432"/>
      <c r="I809" s="432"/>
      <c r="J809" s="432"/>
      <c r="K809" s="432"/>
      <c r="L809" s="432"/>
      <c r="M809" s="432"/>
      <c r="N809" s="432"/>
      <c r="O809" s="432"/>
      <c r="P809" s="432"/>
      <c r="Q809" s="432"/>
      <c r="R809" s="432"/>
      <c r="S809" s="432"/>
      <c r="T809" s="432"/>
      <c r="U809" s="432"/>
      <c r="V809" s="432"/>
      <c r="W809" s="432"/>
      <c r="X809" s="432"/>
      <c r="Y809" s="432"/>
      <c r="Z809" s="432"/>
      <c r="AA809" s="432"/>
      <c r="AB809" s="432"/>
    </row>
    <row r="810">
      <c r="A810" s="432"/>
      <c r="B810" s="432"/>
      <c r="C810" s="432"/>
      <c r="D810" s="432"/>
      <c r="E810" s="432"/>
      <c r="F810" s="432"/>
      <c r="G810" s="432"/>
      <c r="H810" s="432"/>
      <c r="I810" s="432"/>
      <c r="J810" s="432"/>
      <c r="K810" s="432"/>
      <c r="L810" s="432"/>
      <c r="M810" s="432"/>
      <c r="N810" s="432"/>
      <c r="O810" s="432"/>
      <c r="P810" s="432"/>
      <c r="Q810" s="432"/>
      <c r="R810" s="432"/>
      <c r="S810" s="432"/>
      <c r="T810" s="432"/>
      <c r="U810" s="432"/>
      <c r="V810" s="432"/>
      <c r="W810" s="432"/>
      <c r="X810" s="432"/>
      <c r="Y810" s="432"/>
      <c r="Z810" s="432"/>
      <c r="AA810" s="432"/>
      <c r="AB810" s="432"/>
    </row>
    <row r="811">
      <c r="A811" s="432"/>
      <c r="B811" s="432"/>
      <c r="C811" s="432"/>
      <c r="D811" s="432"/>
      <c r="E811" s="432"/>
      <c r="F811" s="432"/>
      <c r="G811" s="432"/>
      <c r="H811" s="432"/>
      <c r="I811" s="432"/>
      <c r="J811" s="432"/>
      <c r="K811" s="432"/>
      <c r="L811" s="432"/>
      <c r="M811" s="432"/>
      <c r="N811" s="432"/>
      <c r="O811" s="432"/>
      <c r="P811" s="432"/>
      <c r="Q811" s="432"/>
      <c r="R811" s="432"/>
      <c r="S811" s="432"/>
      <c r="T811" s="432"/>
      <c r="U811" s="432"/>
      <c r="V811" s="432"/>
      <c r="W811" s="432"/>
      <c r="X811" s="432"/>
      <c r="Y811" s="432"/>
      <c r="Z811" s="432"/>
      <c r="AA811" s="432"/>
      <c r="AB811" s="432"/>
    </row>
    <row r="812">
      <c r="A812" s="432"/>
      <c r="B812" s="432"/>
      <c r="C812" s="432"/>
      <c r="D812" s="432"/>
      <c r="E812" s="432"/>
      <c r="F812" s="432"/>
      <c r="G812" s="432"/>
      <c r="H812" s="432"/>
      <c r="I812" s="432"/>
      <c r="J812" s="432"/>
      <c r="K812" s="432"/>
      <c r="L812" s="432"/>
      <c r="M812" s="432"/>
      <c r="N812" s="432"/>
      <c r="O812" s="432"/>
      <c r="P812" s="432"/>
      <c r="Q812" s="432"/>
      <c r="R812" s="432"/>
      <c r="S812" s="432"/>
      <c r="T812" s="432"/>
      <c r="U812" s="432"/>
      <c r="V812" s="432"/>
      <c r="W812" s="432"/>
      <c r="X812" s="432"/>
      <c r="Y812" s="432"/>
      <c r="Z812" s="432"/>
      <c r="AA812" s="432"/>
      <c r="AB812" s="432"/>
    </row>
    <row r="813">
      <c r="A813" s="432"/>
      <c r="B813" s="432"/>
      <c r="C813" s="432"/>
      <c r="D813" s="432"/>
      <c r="E813" s="432"/>
      <c r="F813" s="432"/>
      <c r="G813" s="432"/>
      <c r="H813" s="432"/>
      <c r="I813" s="432"/>
      <c r="J813" s="432"/>
      <c r="K813" s="432"/>
      <c r="L813" s="432"/>
      <c r="M813" s="432"/>
      <c r="N813" s="432"/>
      <c r="O813" s="432"/>
      <c r="P813" s="432"/>
      <c r="Q813" s="432"/>
      <c r="R813" s="432"/>
      <c r="S813" s="432"/>
      <c r="T813" s="432"/>
      <c r="U813" s="432"/>
      <c r="V813" s="432"/>
      <c r="W813" s="432"/>
      <c r="X813" s="432"/>
      <c r="Y813" s="432"/>
      <c r="Z813" s="432"/>
      <c r="AA813" s="432"/>
      <c r="AB813" s="432"/>
    </row>
    <row r="814">
      <c r="A814" s="432"/>
      <c r="B814" s="432"/>
      <c r="C814" s="432"/>
      <c r="D814" s="432"/>
      <c r="E814" s="432"/>
      <c r="F814" s="432"/>
      <c r="G814" s="432"/>
      <c r="H814" s="432"/>
      <c r="I814" s="432"/>
      <c r="J814" s="432"/>
      <c r="K814" s="432"/>
      <c r="L814" s="432"/>
      <c r="M814" s="432"/>
      <c r="N814" s="432"/>
      <c r="O814" s="432"/>
      <c r="P814" s="432"/>
      <c r="Q814" s="432"/>
      <c r="R814" s="432"/>
      <c r="S814" s="432"/>
      <c r="T814" s="432"/>
      <c r="U814" s="432"/>
      <c r="V814" s="432"/>
      <c r="W814" s="432"/>
      <c r="X814" s="432"/>
      <c r="Y814" s="432"/>
      <c r="Z814" s="432"/>
      <c r="AA814" s="432"/>
      <c r="AB814" s="432"/>
    </row>
    <row r="815">
      <c r="A815" s="432"/>
      <c r="B815" s="432"/>
      <c r="C815" s="432"/>
      <c r="D815" s="432"/>
      <c r="E815" s="432"/>
      <c r="F815" s="432"/>
      <c r="G815" s="432"/>
      <c r="H815" s="432"/>
      <c r="I815" s="432"/>
      <c r="J815" s="432"/>
      <c r="K815" s="432"/>
      <c r="L815" s="432"/>
      <c r="M815" s="432"/>
      <c r="N815" s="432"/>
      <c r="O815" s="432"/>
      <c r="P815" s="432"/>
      <c r="Q815" s="432"/>
      <c r="R815" s="432"/>
      <c r="S815" s="432"/>
      <c r="T815" s="432"/>
      <c r="U815" s="432"/>
      <c r="V815" s="432"/>
      <c r="W815" s="432"/>
      <c r="X815" s="432"/>
      <c r="Y815" s="432"/>
      <c r="Z815" s="432"/>
      <c r="AA815" s="432"/>
      <c r="AB815" s="432"/>
    </row>
    <row r="816">
      <c r="A816" s="432"/>
      <c r="B816" s="432"/>
      <c r="C816" s="432"/>
      <c r="D816" s="432"/>
      <c r="E816" s="432"/>
      <c r="F816" s="432"/>
      <c r="G816" s="432"/>
      <c r="H816" s="432"/>
      <c r="I816" s="432"/>
      <c r="J816" s="432"/>
      <c r="K816" s="432"/>
      <c r="L816" s="432"/>
      <c r="M816" s="432"/>
      <c r="N816" s="432"/>
      <c r="O816" s="432"/>
      <c r="P816" s="432"/>
      <c r="Q816" s="432"/>
      <c r="R816" s="432"/>
      <c r="S816" s="432"/>
      <c r="T816" s="432"/>
      <c r="U816" s="432"/>
      <c r="V816" s="432"/>
      <c r="W816" s="432"/>
      <c r="X816" s="432"/>
      <c r="Y816" s="432"/>
      <c r="Z816" s="432"/>
      <c r="AA816" s="432"/>
      <c r="AB816" s="432"/>
    </row>
    <row r="817">
      <c r="A817" s="432"/>
      <c r="B817" s="432"/>
      <c r="C817" s="432"/>
      <c r="D817" s="432"/>
      <c r="E817" s="432"/>
      <c r="F817" s="432"/>
      <c r="G817" s="432"/>
      <c r="H817" s="432"/>
      <c r="I817" s="432"/>
      <c r="J817" s="432"/>
      <c r="K817" s="432"/>
      <c r="L817" s="432"/>
      <c r="M817" s="432"/>
      <c r="N817" s="432"/>
      <c r="O817" s="432"/>
      <c r="P817" s="432"/>
      <c r="Q817" s="432"/>
      <c r="R817" s="432"/>
      <c r="S817" s="432"/>
      <c r="T817" s="432"/>
      <c r="U817" s="432"/>
      <c r="V817" s="432"/>
      <c r="W817" s="432"/>
      <c r="X817" s="432"/>
      <c r="Y817" s="432"/>
      <c r="Z817" s="432"/>
      <c r="AA817" s="432"/>
      <c r="AB817" s="432"/>
    </row>
    <row r="818">
      <c r="A818" s="432"/>
      <c r="B818" s="432"/>
      <c r="C818" s="432"/>
      <c r="D818" s="432"/>
      <c r="E818" s="432"/>
      <c r="F818" s="432"/>
      <c r="G818" s="432"/>
      <c r="H818" s="432"/>
      <c r="I818" s="432"/>
      <c r="J818" s="432"/>
      <c r="K818" s="432"/>
      <c r="L818" s="432"/>
      <c r="M818" s="432"/>
      <c r="N818" s="432"/>
      <c r="O818" s="432"/>
      <c r="P818" s="432"/>
      <c r="Q818" s="432"/>
      <c r="R818" s="432"/>
      <c r="S818" s="432"/>
      <c r="T818" s="432"/>
      <c r="U818" s="432"/>
      <c r="V818" s="432"/>
      <c r="W818" s="432"/>
      <c r="X818" s="432"/>
      <c r="Y818" s="432"/>
      <c r="Z818" s="432"/>
      <c r="AA818" s="432"/>
      <c r="AB818" s="432"/>
    </row>
    <row r="819">
      <c r="A819" s="432"/>
      <c r="B819" s="432"/>
      <c r="C819" s="432"/>
      <c r="D819" s="432"/>
      <c r="E819" s="432"/>
      <c r="F819" s="432"/>
      <c r="G819" s="432"/>
      <c r="H819" s="432"/>
      <c r="I819" s="432"/>
      <c r="J819" s="432"/>
      <c r="K819" s="432"/>
      <c r="L819" s="432"/>
      <c r="M819" s="432"/>
      <c r="N819" s="432"/>
      <c r="O819" s="432"/>
      <c r="P819" s="432"/>
      <c r="Q819" s="432"/>
      <c r="R819" s="432"/>
      <c r="S819" s="432"/>
      <c r="T819" s="432"/>
      <c r="U819" s="432"/>
      <c r="V819" s="432"/>
      <c r="W819" s="432"/>
      <c r="X819" s="432"/>
      <c r="Y819" s="432"/>
      <c r="Z819" s="432"/>
      <c r="AA819" s="432"/>
      <c r="AB819" s="432"/>
    </row>
    <row r="820">
      <c r="A820" s="432"/>
      <c r="B820" s="432"/>
      <c r="C820" s="432"/>
      <c r="D820" s="432"/>
      <c r="E820" s="432"/>
      <c r="F820" s="432"/>
      <c r="G820" s="432"/>
      <c r="H820" s="432"/>
      <c r="I820" s="432"/>
      <c r="J820" s="432"/>
      <c r="K820" s="432"/>
      <c r="L820" s="432"/>
      <c r="M820" s="432"/>
      <c r="N820" s="432"/>
      <c r="O820" s="432"/>
      <c r="P820" s="432"/>
      <c r="Q820" s="432"/>
      <c r="R820" s="432"/>
      <c r="S820" s="432"/>
      <c r="T820" s="432"/>
      <c r="U820" s="432"/>
      <c r="V820" s="432"/>
      <c r="W820" s="432"/>
      <c r="X820" s="432"/>
      <c r="Y820" s="432"/>
      <c r="Z820" s="432"/>
      <c r="AA820" s="432"/>
      <c r="AB820" s="432"/>
    </row>
    <row r="821">
      <c r="A821" s="432"/>
      <c r="B821" s="432"/>
      <c r="C821" s="432"/>
      <c r="D821" s="432"/>
      <c r="E821" s="432"/>
      <c r="F821" s="432"/>
      <c r="G821" s="432"/>
      <c r="H821" s="432"/>
      <c r="I821" s="432"/>
      <c r="J821" s="432"/>
      <c r="K821" s="432"/>
      <c r="L821" s="432"/>
      <c r="M821" s="432"/>
      <c r="N821" s="432"/>
      <c r="O821" s="432"/>
      <c r="P821" s="432"/>
      <c r="Q821" s="432"/>
      <c r="R821" s="432"/>
      <c r="S821" s="432"/>
      <c r="T821" s="432"/>
      <c r="U821" s="432"/>
      <c r="V821" s="432"/>
      <c r="W821" s="432"/>
      <c r="X821" s="432"/>
      <c r="Y821" s="432"/>
      <c r="Z821" s="432"/>
      <c r="AA821" s="432"/>
      <c r="AB821" s="432"/>
    </row>
    <row r="822">
      <c r="A822" s="432"/>
      <c r="B822" s="432"/>
      <c r="C822" s="432"/>
      <c r="D822" s="432"/>
      <c r="E822" s="432"/>
      <c r="F822" s="432"/>
      <c r="G822" s="432"/>
      <c r="H822" s="432"/>
      <c r="I822" s="432"/>
      <c r="J822" s="432"/>
      <c r="K822" s="432"/>
      <c r="L822" s="432"/>
      <c r="M822" s="432"/>
      <c r="N822" s="432"/>
      <c r="O822" s="432"/>
      <c r="P822" s="432"/>
      <c r="Q822" s="432"/>
      <c r="R822" s="432"/>
      <c r="S822" s="432"/>
      <c r="T822" s="432"/>
      <c r="U822" s="432"/>
      <c r="V822" s="432"/>
      <c r="W822" s="432"/>
      <c r="X822" s="432"/>
      <c r="Y822" s="432"/>
      <c r="Z822" s="432"/>
      <c r="AA822" s="432"/>
      <c r="AB822" s="432"/>
    </row>
    <row r="823">
      <c r="A823" s="432"/>
      <c r="B823" s="432"/>
      <c r="C823" s="432"/>
      <c r="D823" s="432"/>
      <c r="E823" s="432"/>
      <c r="F823" s="432"/>
      <c r="G823" s="432"/>
      <c r="H823" s="432"/>
      <c r="I823" s="432"/>
      <c r="J823" s="432"/>
      <c r="K823" s="432"/>
      <c r="L823" s="432"/>
      <c r="M823" s="432"/>
      <c r="N823" s="432"/>
      <c r="O823" s="432"/>
      <c r="P823" s="432"/>
      <c r="Q823" s="432"/>
      <c r="R823" s="432"/>
      <c r="S823" s="432"/>
      <c r="T823" s="432"/>
      <c r="U823" s="432"/>
      <c r="V823" s="432"/>
      <c r="W823" s="432"/>
      <c r="X823" s="432"/>
      <c r="Y823" s="432"/>
      <c r="Z823" s="432"/>
      <c r="AA823" s="432"/>
      <c r="AB823" s="432"/>
    </row>
    <row r="824">
      <c r="A824" s="432"/>
      <c r="B824" s="432"/>
      <c r="C824" s="432"/>
      <c r="D824" s="432"/>
      <c r="E824" s="432"/>
      <c r="F824" s="432"/>
      <c r="G824" s="432"/>
      <c r="H824" s="432"/>
      <c r="I824" s="432"/>
      <c r="J824" s="432"/>
      <c r="K824" s="432"/>
      <c r="L824" s="432"/>
      <c r="M824" s="432"/>
      <c r="N824" s="432"/>
      <c r="O824" s="432"/>
      <c r="P824" s="432"/>
      <c r="Q824" s="432"/>
      <c r="R824" s="432"/>
      <c r="S824" s="432"/>
      <c r="T824" s="432"/>
      <c r="U824" s="432"/>
      <c r="V824" s="432"/>
      <c r="W824" s="432"/>
      <c r="X824" s="432"/>
      <c r="Y824" s="432"/>
      <c r="Z824" s="432"/>
      <c r="AA824" s="432"/>
      <c r="AB824" s="432"/>
    </row>
    <row r="825">
      <c r="A825" s="432"/>
      <c r="B825" s="432"/>
      <c r="C825" s="432"/>
      <c r="D825" s="432"/>
      <c r="E825" s="432"/>
      <c r="F825" s="432"/>
      <c r="G825" s="432"/>
      <c r="H825" s="432"/>
      <c r="I825" s="432"/>
      <c r="J825" s="432"/>
      <c r="K825" s="432"/>
      <c r="L825" s="432"/>
      <c r="M825" s="432"/>
      <c r="N825" s="432"/>
      <c r="O825" s="432"/>
      <c r="P825" s="432"/>
      <c r="Q825" s="432"/>
      <c r="R825" s="432"/>
      <c r="S825" s="432"/>
      <c r="T825" s="432"/>
      <c r="U825" s="432"/>
      <c r="V825" s="432"/>
      <c r="W825" s="432"/>
      <c r="X825" s="432"/>
      <c r="Y825" s="432"/>
      <c r="Z825" s="432"/>
      <c r="AA825" s="432"/>
      <c r="AB825" s="432"/>
    </row>
    <row r="826">
      <c r="A826" s="432"/>
      <c r="B826" s="432"/>
      <c r="C826" s="432"/>
      <c r="D826" s="432"/>
      <c r="E826" s="432"/>
      <c r="F826" s="432"/>
      <c r="G826" s="432"/>
      <c r="H826" s="432"/>
      <c r="I826" s="432"/>
      <c r="J826" s="432"/>
      <c r="K826" s="432"/>
      <c r="L826" s="432"/>
      <c r="M826" s="432"/>
      <c r="N826" s="432"/>
      <c r="O826" s="432"/>
      <c r="P826" s="432"/>
      <c r="Q826" s="432"/>
      <c r="R826" s="432"/>
      <c r="S826" s="432"/>
      <c r="T826" s="432"/>
      <c r="U826" s="432"/>
      <c r="V826" s="432"/>
      <c r="W826" s="432"/>
      <c r="X826" s="432"/>
      <c r="Y826" s="432"/>
      <c r="Z826" s="432"/>
      <c r="AA826" s="432"/>
      <c r="AB826" s="432"/>
    </row>
    <row r="827">
      <c r="A827" s="432"/>
      <c r="B827" s="432"/>
      <c r="C827" s="432"/>
      <c r="D827" s="432"/>
      <c r="E827" s="432"/>
      <c r="F827" s="432"/>
      <c r="G827" s="432"/>
      <c r="H827" s="432"/>
      <c r="I827" s="432"/>
      <c r="J827" s="432"/>
      <c r="K827" s="432"/>
      <c r="L827" s="432"/>
      <c r="M827" s="432"/>
      <c r="N827" s="432"/>
      <c r="O827" s="432"/>
      <c r="P827" s="432"/>
      <c r="Q827" s="432"/>
      <c r="R827" s="432"/>
      <c r="S827" s="432"/>
      <c r="T827" s="432"/>
      <c r="U827" s="432"/>
      <c r="V827" s="432"/>
      <c r="W827" s="432"/>
      <c r="X827" s="432"/>
      <c r="Y827" s="432"/>
      <c r="Z827" s="432"/>
      <c r="AA827" s="432"/>
      <c r="AB827" s="432"/>
    </row>
    <row r="828">
      <c r="A828" s="432"/>
      <c r="B828" s="432"/>
      <c r="C828" s="432"/>
      <c r="D828" s="432"/>
      <c r="E828" s="432"/>
      <c r="F828" s="432"/>
      <c r="G828" s="432"/>
      <c r="H828" s="432"/>
      <c r="I828" s="432"/>
      <c r="J828" s="432"/>
      <c r="K828" s="432"/>
      <c r="L828" s="432"/>
      <c r="M828" s="432"/>
      <c r="N828" s="432"/>
      <c r="O828" s="432"/>
      <c r="P828" s="432"/>
      <c r="Q828" s="432"/>
      <c r="R828" s="432"/>
      <c r="S828" s="432"/>
      <c r="T828" s="432"/>
      <c r="U828" s="432"/>
      <c r="V828" s="432"/>
      <c r="W828" s="432"/>
      <c r="X828" s="432"/>
      <c r="Y828" s="432"/>
      <c r="Z828" s="432"/>
      <c r="AA828" s="432"/>
      <c r="AB828" s="432"/>
    </row>
    <row r="829">
      <c r="A829" s="432"/>
      <c r="B829" s="432"/>
      <c r="C829" s="432"/>
      <c r="D829" s="432"/>
      <c r="E829" s="432"/>
      <c r="F829" s="432"/>
      <c r="G829" s="432"/>
      <c r="H829" s="432"/>
      <c r="I829" s="432"/>
      <c r="J829" s="432"/>
      <c r="K829" s="432"/>
      <c r="L829" s="432"/>
      <c r="M829" s="432"/>
      <c r="N829" s="432"/>
      <c r="O829" s="432"/>
      <c r="P829" s="432"/>
      <c r="Q829" s="432"/>
      <c r="R829" s="432"/>
      <c r="S829" s="432"/>
      <c r="T829" s="432"/>
      <c r="U829" s="432"/>
      <c r="V829" s="432"/>
      <c r="W829" s="432"/>
      <c r="X829" s="432"/>
      <c r="Y829" s="432"/>
      <c r="Z829" s="432"/>
      <c r="AA829" s="432"/>
      <c r="AB829" s="432"/>
    </row>
    <row r="830">
      <c r="A830" s="432"/>
      <c r="B830" s="432"/>
      <c r="C830" s="432"/>
      <c r="D830" s="432"/>
      <c r="E830" s="432"/>
      <c r="F830" s="432"/>
      <c r="G830" s="432"/>
      <c r="H830" s="432"/>
      <c r="I830" s="432"/>
      <c r="J830" s="432"/>
      <c r="K830" s="432"/>
      <c r="L830" s="432"/>
      <c r="M830" s="432"/>
      <c r="N830" s="432"/>
      <c r="O830" s="432"/>
      <c r="P830" s="432"/>
      <c r="Q830" s="432"/>
      <c r="R830" s="432"/>
      <c r="S830" s="432"/>
      <c r="T830" s="432"/>
      <c r="U830" s="432"/>
      <c r="V830" s="432"/>
      <c r="W830" s="432"/>
      <c r="X830" s="432"/>
      <c r="Y830" s="432"/>
      <c r="Z830" s="432"/>
      <c r="AA830" s="432"/>
      <c r="AB830" s="432"/>
    </row>
    <row r="831">
      <c r="A831" s="432"/>
      <c r="B831" s="432"/>
      <c r="C831" s="432"/>
      <c r="D831" s="432"/>
      <c r="E831" s="432"/>
      <c r="F831" s="432"/>
      <c r="G831" s="432"/>
      <c r="H831" s="432"/>
      <c r="I831" s="432"/>
      <c r="J831" s="432"/>
      <c r="K831" s="432"/>
      <c r="L831" s="432"/>
      <c r="M831" s="432"/>
      <c r="N831" s="432"/>
      <c r="O831" s="432"/>
      <c r="P831" s="432"/>
      <c r="Q831" s="432"/>
      <c r="R831" s="432"/>
      <c r="S831" s="432"/>
      <c r="T831" s="432"/>
      <c r="U831" s="432"/>
      <c r="V831" s="432"/>
      <c r="W831" s="432"/>
      <c r="X831" s="432"/>
      <c r="Y831" s="432"/>
      <c r="Z831" s="432"/>
      <c r="AA831" s="432"/>
      <c r="AB831" s="432"/>
    </row>
    <row r="832">
      <c r="A832" s="432"/>
      <c r="B832" s="432"/>
      <c r="C832" s="432"/>
      <c r="D832" s="432"/>
      <c r="E832" s="432"/>
      <c r="F832" s="432"/>
      <c r="G832" s="432"/>
      <c r="H832" s="432"/>
      <c r="I832" s="432"/>
      <c r="J832" s="432"/>
      <c r="K832" s="432"/>
      <c r="L832" s="432"/>
      <c r="M832" s="432"/>
      <c r="N832" s="432"/>
      <c r="O832" s="432"/>
      <c r="P832" s="432"/>
      <c r="Q832" s="432"/>
      <c r="R832" s="432"/>
      <c r="S832" s="432"/>
      <c r="T832" s="432"/>
      <c r="U832" s="432"/>
      <c r="V832" s="432"/>
      <c r="W832" s="432"/>
      <c r="X832" s="432"/>
      <c r="Y832" s="432"/>
      <c r="Z832" s="432"/>
      <c r="AA832" s="432"/>
      <c r="AB832" s="432"/>
    </row>
    <row r="833">
      <c r="A833" s="432"/>
      <c r="B833" s="432"/>
      <c r="C833" s="432"/>
      <c r="D833" s="432"/>
      <c r="E833" s="432"/>
      <c r="F833" s="432"/>
      <c r="G833" s="432"/>
      <c r="H833" s="432"/>
      <c r="I833" s="432"/>
      <c r="J833" s="432"/>
      <c r="K833" s="432"/>
      <c r="L833" s="432"/>
      <c r="M833" s="432"/>
      <c r="N833" s="432"/>
      <c r="O833" s="432"/>
      <c r="P833" s="432"/>
      <c r="Q833" s="432"/>
      <c r="R833" s="432"/>
      <c r="S833" s="432"/>
      <c r="T833" s="432"/>
      <c r="U833" s="432"/>
      <c r="V833" s="432"/>
      <c r="W833" s="432"/>
      <c r="X833" s="432"/>
      <c r="Y833" s="432"/>
      <c r="Z833" s="432"/>
      <c r="AA833" s="432"/>
      <c r="AB833" s="432"/>
    </row>
    <row r="834">
      <c r="A834" s="432"/>
      <c r="B834" s="432"/>
      <c r="C834" s="432"/>
      <c r="D834" s="432"/>
      <c r="E834" s="432"/>
      <c r="F834" s="432"/>
      <c r="G834" s="432"/>
      <c r="H834" s="432"/>
      <c r="I834" s="432"/>
      <c r="J834" s="432"/>
      <c r="K834" s="432"/>
      <c r="L834" s="432"/>
      <c r="M834" s="432"/>
      <c r="N834" s="432"/>
      <c r="O834" s="432"/>
      <c r="P834" s="432"/>
      <c r="Q834" s="432"/>
      <c r="R834" s="432"/>
      <c r="S834" s="432"/>
      <c r="T834" s="432"/>
      <c r="U834" s="432"/>
      <c r="V834" s="432"/>
      <c r="W834" s="432"/>
      <c r="X834" s="432"/>
      <c r="Y834" s="432"/>
      <c r="Z834" s="432"/>
      <c r="AA834" s="432"/>
      <c r="AB834" s="432"/>
    </row>
    <row r="835">
      <c r="A835" s="432"/>
      <c r="B835" s="432"/>
      <c r="C835" s="432"/>
      <c r="D835" s="432"/>
      <c r="E835" s="432"/>
      <c r="F835" s="432"/>
      <c r="G835" s="432"/>
      <c r="H835" s="432"/>
      <c r="I835" s="432"/>
      <c r="J835" s="432"/>
      <c r="K835" s="432"/>
      <c r="L835" s="432"/>
      <c r="M835" s="432"/>
      <c r="N835" s="432"/>
      <c r="O835" s="432"/>
      <c r="P835" s="432"/>
      <c r="Q835" s="432"/>
      <c r="R835" s="432"/>
      <c r="S835" s="432"/>
      <c r="T835" s="432"/>
      <c r="U835" s="432"/>
      <c r="V835" s="432"/>
      <c r="W835" s="432"/>
      <c r="X835" s="432"/>
      <c r="Y835" s="432"/>
      <c r="Z835" s="432"/>
      <c r="AA835" s="432"/>
      <c r="AB835" s="432"/>
    </row>
    <row r="836">
      <c r="A836" s="432"/>
      <c r="B836" s="432"/>
      <c r="C836" s="432"/>
      <c r="D836" s="432"/>
      <c r="E836" s="432"/>
      <c r="F836" s="432"/>
      <c r="G836" s="432"/>
      <c r="H836" s="432"/>
      <c r="I836" s="432"/>
      <c r="J836" s="432"/>
      <c r="K836" s="432"/>
      <c r="L836" s="432"/>
      <c r="M836" s="432"/>
      <c r="N836" s="432"/>
      <c r="O836" s="432"/>
      <c r="P836" s="432"/>
      <c r="Q836" s="432"/>
      <c r="R836" s="432"/>
      <c r="S836" s="432"/>
      <c r="T836" s="432"/>
      <c r="U836" s="432"/>
      <c r="V836" s="432"/>
      <c r="W836" s="432"/>
      <c r="X836" s="432"/>
      <c r="Y836" s="432"/>
      <c r="Z836" s="432"/>
      <c r="AA836" s="432"/>
      <c r="AB836" s="432"/>
    </row>
    <row r="837">
      <c r="A837" s="432"/>
      <c r="B837" s="432"/>
      <c r="C837" s="432"/>
      <c r="D837" s="432"/>
      <c r="E837" s="432"/>
      <c r="F837" s="432"/>
      <c r="G837" s="432"/>
      <c r="H837" s="432"/>
      <c r="I837" s="432"/>
      <c r="J837" s="432"/>
      <c r="K837" s="432"/>
      <c r="L837" s="432"/>
      <c r="M837" s="432"/>
      <c r="N837" s="432"/>
      <c r="O837" s="432"/>
      <c r="P837" s="432"/>
      <c r="Q837" s="432"/>
      <c r="R837" s="432"/>
      <c r="S837" s="432"/>
      <c r="T837" s="432"/>
      <c r="U837" s="432"/>
      <c r="V837" s="432"/>
      <c r="W837" s="432"/>
      <c r="X837" s="432"/>
      <c r="Y837" s="432"/>
      <c r="Z837" s="432"/>
      <c r="AA837" s="432"/>
      <c r="AB837" s="432"/>
    </row>
    <row r="838">
      <c r="A838" s="432"/>
      <c r="B838" s="432"/>
      <c r="C838" s="432"/>
      <c r="D838" s="432"/>
      <c r="E838" s="432"/>
      <c r="F838" s="432"/>
      <c r="G838" s="432"/>
      <c r="H838" s="432"/>
      <c r="I838" s="432"/>
      <c r="J838" s="432"/>
      <c r="K838" s="432"/>
      <c r="L838" s="432"/>
      <c r="M838" s="432"/>
      <c r="N838" s="432"/>
      <c r="O838" s="432"/>
      <c r="P838" s="432"/>
      <c r="Q838" s="432"/>
      <c r="R838" s="432"/>
      <c r="S838" s="432"/>
      <c r="T838" s="432"/>
      <c r="U838" s="432"/>
      <c r="V838" s="432"/>
      <c r="W838" s="432"/>
      <c r="X838" s="432"/>
      <c r="Y838" s="432"/>
      <c r="Z838" s="432"/>
      <c r="AA838" s="432"/>
      <c r="AB838" s="432"/>
    </row>
    <row r="839">
      <c r="A839" s="432"/>
      <c r="B839" s="432"/>
      <c r="C839" s="432"/>
      <c r="D839" s="432"/>
      <c r="E839" s="432"/>
      <c r="F839" s="432"/>
      <c r="G839" s="432"/>
      <c r="H839" s="432"/>
      <c r="I839" s="432"/>
      <c r="J839" s="432"/>
      <c r="K839" s="432"/>
      <c r="L839" s="432"/>
      <c r="M839" s="432"/>
      <c r="N839" s="432"/>
      <c r="O839" s="432"/>
      <c r="P839" s="432"/>
      <c r="Q839" s="432"/>
      <c r="R839" s="432"/>
      <c r="S839" s="432"/>
      <c r="T839" s="432"/>
      <c r="U839" s="432"/>
      <c r="V839" s="432"/>
      <c r="W839" s="432"/>
      <c r="X839" s="432"/>
      <c r="Y839" s="432"/>
      <c r="Z839" s="432"/>
      <c r="AA839" s="432"/>
      <c r="AB839" s="432"/>
    </row>
    <row r="840">
      <c r="A840" s="432"/>
      <c r="B840" s="432"/>
      <c r="C840" s="432"/>
      <c r="D840" s="432"/>
      <c r="E840" s="432"/>
      <c r="F840" s="432"/>
      <c r="G840" s="432"/>
      <c r="H840" s="432"/>
      <c r="I840" s="432"/>
      <c r="J840" s="432"/>
      <c r="K840" s="432"/>
      <c r="L840" s="432"/>
      <c r="M840" s="432"/>
      <c r="N840" s="432"/>
      <c r="O840" s="432"/>
      <c r="P840" s="432"/>
      <c r="Q840" s="432"/>
      <c r="R840" s="432"/>
      <c r="S840" s="432"/>
      <c r="T840" s="432"/>
      <c r="U840" s="432"/>
      <c r="V840" s="432"/>
      <c r="W840" s="432"/>
      <c r="X840" s="432"/>
      <c r="Y840" s="432"/>
      <c r="Z840" s="432"/>
      <c r="AA840" s="432"/>
      <c r="AB840" s="432"/>
    </row>
    <row r="841">
      <c r="A841" s="432"/>
      <c r="B841" s="432"/>
      <c r="C841" s="432"/>
      <c r="D841" s="432"/>
      <c r="E841" s="432"/>
      <c r="F841" s="432"/>
      <c r="G841" s="432"/>
      <c r="H841" s="432"/>
      <c r="I841" s="432"/>
      <c r="J841" s="432"/>
      <c r="K841" s="432"/>
      <c r="L841" s="432"/>
      <c r="M841" s="432"/>
      <c r="N841" s="432"/>
      <c r="O841" s="432"/>
      <c r="P841" s="432"/>
      <c r="Q841" s="432"/>
      <c r="R841" s="432"/>
      <c r="S841" s="432"/>
      <c r="T841" s="432"/>
      <c r="U841" s="432"/>
      <c r="V841" s="432"/>
      <c r="W841" s="432"/>
      <c r="X841" s="432"/>
      <c r="Y841" s="432"/>
      <c r="Z841" s="432"/>
      <c r="AA841" s="432"/>
      <c r="AB841" s="432"/>
    </row>
    <row r="842">
      <c r="A842" s="432"/>
      <c r="B842" s="432"/>
      <c r="C842" s="432"/>
      <c r="D842" s="432"/>
      <c r="E842" s="432"/>
      <c r="F842" s="432"/>
      <c r="G842" s="432"/>
      <c r="H842" s="432"/>
      <c r="I842" s="432"/>
      <c r="J842" s="432"/>
      <c r="K842" s="432"/>
      <c r="L842" s="432"/>
      <c r="M842" s="432"/>
      <c r="N842" s="432"/>
      <c r="O842" s="432"/>
      <c r="P842" s="432"/>
      <c r="Q842" s="432"/>
      <c r="R842" s="432"/>
      <c r="S842" s="432"/>
      <c r="T842" s="432"/>
      <c r="U842" s="432"/>
      <c r="V842" s="432"/>
      <c r="W842" s="432"/>
      <c r="X842" s="432"/>
      <c r="Y842" s="432"/>
      <c r="Z842" s="432"/>
      <c r="AA842" s="432"/>
      <c r="AB842" s="432"/>
    </row>
    <row r="843">
      <c r="A843" s="432"/>
      <c r="B843" s="432"/>
      <c r="C843" s="432"/>
      <c r="D843" s="432"/>
      <c r="E843" s="432"/>
      <c r="F843" s="432"/>
      <c r="G843" s="432"/>
      <c r="H843" s="432"/>
      <c r="I843" s="432"/>
      <c r="J843" s="432"/>
      <c r="K843" s="432"/>
      <c r="L843" s="432"/>
      <c r="M843" s="432"/>
      <c r="N843" s="432"/>
      <c r="O843" s="432"/>
      <c r="P843" s="432"/>
      <c r="Q843" s="432"/>
      <c r="R843" s="432"/>
      <c r="S843" s="432"/>
      <c r="T843" s="432"/>
      <c r="U843" s="432"/>
      <c r="V843" s="432"/>
      <c r="W843" s="432"/>
      <c r="X843" s="432"/>
      <c r="Y843" s="432"/>
      <c r="Z843" s="432"/>
      <c r="AA843" s="432"/>
      <c r="AB843" s="432"/>
    </row>
    <row r="844">
      <c r="A844" s="432"/>
      <c r="B844" s="432"/>
      <c r="C844" s="432"/>
      <c r="D844" s="432"/>
      <c r="E844" s="432"/>
      <c r="F844" s="432"/>
      <c r="G844" s="432"/>
      <c r="H844" s="432"/>
      <c r="I844" s="432"/>
      <c r="J844" s="432"/>
      <c r="K844" s="432"/>
      <c r="L844" s="432"/>
      <c r="M844" s="432"/>
      <c r="N844" s="432"/>
      <c r="O844" s="432"/>
      <c r="P844" s="432"/>
      <c r="Q844" s="432"/>
      <c r="R844" s="432"/>
      <c r="S844" s="432"/>
      <c r="T844" s="432"/>
      <c r="U844" s="432"/>
      <c r="V844" s="432"/>
      <c r="W844" s="432"/>
      <c r="X844" s="432"/>
      <c r="Y844" s="432"/>
      <c r="Z844" s="432"/>
      <c r="AA844" s="432"/>
      <c r="AB844" s="432"/>
    </row>
    <row r="845">
      <c r="A845" s="432"/>
      <c r="B845" s="432"/>
      <c r="C845" s="432"/>
      <c r="D845" s="432"/>
      <c r="E845" s="432"/>
      <c r="F845" s="432"/>
      <c r="G845" s="432"/>
      <c r="H845" s="432"/>
      <c r="I845" s="432"/>
      <c r="J845" s="432"/>
      <c r="K845" s="432"/>
      <c r="L845" s="432"/>
      <c r="M845" s="432"/>
      <c r="N845" s="432"/>
      <c r="O845" s="432"/>
      <c r="P845" s="432"/>
      <c r="Q845" s="432"/>
      <c r="R845" s="432"/>
      <c r="S845" s="432"/>
      <c r="T845" s="432"/>
      <c r="U845" s="432"/>
      <c r="V845" s="432"/>
      <c r="W845" s="432"/>
      <c r="X845" s="432"/>
      <c r="Y845" s="432"/>
      <c r="Z845" s="432"/>
      <c r="AA845" s="432"/>
      <c r="AB845" s="432"/>
    </row>
    <row r="846">
      <c r="A846" s="432"/>
      <c r="B846" s="432"/>
      <c r="C846" s="432"/>
      <c r="D846" s="432"/>
      <c r="E846" s="432"/>
      <c r="F846" s="432"/>
      <c r="G846" s="432"/>
      <c r="H846" s="432"/>
      <c r="I846" s="432"/>
      <c r="J846" s="432"/>
      <c r="K846" s="432"/>
      <c r="L846" s="432"/>
      <c r="M846" s="432"/>
      <c r="N846" s="432"/>
      <c r="O846" s="432"/>
      <c r="P846" s="432"/>
      <c r="Q846" s="432"/>
      <c r="R846" s="432"/>
      <c r="S846" s="432"/>
      <c r="T846" s="432"/>
      <c r="U846" s="432"/>
      <c r="V846" s="432"/>
      <c r="W846" s="432"/>
      <c r="X846" s="432"/>
      <c r="Y846" s="432"/>
      <c r="Z846" s="432"/>
      <c r="AA846" s="432"/>
      <c r="AB846" s="432"/>
    </row>
    <row r="847">
      <c r="A847" s="432"/>
      <c r="B847" s="432"/>
      <c r="C847" s="432"/>
      <c r="D847" s="432"/>
      <c r="E847" s="432"/>
      <c r="F847" s="432"/>
      <c r="G847" s="432"/>
      <c r="H847" s="432"/>
      <c r="I847" s="432"/>
      <c r="J847" s="432"/>
      <c r="K847" s="432"/>
      <c r="L847" s="432"/>
      <c r="M847" s="432"/>
      <c r="N847" s="432"/>
      <c r="O847" s="432"/>
      <c r="P847" s="432"/>
      <c r="Q847" s="432"/>
      <c r="R847" s="432"/>
      <c r="S847" s="432"/>
      <c r="T847" s="432"/>
      <c r="U847" s="432"/>
      <c r="V847" s="432"/>
      <c r="W847" s="432"/>
      <c r="X847" s="432"/>
      <c r="Y847" s="432"/>
      <c r="Z847" s="432"/>
      <c r="AA847" s="432"/>
      <c r="AB847" s="432"/>
    </row>
    <row r="848">
      <c r="A848" s="432"/>
      <c r="B848" s="432"/>
      <c r="C848" s="432"/>
      <c r="D848" s="432"/>
      <c r="E848" s="432"/>
      <c r="F848" s="432"/>
      <c r="G848" s="432"/>
      <c r="H848" s="432"/>
      <c r="I848" s="432"/>
      <c r="J848" s="432"/>
      <c r="K848" s="432"/>
      <c r="L848" s="432"/>
      <c r="M848" s="432"/>
      <c r="N848" s="432"/>
      <c r="O848" s="432"/>
      <c r="P848" s="432"/>
      <c r="Q848" s="432"/>
      <c r="R848" s="432"/>
      <c r="S848" s="432"/>
      <c r="T848" s="432"/>
      <c r="U848" s="432"/>
      <c r="V848" s="432"/>
      <c r="W848" s="432"/>
      <c r="X848" s="432"/>
      <c r="Y848" s="432"/>
      <c r="Z848" s="432"/>
      <c r="AA848" s="432"/>
      <c r="AB848" s="432"/>
    </row>
    <row r="849">
      <c r="A849" s="432"/>
      <c r="B849" s="432"/>
      <c r="C849" s="432"/>
      <c r="D849" s="432"/>
      <c r="E849" s="432"/>
      <c r="F849" s="432"/>
      <c r="G849" s="432"/>
      <c r="H849" s="432"/>
      <c r="I849" s="432"/>
      <c r="J849" s="432"/>
      <c r="K849" s="432"/>
      <c r="L849" s="432"/>
      <c r="M849" s="432"/>
      <c r="N849" s="432"/>
      <c r="O849" s="432"/>
      <c r="P849" s="432"/>
      <c r="Q849" s="432"/>
      <c r="R849" s="432"/>
      <c r="S849" s="432"/>
      <c r="T849" s="432"/>
      <c r="U849" s="432"/>
      <c r="V849" s="432"/>
      <c r="W849" s="432"/>
      <c r="X849" s="432"/>
      <c r="Y849" s="432"/>
      <c r="Z849" s="432"/>
      <c r="AA849" s="432"/>
      <c r="AB849" s="432"/>
    </row>
    <row r="850">
      <c r="A850" s="432"/>
      <c r="B850" s="432"/>
      <c r="C850" s="432"/>
      <c r="D850" s="432"/>
      <c r="E850" s="432"/>
      <c r="F850" s="432"/>
      <c r="G850" s="432"/>
      <c r="H850" s="432"/>
      <c r="I850" s="432"/>
      <c r="J850" s="432"/>
      <c r="K850" s="432"/>
      <c r="L850" s="432"/>
      <c r="M850" s="432"/>
      <c r="N850" s="432"/>
      <c r="O850" s="432"/>
      <c r="P850" s="432"/>
      <c r="Q850" s="432"/>
      <c r="R850" s="432"/>
      <c r="S850" s="432"/>
      <c r="T850" s="432"/>
      <c r="U850" s="432"/>
      <c r="V850" s="432"/>
      <c r="W850" s="432"/>
      <c r="X850" s="432"/>
      <c r="Y850" s="432"/>
      <c r="Z850" s="432"/>
      <c r="AA850" s="432"/>
      <c r="AB850" s="432"/>
    </row>
    <row r="851">
      <c r="A851" s="432"/>
      <c r="B851" s="432"/>
      <c r="C851" s="432"/>
      <c r="D851" s="432"/>
      <c r="E851" s="432"/>
      <c r="F851" s="432"/>
      <c r="G851" s="432"/>
      <c r="H851" s="432"/>
      <c r="I851" s="432"/>
      <c r="J851" s="432"/>
      <c r="K851" s="432"/>
      <c r="L851" s="432"/>
      <c r="M851" s="432"/>
      <c r="N851" s="432"/>
      <c r="O851" s="432"/>
      <c r="P851" s="432"/>
      <c r="Q851" s="432"/>
      <c r="R851" s="432"/>
      <c r="S851" s="432"/>
      <c r="T851" s="432"/>
      <c r="U851" s="432"/>
      <c r="V851" s="432"/>
      <c r="W851" s="432"/>
      <c r="X851" s="432"/>
      <c r="Y851" s="432"/>
      <c r="Z851" s="432"/>
      <c r="AA851" s="432"/>
      <c r="AB851" s="432"/>
    </row>
    <row r="852">
      <c r="A852" s="432"/>
      <c r="B852" s="432"/>
      <c r="C852" s="432"/>
      <c r="D852" s="432"/>
      <c r="E852" s="432"/>
      <c r="F852" s="432"/>
      <c r="G852" s="432"/>
      <c r="H852" s="432"/>
      <c r="I852" s="432"/>
      <c r="J852" s="432"/>
      <c r="K852" s="432"/>
      <c r="L852" s="432"/>
      <c r="M852" s="432"/>
      <c r="N852" s="432"/>
      <c r="O852" s="432"/>
      <c r="P852" s="432"/>
      <c r="Q852" s="432"/>
      <c r="R852" s="432"/>
      <c r="S852" s="432"/>
      <c r="T852" s="432"/>
      <c r="U852" s="432"/>
      <c r="V852" s="432"/>
      <c r="W852" s="432"/>
      <c r="X852" s="432"/>
      <c r="Y852" s="432"/>
      <c r="Z852" s="432"/>
      <c r="AA852" s="432"/>
      <c r="AB852" s="432"/>
    </row>
    <row r="853">
      <c r="A853" s="432"/>
      <c r="B853" s="432"/>
      <c r="C853" s="432"/>
      <c r="D853" s="432"/>
      <c r="E853" s="432"/>
      <c r="F853" s="432"/>
      <c r="G853" s="432"/>
      <c r="H853" s="432"/>
      <c r="I853" s="432"/>
      <c r="J853" s="432"/>
      <c r="K853" s="432"/>
      <c r="L853" s="432"/>
      <c r="M853" s="432"/>
      <c r="N853" s="432"/>
      <c r="O853" s="432"/>
      <c r="P853" s="432"/>
      <c r="Q853" s="432"/>
      <c r="R853" s="432"/>
      <c r="S853" s="432"/>
      <c r="T853" s="432"/>
      <c r="U853" s="432"/>
      <c r="V853" s="432"/>
      <c r="W853" s="432"/>
      <c r="X853" s="432"/>
      <c r="Y853" s="432"/>
      <c r="Z853" s="432"/>
      <c r="AA853" s="432"/>
      <c r="AB853" s="432"/>
    </row>
    <row r="854">
      <c r="A854" s="432"/>
      <c r="B854" s="432"/>
      <c r="C854" s="432"/>
      <c r="D854" s="432"/>
      <c r="E854" s="432"/>
      <c r="F854" s="432"/>
      <c r="G854" s="432"/>
      <c r="H854" s="432"/>
      <c r="I854" s="432"/>
      <c r="J854" s="432"/>
      <c r="K854" s="432"/>
      <c r="L854" s="432"/>
      <c r="M854" s="432"/>
      <c r="N854" s="432"/>
      <c r="O854" s="432"/>
      <c r="P854" s="432"/>
      <c r="Q854" s="432"/>
      <c r="R854" s="432"/>
      <c r="S854" s="432"/>
      <c r="T854" s="432"/>
      <c r="U854" s="432"/>
      <c r="V854" s="432"/>
      <c r="W854" s="432"/>
      <c r="X854" s="432"/>
      <c r="Y854" s="432"/>
      <c r="Z854" s="432"/>
      <c r="AA854" s="432"/>
      <c r="AB854" s="432"/>
    </row>
    <row r="855">
      <c r="A855" s="432"/>
      <c r="B855" s="432"/>
      <c r="C855" s="432"/>
      <c r="D855" s="432"/>
      <c r="E855" s="432"/>
      <c r="F855" s="432"/>
      <c r="G855" s="432"/>
      <c r="H855" s="432"/>
      <c r="I855" s="432"/>
      <c r="J855" s="432"/>
      <c r="K855" s="432"/>
      <c r="L855" s="432"/>
      <c r="M855" s="432"/>
      <c r="N855" s="432"/>
      <c r="O855" s="432"/>
      <c r="P855" s="432"/>
      <c r="Q855" s="432"/>
      <c r="R855" s="432"/>
      <c r="S855" s="432"/>
      <c r="T855" s="432"/>
      <c r="U855" s="432"/>
      <c r="V855" s="432"/>
      <c r="W855" s="432"/>
      <c r="X855" s="432"/>
      <c r="Y855" s="432"/>
      <c r="Z855" s="432"/>
      <c r="AA855" s="432"/>
      <c r="AB855" s="432"/>
    </row>
    <row r="856">
      <c r="A856" s="432"/>
      <c r="B856" s="432"/>
      <c r="C856" s="432"/>
      <c r="D856" s="432"/>
      <c r="E856" s="432"/>
      <c r="F856" s="432"/>
      <c r="G856" s="432"/>
      <c r="H856" s="432"/>
      <c r="I856" s="432"/>
      <c r="J856" s="432"/>
      <c r="K856" s="432"/>
      <c r="L856" s="432"/>
      <c r="M856" s="432"/>
      <c r="N856" s="432"/>
      <c r="O856" s="432"/>
      <c r="P856" s="432"/>
      <c r="Q856" s="432"/>
      <c r="R856" s="432"/>
      <c r="S856" s="432"/>
      <c r="T856" s="432"/>
      <c r="U856" s="432"/>
      <c r="V856" s="432"/>
      <c r="W856" s="432"/>
      <c r="X856" s="432"/>
      <c r="Y856" s="432"/>
      <c r="Z856" s="432"/>
      <c r="AA856" s="432"/>
      <c r="AB856" s="432"/>
    </row>
    <row r="857">
      <c r="A857" s="432"/>
      <c r="B857" s="432"/>
      <c r="C857" s="432"/>
      <c r="D857" s="432"/>
      <c r="E857" s="432"/>
      <c r="F857" s="432"/>
      <c r="G857" s="432"/>
      <c r="H857" s="432"/>
      <c r="I857" s="432"/>
      <c r="J857" s="432"/>
      <c r="K857" s="432"/>
      <c r="L857" s="432"/>
      <c r="M857" s="432"/>
      <c r="N857" s="432"/>
      <c r="O857" s="432"/>
      <c r="P857" s="432"/>
      <c r="Q857" s="432"/>
      <c r="R857" s="432"/>
      <c r="S857" s="432"/>
      <c r="T857" s="432"/>
      <c r="U857" s="432"/>
      <c r="V857" s="432"/>
      <c r="W857" s="432"/>
      <c r="X857" s="432"/>
      <c r="Y857" s="432"/>
      <c r="Z857" s="432"/>
      <c r="AA857" s="432"/>
      <c r="AB857" s="432"/>
    </row>
    <row r="858">
      <c r="A858" s="432"/>
      <c r="B858" s="432"/>
      <c r="C858" s="432"/>
      <c r="D858" s="432"/>
      <c r="E858" s="432"/>
      <c r="F858" s="432"/>
      <c r="G858" s="432"/>
      <c r="H858" s="432"/>
      <c r="I858" s="432"/>
      <c r="J858" s="432"/>
      <c r="K858" s="432"/>
      <c r="L858" s="432"/>
      <c r="M858" s="432"/>
      <c r="N858" s="432"/>
      <c r="O858" s="432"/>
      <c r="P858" s="432"/>
      <c r="Q858" s="432"/>
      <c r="R858" s="432"/>
      <c r="S858" s="432"/>
      <c r="T858" s="432"/>
      <c r="U858" s="432"/>
      <c r="V858" s="432"/>
      <c r="W858" s="432"/>
      <c r="X858" s="432"/>
      <c r="Y858" s="432"/>
      <c r="Z858" s="432"/>
      <c r="AA858" s="432"/>
      <c r="AB858" s="432"/>
    </row>
    <row r="859">
      <c r="A859" s="432"/>
      <c r="B859" s="432"/>
      <c r="C859" s="432"/>
      <c r="D859" s="432"/>
      <c r="E859" s="432"/>
      <c r="F859" s="432"/>
      <c r="G859" s="432"/>
      <c r="H859" s="432"/>
      <c r="I859" s="432"/>
      <c r="J859" s="432"/>
      <c r="K859" s="432"/>
      <c r="L859" s="432"/>
      <c r="M859" s="432"/>
      <c r="N859" s="432"/>
      <c r="O859" s="432"/>
      <c r="P859" s="432"/>
      <c r="Q859" s="432"/>
      <c r="R859" s="432"/>
      <c r="S859" s="432"/>
      <c r="T859" s="432"/>
      <c r="U859" s="432"/>
      <c r="V859" s="432"/>
      <c r="W859" s="432"/>
      <c r="X859" s="432"/>
      <c r="Y859" s="432"/>
      <c r="Z859" s="432"/>
      <c r="AA859" s="432"/>
      <c r="AB859" s="432"/>
    </row>
    <row r="860">
      <c r="A860" s="432"/>
      <c r="B860" s="432"/>
      <c r="C860" s="432"/>
      <c r="D860" s="432"/>
      <c r="E860" s="432"/>
      <c r="F860" s="432"/>
      <c r="G860" s="432"/>
      <c r="H860" s="432"/>
      <c r="I860" s="432"/>
      <c r="J860" s="432"/>
      <c r="K860" s="432"/>
      <c r="L860" s="432"/>
      <c r="M860" s="432"/>
      <c r="N860" s="432"/>
      <c r="O860" s="432"/>
      <c r="P860" s="432"/>
      <c r="Q860" s="432"/>
      <c r="R860" s="432"/>
      <c r="S860" s="432"/>
      <c r="T860" s="432"/>
      <c r="U860" s="432"/>
      <c r="V860" s="432"/>
      <c r="W860" s="432"/>
      <c r="X860" s="432"/>
      <c r="Y860" s="432"/>
      <c r="Z860" s="432"/>
      <c r="AA860" s="432"/>
      <c r="AB860" s="432"/>
    </row>
    <row r="861">
      <c r="A861" s="432"/>
      <c r="B861" s="432"/>
      <c r="C861" s="432"/>
      <c r="D861" s="432"/>
      <c r="E861" s="432"/>
      <c r="F861" s="432"/>
      <c r="G861" s="432"/>
      <c r="H861" s="432"/>
      <c r="I861" s="432"/>
      <c r="J861" s="432"/>
      <c r="K861" s="432"/>
      <c r="L861" s="432"/>
      <c r="M861" s="432"/>
      <c r="N861" s="432"/>
      <c r="O861" s="432"/>
      <c r="P861" s="432"/>
      <c r="Q861" s="432"/>
      <c r="R861" s="432"/>
      <c r="S861" s="432"/>
      <c r="T861" s="432"/>
      <c r="U861" s="432"/>
      <c r="V861" s="432"/>
      <c r="W861" s="432"/>
      <c r="X861" s="432"/>
      <c r="Y861" s="432"/>
      <c r="Z861" s="432"/>
      <c r="AA861" s="432"/>
      <c r="AB861" s="432"/>
    </row>
    <row r="862">
      <c r="A862" s="432"/>
      <c r="B862" s="432"/>
      <c r="C862" s="432"/>
      <c r="D862" s="432"/>
      <c r="E862" s="432"/>
      <c r="F862" s="432"/>
      <c r="G862" s="432"/>
      <c r="H862" s="432"/>
      <c r="I862" s="432"/>
      <c r="J862" s="432"/>
      <c r="K862" s="432"/>
      <c r="L862" s="432"/>
      <c r="M862" s="432"/>
      <c r="N862" s="432"/>
      <c r="O862" s="432"/>
      <c r="P862" s="432"/>
      <c r="Q862" s="432"/>
      <c r="R862" s="432"/>
      <c r="S862" s="432"/>
      <c r="T862" s="432"/>
      <c r="U862" s="432"/>
      <c r="V862" s="432"/>
      <c r="W862" s="432"/>
      <c r="X862" s="432"/>
      <c r="Y862" s="432"/>
      <c r="Z862" s="432"/>
      <c r="AA862" s="432"/>
      <c r="AB862" s="432"/>
    </row>
    <row r="863">
      <c r="A863" s="432"/>
      <c r="B863" s="432"/>
      <c r="C863" s="432"/>
      <c r="D863" s="432"/>
      <c r="E863" s="432"/>
      <c r="F863" s="432"/>
      <c r="G863" s="432"/>
      <c r="H863" s="432"/>
      <c r="I863" s="432"/>
      <c r="J863" s="432"/>
      <c r="K863" s="432"/>
      <c r="L863" s="432"/>
      <c r="M863" s="432"/>
      <c r="N863" s="432"/>
      <c r="O863" s="432"/>
      <c r="P863" s="432"/>
      <c r="Q863" s="432"/>
      <c r="R863" s="432"/>
      <c r="S863" s="432"/>
      <c r="T863" s="432"/>
      <c r="U863" s="432"/>
      <c r="V863" s="432"/>
      <c r="W863" s="432"/>
      <c r="X863" s="432"/>
      <c r="Y863" s="432"/>
      <c r="Z863" s="432"/>
      <c r="AA863" s="432"/>
      <c r="AB863" s="432"/>
    </row>
    <row r="864">
      <c r="A864" s="432"/>
      <c r="B864" s="432"/>
      <c r="C864" s="432"/>
      <c r="D864" s="432"/>
      <c r="E864" s="432"/>
      <c r="F864" s="432"/>
      <c r="G864" s="432"/>
      <c r="H864" s="432"/>
      <c r="I864" s="432"/>
      <c r="J864" s="432"/>
      <c r="K864" s="432"/>
      <c r="L864" s="432"/>
      <c r="M864" s="432"/>
      <c r="N864" s="432"/>
      <c r="O864" s="432"/>
      <c r="P864" s="432"/>
      <c r="Q864" s="432"/>
      <c r="R864" s="432"/>
      <c r="S864" s="432"/>
      <c r="T864" s="432"/>
      <c r="U864" s="432"/>
      <c r="V864" s="432"/>
      <c r="W864" s="432"/>
      <c r="X864" s="432"/>
      <c r="Y864" s="432"/>
      <c r="Z864" s="432"/>
      <c r="AA864" s="432"/>
      <c r="AB864" s="432"/>
    </row>
    <row r="865">
      <c r="A865" s="432"/>
      <c r="B865" s="432"/>
      <c r="C865" s="432"/>
      <c r="D865" s="432"/>
      <c r="E865" s="432"/>
      <c r="F865" s="432"/>
      <c r="G865" s="432"/>
      <c r="H865" s="432"/>
      <c r="I865" s="432"/>
      <c r="J865" s="432"/>
      <c r="K865" s="432"/>
      <c r="L865" s="432"/>
      <c r="M865" s="432"/>
      <c r="N865" s="432"/>
      <c r="O865" s="432"/>
      <c r="P865" s="432"/>
      <c r="Q865" s="432"/>
      <c r="R865" s="432"/>
      <c r="S865" s="432"/>
      <c r="T865" s="432"/>
      <c r="U865" s="432"/>
      <c r="V865" s="432"/>
      <c r="W865" s="432"/>
      <c r="X865" s="432"/>
      <c r="Y865" s="432"/>
      <c r="Z865" s="432"/>
      <c r="AA865" s="432"/>
      <c r="AB865" s="432"/>
    </row>
    <row r="866">
      <c r="A866" s="432"/>
      <c r="B866" s="432"/>
      <c r="C866" s="432"/>
      <c r="D866" s="432"/>
      <c r="E866" s="432"/>
      <c r="F866" s="432"/>
      <c r="G866" s="432"/>
      <c r="H866" s="432"/>
      <c r="I866" s="432"/>
      <c r="J866" s="432"/>
      <c r="K866" s="432"/>
      <c r="L866" s="432"/>
      <c r="M866" s="432"/>
      <c r="N866" s="432"/>
      <c r="O866" s="432"/>
      <c r="P866" s="432"/>
      <c r="Q866" s="432"/>
      <c r="R866" s="432"/>
      <c r="S866" s="432"/>
      <c r="T866" s="432"/>
      <c r="U866" s="432"/>
      <c r="V866" s="432"/>
      <c r="W866" s="432"/>
      <c r="X866" s="432"/>
      <c r="Y866" s="432"/>
      <c r="Z866" s="432"/>
      <c r="AA866" s="432"/>
      <c r="AB866" s="432"/>
    </row>
    <row r="867">
      <c r="A867" s="432"/>
      <c r="B867" s="432"/>
      <c r="C867" s="432"/>
      <c r="D867" s="432"/>
      <c r="E867" s="432"/>
      <c r="F867" s="432"/>
      <c r="G867" s="432"/>
      <c r="H867" s="432"/>
      <c r="I867" s="432"/>
      <c r="J867" s="432"/>
      <c r="K867" s="432"/>
      <c r="L867" s="432"/>
      <c r="M867" s="432"/>
      <c r="N867" s="432"/>
      <c r="O867" s="432"/>
      <c r="P867" s="432"/>
      <c r="Q867" s="432"/>
      <c r="R867" s="432"/>
      <c r="S867" s="432"/>
      <c r="T867" s="432"/>
      <c r="U867" s="432"/>
      <c r="V867" s="432"/>
      <c r="W867" s="432"/>
      <c r="X867" s="432"/>
      <c r="Y867" s="432"/>
      <c r="Z867" s="432"/>
      <c r="AA867" s="432"/>
      <c r="AB867" s="432"/>
    </row>
    <row r="868">
      <c r="A868" s="432"/>
      <c r="B868" s="432"/>
      <c r="C868" s="432"/>
      <c r="D868" s="432"/>
      <c r="E868" s="432"/>
      <c r="F868" s="432"/>
      <c r="G868" s="432"/>
      <c r="H868" s="432"/>
      <c r="I868" s="432"/>
      <c r="J868" s="432"/>
      <c r="K868" s="432"/>
      <c r="L868" s="432"/>
      <c r="M868" s="432"/>
      <c r="N868" s="432"/>
      <c r="O868" s="432"/>
      <c r="P868" s="432"/>
      <c r="Q868" s="432"/>
      <c r="R868" s="432"/>
      <c r="S868" s="432"/>
      <c r="T868" s="432"/>
      <c r="U868" s="432"/>
      <c r="V868" s="432"/>
      <c r="W868" s="432"/>
      <c r="X868" s="432"/>
      <c r="Y868" s="432"/>
      <c r="Z868" s="432"/>
      <c r="AA868" s="432"/>
      <c r="AB868" s="432"/>
    </row>
    <row r="869">
      <c r="A869" s="432"/>
      <c r="B869" s="432"/>
      <c r="C869" s="432"/>
      <c r="D869" s="432"/>
      <c r="E869" s="432"/>
      <c r="F869" s="432"/>
      <c r="G869" s="432"/>
      <c r="H869" s="432"/>
      <c r="I869" s="432"/>
      <c r="J869" s="432"/>
      <c r="K869" s="432"/>
      <c r="L869" s="432"/>
      <c r="M869" s="432"/>
      <c r="N869" s="432"/>
      <c r="O869" s="432"/>
      <c r="P869" s="432"/>
      <c r="Q869" s="432"/>
      <c r="R869" s="432"/>
      <c r="S869" s="432"/>
      <c r="T869" s="432"/>
      <c r="U869" s="432"/>
      <c r="V869" s="432"/>
      <c r="W869" s="432"/>
      <c r="X869" s="432"/>
      <c r="Y869" s="432"/>
      <c r="Z869" s="432"/>
      <c r="AA869" s="432"/>
      <c r="AB869" s="432"/>
    </row>
    <row r="870">
      <c r="A870" s="432"/>
      <c r="B870" s="432"/>
      <c r="C870" s="432"/>
      <c r="D870" s="432"/>
      <c r="E870" s="432"/>
      <c r="F870" s="432"/>
      <c r="G870" s="432"/>
      <c r="H870" s="432"/>
      <c r="I870" s="432"/>
      <c r="J870" s="432"/>
      <c r="K870" s="432"/>
      <c r="L870" s="432"/>
      <c r="M870" s="432"/>
      <c r="N870" s="432"/>
      <c r="O870" s="432"/>
      <c r="P870" s="432"/>
      <c r="Q870" s="432"/>
      <c r="R870" s="432"/>
      <c r="S870" s="432"/>
      <c r="T870" s="432"/>
      <c r="U870" s="432"/>
      <c r="V870" s="432"/>
      <c r="W870" s="432"/>
      <c r="X870" s="432"/>
      <c r="Y870" s="432"/>
      <c r="Z870" s="432"/>
      <c r="AA870" s="432"/>
      <c r="AB870" s="432"/>
    </row>
    <row r="871">
      <c r="A871" s="432"/>
      <c r="B871" s="432"/>
      <c r="C871" s="432"/>
      <c r="D871" s="432"/>
      <c r="E871" s="432"/>
      <c r="F871" s="432"/>
      <c r="G871" s="432"/>
      <c r="H871" s="432"/>
      <c r="I871" s="432"/>
      <c r="J871" s="432"/>
      <c r="K871" s="432"/>
      <c r="L871" s="432"/>
      <c r="M871" s="432"/>
      <c r="N871" s="432"/>
      <c r="O871" s="432"/>
      <c r="P871" s="432"/>
      <c r="Q871" s="432"/>
      <c r="R871" s="432"/>
      <c r="S871" s="432"/>
      <c r="T871" s="432"/>
      <c r="U871" s="432"/>
      <c r="V871" s="432"/>
      <c r="W871" s="432"/>
      <c r="X871" s="432"/>
      <c r="Y871" s="432"/>
      <c r="Z871" s="432"/>
      <c r="AA871" s="432"/>
      <c r="AB871" s="432"/>
    </row>
    <row r="872">
      <c r="A872" s="432"/>
      <c r="B872" s="432"/>
      <c r="C872" s="432"/>
      <c r="D872" s="432"/>
      <c r="E872" s="432"/>
      <c r="F872" s="432"/>
      <c r="G872" s="432"/>
      <c r="H872" s="432"/>
      <c r="I872" s="432"/>
      <c r="J872" s="432"/>
      <c r="K872" s="432"/>
      <c r="L872" s="432"/>
      <c r="M872" s="432"/>
      <c r="N872" s="432"/>
      <c r="O872" s="432"/>
      <c r="P872" s="432"/>
      <c r="Q872" s="432"/>
      <c r="R872" s="432"/>
      <c r="S872" s="432"/>
      <c r="T872" s="432"/>
      <c r="U872" s="432"/>
      <c r="V872" s="432"/>
      <c r="W872" s="432"/>
      <c r="X872" s="432"/>
      <c r="Y872" s="432"/>
      <c r="Z872" s="432"/>
      <c r="AA872" s="432"/>
      <c r="AB872" s="432"/>
    </row>
    <row r="873">
      <c r="A873" s="432"/>
      <c r="B873" s="432"/>
      <c r="C873" s="432"/>
      <c r="D873" s="432"/>
      <c r="E873" s="432"/>
      <c r="F873" s="432"/>
      <c r="G873" s="432"/>
      <c r="H873" s="432"/>
      <c r="I873" s="432"/>
      <c r="J873" s="432"/>
      <c r="K873" s="432"/>
      <c r="L873" s="432"/>
      <c r="M873" s="432"/>
      <c r="N873" s="432"/>
      <c r="O873" s="432"/>
      <c r="P873" s="432"/>
      <c r="Q873" s="432"/>
      <c r="R873" s="432"/>
      <c r="S873" s="432"/>
      <c r="T873" s="432"/>
      <c r="U873" s="432"/>
      <c r="V873" s="432"/>
      <c r="W873" s="432"/>
      <c r="X873" s="432"/>
      <c r="Y873" s="432"/>
      <c r="Z873" s="432"/>
      <c r="AA873" s="432"/>
      <c r="AB873" s="432"/>
    </row>
    <row r="874">
      <c r="A874" s="432"/>
      <c r="B874" s="432"/>
      <c r="C874" s="432"/>
      <c r="D874" s="432"/>
      <c r="E874" s="432"/>
      <c r="F874" s="432"/>
      <c r="G874" s="432"/>
      <c r="H874" s="432"/>
      <c r="I874" s="432"/>
      <c r="J874" s="432"/>
      <c r="K874" s="432"/>
      <c r="L874" s="432"/>
      <c r="M874" s="432"/>
      <c r="N874" s="432"/>
      <c r="O874" s="432"/>
      <c r="P874" s="432"/>
      <c r="Q874" s="432"/>
      <c r="R874" s="432"/>
      <c r="S874" s="432"/>
      <c r="T874" s="432"/>
      <c r="U874" s="432"/>
      <c r="V874" s="432"/>
      <c r="W874" s="432"/>
      <c r="X874" s="432"/>
      <c r="Y874" s="432"/>
      <c r="Z874" s="432"/>
      <c r="AA874" s="432"/>
      <c r="AB874" s="432"/>
    </row>
    <row r="875">
      <c r="A875" s="432"/>
      <c r="B875" s="432"/>
      <c r="C875" s="432"/>
      <c r="D875" s="432"/>
      <c r="E875" s="432"/>
      <c r="F875" s="432"/>
      <c r="G875" s="432"/>
      <c r="H875" s="432"/>
      <c r="I875" s="432"/>
      <c r="J875" s="432"/>
      <c r="K875" s="432"/>
      <c r="L875" s="432"/>
      <c r="M875" s="432"/>
      <c r="N875" s="432"/>
      <c r="O875" s="432"/>
      <c r="P875" s="432"/>
      <c r="Q875" s="432"/>
      <c r="R875" s="432"/>
      <c r="S875" s="432"/>
      <c r="T875" s="432"/>
      <c r="U875" s="432"/>
      <c r="V875" s="432"/>
      <c r="W875" s="432"/>
      <c r="X875" s="432"/>
      <c r="Y875" s="432"/>
      <c r="Z875" s="432"/>
      <c r="AA875" s="432"/>
      <c r="AB875" s="432"/>
    </row>
    <row r="876">
      <c r="A876" s="432"/>
      <c r="B876" s="432"/>
      <c r="C876" s="432"/>
      <c r="D876" s="432"/>
      <c r="E876" s="432"/>
      <c r="F876" s="432"/>
      <c r="G876" s="432"/>
      <c r="H876" s="432"/>
      <c r="I876" s="432"/>
      <c r="J876" s="432"/>
      <c r="K876" s="432"/>
      <c r="L876" s="432"/>
      <c r="M876" s="432"/>
      <c r="N876" s="432"/>
      <c r="O876" s="432"/>
      <c r="P876" s="432"/>
      <c r="Q876" s="432"/>
      <c r="R876" s="432"/>
      <c r="S876" s="432"/>
      <c r="T876" s="432"/>
      <c r="U876" s="432"/>
      <c r="V876" s="432"/>
      <c r="W876" s="432"/>
      <c r="X876" s="432"/>
      <c r="Y876" s="432"/>
      <c r="Z876" s="432"/>
      <c r="AA876" s="432"/>
      <c r="AB876" s="432"/>
    </row>
    <row r="877">
      <c r="A877" s="432"/>
      <c r="B877" s="432"/>
      <c r="C877" s="432"/>
      <c r="D877" s="432"/>
      <c r="E877" s="432"/>
      <c r="F877" s="432"/>
      <c r="G877" s="432"/>
      <c r="H877" s="432"/>
      <c r="I877" s="432"/>
      <c r="J877" s="432"/>
      <c r="K877" s="432"/>
      <c r="L877" s="432"/>
      <c r="M877" s="432"/>
      <c r="N877" s="432"/>
      <c r="O877" s="432"/>
      <c r="P877" s="432"/>
      <c r="Q877" s="432"/>
      <c r="R877" s="432"/>
      <c r="S877" s="432"/>
      <c r="T877" s="432"/>
      <c r="U877" s="432"/>
      <c r="V877" s="432"/>
      <c r="W877" s="432"/>
      <c r="X877" s="432"/>
      <c r="Y877" s="432"/>
      <c r="Z877" s="432"/>
      <c r="AA877" s="432"/>
      <c r="AB877" s="432"/>
    </row>
    <row r="878">
      <c r="A878" s="432"/>
      <c r="B878" s="432"/>
      <c r="C878" s="432"/>
      <c r="D878" s="432"/>
      <c r="E878" s="432"/>
      <c r="F878" s="432"/>
      <c r="G878" s="432"/>
      <c r="H878" s="432"/>
      <c r="I878" s="432"/>
      <c r="J878" s="432"/>
      <c r="K878" s="432"/>
      <c r="L878" s="432"/>
      <c r="M878" s="432"/>
      <c r="N878" s="432"/>
      <c r="O878" s="432"/>
      <c r="P878" s="432"/>
      <c r="Q878" s="432"/>
      <c r="R878" s="432"/>
      <c r="S878" s="432"/>
      <c r="T878" s="432"/>
      <c r="U878" s="432"/>
      <c r="V878" s="432"/>
      <c r="W878" s="432"/>
      <c r="X878" s="432"/>
      <c r="Y878" s="432"/>
      <c r="Z878" s="432"/>
      <c r="AA878" s="432"/>
      <c r="AB878" s="432"/>
    </row>
    <row r="879">
      <c r="A879" s="432"/>
      <c r="B879" s="432"/>
      <c r="C879" s="432"/>
      <c r="D879" s="432"/>
      <c r="E879" s="432"/>
      <c r="F879" s="432"/>
      <c r="G879" s="432"/>
      <c r="H879" s="432"/>
      <c r="I879" s="432"/>
      <c r="J879" s="432"/>
      <c r="K879" s="432"/>
      <c r="L879" s="432"/>
      <c r="M879" s="432"/>
      <c r="N879" s="432"/>
      <c r="O879" s="432"/>
      <c r="P879" s="432"/>
      <c r="Q879" s="432"/>
      <c r="R879" s="432"/>
      <c r="S879" s="432"/>
      <c r="T879" s="432"/>
      <c r="U879" s="432"/>
      <c r="V879" s="432"/>
      <c r="W879" s="432"/>
      <c r="X879" s="432"/>
      <c r="Y879" s="432"/>
      <c r="Z879" s="432"/>
      <c r="AA879" s="432"/>
      <c r="AB879" s="432"/>
    </row>
    <row r="880">
      <c r="A880" s="432"/>
      <c r="B880" s="432"/>
      <c r="C880" s="432"/>
      <c r="D880" s="432"/>
      <c r="E880" s="432"/>
      <c r="F880" s="432"/>
      <c r="G880" s="432"/>
      <c r="H880" s="432"/>
      <c r="I880" s="432"/>
      <c r="J880" s="432"/>
      <c r="K880" s="432"/>
      <c r="L880" s="432"/>
      <c r="M880" s="432"/>
      <c r="N880" s="432"/>
      <c r="O880" s="432"/>
      <c r="P880" s="432"/>
      <c r="Q880" s="432"/>
      <c r="R880" s="432"/>
      <c r="S880" s="432"/>
      <c r="T880" s="432"/>
      <c r="U880" s="432"/>
      <c r="V880" s="432"/>
      <c r="W880" s="432"/>
      <c r="X880" s="432"/>
      <c r="Y880" s="432"/>
      <c r="Z880" s="432"/>
      <c r="AA880" s="432"/>
      <c r="AB880" s="432"/>
    </row>
    <row r="881">
      <c r="A881" s="432"/>
      <c r="B881" s="432"/>
      <c r="C881" s="432"/>
      <c r="D881" s="432"/>
      <c r="E881" s="432"/>
      <c r="F881" s="432"/>
      <c r="G881" s="432"/>
      <c r="H881" s="432"/>
      <c r="I881" s="432"/>
      <c r="J881" s="432"/>
      <c r="K881" s="432"/>
      <c r="L881" s="432"/>
      <c r="M881" s="432"/>
      <c r="N881" s="432"/>
      <c r="O881" s="432"/>
      <c r="P881" s="432"/>
      <c r="Q881" s="432"/>
      <c r="R881" s="432"/>
      <c r="S881" s="432"/>
      <c r="T881" s="432"/>
      <c r="U881" s="432"/>
      <c r="V881" s="432"/>
      <c r="W881" s="432"/>
      <c r="X881" s="432"/>
      <c r="Y881" s="432"/>
      <c r="Z881" s="432"/>
      <c r="AA881" s="432"/>
      <c r="AB881" s="432"/>
    </row>
    <row r="882">
      <c r="A882" s="432"/>
      <c r="B882" s="432"/>
      <c r="C882" s="432"/>
      <c r="D882" s="432"/>
      <c r="E882" s="432"/>
      <c r="F882" s="432"/>
      <c r="G882" s="432"/>
      <c r="H882" s="432"/>
      <c r="I882" s="432"/>
      <c r="J882" s="432"/>
      <c r="K882" s="432"/>
      <c r="L882" s="432"/>
      <c r="M882" s="432"/>
      <c r="N882" s="432"/>
      <c r="O882" s="432"/>
      <c r="P882" s="432"/>
      <c r="Q882" s="432"/>
      <c r="R882" s="432"/>
      <c r="S882" s="432"/>
      <c r="T882" s="432"/>
      <c r="U882" s="432"/>
      <c r="V882" s="432"/>
      <c r="W882" s="432"/>
      <c r="X882" s="432"/>
      <c r="Y882" s="432"/>
      <c r="Z882" s="432"/>
      <c r="AA882" s="432"/>
      <c r="AB882" s="432"/>
    </row>
    <row r="883">
      <c r="A883" s="432"/>
      <c r="B883" s="432"/>
      <c r="C883" s="432"/>
      <c r="D883" s="432"/>
      <c r="E883" s="432"/>
      <c r="F883" s="432"/>
      <c r="G883" s="432"/>
      <c r="H883" s="432"/>
      <c r="I883" s="432"/>
      <c r="J883" s="432"/>
      <c r="K883" s="432"/>
      <c r="L883" s="432"/>
      <c r="M883" s="432"/>
      <c r="N883" s="432"/>
      <c r="O883" s="432"/>
      <c r="P883" s="432"/>
      <c r="Q883" s="432"/>
      <c r="R883" s="432"/>
      <c r="S883" s="432"/>
      <c r="T883" s="432"/>
      <c r="U883" s="432"/>
      <c r="V883" s="432"/>
      <c r="W883" s="432"/>
      <c r="X883" s="432"/>
      <c r="Y883" s="432"/>
      <c r="Z883" s="432"/>
      <c r="AA883" s="432"/>
      <c r="AB883" s="432"/>
    </row>
    <row r="884">
      <c r="A884" s="432"/>
      <c r="B884" s="432"/>
      <c r="C884" s="432"/>
      <c r="D884" s="432"/>
      <c r="E884" s="432"/>
      <c r="F884" s="432"/>
      <c r="G884" s="432"/>
      <c r="H884" s="432"/>
      <c r="I884" s="432"/>
      <c r="J884" s="432"/>
      <c r="K884" s="432"/>
      <c r="L884" s="432"/>
      <c r="M884" s="432"/>
      <c r="N884" s="432"/>
      <c r="O884" s="432"/>
      <c r="P884" s="432"/>
      <c r="Q884" s="432"/>
      <c r="R884" s="432"/>
      <c r="S884" s="432"/>
      <c r="T884" s="432"/>
      <c r="U884" s="432"/>
      <c r="V884" s="432"/>
      <c r="W884" s="432"/>
      <c r="X884" s="432"/>
      <c r="Y884" s="432"/>
      <c r="Z884" s="432"/>
      <c r="AA884" s="432"/>
      <c r="AB884" s="432"/>
    </row>
    <row r="885">
      <c r="A885" s="432"/>
      <c r="B885" s="432"/>
      <c r="C885" s="432"/>
      <c r="D885" s="432"/>
      <c r="E885" s="432"/>
      <c r="F885" s="432"/>
      <c r="G885" s="432"/>
      <c r="H885" s="432"/>
      <c r="I885" s="432"/>
      <c r="J885" s="432"/>
      <c r="K885" s="432"/>
      <c r="L885" s="432"/>
      <c r="M885" s="432"/>
      <c r="N885" s="432"/>
      <c r="O885" s="432"/>
      <c r="P885" s="432"/>
      <c r="Q885" s="432"/>
      <c r="R885" s="432"/>
      <c r="S885" s="432"/>
      <c r="T885" s="432"/>
      <c r="U885" s="432"/>
      <c r="V885" s="432"/>
      <c r="W885" s="432"/>
      <c r="X885" s="432"/>
      <c r="Y885" s="432"/>
      <c r="Z885" s="432"/>
      <c r="AA885" s="432"/>
      <c r="AB885" s="432"/>
    </row>
    <row r="886">
      <c r="A886" s="432"/>
      <c r="B886" s="432"/>
      <c r="C886" s="432"/>
      <c r="D886" s="432"/>
      <c r="E886" s="432"/>
      <c r="F886" s="432"/>
      <c r="G886" s="432"/>
      <c r="H886" s="432"/>
      <c r="I886" s="432"/>
      <c r="J886" s="432"/>
      <c r="K886" s="432"/>
      <c r="L886" s="432"/>
      <c r="M886" s="432"/>
      <c r="N886" s="432"/>
      <c r="O886" s="432"/>
      <c r="P886" s="432"/>
      <c r="Q886" s="432"/>
      <c r="R886" s="432"/>
      <c r="S886" s="432"/>
      <c r="T886" s="432"/>
      <c r="U886" s="432"/>
      <c r="V886" s="432"/>
      <c r="W886" s="432"/>
      <c r="X886" s="432"/>
      <c r="Y886" s="432"/>
      <c r="Z886" s="432"/>
      <c r="AA886" s="432"/>
      <c r="AB886" s="432"/>
    </row>
    <row r="887">
      <c r="A887" s="432"/>
      <c r="B887" s="432"/>
      <c r="C887" s="432"/>
      <c r="D887" s="432"/>
      <c r="E887" s="432"/>
      <c r="F887" s="432"/>
      <c r="G887" s="432"/>
      <c r="H887" s="432"/>
      <c r="I887" s="432"/>
      <c r="J887" s="432"/>
      <c r="K887" s="432"/>
      <c r="L887" s="432"/>
      <c r="M887" s="432"/>
      <c r="N887" s="432"/>
      <c r="O887" s="432"/>
      <c r="P887" s="432"/>
      <c r="Q887" s="432"/>
      <c r="R887" s="432"/>
      <c r="S887" s="432"/>
      <c r="T887" s="432"/>
      <c r="U887" s="432"/>
      <c r="V887" s="432"/>
      <c r="W887" s="432"/>
      <c r="X887" s="432"/>
      <c r="Y887" s="432"/>
      <c r="Z887" s="432"/>
      <c r="AA887" s="432"/>
      <c r="AB887" s="432"/>
    </row>
    <row r="888">
      <c r="A888" s="432"/>
      <c r="B888" s="432"/>
      <c r="C888" s="432"/>
      <c r="D888" s="432"/>
      <c r="E888" s="432"/>
      <c r="F888" s="432"/>
      <c r="G888" s="432"/>
      <c r="H888" s="432"/>
      <c r="I888" s="432"/>
      <c r="J888" s="432"/>
      <c r="K888" s="432"/>
      <c r="L888" s="432"/>
      <c r="M888" s="432"/>
      <c r="N888" s="432"/>
      <c r="O888" s="432"/>
      <c r="P888" s="432"/>
      <c r="Q888" s="432"/>
      <c r="R888" s="432"/>
      <c r="S888" s="432"/>
      <c r="T888" s="432"/>
      <c r="U888" s="432"/>
      <c r="V888" s="432"/>
      <c r="W888" s="432"/>
      <c r="X888" s="432"/>
      <c r="Y888" s="432"/>
      <c r="Z888" s="432"/>
      <c r="AA888" s="432"/>
      <c r="AB888" s="432"/>
    </row>
    <row r="889">
      <c r="A889" s="432"/>
      <c r="B889" s="432"/>
      <c r="C889" s="432"/>
      <c r="D889" s="432"/>
      <c r="E889" s="432"/>
      <c r="F889" s="432"/>
      <c r="G889" s="432"/>
      <c r="H889" s="432"/>
      <c r="I889" s="432"/>
      <c r="J889" s="432"/>
      <c r="K889" s="432"/>
      <c r="L889" s="432"/>
      <c r="M889" s="432"/>
      <c r="N889" s="432"/>
      <c r="O889" s="432"/>
      <c r="P889" s="432"/>
      <c r="Q889" s="432"/>
      <c r="R889" s="432"/>
      <c r="S889" s="432"/>
      <c r="T889" s="432"/>
      <c r="U889" s="432"/>
      <c r="V889" s="432"/>
      <c r="W889" s="432"/>
      <c r="X889" s="432"/>
      <c r="Y889" s="432"/>
      <c r="Z889" s="432"/>
      <c r="AA889" s="432"/>
      <c r="AB889" s="432"/>
    </row>
    <row r="890">
      <c r="A890" s="432"/>
      <c r="B890" s="432"/>
      <c r="C890" s="432"/>
      <c r="D890" s="432"/>
      <c r="E890" s="432"/>
      <c r="F890" s="432"/>
      <c r="G890" s="432"/>
      <c r="H890" s="432"/>
      <c r="I890" s="432"/>
      <c r="J890" s="432"/>
      <c r="K890" s="432"/>
      <c r="L890" s="432"/>
      <c r="M890" s="432"/>
      <c r="N890" s="432"/>
      <c r="O890" s="432"/>
      <c r="P890" s="432"/>
      <c r="Q890" s="432"/>
      <c r="R890" s="432"/>
      <c r="S890" s="432"/>
      <c r="T890" s="432"/>
      <c r="U890" s="432"/>
      <c r="V890" s="432"/>
      <c r="W890" s="432"/>
      <c r="X890" s="432"/>
      <c r="Y890" s="432"/>
      <c r="Z890" s="432"/>
      <c r="AA890" s="432"/>
      <c r="AB890" s="432"/>
    </row>
    <row r="891">
      <c r="A891" s="432"/>
      <c r="B891" s="432"/>
      <c r="C891" s="432"/>
      <c r="D891" s="432"/>
      <c r="E891" s="432"/>
      <c r="F891" s="432"/>
      <c r="G891" s="432"/>
      <c r="H891" s="432"/>
      <c r="I891" s="432"/>
      <c r="J891" s="432"/>
      <c r="K891" s="432"/>
      <c r="L891" s="432"/>
      <c r="M891" s="432"/>
      <c r="N891" s="432"/>
      <c r="O891" s="432"/>
      <c r="P891" s="432"/>
      <c r="Q891" s="432"/>
      <c r="R891" s="432"/>
      <c r="S891" s="432"/>
      <c r="T891" s="432"/>
      <c r="U891" s="432"/>
      <c r="V891" s="432"/>
      <c r="W891" s="432"/>
      <c r="X891" s="432"/>
      <c r="Y891" s="432"/>
      <c r="Z891" s="432"/>
      <c r="AA891" s="432"/>
      <c r="AB891" s="432"/>
    </row>
    <row r="892">
      <c r="A892" s="432"/>
      <c r="B892" s="432"/>
      <c r="C892" s="432"/>
      <c r="D892" s="432"/>
      <c r="E892" s="432"/>
      <c r="F892" s="432"/>
      <c r="G892" s="432"/>
      <c r="H892" s="432"/>
      <c r="I892" s="432"/>
      <c r="J892" s="432"/>
      <c r="K892" s="432"/>
      <c r="L892" s="432"/>
      <c r="M892" s="432"/>
      <c r="N892" s="432"/>
      <c r="O892" s="432"/>
      <c r="P892" s="432"/>
      <c r="Q892" s="432"/>
      <c r="R892" s="432"/>
      <c r="S892" s="432"/>
      <c r="T892" s="432"/>
      <c r="U892" s="432"/>
      <c r="V892" s="432"/>
      <c r="W892" s="432"/>
      <c r="X892" s="432"/>
      <c r="Y892" s="432"/>
      <c r="Z892" s="432"/>
      <c r="AA892" s="432"/>
      <c r="AB892" s="432"/>
    </row>
    <row r="893">
      <c r="A893" s="432"/>
      <c r="B893" s="432"/>
      <c r="C893" s="432"/>
      <c r="D893" s="432"/>
      <c r="E893" s="432"/>
      <c r="F893" s="432"/>
      <c r="G893" s="432"/>
      <c r="H893" s="432"/>
      <c r="I893" s="432"/>
      <c r="J893" s="432"/>
      <c r="K893" s="432"/>
      <c r="L893" s="432"/>
      <c r="M893" s="432"/>
      <c r="N893" s="432"/>
      <c r="O893" s="432"/>
      <c r="P893" s="432"/>
      <c r="Q893" s="432"/>
      <c r="R893" s="432"/>
      <c r="S893" s="432"/>
      <c r="T893" s="432"/>
      <c r="U893" s="432"/>
      <c r="V893" s="432"/>
      <c r="W893" s="432"/>
      <c r="X893" s="432"/>
      <c r="Y893" s="432"/>
      <c r="Z893" s="432"/>
      <c r="AA893" s="432"/>
      <c r="AB893" s="432"/>
    </row>
    <row r="894">
      <c r="A894" s="432"/>
      <c r="B894" s="432"/>
      <c r="C894" s="432"/>
      <c r="D894" s="432"/>
      <c r="E894" s="432"/>
      <c r="F894" s="432"/>
      <c r="G894" s="432"/>
      <c r="H894" s="432"/>
      <c r="I894" s="432"/>
      <c r="J894" s="432"/>
      <c r="K894" s="432"/>
      <c r="L894" s="432"/>
      <c r="M894" s="432"/>
      <c r="N894" s="432"/>
      <c r="O894" s="432"/>
      <c r="P894" s="432"/>
      <c r="Q894" s="432"/>
      <c r="R894" s="432"/>
      <c r="S894" s="432"/>
      <c r="T894" s="432"/>
      <c r="U894" s="432"/>
      <c r="V894" s="432"/>
      <c r="W894" s="432"/>
      <c r="X894" s="432"/>
      <c r="Y894" s="432"/>
      <c r="Z894" s="432"/>
      <c r="AA894" s="432"/>
      <c r="AB894" s="432"/>
    </row>
    <row r="895">
      <c r="A895" s="432"/>
      <c r="B895" s="432"/>
      <c r="C895" s="432"/>
      <c r="D895" s="432"/>
      <c r="E895" s="432"/>
      <c r="F895" s="432"/>
      <c r="G895" s="432"/>
      <c r="H895" s="432"/>
      <c r="I895" s="432"/>
      <c r="J895" s="432"/>
      <c r="K895" s="432"/>
      <c r="L895" s="432"/>
      <c r="M895" s="432"/>
      <c r="N895" s="432"/>
      <c r="O895" s="432"/>
      <c r="P895" s="432"/>
      <c r="Q895" s="432"/>
      <c r="R895" s="432"/>
      <c r="S895" s="432"/>
      <c r="T895" s="432"/>
      <c r="U895" s="432"/>
      <c r="V895" s="432"/>
      <c r="W895" s="432"/>
      <c r="X895" s="432"/>
      <c r="Y895" s="432"/>
      <c r="Z895" s="432"/>
      <c r="AA895" s="432"/>
      <c r="AB895" s="432"/>
    </row>
    <row r="896">
      <c r="A896" s="432"/>
      <c r="B896" s="432"/>
      <c r="C896" s="432"/>
      <c r="D896" s="432"/>
      <c r="E896" s="432"/>
      <c r="F896" s="432"/>
      <c r="G896" s="432"/>
      <c r="H896" s="432"/>
      <c r="I896" s="432"/>
      <c r="J896" s="432"/>
      <c r="K896" s="432"/>
      <c r="L896" s="432"/>
      <c r="M896" s="432"/>
      <c r="N896" s="432"/>
      <c r="O896" s="432"/>
      <c r="P896" s="432"/>
      <c r="Q896" s="432"/>
      <c r="R896" s="432"/>
      <c r="S896" s="432"/>
      <c r="T896" s="432"/>
      <c r="U896" s="432"/>
      <c r="V896" s="432"/>
      <c r="W896" s="432"/>
      <c r="X896" s="432"/>
      <c r="Y896" s="432"/>
      <c r="Z896" s="432"/>
      <c r="AA896" s="432"/>
      <c r="AB896" s="432"/>
    </row>
    <row r="897">
      <c r="A897" s="432"/>
      <c r="B897" s="432"/>
      <c r="C897" s="432"/>
      <c r="D897" s="432"/>
      <c r="E897" s="432"/>
      <c r="F897" s="432"/>
      <c r="G897" s="432"/>
      <c r="H897" s="432"/>
      <c r="I897" s="432"/>
      <c r="J897" s="432"/>
      <c r="K897" s="432"/>
      <c r="L897" s="432"/>
      <c r="M897" s="432"/>
      <c r="N897" s="432"/>
      <c r="O897" s="432"/>
      <c r="P897" s="432"/>
      <c r="Q897" s="432"/>
      <c r="R897" s="432"/>
      <c r="S897" s="432"/>
      <c r="T897" s="432"/>
      <c r="U897" s="432"/>
      <c r="V897" s="432"/>
      <c r="W897" s="432"/>
      <c r="X897" s="432"/>
      <c r="Y897" s="432"/>
      <c r="Z897" s="432"/>
      <c r="AA897" s="432"/>
      <c r="AB897" s="432"/>
    </row>
    <row r="898">
      <c r="A898" s="432"/>
      <c r="B898" s="432"/>
      <c r="C898" s="432"/>
      <c r="D898" s="432"/>
      <c r="E898" s="432"/>
      <c r="F898" s="432"/>
      <c r="G898" s="432"/>
      <c r="H898" s="432"/>
      <c r="I898" s="432"/>
      <c r="J898" s="432"/>
      <c r="K898" s="432"/>
      <c r="L898" s="432"/>
      <c r="M898" s="432"/>
      <c r="N898" s="432"/>
      <c r="O898" s="432"/>
      <c r="P898" s="432"/>
      <c r="Q898" s="432"/>
      <c r="R898" s="432"/>
      <c r="S898" s="432"/>
      <c r="T898" s="432"/>
      <c r="U898" s="432"/>
      <c r="V898" s="432"/>
      <c r="W898" s="432"/>
      <c r="X898" s="432"/>
      <c r="Y898" s="432"/>
      <c r="Z898" s="432"/>
      <c r="AA898" s="432"/>
      <c r="AB898" s="432"/>
    </row>
    <row r="899">
      <c r="A899" s="432"/>
      <c r="B899" s="432"/>
      <c r="C899" s="432"/>
      <c r="D899" s="432"/>
      <c r="E899" s="432"/>
      <c r="F899" s="432"/>
      <c r="G899" s="432"/>
      <c r="H899" s="432"/>
      <c r="I899" s="432"/>
      <c r="J899" s="432"/>
      <c r="K899" s="432"/>
      <c r="L899" s="432"/>
      <c r="M899" s="432"/>
      <c r="N899" s="432"/>
      <c r="O899" s="432"/>
      <c r="P899" s="432"/>
      <c r="Q899" s="432"/>
      <c r="R899" s="432"/>
      <c r="S899" s="432"/>
      <c r="T899" s="432"/>
      <c r="U899" s="432"/>
      <c r="V899" s="432"/>
      <c r="W899" s="432"/>
      <c r="X899" s="432"/>
      <c r="Y899" s="432"/>
      <c r="Z899" s="432"/>
      <c r="AA899" s="432"/>
      <c r="AB899" s="432"/>
    </row>
    <row r="900">
      <c r="A900" s="432"/>
      <c r="B900" s="432"/>
      <c r="C900" s="432"/>
      <c r="D900" s="432"/>
      <c r="E900" s="432"/>
      <c r="F900" s="432"/>
      <c r="G900" s="432"/>
      <c r="H900" s="432"/>
      <c r="I900" s="432"/>
      <c r="J900" s="432"/>
      <c r="K900" s="432"/>
      <c r="L900" s="432"/>
      <c r="M900" s="432"/>
      <c r="N900" s="432"/>
      <c r="O900" s="432"/>
      <c r="P900" s="432"/>
      <c r="Q900" s="432"/>
      <c r="R900" s="432"/>
      <c r="S900" s="432"/>
      <c r="T900" s="432"/>
      <c r="U900" s="432"/>
      <c r="V900" s="432"/>
      <c r="W900" s="432"/>
      <c r="X900" s="432"/>
      <c r="Y900" s="432"/>
      <c r="Z900" s="432"/>
      <c r="AA900" s="432"/>
      <c r="AB900" s="432"/>
    </row>
    <row r="901">
      <c r="A901" s="432"/>
      <c r="B901" s="432"/>
      <c r="C901" s="432"/>
      <c r="D901" s="432"/>
      <c r="E901" s="432"/>
      <c r="F901" s="432"/>
      <c r="G901" s="432"/>
      <c r="H901" s="432"/>
      <c r="I901" s="432"/>
      <c r="J901" s="432"/>
      <c r="K901" s="432"/>
      <c r="L901" s="432"/>
      <c r="M901" s="432"/>
      <c r="N901" s="432"/>
      <c r="O901" s="432"/>
      <c r="P901" s="432"/>
      <c r="Q901" s="432"/>
      <c r="R901" s="432"/>
      <c r="S901" s="432"/>
      <c r="T901" s="432"/>
      <c r="U901" s="432"/>
      <c r="V901" s="432"/>
      <c r="W901" s="432"/>
      <c r="X901" s="432"/>
      <c r="Y901" s="432"/>
      <c r="Z901" s="432"/>
      <c r="AA901" s="432"/>
      <c r="AB901" s="432"/>
    </row>
    <row r="902">
      <c r="A902" s="432"/>
      <c r="B902" s="432"/>
      <c r="C902" s="432"/>
      <c r="D902" s="432"/>
      <c r="E902" s="432"/>
      <c r="F902" s="432"/>
      <c r="G902" s="432"/>
      <c r="H902" s="432"/>
      <c r="I902" s="432"/>
      <c r="J902" s="432"/>
      <c r="K902" s="432"/>
      <c r="L902" s="432"/>
      <c r="M902" s="432"/>
      <c r="N902" s="432"/>
      <c r="O902" s="432"/>
      <c r="P902" s="432"/>
      <c r="Q902" s="432"/>
      <c r="R902" s="432"/>
      <c r="S902" s="432"/>
      <c r="T902" s="432"/>
      <c r="U902" s="432"/>
      <c r="V902" s="432"/>
      <c r="W902" s="432"/>
      <c r="X902" s="432"/>
      <c r="Y902" s="432"/>
      <c r="Z902" s="432"/>
      <c r="AA902" s="432"/>
      <c r="AB902" s="432"/>
    </row>
    <row r="903">
      <c r="A903" s="432"/>
      <c r="B903" s="432"/>
      <c r="C903" s="432"/>
      <c r="D903" s="432"/>
      <c r="E903" s="432"/>
      <c r="F903" s="432"/>
      <c r="G903" s="432"/>
      <c r="H903" s="432"/>
      <c r="I903" s="432"/>
      <c r="J903" s="432"/>
      <c r="K903" s="432"/>
      <c r="L903" s="432"/>
      <c r="M903" s="432"/>
      <c r="N903" s="432"/>
      <c r="O903" s="432"/>
      <c r="P903" s="432"/>
      <c r="Q903" s="432"/>
      <c r="R903" s="432"/>
      <c r="S903" s="432"/>
      <c r="T903" s="432"/>
      <c r="U903" s="432"/>
      <c r="V903" s="432"/>
      <c r="W903" s="432"/>
      <c r="X903" s="432"/>
      <c r="Y903" s="432"/>
      <c r="Z903" s="432"/>
      <c r="AA903" s="432"/>
      <c r="AB903" s="432"/>
    </row>
    <row r="904">
      <c r="A904" s="432"/>
      <c r="B904" s="432"/>
      <c r="C904" s="432"/>
      <c r="D904" s="432"/>
      <c r="E904" s="432"/>
      <c r="F904" s="432"/>
      <c r="G904" s="432"/>
      <c r="H904" s="432"/>
      <c r="I904" s="432"/>
      <c r="J904" s="432"/>
      <c r="K904" s="432"/>
      <c r="L904" s="432"/>
      <c r="M904" s="432"/>
      <c r="N904" s="432"/>
      <c r="O904" s="432"/>
      <c r="P904" s="432"/>
      <c r="Q904" s="432"/>
      <c r="R904" s="432"/>
      <c r="S904" s="432"/>
      <c r="T904" s="432"/>
      <c r="U904" s="432"/>
      <c r="V904" s="432"/>
      <c r="W904" s="432"/>
      <c r="X904" s="432"/>
      <c r="Y904" s="432"/>
      <c r="Z904" s="432"/>
      <c r="AA904" s="432"/>
      <c r="AB904" s="432"/>
    </row>
    <row r="905">
      <c r="A905" s="432"/>
      <c r="B905" s="432"/>
      <c r="C905" s="432"/>
      <c r="D905" s="432"/>
      <c r="E905" s="432"/>
      <c r="F905" s="432"/>
      <c r="G905" s="432"/>
      <c r="H905" s="432"/>
      <c r="I905" s="432"/>
      <c r="J905" s="432"/>
      <c r="K905" s="432"/>
      <c r="L905" s="432"/>
      <c r="M905" s="432"/>
      <c r="N905" s="432"/>
      <c r="O905" s="432"/>
      <c r="P905" s="432"/>
      <c r="Q905" s="432"/>
      <c r="R905" s="432"/>
      <c r="S905" s="432"/>
      <c r="T905" s="432"/>
      <c r="U905" s="432"/>
      <c r="V905" s="432"/>
      <c r="W905" s="432"/>
      <c r="X905" s="432"/>
      <c r="Y905" s="432"/>
      <c r="Z905" s="432"/>
      <c r="AA905" s="432"/>
      <c r="AB905" s="432"/>
    </row>
    <row r="906">
      <c r="A906" s="432"/>
      <c r="B906" s="432"/>
      <c r="C906" s="432"/>
      <c r="D906" s="432"/>
      <c r="E906" s="432"/>
      <c r="F906" s="432"/>
      <c r="G906" s="432"/>
      <c r="H906" s="432"/>
      <c r="I906" s="432"/>
      <c r="J906" s="432"/>
      <c r="K906" s="432"/>
      <c r="L906" s="432"/>
      <c r="M906" s="432"/>
      <c r="N906" s="432"/>
      <c r="O906" s="432"/>
      <c r="P906" s="432"/>
      <c r="Q906" s="432"/>
      <c r="R906" s="432"/>
      <c r="S906" s="432"/>
      <c r="T906" s="432"/>
      <c r="U906" s="432"/>
      <c r="V906" s="432"/>
      <c r="W906" s="432"/>
      <c r="X906" s="432"/>
      <c r="Y906" s="432"/>
      <c r="Z906" s="432"/>
      <c r="AA906" s="432"/>
      <c r="AB906" s="432"/>
    </row>
    <row r="907">
      <c r="A907" s="432"/>
      <c r="B907" s="432"/>
      <c r="C907" s="432"/>
      <c r="D907" s="432"/>
      <c r="E907" s="432"/>
      <c r="F907" s="432"/>
      <c r="G907" s="432"/>
      <c r="H907" s="432"/>
      <c r="I907" s="432"/>
      <c r="J907" s="432"/>
      <c r="K907" s="432"/>
      <c r="L907" s="432"/>
      <c r="M907" s="432"/>
      <c r="N907" s="432"/>
      <c r="O907" s="432"/>
      <c r="P907" s="432"/>
      <c r="Q907" s="432"/>
      <c r="R907" s="432"/>
      <c r="S907" s="432"/>
      <c r="T907" s="432"/>
      <c r="U907" s="432"/>
      <c r="V907" s="432"/>
      <c r="W907" s="432"/>
      <c r="X907" s="432"/>
      <c r="Y907" s="432"/>
      <c r="Z907" s="432"/>
      <c r="AA907" s="432"/>
      <c r="AB907" s="432"/>
    </row>
    <row r="908">
      <c r="A908" s="432"/>
      <c r="B908" s="432"/>
      <c r="C908" s="432"/>
      <c r="D908" s="432"/>
      <c r="E908" s="432"/>
      <c r="F908" s="432"/>
      <c r="G908" s="432"/>
      <c r="H908" s="432"/>
      <c r="I908" s="432"/>
      <c r="J908" s="432"/>
      <c r="K908" s="432"/>
      <c r="L908" s="432"/>
      <c r="M908" s="432"/>
      <c r="N908" s="432"/>
      <c r="O908" s="432"/>
      <c r="P908" s="432"/>
      <c r="Q908" s="432"/>
      <c r="R908" s="432"/>
      <c r="S908" s="432"/>
      <c r="T908" s="432"/>
      <c r="U908" s="432"/>
      <c r="V908" s="432"/>
      <c r="W908" s="432"/>
      <c r="X908" s="432"/>
      <c r="Y908" s="432"/>
      <c r="Z908" s="432"/>
      <c r="AA908" s="432"/>
      <c r="AB908" s="432"/>
    </row>
    <row r="909">
      <c r="A909" s="432"/>
      <c r="B909" s="432"/>
      <c r="C909" s="432"/>
      <c r="D909" s="432"/>
      <c r="E909" s="432"/>
      <c r="F909" s="432"/>
      <c r="G909" s="432"/>
      <c r="H909" s="432"/>
      <c r="I909" s="432"/>
      <c r="J909" s="432"/>
      <c r="K909" s="432"/>
      <c r="L909" s="432"/>
      <c r="M909" s="432"/>
      <c r="N909" s="432"/>
      <c r="O909" s="432"/>
      <c r="P909" s="432"/>
      <c r="Q909" s="432"/>
      <c r="R909" s="432"/>
      <c r="S909" s="432"/>
      <c r="T909" s="432"/>
      <c r="U909" s="432"/>
      <c r="V909" s="432"/>
      <c r="W909" s="432"/>
      <c r="X909" s="432"/>
      <c r="Y909" s="432"/>
      <c r="Z909" s="432"/>
      <c r="AA909" s="432"/>
      <c r="AB909" s="432"/>
    </row>
    <row r="910">
      <c r="A910" s="432"/>
      <c r="B910" s="432"/>
      <c r="C910" s="432"/>
      <c r="D910" s="432"/>
      <c r="E910" s="432"/>
      <c r="F910" s="432"/>
      <c r="G910" s="432"/>
      <c r="H910" s="432"/>
      <c r="I910" s="432"/>
      <c r="J910" s="432"/>
      <c r="K910" s="432"/>
      <c r="L910" s="432"/>
      <c r="M910" s="432"/>
      <c r="N910" s="432"/>
      <c r="O910" s="432"/>
      <c r="P910" s="432"/>
      <c r="Q910" s="432"/>
      <c r="R910" s="432"/>
      <c r="S910" s="432"/>
      <c r="T910" s="432"/>
      <c r="U910" s="432"/>
      <c r="V910" s="432"/>
      <c r="W910" s="432"/>
      <c r="X910" s="432"/>
      <c r="Y910" s="432"/>
      <c r="Z910" s="432"/>
      <c r="AA910" s="432"/>
      <c r="AB910" s="432"/>
    </row>
    <row r="911">
      <c r="A911" s="432"/>
      <c r="B911" s="432"/>
      <c r="C911" s="432"/>
      <c r="D911" s="432"/>
      <c r="E911" s="432"/>
      <c r="F911" s="432"/>
      <c r="G911" s="432"/>
      <c r="H911" s="432"/>
      <c r="I911" s="432"/>
      <c r="J911" s="432"/>
      <c r="K911" s="432"/>
      <c r="L911" s="432"/>
      <c r="M911" s="432"/>
      <c r="N911" s="432"/>
      <c r="O911" s="432"/>
      <c r="P911" s="432"/>
      <c r="Q911" s="432"/>
      <c r="R911" s="432"/>
      <c r="S911" s="432"/>
      <c r="T911" s="432"/>
      <c r="U911" s="432"/>
      <c r="V911" s="432"/>
      <c r="W911" s="432"/>
      <c r="X911" s="432"/>
      <c r="Y911" s="432"/>
      <c r="Z911" s="432"/>
      <c r="AA911" s="432"/>
      <c r="AB911" s="432"/>
    </row>
    <row r="912">
      <c r="A912" s="432"/>
      <c r="B912" s="432"/>
      <c r="C912" s="432"/>
      <c r="D912" s="432"/>
      <c r="E912" s="432"/>
      <c r="F912" s="432"/>
      <c r="G912" s="432"/>
      <c r="H912" s="432"/>
      <c r="I912" s="432"/>
      <c r="J912" s="432"/>
      <c r="K912" s="432"/>
      <c r="L912" s="432"/>
      <c r="M912" s="432"/>
      <c r="N912" s="432"/>
      <c r="O912" s="432"/>
      <c r="P912" s="432"/>
      <c r="Q912" s="432"/>
      <c r="R912" s="432"/>
      <c r="S912" s="432"/>
      <c r="T912" s="432"/>
      <c r="U912" s="432"/>
      <c r="V912" s="432"/>
      <c r="W912" s="432"/>
      <c r="X912" s="432"/>
      <c r="Y912" s="432"/>
      <c r="Z912" s="432"/>
      <c r="AA912" s="432"/>
      <c r="AB912" s="432"/>
    </row>
    <row r="913">
      <c r="A913" s="432"/>
      <c r="B913" s="432"/>
      <c r="C913" s="432"/>
      <c r="D913" s="432"/>
      <c r="E913" s="432"/>
      <c r="F913" s="432"/>
      <c r="G913" s="432"/>
      <c r="H913" s="432"/>
      <c r="I913" s="432"/>
      <c r="J913" s="432"/>
      <c r="K913" s="432"/>
      <c r="L913" s="432"/>
      <c r="M913" s="432"/>
      <c r="N913" s="432"/>
      <c r="O913" s="432"/>
      <c r="P913" s="432"/>
      <c r="Q913" s="432"/>
      <c r="R913" s="432"/>
      <c r="S913" s="432"/>
      <c r="T913" s="432"/>
      <c r="U913" s="432"/>
      <c r="V913" s="432"/>
      <c r="W913" s="432"/>
      <c r="X913" s="432"/>
      <c r="Y913" s="432"/>
      <c r="Z913" s="432"/>
      <c r="AA913" s="432"/>
      <c r="AB913" s="432"/>
    </row>
    <row r="914">
      <c r="A914" s="432"/>
      <c r="B914" s="432"/>
      <c r="C914" s="432"/>
      <c r="D914" s="432"/>
      <c r="E914" s="432"/>
      <c r="F914" s="432"/>
      <c r="G914" s="432"/>
      <c r="H914" s="432"/>
      <c r="I914" s="432"/>
      <c r="J914" s="432"/>
      <c r="K914" s="432"/>
      <c r="L914" s="432"/>
      <c r="M914" s="432"/>
      <c r="N914" s="432"/>
      <c r="O914" s="432"/>
      <c r="P914" s="432"/>
      <c r="Q914" s="432"/>
      <c r="R914" s="432"/>
      <c r="S914" s="432"/>
      <c r="T914" s="432"/>
      <c r="U914" s="432"/>
      <c r="V914" s="432"/>
      <c r="W914" s="432"/>
      <c r="X914" s="432"/>
      <c r="Y914" s="432"/>
      <c r="Z914" s="432"/>
      <c r="AA914" s="432"/>
      <c r="AB914" s="432"/>
    </row>
    <row r="915">
      <c r="A915" s="432"/>
      <c r="B915" s="432"/>
      <c r="C915" s="432"/>
      <c r="D915" s="432"/>
      <c r="E915" s="432"/>
      <c r="F915" s="432"/>
      <c r="G915" s="432"/>
      <c r="H915" s="432"/>
      <c r="I915" s="432"/>
      <c r="J915" s="432"/>
      <c r="K915" s="432"/>
      <c r="L915" s="432"/>
      <c r="M915" s="432"/>
      <c r="N915" s="432"/>
      <c r="O915" s="432"/>
      <c r="P915" s="432"/>
      <c r="Q915" s="432"/>
      <c r="R915" s="432"/>
      <c r="S915" s="432"/>
      <c r="T915" s="432"/>
      <c r="U915" s="432"/>
      <c r="V915" s="432"/>
      <c r="W915" s="432"/>
      <c r="X915" s="432"/>
      <c r="Y915" s="432"/>
      <c r="Z915" s="432"/>
      <c r="AA915" s="432"/>
      <c r="AB915" s="432"/>
    </row>
    <row r="916">
      <c r="A916" s="432"/>
      <c r="B916" s="432"/>
      <c r="C916" s="432"/>
      <c r="D916" s="432"/>
      <c r="E916" s="432"/>
      <c r="F916" s="432"/>
      <c r="G916" s="432"/>
      <c r="H916" s="432"/>
      <c r="I916" s="432"/>
      <c r="J916" s="432"/>
      <c r="K916" s="432"/>
      <c r="L916" s="432"/>
      <c r="M916" s="432"/>
      <c r="N916" s="432"/>
      <c r="O916" s="432"/>
      <c r="P916" s="432"/>
      <c r="Q916" s="432"/>
      <c r="R916" s="432"/>
      <c r="S916" s="432"/>
      <c r="T916" s="432"/>
      <c r="U916" s="432"/>
      <c r="V916" s="432"/>
      <c r="W916" s="432"/>
      <c r="X916" s="432"/>
      <c r="Y916" s="432"/>
      <c r="Z916" s="432"/>
      <c r="AA916" s="432"/>
      <c r="AB916" s="432"/>
    </row>
    <row r="917">
      <c r="A917" s="432"/>
      <c r="B917" s="432"/>
      <c r="C917" s="432"/>
      <c r="D917" s="432"/>
      <c r="E917" s="432"/>
      <c r="F917" s="432"/>
      <c r="G917" s="432"/>
      <c r="H917" s="432"/>
      <c r="I917" s="432"/>
      <c r="J917" s="432"/>
      <c r="K917" s="432"/>
      <c r="L917" s="432"/>
      <c r="M917" s="432"/>
      <c r="N917" s="432"/>
      <c r="O917" s="432"/>
      <c r="P917" s="432"/>
      <c r="Q917" s="432"/>
      <c r="R917" s="432"/>
      <c r="S917" s="432"/>
      <c r="T917" s="432"/>
      <c r="U917" s="432"/>
      <c r="V917" s="432"/>
      <c r="W917" s="432"/>
      <c r="X917" s="432"/>
      <c r="Y917" s="432"/>
      <c r="Z917" s="432"/>
      <c r="AA917" s="432"/>
      <c r="AB917" s="432"/>
    </row>
    <row r="918">
      <c r="A918" s="432"/>
      <c r="B918" s="432"/>
      <c r="C918" s="432"/>
      <c r="D918" s="432"/>
      <c r="E918" s="432"/>
      <c r="F918" s="432"/>
      <c r="G918" s="432"/>
      <c r="H918" s="432"/>
      <c r="I918" s="432"/>
      <c r="J918" s="432"/>
      <c r="K918" s="432"/>
      <c r="L918" s="432"/>
      <c r="M918" s="432"/>
      <c r="N918" s="432"/>
      <c r="O918" s="432"/>
      <c r="P918" s="432"/>
      <c r="Q918" s="432"/>
      <c r="R918" s="432"/>
      <c r="S918" s="432"/>
      <c r="T918" s="432"/>
      <c r="U918" s="432"/>
      <c r="V918" s="432"/>
      <c r="W918" s="432"/>
      <c r="X918" s="432"/>
      <c r="Y918" s="432"/>
      <c r="Z918" s="432"/>
      <c r="AA918" s="432"/>
      <c r="AB918" s="432"/>
    </row>
    <row r="919">
      <c r="A919" s="432"/>
      <c r="B919" s="432"/>
      <c r="C919" s="432"/>
      <c r="D919" s="432"/>
      <c r="E919" s="432"/>
      <c r="F919" s="432"/>
      <c r="G919" s="432"/>
      <c r="H919" s="432"/>
      <c r="I919" s="432"/>
      <c r="J919" s="432"/>
      <c r="K919" s="432"/>
      <c r="L919" s="432"/>
      <c r="M919" s="432"/>
      <c r="N919" s="432"/>
      <c r="O919" s="432"/>
      <c r="P919" s="432"/>
      <c r="Q919" s="432"/>
      <c r="R919" s="432"/>
      <c r="S919" s="432"/>
      <c r="T919" s="432"/>
      <c r="U919" s="432"/>
      <c r="V919" s="432"/>
      <c r="W919" s="432"/>
      <c r="X919" s="432"/>
      <c r="Y919" s="432"/>
      <c r="Z919" s="432"/>
      <c r="AA919" s="432"/>
      <c r="AB919" s="432"/>
    </row>
    <row r="920">
      <c r="A920" s="432"/>
      <c r="B920" s="432"/>
      <c r="C920" s="432"/>
      <c r="D920" s="432"/>
      <c r="E920" s="432"/>
      <c r="F920" s="432"/>
      <c r="G920" s="432"/>
      <c r="H920" s="432"/>
      <c r="I920" s="432"/>
      <c r="J920" s="432"/>
      <c r="K920" s="432"/>
      <c r="L920" s="432"/>
      <c r="M920" s="432"/>
      <c r="N920" s="432"/>
      <c r="O920" s="432"/>
      <c r="P920" s="432"/>
      <c r="Q920" s="432"/>
      <c r="R920" s="432"/>
      <c r="S920" s="432"/>
      <c r="T920" s="432"/>
      <c r="U920" s="432"/>
      <c r="V920" s="432"/>
      <c r="W920" s="432"/>
      <c r="X920" s="432"/>
      <c r="Y920" s="432"/>
      <c r="Z920" s="432"/>
      <c r="AA920" s="432"/>
      <c r="AB920" s="432"/>
    </row>
    <row r="921">
      <c r="A921" s="432"/>
      <c r="B921" s="432"/>
      <c r="C921" s="432"/>
      <c r="D921" s="432"/>
      <c r="E921" s="432"/>
      <c r="F921" s="432"/>
      <c r="G921" s="432"/>
      <c r="H921" s="432"/>
      <c r="I921" s="432"/>
      <c r="J921" s="432"/>
      <c r="K921" s="432"/>
      <c r="L921" s="432"/>
      <c r="M921" s="432"/>
      <c r="N921" s="432"/>
      <c r="O921" s="432"/>
      <c r="P921" s="432"/>
      <c r="Q921" s="432"/>
      <c r="R921" s="432"/>
      <c r="S921" s="432"/>
      <c r="T921" s="432"/>
      <c r="U921" s="432"/>
      <c r="V921" s="432"/>
      <c r="W921" s="432"/>
      <c r="X921" s="432"/>
      <c r="Y921" s="432"/>
      <c r="Z921" s="432"/>
      <c r="AA921" s="432"/>
      <c r="AB921" s="432"/>
    </row>
    <row r="922">
      <c r="A922" s="432"/>
      <c r="B922" s="432"/>
      <c r="C922" s="432"/>
      <c r="D922" s="432"/>
      <c r="E922" s="432"/>
      <c r="F922" s="432"/>
      <c r="G922" s="432"/>
      <c r="H922" s="432"/>
      <c r="I922" s="432"/>
      <c r="J922" s="432"/>
      <c r="K922" s="432"/>
      <c r="L922" s="432"/>
      <c r="M922" s="432"/>
      <c r="N922" s="432"/>
      <c r="O922" s="432"/>
      <c r="P922" s="432"/>
      <c r="Q922" s="432"/>
      <c r="R922" s="432"/>
      <c r="S922" s="432"/>
      <c r="T922" s="432"/>
      <c r="U922" s="432"/>
      <c r="V922" s="432"/>
      <c r="W922" s="432"/>
      <c r="X922" s="432"/>
      <c r="Y922" s="432"/>
      <c r="Z922" s="432"/>
      <c r="AA922" s="432"/>
      <c r="AB922" s="432"/>
    </row>
    <row r="923">
      <c r="A923" s="432"/>
      <c r="B923" s="432"/>
      <c r="C923" s="432"/>
      <c r="D923" s="432"/>
      <c r="E923" s="432"/>
      <c r="F923" s="432"/>
      <c r="G923" s="432"/>
      <c r="H923" s="432"/>
      <c r="I923" s="432"/>
      <c r="J923" s="432"/>
      <c r="K923" s="432"/>
      <c r="L923" s="432"/>
      <c r="M923" s="432"/>
      <c r="N923" s="432"/>
      <c r="O923" s="432"/>
      <c r="P923" s="432"/>
      <c r="Q923" s="432"/>
      <c r="R923" s="432"/>
      <c r="S923" s="432"/>
      <c r="T923" s="432"/>
      <c r="U923" s="432"/>
      <c r="V923" s="432"/>
      <c r="W923" s="432"/>
      <c r="X923" s="432"/>
      <c r="Y923" s="432"/>
      <c r="Z923" s="432"/>
      <c r="AA923" s="432"/>
      <c r="AB923" s="432"/>
    </row>
    <row r="924">
      <c r="A924" s="432"/>
      <c r="B924" s="432"/>
      <c r="C924" s="432"/>
      <c r="D924" s="432"/>
      <c r="E924" s="432"/>
      <c r="F924" s="432"/>
      <c r="G924" s="432"/>
      <c r="H924" s="432"/>
      <c r="I924" s="432"/>
      <c r="J924" s="432"/>
      <c r="K924" s="432"/>
      <c r="L924" s="432"/>
      <c r="M924" s="432"/>
      <c r="N924" s="432"/>
      <c r="O924" s="432"/>
      <c r="P924" s="432"/>
      <c r="Q924" s="432"/>
      <c r="R924" s="432"/>
      <c r="S924" s="432"/>
      <c r="T924" s="432"/>
      <c r="U924" s="432"/>
      <c r="V924" s="432"/>
      <c r="W924" s="432"/>
      <c r="X924" s="432"/>
      <c r="Y924" s="432"/>
      <c r="Z924" s="432"/>
      <c r="AA924" s="432"/>
      <c r="AB924" s="432"/>
    </row>
    <row r="925">
      <c r="A925" s="432"/>
      <c r="B925" s="432"/>
      <c r="C925" s="432"/>
      <c r="D925" s="432"/>
      <c r="E925" s="432"/>
      <c r="F925" s="432"/>
      <c r="G925" s="432"/>
      <c r="H925" s="432"/>
      <c r="I925" s="432"/>
      <c r="J925" s="432"/>
      <c r="K925" s="432"/>
      <c r="L925" s="432"/>
      <c r="M925" s="432"/>
      <c r="N925" s="432"/>
      <c r="O925" s="432"/>
      <c r="P925" s="432"/>
      <c r="Q925" s="432"/>
      <c r="R925" s="432"/>
      <c r="S925" s="432"/>
      <c r="T925" s="432"/>
      <c r="U925" s="432"/>
      <c r="V925" s="432"/>
      <c r="W925" s="432"/>
      <c r="X925" s="432"/>
      <c r="Y925" s="432"/>
      <c r="Z925" s="432"/>
      <c r="AA925" s="432"/>
      <c r="AB925" s="432"/>
    </row>
    <row r="926">
      <c r="A926" s="432"/>
      <c r="B926" s="432"/>
      <c r="C926" s="432"/>
      <c r="D926" s="432"/>
      <c r="E926" s="432"/>
      <c r="F926" s="432"/>
      <c r="G926" s="432"/>
      <c r="H926" s="432"/>
      <c r="I926" s="432"/>
      <c r="J926" s="432"/>
      <c r="K926" s="432"/>
      <c r="L926" s="432"/>
      <c r="M926" s="432"/>
      <c r="N926" s="432"/>
      <c r="O926" s="432"/>
      <c r="P926" s="432"/>
      <c r="Q926" s="432"/>
      <c r="R926" s="432"/>
      <c r="S926" s="432"/>
      <c r="T926" s="432"/>
      <c r="U926" s="432"/>
      <c r="V926" s="432"/>
      <c r="W926" s="432"/>
      <c r="X926" s="432"/>
      <c r="Y926" s="432"/>
      <c r="Z926" s="432"/>
      <c r="AA926" s="432"/>
      <c r="AB926" s="432"/>
    </row>
    <row r="927">
      <c r="A927" s="432"/>
      <c r="B927" s="432"/>
      <c r="C927" s="432"/>
      <c r="D927" s="432"/>
      <c r="E927" s="432"/>
      <c r="F927" s="432"/>
      <c r="G927" s="432"/>
      <c r="H927" s="432"/>
      <c r="I927" s="432"/>
      <c r="J927" s="432"/>
      <c r="K927" s="432"/>
      <c r="L927" s="432"/>
      <c r="M927" s="432"/>
      <c r="N927" s="432"/>
      <c r="O927" s="432"/>
      <c r="P927" s="432"/>
      <c r="Q927" s="432"/>
      <c r="R927" s="432"/>
      <c r="S927" s="432"/>
      <c r="T927" s="432"/>
      <c r="U927" s="432"/>
      <c r="V927" s="432"/>
      <c r="W927" s="432"/>
      <c r="X927" s="432"/>
      <c r="Y927" s="432"/>
      <c r="Z927" s="432"/>
      <c r="AA927" s="432"/>
      <c r="AB927" s="432"/>
    </row>
    <row r="928">
      <c r="A928" s="432"/>
      <c r="B928" s="432"/>
      <c r="C928" s="432"/>
      <c r="D928" s="432"/>
      <c r="E928" s="432"/>
      <c r="F928" s="432"/>
      <c r="G928" s="432"/>
      <c r="H928" s="432"/>
      <c r="I928" s="432"/>
      <c r="J928" s="432"/>
      <c r="K928" s="432"/>
      <c r="L928" s="432"/>
      <c r="M928" s="432"/>
      <c r="N928" s="432"/>
      <c r="O928" s="432"/>
      <c r="P928" s="432"/>
      <c r="Q928" s="432"/>
      <c r="R928" s="432"/>
      <c r="S928" s="432"/>
      <c r="T928" s="432"/>
      <c r="U928" s="432"/>
      <c r="V928" s="432"/>
      <c r="W928" s="432"/>
      <c r="X928" s="432"/>
      <c r="Y928" s="432"/>
      <c r="Z928" s="432"/>
      <c r="AA928" s="432"/>
      <c r="AB928" s="432"/>
    </row>
    <row r="929">
      <c r="A929" s="432"/>
      <c r="B929" s="432"/>
      <c r="C929" s="432"/>
      <c r="D929" s="432"/>
      <c r="E929" s="432"/>
      <c r="F929" s="432"/>
      <c r="G929" s="432"/>
      <c r="H929" s="432"/>
      <c r="I929" s="432"/>
      <c r="J929" s="432"/>
      <c r="K929" s="432"/>
      <c r="L929" s="432"/>
      <c r="M929" s="432"/>
      <c r="N929" s="432"/>
      <c r="O929" s="432"/>
      <c r="P929" s="432"/>
      <c r="Q929" s="432"/>
      <c r="R929" s="432"/>
      <c r="S929" s="432"/>
      <c r="T929" s="432"/>
      <c r="U929" s="432"/>
      <c r="V929" s="432"/>
      <c r="W929" s="432"/>
      <c r="X929" s="432"/>
      <c r="Y929" s="432"/>
      <c r="Z929" s="432"/>
      <c r="AA929" s="432"/>
      <c r="AB929" s="432"/>
    </row>
    <row r="930">
      <c r="A930" s="432"/>
      <c r="B930" s="432"/>
      <c r="C930" s="432"/>
      <c r="D930" s="432"/>
      <c r="E930" s="432"/>
      <c r="F930" s="432"/>
      <c r="G930" s="432"/>
      <c r="H930" s="432"/>
      <c r="I930" s="432"/>
      <c r="J930" s="432"/>
      <c r="K930" s="432"/>
      <c r="L930" s="432"/>
      <c r="M930" s="432"/>
      <c r="N930" s="432"/>
      <c r="O930" s="432"/>
      <c r="P930" s="432"/>
      <c r="Q930" s="432"/>
      <c r="R930" s="432"/>
      <c r="S930" s="432"/>
      <c r="T930" s="432"/>
      <c r="U930" s="432"/>
      <c r="V930" s="432"/>
      <c r="W930" s="432"/>
      <c r="X930" s="432"/>
      <c r="Y930" s="432"/>
      <c r="Z930" s="432"/>
      <c r="AA930" s="432"/>
      <c r="AB930" s="432"/>
    </row>
    <row r="931">
      <c r="A931" s="432"/>
      <c r="B931" s="432"/>
      <c r="C931" s="432"/>
      <c r="D931" s="432"/>
      <c r="E931" s="432"/>
      <c r="F931" s="432"/>
      <c r="G931" s="432"/>
      <c r="H931" s="432"/>
      <c r="I931" s="432"/>
      <c r="J931" s="432"/>
      <c r="K931" s="432"/>
      <c r="L931" s="432"/>
      <c r="M931" s="432"/>
      <c r="N931" s="432"/>
      <c r="O931" s="432"/>
      <c r="P931" s="432"/>
      <c r="Q931" s="432"/>
      <c r="R931" s="432"/>
      <c r="S931" s="432"/>
      <c r="T931" s="432"/>
      <c r="U931" s="432"/>
      <c r="V931" s="432"/>
      <c r="W931" s="432"/>
      <c r="X931" s="432"/>
      <c r="Y931" s="432"/>
      <c r="Z931" s="432"/>
      <c r="AA931" s="432"/>
      <c r="AB931" s="432"/>
    </row>
    <row r="932">
      <c r="A932" s="432"/>
      <c r="B932" s="432"/>
      <c r="C932" s="432"/>
      <c r="D932" s="432"/>
      <c r="E932" s="432"/>
      <c r="F932" s="432"/>
      <c r="G932" s="432"/>
      <c r="H932" s="432"/>
      <c r="I932" s="432"/>
      <c r="J932" s="432"/>
      <c r="K932" s="432"/>
      <c r="L932" s="432"/>
      <c r="M932" s="432"/>
      <c r="N932" s="432"/>
      <c r="O932" s="432"/>
      <c r="P932" s="432"/>
      <c r="Q932" s="432"/>
      <c r="R932" s="432"/>
      <c r="S932" s="432"/>
      <c r="T932" s="432"/>
      <c r="U932" s="432"/>
      <c r="V932" s="432"/>
      <c r="W932" s="432"/>
      <c r="X932" s="432"/>
      <c r="Y932" s="432"/>
      <c r="Z932" s="432"/>
      <c r="AA932" s="432"/>
      <c r="AB932" s="432"/>
    </row>
    <row r="933">
      <c r="A933" s="432"/>
      <c r="B933" s="432"/>
      <c r="C933" s="432"/>
      <c r="D933" s="432"/>
      <c r="E933" s="432"/>
      <c r="F933" s="432"/>
      <c r="G933" s="432"/>
      <c r="H933" s="432"/>
      <c r="I933" s="432"/>
      <c r="J933" s="432"/>
      <c r="K933" s="432"/>
      <c r="L933" s="432"/>
      <c r="M933" s="432"/>
      <c r="N933" s="432"/>
      <c r="O933" s="432"/>
      <c r="P933" s="432"/>
      <c r="Q933" s="432"/>
      <c r="R933" s="432"/>
      <c r="S933" s="432"/>
      <c r="T933" s="432"/>
      <c r="U933" s="432"/>
      <c r="V933" s="432"/>
      <c r="W933" s="432"/>
      <c r="X933" s="432"/>
      <c r="Y933" s="432"/>
      <c r="Z933" s="432"/>
      <c r="AA933" s="432"/>
      <c r="AB933" s="432"/>
    </row>
    <row r="934">
      <c r="A934" s="432"/>
      <c r="B934" s="432"/>
      <c r="C934" s="432"/>
      <c r="D934" s="432"/>
      <c r="E934" s="432"/>
      <c r="F934" s="432"/>
      <c r="G934" s="432"/>
      <c r="H934" s="432"/>
      <c r="I934" s="432"/>
      <c r="J934" s="432"/>
      <c r="K934" s="432"/>
      <c r="L934" s="432"/>
      <c r="M934" s="432"/>
      <c r="N934" s="432"/>
      <c r="O934" s="432"/>
      <c r="P934" s="432"/>
      <c r="Q934" s="432"/>
      <c r="R934" s="432"/>
      <c r="S934" s="432"/>
      <c r="T934" s="432"/>
      <c r="U934" s="432"/>
      <c r="V934" s="432"/>
      <c r="W934" s="432"/>
      <c r="X934" s="432"/>
      <c r="Y934" s="432"/>
      <c r="Z934" s="432"/>
      <c r="AA934" s="432"/>
      <c r="AB934" s="432"/>
    </row>
    <row r="935">
      <c r="A935" s="432"/>
      <c r="B935" s="432"/>
      <c r="C935" s="432"/>
      <c r="D935" s="432"/>
      <c r="E935" s="432"/>
      <c r="F935" s="432"/>
      <c r="G935" s="432"/>
      <c r="H935" s="432"/>
      <c r="I935" s="432"/>
      <c r="J935" s="432"/>
      <c r="K935" s="432"/>
      <c r="L935" s="432"/>
      <c r="M935" s="432"/>
      <c r="N935" s="432"/>
      <c r="O935" s="432"/>
      <c r="P935" s="432"/>
      <c r="Q935" s="432"/>
      <c r="R935" s="432"/>
      <c r="S935" s="432"/>
      <c r="T935" s="432"/>
      <c r="U935" s="432"/>
      <c r="V935" s="432"/>
      <c r="W935" s="432"/>
      <c r="X935" s="432"/>
      <c r="Y935" s="432"/>
      <c r="Z935" s="432"/>
      <c r="AA935" s="432"/>
      <c r="AB935" s="432"/>
    </row>
    <row r="936">
      <c r="A936" s="432"/>
      <c r="B936" s="432"/>
      <c r="C936" s="432"/>
      <c r="D936" s="432"/>
      <c r="E936" s="432"/>
      <c r="F936" s="432"/>
      <c r="G936" s="432"/>
      <c r="H936" s="432"/>
      <c r="I936" s="432"/>
      <c r="J936" s="432"/>
      <c r="K936" s="432"/>
      <c r="L936" s="432"/>
      <c r="M936" s="432"/>
      <c r="N936" s="432"/>
      <c r="O936" s="432"/>
      <c r="P936" s="432"/>
      <c r="Q936" s="432"/>
      <c r="R936" s="432"/>
      <c r="S936" s="432"/>
      <c r="T936" s="432"/>
      <c r="U936" s="432"/>
      <c r="V936" s="432"/>
      <c r="W936" s="432"/>
      <c r="X936" s="432"/>
      <c r="Y936" s="432"/>
      <c r="Z936" s="432"/>
      <c r="AA936" s="432"/>
      <c r="AB936" s="432"/>
    </row>
    <row r="937">
      <c r="A937" s="432"/>
      <c r="B937" s="432"/>
      <c r="C937" s="432"/>
      <c r="D937" s="432"/>
      <c r="E937" s="432"/>
      <c r="F937" s="432"/>
      <c r="G937" s="432"/>
      <c r="H937" s="432"/>
      <c r="I937" s="432"/>
      <c r="J937" s="432"/>
      <c r="K937" s="432"/>
      <c r="L937" s="432"/>
      <c r="M937" s="432"/>
      <c r="N937" s="432"/>
      <c r="O937" s="432"/>
      <c r="P937" s="432"/>
      <c r="Q937" s="432"/>
      <c r="R937" s="432"/>
      <c r="S937" s="432"/>
      <c r="T937" s="432"/>
      <c r="U937" s="432"/>
      <c r="V937" s="432"/>
      <c r="W937" s="432"/>
      <c r="X937" s="432"/>
      <c r="Y937" s="432"/>
      <c r="Z937" s="432"/>
      <c r="AA937" s="432"/>
      <c r="AB937" s="432"/>
    </row>
    <row r="938">
      <c r="A938" s="432"/>
      <c r="B938" s="432"/>
      <c r="C938" s="432"/>
      <c r="D938" s="432"/>
      <c r="E938" s="432"/>
      <c r="F938" s="432"/>
      <c r="G938" s="432"/>
      <c r="H938" s="432"/>
      <c r="I938" s="432"/>
      <c r="J938" s="432"/>
      <c r="K938" s="432"/>
      <c r="L938" s="432"/>
      <c r="M938" s="432"/>
      <c r="N938" s="432"/>
      <c r="O938" s="432"/>
      <c r="P938" s="432"/>
      <c r="Q938" s="432"/>
      <c r="R938" s="432"/>
      <c r="S938" s="432"/>
      <c r="T938" s="432"/>
      <c r="U938" s="432"/>
      <c r="V938" s="432"/>
      <c r="W938" s="432"/>
      <c r="X938" s="432"/>
      <c r="Y938" s="432"/>
      <c r="Z938" s="432"/>
      <c r="AA938" s="432"/>
      <c r="AB938" s="432"/>
    </row>
    <row r="939">
      <c r="A939" s="432"/>
      <c r="B939" s="432"/>
      <c r="C939" s="432"/>
      <c r="D939" s="432"/>
      <c r="E939" s="432"/>
      <c r="F939" s="432"/>
      <c r="G939" s="432"/>
      <c r="H939" s="432"/>
      <c r="I939" s="432"/>
      <c r="J939" s="432"/>
      <c r="K939" s="432"/>
      <c r="L939" s="432"/>
      <c r="M939" s="432"/>
      <c r="N939" s="432"/>
      <c r="O939" s="432"/>
      <c r="P939" s="432"/>
      <c r="Q939" s="432"/>
      <c r="R939" s="432"/>
      <c r="S939" s="432"/>
      <c r="T939" s="432"/>
      <c r="U939" s="432"/>
      <c r="V939" s="432"/>
      <c r="W939" s="432"/>
      <c r="X939" s="432"/>
      <c r="Y939" s="432"/>
      <c r="Z939" s="432"/>
      <c r="AA939" s="432"/>
      <c r="AB939" s="432"/>
    </row>
    <row r="940">
      <c r="A940" s="432"/>
      <c r="B940" s="432"/>
      <c r="C940" s="432"/>
      <c r="D940" s="432"/>
      <c r="E940" s="432"/>
      <c r="F940" s="432"/>
      <c r="G940" s="432"/>
      <c r="H940" s="432"/>
      <c r="I940" s="432"/>
      <c r="J940" s="432"/>
      <c r="K940" s="432"/>
      <c r="L940" s="432"/>
      <c r="M940" s="432"/>
      <c r="N940" s="432"/>
      <c r="O940" s="432"/>
      <c r="P940" s="432"/>
      <c r="Q940" s="432"/>
      <c r="R940" s="432"/>
      <c r="S940" s="432"/>
      <c r="T940" s="432"/>
      <c r="U940" s="432"/>
      <c r="V940" s="432"/>
      <c r="W940" s="432"/>
      <c r="X940" s="432"/>
      <c r="Y940" s="432"/>
      <c r="Z940" s="432"/>
      <c r="AA940" s="432"/>
      <c r="AB940" s="432"/>
    </row>
    <row r="941">
      <c r="A941" s="432"/>
      <c r="B941" s="432"/>
      <c r="C941" s="432"/>
      <c r="D941" s="432"/>
      <c r="E941" s="432"/>
      <c r="F941" s="432"/>
      <c r="G941" s="432"/>
      <c r="H941" s="432"/>
      <c r="I941" s="432"/>
      <c r="J941" s="432"/>
      <c r="K941" s="432"/>
      <c r="L941" s="432"/>
      <c r="M941" s="432"/>
      <c r="N941" s="432"/>
      <c r="O941" s="432"/>
      <c r="P941" s="432"/>
      <c r="Q941" s="432"/>
      <c r="R941" s="432"/>
      <c r="S941" s="432"/>
      <c r="T941" s="432"/>
      <c r="U941" s="432"/>
      <c r="V941" s="432"/>
      <c r="W941" s="432"/>
      <c r="X941" s="432"/>
      <c r="Y941" s="432"/>
      <c r="Z941" s="432"/>
      <c r="AA941" s="432"/>
      <c r="AB941" s="432"/>
    </row>
    <row r="942">
      <c r="A942" s="432"/>
      <c r="B942" s="432"/>
      <c r="C942" s="432"/>
      <c r="D942" s="432"/>
      <c r="E942" s="432"/>
      <c r="F942" s="432"/>
      <c r="G942" s="432"/>
      <c r="H942" s="432"/>
      <c r="I942" s="432"/>
      <c r="J942" s="432"/>
      <c r="K942" s="432"/>
      <c r="L942" s="432"/>
      <c r="M942" s="432"/>
      <c r="N942" s="432"/>
      <c r="O942" s="432"/>
      <c r="P942" s="432"/>
      <c r="Q942" s="432"/>
      <c r="R942" s="432"/>
      <c r="S942" s="432"/>
      <c r="T942" s="432"/>
      <c r="U942" s="432"/>
      <c r="V942" s="432"/>
      <c r="W942" s="432"/>
      <c r="X942" s="432"/>
      <c r="Y942" s="432"/>
      <c r="Z942" s="432"/>
      <c r="AA942" s="432"/>
      <c r="AB942" s="432"/>
    </row>
    <row r="943">
      <c r="A943" s="432"/>
      <c r="B943" s="432"/>
      <c r="C943" s="432"/>
      <c r="D943" s="432"/>
      <c r="E943" s="432"/>
      <c r="F943" s="432"/>
      <c r="G943" s="432"/>
      <c r="H943" s="432"/>
      <c r="I943" s="432"/>
      <c r="J943" s="432"/>
      <c r="K943" s="432"/>
      <c r="L943" s="432"/>
      <c r="M943" s="432"/>
      <c r="N943" s="432"/>
      <c r="O943" s="432"/>
      <c r="P943" s="432"/>
      <c r="Q943" s="432"/>
      <c r="R943" s="432"/>
      <c r="S943" s="432"/>
      <c r="T943" s="432"/>
      <c r="U943" s="432"/>
      <c r="V943" s="432"/>
      <c r="W943" s="432"/>
      <c r="X943" s="432"/>
      <c r="Y943" s="432"/>
      <c r="Z943" s="432"/>
      <c r="AA943" s="432"/>
      <c r="AB943" s="432"/>
    </row>
    <row r="944">
      <c r="A944" s="432"/>
      <c r="B944" s="432"/>
      <c r="C944" s="432"/>
      <c r="D944" s="432"/>
      <c r="E944" s="432"/>
      <c r="F944" s="432"/>
      <c r="G944" s="432"/>
      <c r="H944" s="432"/>
      <c r="I944" s="432"/>
      <c r="J944" s="432"/>
      <c r="K944" s="432"/>
      <c r="L944" s="432"/>
      <c r="M944" s="432"/>
      <c r="N944" s="432"/>
      <c r="O944" s="432"/>
      <c r="P944" s="432"/>
      <c r="Q944" s="432"/>
      <c r="R944" s="432"/>
      <c r="S944" s="432"/>
      <c r="T944" s="432"/>
      <c r="U944" s="432"/>
      <c r="V944" s="432"/>
      <c r="W944" s="432"/>
      <c r="X944" s="432"/>
      <c r="Y944" s="432"/>
      <c r="Z944" s="432"/>
      <c r="AA944" s="432"/>
      <c r="AB944" s="432"/>
    </row>
    <row r="945">
      <c r="A945" s="432"/>
      <c r="B945" s="432"/>
      <c r="C945" s="432"/>
      <c r="D945" s="432"/>
      <c r="E945" s="432"/>
      <c r="F945" s="432"/>
      <c r="G945" s="432"/>
      <c r="H945" s="432"/>
      <c r="I945" s="432"/>
      <c r="J945" s="432"/>
      <c r="K945" s="432"/>
      <c r="L945" s="432"/>
      <c r="M945" s="432"/>
      <c r="N945" s="432"/>
      <c r="O945" s="432"/>
      <c r="P945" s="432"/>
      <c r="Q945" s="432"/>
      <c r="R945" s="432"/>
      <c r="S945" s="432"/>
      <c r="T945" s="432"/>
      <c r="U945" s="432"/>
      <c r="V945" s="432"/>
      <c r="W945" s="432"/>
      <c r="X945" s="432"/>
      <c r="Y945" s="432"/>
      <c r="Z945" s="432"/>
      <c r="AA945" s="432"/>
      <c r="AB945" s="432"/>
    </row>
    <row r="946">
      <c r="A946" s="432"/>
      <c r="B946" s="432"/>
      <c r="C946" s="432"/>
      <c r="D946" s="432"/>
      <c r="E946" s="432"/>
      <c r="F946" s="432"/>
      <c r="G946" s="432"/>
      <c r="H946" s="432"/>
      <c r="I946" s="432"/>
      <c r="J946" s="432"/>
      <c r="K946" s="432"/>
      <c r="L946" s="432"/>
      <c r="M946" s="432"/>
      <c r="N946" s="432"/>
      <c r="O946" s="432"/>
      <c r="P946" s="432"/>
      <c r="Q946" s="432"/>
      <c r="R946" s="432"/>
      <c r="S946" s="432"/>
      <c r="T946" s="432"/>
      <c r="U946" s="432"/>
      <c r="V946" s="432"/>
      <c r="W946" s="432"/>
      <c r="X946" s="432"/>
      <c r="Y946" s="432"/>
      <c r="Z946" s="432"/>
      <c r="AA946" s="432"/>
      <c r="AB946" s="432"/>
    </row>
    <row r="947">
      <c r="A947" s="432"/>
      <c r="B947" s="432"/>
      <c r="C947" s="432"/>
      <c r="D947" s="432"/>
      <c r="E947" s="432"/>
      <c r="F947" s="432"/>
      <c r="G947" s="432"/>
      <c r="H947" s="432"/>
      <c r="I947" s="432"/>
      <c r="J947" s="432"/>
      <c r="K947" s="432"/>
      <c r="L947" s="432"/>
      <c r="M947" s="432"/>
      <c r="N947" s="432"/>
      <c r="O947" s="432"/>
      <c r="P947" s="432"/>
      <c r="Q947" s="432"/>
      <c r="R947" s="432"/>
      <c r="S947" s="432"/>
      <c r="T947" s="432"/>
      <c r="U947" s="432"/>
      <c r="V947" s="432"/>
      <c r="W947" s="432"/>
      <c r="X947" s="432"/>
      <c r="Y947" s="432"/>
      <c r="Z947" s="432"/>
      <c r="AA947" s="432"/>
      <c r="AB947" s="432"/>
    </row>
    <row r="948">
      <c r="A948" s="432"/>
      <c r="B948" s="432"/>
      <c r="C948" s="432"/>
      <c r="D948" s="432"/>
      <c r="E948" s="432"/>
      <c r="F948" s="432"/>
      <c r="G948" s="432"/>
      <c r="H948" s="432"/>
      <c r="I948" s="432"/>
      <c r="J948" s="432"/>
      <c r="K948" s="432"/>
      <c r="L948" s="432"/>
      <c r="M948" s="432"/>
      <c r="N948" s="432"/>
      <c r="O948" s="432"/>
      <c r="P948" s="432"/>
      <c r="Q948" s="432"/>
      <c r="R948" s="432"/>
      <c r="S948" s="432"/>
      <c r="T948" s="432"/>
      <c r="U948" s="432"/>
      <c r="V948" s="432"/>
      <c r="W948" s="432"/>
      <c r="X948" s="432"/>
      <c r="Y948" s="432"/>
      <c r="Z948" s="432"/>
      <c r="AA948" s="432"/>
      <c r="AB948" s="432"/>
    </row>
    <row r="949">
      <c r="A949" s="432"/>
      <c r="B949" s="432"/>
      <c r="C949" s="432"/>
      <c r="D949" s="432"/>
      <c r="E949" s="432"/>
      <c r="F949" s="432"/>
      <c r="G949" s="432"/>
      <c r="H949" s="432"/>
      <c r="I949" s="432"/>
      <c r="J949" s="432"/>
      <c r="K949" s="432"/>
      <c r="L949" s="432"/>
      <c r="M949" s="432"/>
      <c r="N949" s="432"/>
      <c r="O949" s="432"/>
      <c r="P949" s="432"/>
      <c r="Q949" s="432"/>
      <c r="R949" s="432"/>
      <c r="S949" s="432"/>
      <c r="T949" s="432"/>
      <c r="U949" s="432"/>
      <c r="V949" s="432"/>
      <c r="W949" s="432"/>
      <c r="X949" s="432"/>
      <c r="Y949" s="432"/>
      <c r="Z949" s="432"/>
      <c r="AA949" s="432"/>
      <c r="AB949" s="432"/>
    </row>
    <row r="950">
      <c r="A950" s="432"/>
      <c r="B950" s="432"/>
      <c r="C950" s="432"/>
      <c r="D950" s="432"/>
      <c r="E950" s="432"/>
      <c r="F950" s="432"/>
      <c r="G950" s="432"/>
      <c r="H950" s="432"/>
      <c r="I950" s="432"/>
      <c r="J950" s="432"/>
      <c r="K950" s="432"/>
      <c r="L950" s="432"/>
      <c r="M950" s="432"/>
      <c r="N950" s="432"/>
      <c r="O950" s="432"/>
      <c r="P950" s="432"/>
      <c r="Q950" s="432"/>
      <c r="R950" s="432"/>
      <c r="S950" s="432"/>
      <c r="T950" s="432"/>
      <c r="U950" s="432"/>
      <c r="V950" s="432"/>
      <c r="W950" s="432"/>
      <c r="X950" s="432"/>
      <c r="Y950" s="432"/>
      <c r="Z950" s="432"/>
      <c r="AA950" s="432"/>
      <c r="AB950" s="432"/>
    </row>
    <row r="951">
      <c r="A951" s="432"/>
      <c r="B951" s="432"/>
      <c r="C951" s="432"/>
      <c r="D951" s="432"/>
      <c r="E951" s="432"/>
      <c r="F951" s="432"/>
      <c r="G951" s="432"/>
      <c r="H951" s="432"/>
      <c r="I951" s="432"/>
      <c r="J951" s="432"/>
      <c r="K951" s="432"/>
      <c r="L951" s="432"/>
      <c r="M951" s="432"/>
      <c r="N951" s="432"/>
      <c r="O951" s="432"/>
      <c r="P951" s="432"/>
      <c r="Q951" s="432"/>
      <c r="R951" s="432"/>
      <c r="S951" s="432"/>
      <c r="T951" s="432"/>
      <c r="U951" s="432"/>
      <c r="V951" s="432"/>
      <c r="W951" s="432"/>
      <c r="X951" s="432"/>
      <c r="Y951" s="432"/>
      <c r="Z951" s="432"/>
      <c r="AA951" s="432"/>
      <c r="AB951" s="432"/>
    </row>
    <row r="952">
      <c r="A952" s="432"/>
      <c r="B952" s="432"/>
      <c r="C952" s="432"/>
      <c r="D952" s="432"/>
      <c r="E952" s="432"/>
      <c r="F952" s="432"/>
      <c r="G952" s="432"/>
      <c r="H952" s="432"/>
      <c r="I952" s="432"/>
      <c r="J952" s="432"/>
      <c r="K952" s="432"/>
      <c r="L952" s="432"/>
      <c r="M952" s="432"/>
      <c r="N952" s="432"/>
      <c r="O952" s="432"/>
      <c r="P952" s="432"/>
      <c r="Q952" s="432"/>
      <c r="R952" s="432"/>
      <c r="S952" s="432"/>
      <c r="T952" s="432"/>
      <c r="U952" s="432"/>
      <c r="V952" s="432"/>
      <c r="W952" s="432"/>
      <c r="X952" s="432"/>
      <c r="Y952" s="432"/>
      <c r="Z952" s="432"/>
      <c r="AA952" s="432"/>
      <c r="AB952" s="432"/>
    </row>
    <row r="953">
      <c r="A953" s="432"/>
      <c r="B953" s="432"/>
      <c r="C953" s="432"/>
      <c r="D953" s="432"/>
      <c r="E953" s="432"/>
      <c r="F953" s="432"/>
      <c r="G953" s="432"/>
      <c r="H953" s="432"/>
      <c r="I953" s="432"/>
      <c r="J953" s="432"/>
      <c r="K953" s="432"/>
      <c r="L953" s="432"/>
      <c r="M953" s="432"/>
      <c r="N953" s="432"/>
      <c r="O953" s="432"/>
      <c r="P953" s="432"/>
      <c r="Q953" s="432"/>
      <c r="R953" s="432"/>
      <c r="S953" s="432"/>
      <c r="T953" s="432"/>
      <c r="U953" s="432"/>
      <c r="V953" s="432"/>
      <c r="W953" s="432"/>
      <c r="X953" s="432"/>
      <c r="Y953" s="432"/>
      <c r="Z953" s="432"/>
      <c r="AA953" s="432"/>
      <c r="AB953" s="432"/>
    </row>
    <row r="954">
      <c r="A954" s="432"/>
      <c r="B954" s="432"/>
      <c r="C954" s="432"/>
      <c r="D954" s="432"/>
      <c r="E954" s="432"/>
      <c r="F954" s="432"/>
      <c r="G954" s="432"/>
      <c r="H954" s="432"/>
      <c r="I954" s="432"/>
      <c r="J954" s="432"/>
      <c r="K954" s="432"/>
      <c r="L954" s="432"/>
      <c r="M954" s="432"/>
      <c r="N954" s="432"/>
      <c r="O954" s="432"/>
      <c r="P954" s="432"/>
      <c r="Q954" s="432"/>
      <c r="R954" s="432"/>
      <c r="S954" s="432"/>
      <c r="T954" s="432"/>
      <c r="U954" s="432"/>
      <c r="V954" s="432"/>
      <c r="W954" s="432"/>
      <c r="X954" s="432"/>
      <c r="Y954" s="432"/>
      <c r="Z954" s="432"/>
      <c r="AA954" s="432"/>
      <c r="AB954" s="432"/>
    </row>
    <row r="955">
      <c r="A955" s="432"/>
      <c r="B955" s="432"/>
      <c r="C955" s="432"/>
      <c r="D955" s="432"/>
      <c r="E955" s="432"/>
      <c r="F955" s="432"/>
      <c r="G955" s="432"/>
      <c r="H955" s="432"/>
      <c r="I955" s="432"/>
      <c r="J955" s="432"/>
      <c r="K955" s="432"/>
      <c r="L955" s="432"/>
      <c r="M955" s="432"/>
      <c r="N955" s="432"/>
      <c r="O955" s="432"/>
      <c r="P955" s="432"/>
      <c r="Q955" s="432"/>
      <c r="R955" s="432"/>
      <c r="S955" s="432"/>
      <c r="T955" s="432"/>
      <c r="U955" s="432"/>
      <c r="V955" s="432"/>
      <c r="W955" s="432"/>
      <c r="X955" s="432"/>
      <c r="Y955" s="432"/>
      <c r="Z955" s="432"/>
      <c r="AA955" s="432"/>
      <c r="AB955" s="432"/>
    </row>
    <row r="956">
      <c r="A956" s="432"/>
      <c r="B956" s="432"/>
      <c r="C956" s="432"/>
      <c r="D956" s="432"/>
      <c r="E956" s="432"/>
      <c r="F956" s="432"/>
      <c r="G956" s="432"/>
      <c r="H956" s="432"/>
      <c r="I956" s="432"/>
      <c r="J956" s="432"/>
      <c r="K956" s="432"/>
      <c r="L956" s="432"/>
      <c r="M956" s="432"/>
      <c r="N956" s="432"/>
      <c r="O956" s="432"/>
      <c r="P956" s="432"/>
      <c r="Q956" s="432"/>
      <c r="R956" s="432"/>
      <c r="S956" s="432"/>
      <c r="T956" s="432"/>
      <c r="U956" s="432"/>
      <c r="V956" s="432"/>
      <c r="W956" s="432"/>
      <c r="X956" s="432"/>
      <c r="Y956" s="432"/>
      <c r="Z956" s="432"/>
      <c r="AA956" s="432"/>
      <c r="AB956" s="432"/>
    </row>
    <row r="957">
      <c r="A957" s="432"/>
      <c r="B957" s="432"/>
      <c r="C957" s="432"/>
      <c r="D957" s="432"/>
      <c r="E957" s="432"/>
      <c r="F957" s="432"/>
      <c r="G957" s="432"/>
      <c r="H957" s="432"/>
      <c r="I957" s="432"/>
      <c r="J957" s="432"/>
      <c r="K957" s="432"/>
      <c r="L957" s="432"/>
      <c r="M957" s="432"/>
      <c r="N957" s="432"/>
      <c r="O957" s="432"/>
      <c r="P957" s="432"/>
      <c r="Q957" s="432"/>
      <c r="R957" s="432"/>
      <c r="S957" s="432"/>
      <c r="T957" s="432"/>
      <c r="U957" s="432"/>
      <c r="V957" s="432"/>
      <c r="W957" s="432"/>
      <c r="X957" s="432"/>
      <c r="Y957" s="432"/>
      <c r="Z957" s="432"/>
      <c r="AA957" s="432"/>
      <c r="AB957" s="432"/>
    </row>
    <row r="958">
      <c r="A958" s="432"/>
      <c r="B958" s="432"/>
      <c r="C958" s="432"/>
      <c r="D958" s="432"/>
      <c r="E958" s="432"/>
      <c r="F958" s="432"/>
      <c r="G958" s="432"/>
      <c r="H958" s="432"/>
      <c r="I958" s="432"/>
      <c r="J958" s="432"/>
      <c r="K958" s="432"/>
      <c r="L958" s="432"/>
      <c r="M958" s="432"/>
      <c r="N958" s="432"/>
      <c r="O958" s="432"/>
      <c r="P958" s="432"/>
      <c r="Q958" s="432"/>
      <c r="R958" s="432"/>
      <c r="S958" s="432"/>
      <c r="T958" s="432"/>
      <c r="U958" s="432"/>
      <c r="V958" s="432"/>
      <c r="W958" s="432"/>
      <c r="X958" s="432"/>
      <c r="Y958" s="432"/>
      <c r="Z958" s="432"/>
      <c r="AA958" s="432"/>
      <c r="AB958" s="432"/>
    </row>
    <row r="959">
      <c r="A959" s="432"/>
      <c r="B959" s="432"/>
      <c r="C959" s="432"/>
      <c r="D959" s="432"/>
      <c r="E959" s="432"/>
      <c r="F959" s="432"/>
      <c r="G959" s="432"/>
      <c r="H959" s="432"/>
      <c r="I959" s="432"/>
      <c r="J959" s="432"/>
      <c r="K959" s="432"/>
      <c r="L959" s="432"/>
      <c r="M959" s="432"/>
      <c r="N959" s="432"/>
      <c r="O959" s="432"/>
      <c r="P959" s="432"/>
      <c r="Q959" s="432"/>
      <c r="R959" s="432"/>
      <c r="S959" s="432"/>
      <c r="T959" s="432"/>
      <c r="U959" s="432"/>
      <c r="V959" s="432"/>
      <c r="W959" s="432"/>
      <c r="X959" s="432"/>
      <c r="Y959" s="432"/>
      <c r="Z959" s="432"/>
      <c r="AA959" s="432"/>
      <c r="AB959" s="432"/>
    </row>
    <row r="960">
      <c r="A960" s="432"/>
      <c r="B960" s="432"/>
      <c r="C960" s="432"/>
      <c r="D960" s="432"/>
      <c r="E960" s="432"/>
      <c r="F960" s="432"/>
      <c r="G960" s="432"/>
      <c r="H960" s="432"/>
      <c r="I960" s="432"/>
      <c r="J960" s="432"/>
      <c r="K960" s="432"/>
      <c r="L960" s="432"/>
      <c r="M960" s="432"/>
      <c r="N960" s="432"/>
      <c r="O960" s="432"/>
      <c r="P960" s="432"/>
      <c r="Q960" s="432"/>
      <c r="R960" s="432"/>
      <c r="S960" s="432"/>
      <c r="T960" s="432"/>
      <c r="U960" s="432"/>
      <c r="V960" s="432"/>
      <c r="W960" s="432"/>
      <c r="X960" s="432"/>
      <c r="Y960" s="432"/>
      <c r="Z960" s="432"/>
      <c r="AA960" s="432"/>
      <c r="AB960" s="432"/>
    </row>
    <row r="961">
      <c r="A961" s="432"/>
      <c r="B961" s="432"/>
      <c r="C961" s="432"/>
      <c r="D961" s="432"/>
      <c r="E961" s="432"/>
      <c r="F961" s="432"/>
      <c r="G961" s="432"/>
      <c r="H961" s="432"/>
      <c r="I961" s="432"/>
      <c r="J961" s="432"/>
      <c r="K961" s="432"/>
      <c r="L961" s="432"/>
      <c r="M961" s="432"/>
      <c r="N961" s="432"/>
      <c r="O961" s="432"/>
      <c r="P961" s="432"/>
      <c r="Q961" s="432"/>
      <c r="R961" s="432"/>
      <c r="S961" s="432"/>
      <c r="T961" s="432"/>
      <c r="U961" s="432"/>
      <c r="V961" s="432"/>
      <c r="W961" s="432"/>
      <c r="X961" s="432"/>
      <c r="Y961" s="432"/>
      <c r="Z961" s="432"/>
      <c r="AA961" s="432"/>
      <c r="AB961" s="432"/>
    </row>
    <row r="962">
      <c r="A962" s="432"/>
      <c r="B962" s="432"/>
      <c r="C962" s="432"/>
      <c r="D962" s="432"/>
      <c r="E962" s="432"/>
      <c r="F962" s="432"/>
      <c r="G962" s="432"/>
      <c r="H962" s="432"/>
      <c r="I962" s="432"/>
      <c r="J962" s="432"/>
      <c r="K962" s="432"/>
      <c r="L962" s="432"/>
      <c r="M962" s="432"/>
      <c r="N962" s="432"/>
      <c r="O962" s="432"/>
      <c r="P962" s="432"/>
      <c r="Q962" s="432"/>
      <c r="R962" s="432"/>
      <c r="S962" s="432"/>
      <c r="T962" s="432"/>
      <c r="U962" s="432"/>
      <c r="V962" s="432"/>
      <c r="W962" s="432"/>
      <c r="X962" s="432"/>
      <c r="Y962" s="432"/>
      <c r="Z962" s="432"/>
      <c r="AA962" s="432"/>
      <c r="AB962" s="432"/>
    </row>
    <row r="963">
      <c r="A963" s="432"/>
      <c r="B963" s="432"/>
      <c r="C963" s="432"/>
      <c r="D963" s="432"/>
      <c r="E963" s="432"/>
      <c r="F963" s="432"/>
      <c r="G963" s="432"/>
      <c r="H963" s="432"/>
      <c r="I963" s="432"/>
      <c r="J963" s="432"/>
      <c r="K963" s="432"/>
      <c r="L963" s="432"/>
      <c r="M963" s="432"/>
      <c r="N963" s="432"/>
      <c r="O963" s="432"/>
      <c r="P963" s="432"/>
      <c r="Q963" s="432"/>
      <c r="R963" s="432"/>
      <c r="S963" s="432"/>
      <c r="T963" s="432"/>
      <c r="U963" s="432"/>
      <c r="V963" s="432"/>
      <c r="W963" s="432"/>
      <c r="X963" s="432"/>
      <c r="Y963" s="432"/>
      <c r="Z963" s="432"/>
      <c r="AA963" s="432"/>
      <c r="AB963" s="432"/>
    </row>
    <row r="964">
      <c r="A964" s="432"/>
      <c r="B964" s="432"/>
      <c r="C964" s="432"/>
      <c r="D964" s="432"/>
      <c r="E964" s="432"/>
      <c r="F964" s="432"/>
      <c r="G964" s="432"/>
      <c r="H964" s="432"/>
      <c r="I964" s="432"/>
      <c r="J964" s="432"/>
      <c r="K964" s="432"/>
      <c r="L964" s="432"/>
      <c r="M964" s="432"/>
      <c r="N964" s="432"/>
      <c r="O964" s="432"/>
      <c r="P964" s="432"/>
      <c r="Q964" s="432"/>
      <c r="R964" s="432"/>
      <c r="S964" s="432"/>
      <c r="T964" s="432"/>
      <c r="U964" s="432"/>
      <c r="V964" s="432"/>
      <c r="W964" s="432"/>
      <c r="X964" s="432"/>
      <c r="Y964" s="432"/>
      <c r="Z964" s="432"/>
      <c r="AA964" s="432"/>
      <c r="AB964" s="432"/>
    </row>
    <row r="965">
      <c r="A965" s="432"/>
      <c r="B965" s="432"/>
      <c r="C965" s="432"/>
      <c r="D965" s="432"/>
      <c r="E965" s="432"/>
      <c r="F965" s="432"/>
      <c r="G965" s="432"/>
      <c r="H965" s="432"/>
      <c r="I965" s="432"/>
      <c r="J965" s="432"/>
      <c r="K965" s="432"/>
      <c r="L965" s="432"/>
      <c r="M965" s="432"/>
      <c r="N965" s="432"/>
      <c r="O965" s="432"/>
      <c r="P965" s="432"/>
      <c r="Q965" s="432"/>
      <c r="R965" s="432"/>
      <c r="S965" s="432"/>
      <c r="T965" s="432"/>
      <c r="U965" s="432"/>
      <c r="V965" s="432"/>
      <c r="W965" s="432"/>
      <c r="X965" s="432"/>
      <c r="Y965" s="432"/>
      <c r="Z965" s="432"/>
      <c r="AA965" s="432"/>
      <c r="AB965" s="432"/>
    </row>
    <row r="966">
      <c r="A966" s="432"/>
      <c r="B966" s="432"/>
      <c r="C966" s="432"/>
      <c r="D966" s="432"/>
      <c r="E966" s="432"/>
      <c r="F966" s="432"/>
      <c r="G966" s="432"/>
      <c r="H966" s="432"/>
      <c r="I966" s="432"/>
      <c r="J966" s="432"/>
      <c r="K966" s="432"/>
      <c r="L966" s="432"/>
      <c r="M966" s="432"/>
      <c r="N966" s="432"/>
      <c r="O966" s="432"/>
      <c r="P966" s="432"/>
      <c r="Q966" s="432"/>
      <c r="R966" s="432"/>
      <c r="S966" s="432"/>
      <c r="T966" s="432"/>
      <c r="U966" s="432"/>
      <c r="V966" s="432"/>
      <c r="W966" s="432"/>
      <c r="X966" s="432"/>
      <c r="Y966" s="432"/>
      <c r="Z966" s="432"/>
      <c r="AA966" s="432"/>
      <c r="AB966" s="432"/>
    </row>
    <row r="967">
      <c r="A967" s="432"/>
      <c r="B967" s="432"/>
      <c r="C967" s="432"/>
      <c r="D967" s="432"/>
      <c r="E967" s="432"/>
      <c r="F967" s="432"/>
      <c r="G967" s="432"/>
      <c r="H967" s="432"/>
      <c r="I967" s="432"/>
      <c r="J967" s="432"/>
      <c r="K967" s="432"/>
      <c r="L967" s="432"/>
      <c r="M967" s="432"/>
      <c r="N967" s="432"/>
      <c r="O967" s="432"/>
      <c r="P967" s="432"/>
      <c r="Q967" s="432"/>
      <c r="R967" s="432"/>
      <c r="S967" s="432"/>
      <c r="T967" s="432"/>
      <c r="U967" s="432"/>
      <c r="V967" s="432"/>
      <c r="W967" s="432"/>
      <c r="X967" s="432"/>
      <c r="Y967" s="432"/>
      <c r="Z967" s="432"/>
      <c r="AA967" s="432"/>
      <c r="AB967" s="432"/>
    </row>
    <row r="968">
      <c r="A968" s="432"/>
      <c r="B968" s="432"/>
      <c r="C968" s="432"/>
      <c r="D968" s="432"/>
      <c r="E968" s="432"/>
      <c r="F968" s="432"/>
      <c r="G968" s="432"/>
      <c r="H968" s="432"/>
      <c r="I968" s="432"/>
      <c r="J968" s="432"/>
      <c r="K968" s="432"/>
      <c r="L968" s="432"/>
      <c r="M968" s="432"/>
      <c r="N968" s="432"/>
      <c r="O968" s="432"/>
      <c r="P968" s="432"/>
      <c r="Q968" s="432"/>
      <c r="R968" s="432"/>
      <c r="S968" s="432"/>
      <c r="T968" s="432"/>
      <c r="U968" s="432"/>
      <c r="V968" s="432"/>
      <c r="W968" s="432"/>
      <c r="X968" s="432"/>
      <c r="Y968" s="432"/>
      <c r="Z968" s="432"/>
      <c r="AA968" s="432"/>
      <c r="AB968" s="432"/>
    </row>
    <row r="969">
      <c r="A969" s="432"/>
      <c r="B969" s="432"/>
      <c r="C969" s="432"/>
      <c r="D969" s="432"/>
      <c r="E969" s="432"/>
      <c r="F969" s="432"/>
      <c r="G969" s="432"/>
      <c r="H969" s="432"/>
      <c r="I969" s="432"/>
      <c r="J969" s="432"/>
      <c r="K969" s="432"/>
      <c r="L969" s="432"/>
      <c r="M969" s="432"/>
      <c r="N969" s="432"/>
      <c r="O969" s="432"/>
      <c r="P969" s="432"/>
      <c r="Q969" s="432"/>
      <c r="R969" s="432"/>
      <c r="S969" s="432"/>
      <c r="T969" s="432"/>
      <c r="U969" s="432"/>
      <c r="V969" s="432"/>
      <c r="W969" s="432"/>
      <c r="X969" s="432"/>
      <c r="Y969" s="432"/>
      <c r="Z969" s="432"/>
      <c r="AA969" s="432"/>
      <c r="AB969" s="432"/>
    </row>
    <row r="970">
      <c r="A970" s="432"/>
      <c r="B970" s="432"/>
      <c r="C970" s="432"/>
      <c r="D970" s="432"/>
      <c r="E970" s="432"/>
      <c r="F970" s="432"/>
      <c r="G970" s="432"/>
      <c r="H970" s="432"/>
      <c r="I970" s="432"/>
      <c r="J970" s="432"/>
      <c r="K970" s="432"/>
      <c r="L970" s="432"/>
      <c r="M970" s="432"/>
      <c r="N970" s="432"/>
      <c r="O970" s="432"/>
      <c r="P970" s="432"/>
      <c r="Q970" s="432"/>
      <c r="R970" s="432"/>
      <c r="S970" s="432"/>
      <c r="T970" s="432"/>
      <c r="U970" s="432"/>
      <c r="V970" s="432"/>
      <c r="W970" s="432"/>
      <c r="X970" s="432"/>
      <c r="Y970" s="432"/>
      <c r="Z970" s="432"/>
      <c r="AA970" s="432"/>
      <c r="AB970" s="432"/>
    </row>
    <row r="971">
      <c r="A971" s="432"/>
      <c r="B971" s="432"/>
      <c r="C971" s="432"/>
      <c r="D971" s="432"/>
      <c r="E971" s="432"/>
      <c r="F971" s="432"/>
      <c r="G971" s="432"/>
      <c r="H971" s="432"/>
      <c r="I971" s="432"/>
      <c r="J971" s="432"/>
      <c r="K971" s="432"/>
      <c r="L971" s="432"/>
      <c r="M971" s="432"/>
      <c r="N971" s="432"/>
      <c r="O971" s="432"/>
      <c r="P971" s="432"/>
      <c r="Q971" s="432"/>
      <c r="R971" s="432"/>
      <c r="S971" s="432"/>
      <c r="T971" s="432"/>
      <c r="U971" s="432"/>
      <c r="V971" s="432"/>
      <c r="W971" s="432"/>
      <c r="X971" s="432"/>
      <c r="Y971" s="432"/>
      <c r="Z971" s="432"/>
      <c r="AA971" s="432"/>
      <c r="AB971" s="432"/>
    </row>
    <row r="972">
      <c r="A972" s="432"/>
      <c r="B972" s="432"/>
      <c r="C972" s="432"/>
      <c r="D972" s="432"/>
      <c r="E972" s="432"/>
      <c r="F972" s="432"/>
      <c r="G972" s="432"/>
      <c r="H972" s="432"/>
      <c r="I972" s="432"/>
      <c r="J972" s="432"/>
      <c r="K972" s="432"/>
      <c r="L972" s="432"/>
      <c r="M972" s="432"/>
      <c r="N972" s="432"/>
      <c r="O972" s="432"/>
      <c r="P972" s="432"/>
      <c r="Q972" s="432"/>
      <c r="R972" s="432"/>
      <c r="S972" s="432"/>
      <c r="T972" s="432"/>
      <c r="U972" s="432"/>
      <c r="V972" s="432"/>
      <c r="W972" s="432"/>
      <c r="X972" s="432"/>
      <c r="Y972" s="432"/>
      <c r="Z972" s="432"/>
      <c r="AA972" s="432"/>
      <c r="AB972" s="432"/>
    </row>
    <row r="973">
      <c r="A973" s="432"/>
      <c r="B973" s="432"/>
      <c r="C973" s="432"/>
      <c r="D973" s="432"/>
      <c r="E973" s="432"/>
      <c r="F973" s="432"/>
      <c r="G973" s="432"/>
      <c r="H973" s="432"/>
      <c r="I973" s="432"/>
      <c r="J973" s="432"/>
      <c r="K973" s="432"/>
      <c r="L973" s="432"/>
      <c r="M973" s="432"/>
      <c r="N973" s="432"/>
      <c r="O973" s="432"/>
      <c r="P973" s="432"/>
      <c r="Q973" s="432"/>
      <c r="R973" s="432"/>
      <c r="S973" s="432"/>
      <c r="T973" s="432"/>
      <c r="U973" s="432"/>
      <c r="V973" s="432"/>
      <c r="W973" s="432"/>
      <c r="X973" s="432"/>
      <c r="Y973" s="432"/>
      <c r="Z973" s="432"/>
      <c r="AA973" s="432"/>
      <c r="AB973" s="432"/>
    </row>
    <row r="974">
      <c r="A974" s="432"/>
      <c r="B974" s="432"/>
      <c r="C974" s="432"/>
      <c r="D974" s="432"/>
      <c r="E974" s="432"/>
      <c r="F974" s="432"/>
      <c r="G974" s="432"/>
      <c r="H974" s="432"/>
      <c r="I974" s="432"/>
      <c r="J974" s="432"/>
      <c r="K974" s="432"/>
      <c r="L974" s="432"/>
      <c r="M974" s="432"/>
      <c r="N974" s="432"/>
      <c r="O974" s="432"/>
      <c r="P974" s="432"/>
      <c r="Q974" s="432"/>
      <c r="R974" s="432"/>
      <c r="S974" s="432"/>
      <c r="T974" s="432"/>
      <c r="U974" s="432"/>
      <c r="V974" s="432"/>
      <c r="W974" s="432"/>
      <c r="X974" s="432"/>
      <c r="Y974" s="432"/>
      <c r="Z974" s="432"/>
      <c r="AA974" s="432"/>
      <c r="AB974" s="432"/>
    </row>
    <row r="975">
      <c r="A975" s="432"/>
      <c r="B975" s="432"/>
      <c r="C975" s="432"/>
      <c r="D975" s="432"/>
      <c r="E975" s="432"/>
      <c r="F975" s="432"/>
      <c r="G975" s="432"/>
      <c r="H975" s="432"/>
      <c r="I975" s="432"/>
      <c r="J975" s="432"/>
      <c r="K975" s="432"/>
      <c r="L975" s="432"/>
      <c r="M975" s="432"/>
      <c r="N975" s="432"/>
      <c r="O975" s="432"/>
      <c r="P975" s="432"/>
      <c r="Q975" s="432"/>
      <c r="R975" s="432"/>
      <c r="S975" s="432"/>
      <c r="T975" s="432"/>
      <c r="U975" s="432"/>
      <c r="V975" s="432"/>
      <c r="W975" s="432"/>
      <c r="X975" s="432"/>
      <c r="Y975" s="432"/>
      <c r="Z975" s="432"/>
      <c r="AA975" s="432"/>
      <c r="AB975" s="432"/>
    </row>
    <row r="976">
      <c r="A976" s="432"/>
      <c r="B976" s="432"/>
      <c r="C976" s="432"/>
      <c r="D976" s="432"/>
      <c r="E976" s="432"/>
      <c r="F976" s="432"/>
      <c r="G976" s="432"/>
      <c r="H976" s="432"/>
      <c r="I976" s="432"/>
      <c r="J976" s="432"/>
      <c r="K976" s="432"/>
      <c r="L976" s="432"/>
      <c r="M976" s="432"/>
      <c r="N976" s="432"/>
      <c r="O976" s="432"/>
      <c r="P976" s="432"/>
      <c r="Q976" s="432"/>
      <c r="R976" s="432"/>
      <c r="S976" s="432"/>
      <c r="T976" s="432"/>
      <c r="U976" s="432"/>
      <c r="V976" s="432"/>
      <c r="W976" s="432"/>
      <c r="X976" s="432"/>
      <c r="Y976" s="432"/>
      <c r="Z976" s="432"/>
      <c r="AA976" s="432"/>
      <c r="AB976" s="432"/>
    </row>
    <row r="977">
      <c r="A977" s="432"/>
      <c r="B977" s="432"/>
      <c r="C977" s="432"/>
      <c r="D977" s="432"/>
      <c r="E977" s="432"/>
      <c r="F977" s="432"/>
      <c r="G977" s="432"/>
      <c r="H977" s="432"/>
      <c r="I977" s="432"/>
      <c r="J977" s="432"/>
      <c r="K977" s="432"/>
      <c r="L977" s="432"/>
      <c r="M977" s="432"/>
      <c r="N977" s="432"/>
      <c r="O977" s="432"/>
      <c r="P977" s="432"/>
      <c r="Q977" s="432"/>
      <c r="R977" s="432"/>
      <c r="S977" s="432"/>
      <c r="T977" s="432"/>
      <c r="U977" s="432"/>
      <c r="V977" s="432"/>
      <c r="W977" s="432"/>
      <c r="X977" s="432"/>
      <c r="Y977" s="432"/>
      <c r="Z977" s="432"/>
      <c r="AA977" s="432"/>
      <c r="AB977" s="432"/>
    </row>
    <row r="978">
      <c r="A978" s="432"/>
      <c r="B978" s="432"/>
      <c r="C978" s="432"/>
      <c r="D978" s="432"/>
      <c r="E978" s="432"/>
      <c r="F978" s="432"/>
      <c r="G978" s="432"/>
      <c r="H978" s="432"/>
      <c r="I978" s="432"/>
      <c r="J978" s="432"/>
      <c r="K978" s="432"/>
      <c r="L978" s="432"/>
      <c r="M978" s="432"/>
      <c r="N978" s="432"/>
      <c r="O978" s="432"/>
      <c r="P978" s="432"/>
      <c r="Q978" s="432"/>
      <c r="R978" s="432"/>
      <c r="S978" s="432"/>
      <c r="T978" s="432"/>
      <c r="U978" s="432"/>
      <c r="V978" s="432"/>
      <c r="W978" s="432"/>
      <c r="X978" s="432"/>
      <c r="Y978" s="432"/>
      <c r="Z978" s="432"/>
      <c r="AA978" s="432"/>
      <c r="AB978" s="432"/>
    </row>
    <row r="979">
      <c r="A979" s="432"/>
      <c r="B979" s="432"/>
      <c r="C979" s="432"/>
      <c r="D979" s="432"/>
      <c r="E979" s="432"/>
      <c r="F979" s="432"/>
      <c r="G979" s="432"/>
      <c r="H979" s="432"/>
      <c r="I979" s="432"/>
      <c r="J979" s="432"/>
      <c r="K979" s="432"/>
      <c r="L979" s="432"/>
      <c r="M979" s="432"/>
      <c r="N979" s="432"/>
      <c r="O979" s="432"/>
      <c r="P979" s="432"/>
      <c r="Q979" s="432"/>
      <c r="R979" s="432"/>
      <c r="S979" s="432"/>
      <c r="T979" s="432"/>
      <c r="U979" s="432"/>
      <c r="V979" s="432"/>
      <c r="W979" s="432"/>
      <c r="X979" s="432"/>
      <c r="Y979" s="432"/>
      <c r="Z979" s="432"/>
      <c r="AA979" s="432"/>
      <c r="AB979" s="432"/>
    </row>
    <row r="980">
      <c r="A980" s="432"/>
      <c r="B980" s="432"/>
      <c r="C980" s="432"/>
      <c r="D980" s="432"/>
      <c r="E980" s="432"/>
      <c r="F980" s="432"/>
      <c r="G980" s="432"/>
      <c r="H980" s="432"/>
      <c r="I980" s="432"/>
      <c r="J980" s="432"/>
      <c r="K980" s="432"/>
      <c r="L980" s="432"/>
      <c r="M980" s="432"/>
      <c r="N980" s="432"/>
      <c r="O980" s="432"/>
      <c r="P980" s="432"/>
      <c r="Q980" s="432"/>
      <c r="R980" s="432"/>
      <c r="S980" s="432"/>
      <c r="T980" s="432"/>
      <c r="U980" s="432"/>
      <c r="V980" s="432"/>
      <c r="W980" s="432"/>
      <c r="X980" s="432"/>
      <c r="Y980" s="432"/>
      <c r="Z980" s="432"/>
      <c r="AA980" s="432"/>
      <c r="AB980" s="432"/>
    </row>
    <row r="981">
      <c r="A981" s="432"/>
      <c r="B981" s="432"/>
      <c r="C981" s="432"/>
      <c r="D981" s="432"/>
      <c r="E981" s="432"/>
      <c r="F981" s="432"/>
      <c r="G981" s="432"/>
      <c r="H981" s="432"/>
      <c r="I981" s="432"/>
      <c r="J981" s="432"/>
      <c r="K981" s="432"/>
      <c r="L981" s="432"/>
      <c r="M981" s="432"/>
      <c r="N981" s="432"/>
      <c r="O981" s="432"/>
      <c r="P981" s="432"/>
      <c r="Q981" s="432"/>
      <c r="R981" s="432"/>
      <c r="S981" s="432"/>
      <c r="T981" s="432"/>
      <c r="U981" s="432"/>
      <c r="V981" s="432"/>
      <c r="W981" s="432"/>
      <c r="X981" s="432"/>
      <c r="Y981" s="432"/>
      <c r="Z981" s="432"/>
      <c r="AA981" s="432"/>
      <c r="AB981" s="432"/>
    </row>
    <row r="982">
      <c r="A982" s="432"/>
      <c r="B982" s="432"/>
      <c r="C982" s="432"/>
      <c r="D982" s="432"/>
      <c r="E982" s="432"/>
      <c r="F982" s="432"/>
      <c r="G982" s="432"/>
      <c r="H982" s="432"/>
      <c r="I982" s="432"/>
      <c r="J982" s="432"/>
      <c r="K982" s="432"/>
      <c r="L982" s="432"/>
      <c r="M982" s="432"/>
      <c r="N982" s="432"/>
      <c r="O982" s="432"/>
      <c r="P982" s="432"/>
      <c r="Q982" s="432"/>
      <c r="R982" s="432"/>
      <c r="S982" s="432"/>
      <c r="T982" s="432"/>
      <c r="U982" s="432"/>
      <c r="V982" s="432"/>
      <c r="W982" s="432"/>
      <c r="X982" s="432"/>
      <c r="Y982" s="432"/>
      <c r="Z982" s="432"/>
      <c r="AA982" s="432"/>
      <c r="AB982" s="432"/>
    </row>
    <row r="983">
      <c r="A983" s="432"/>
      <c r="B983" s="432"/>
      <c r="C983" s="432"/>
      <c r="D983" s="432"/>
      <c r="E983" s="432"/>
      <c r="F983" s="432"/>
      <c r="G983" s="432"/>
      <c r="H983" s="432"/>
      <c r="I983" s="432"/>
      <c r="J983" s="432"/>
      <c r="K983" s="432"/>
      <c r="L983" s="432"/>
      <c r="M983" s="432"/>
      <c r="N983" s="432"/>
      <c r="O983" s="432"/>
      <c r="P983" s="432"/>
      <c r="Q983" s="432"/>
      <c r="R983" s="432"/>
      <c r="S983" s="432"/>
      <c r="T983" s="432"/>
      <c r="U983" s="432"/>
      <c r="V983" s="432"/>
      <c r="W983" s="432"/>
      <c r="X983" s="432"/>
      <c r="Y983" s="432"/>
      <c r="Z983" s="432"/>
      <c r="AA983" s="432"/>
      <c r="AB983" s="432"/>
    </row>
    <row r="984">
      <c r="A984" s="432"/>
      <c r="B984" s="432"/>
      <c r="C984" s="432"/>
      <c r="D984" s="432"/>
      <c r="E984" s="432"/>
      <c r="F984" s="432"/>
      <c r="G984" s="432"/>
      <c r="H984" s="432"/>
      <c r="I984" s="432"/>
      <c r="J984" s="432"/>
      <c r="K984" s="432"/>
      <c r="L984" s="432"/>
      <c r="M984" s="432"/>
      <c r="N984" s="432"/>
      <c r="O984" s="432"/>
      <c r="P984" s="432"/>
      <c r="Q984" s="432"/>
      <c r="R984" s="432"/>
      <c r="S984" s="432"/>
      <c r="T984" s="432"/>
      <c r="U984" s="432"/>
      <c r="V984" s="432"/>
      <c r="W984" s="432"/>
      <c r="X984" s="432"/>
      <c r="Y984" s="432"/>
      <c r="Z984" s="432"/>
      <c r="AA984" s="432"/>
      <c r="AB984" s="432"/>
    </row>
    <row r="985">
      <c r="A985" s="432"/>
      <c r="B985" s="432"/>
      <c r="C985" s="432"/>
      <c r="D985" s="432"/>
      <c r="E985" s="432"/>
      <c r="F985" s="432"/>
      <c r="G985" s="432"/>
      <c r="H985" s="432"/>
      <c r="I985" s="432"/>
      <c r="J985" s="432"/>
      <c r="K985" s="432"/>
      <c r="L985" s="432"/>
      <c r="M985" s="432"/>
      <c r="N985" s="432"/>
      <c r="O985" s="432"/>
      <c r="P985" s="432"/>
      <c r="Q985" s="432"/>
      <c r="R985" s="432"/>
      <c r="S985" s="432"/>
      <c r="T985" s="432"/>
      <c r="U985" s="432"/>
      <c r="V985" s="432"/>
      <c r="W985" s="432"/>
      <c r="X985" s="432"/>
      <c r="Y985" s="432"/>
      <c r="Z985" s="432"/>
      <c r="AA985" s="432"/>
      <c r="AB985" s="432"/>
    </row>
    <row r="986">
      <c r="A986" s="432"/>
      <c r="B986" s="432"/>
      <c r="C986" s="432"/>
      <c r="D986" s="432"/>
      <c r="E986" s="432"/>
      <c r="F986" s="432"/>
      <c r="G986" s="432"/>
      <c r="H986" s="432"/>
      <c r="I986" s="432"/>
      <c r="J986" s="432"/>
      <c r="K986" s="432"/>
      <c r="L986" s="432"/>
      <c r="M986" s="432"/>
      <c r="N986" s="432"/>
      <c r="O986" s="432"/>
      <c r="P986" s="432"/>
      <c r="Q986" s="432"/>
      <c r="R986" s="432"/>
      <c r="S986" s="432"/>
      <c r="T986" s="432"/>
      <c r="U986" s="432"/>
      <c r="V986" s="432"/>
      <c r="W986" s="432"/>
      <c r="X986" s="432"/>
      <c r="Y986" s="432"/>
      <c r="Z986" s="432"/>
      <c r="AA986" s="432"/>
      <c r="AB986" s="432"/>
    </row>
    <row r="987">
      <c r="A987" s="432"/>
      <c r="B987" s="432"/>
      <c r="C987" s="432"/>
      <c r="D987" s="432"/>
      <c r="E987" s="432"/>
      <c r="F987" s="432"/>
      <c r="G987" s="432"/>
      <c r="H987" s="432"/>
      <c r="I987" s="432"/>
      <c r="J987" s="432"/>
      <c r="K987" s="432"/>
      <c r="L987" s="432"/>
      <c r="M987" s="432"/>
      <c r="N987" s="432"/>
      <c r="O987" s="432"/>
      <c r="P987" s="432"/>
      <c r="Q987" s="432"/>
      <c r="R987" s="432"/>
      <c r="S987" s="432"/>
      <c r="T987" s="432"/>
      <c r="U987" s="432"/>
      <c r="V987" s="432"/>
      <c r="W987" s="432"/>
      <c r="X987" s="432"/>
      <c r="Y987" s="432"/>
      <c r="Z987" s="432"/>
      <c r="AA987" s="432"/>
      <c r="AB987" s="432"/>
    </row>
    <row r="988">
      <c r="A988" s="432"/>
      <c r="B988" s="432"/>
      <c r="C988" s="432"/>
      <c r="D988" s="432"/>
      <c r="E988" s="432"/>
      <c r="F988" s="432"/>
      <c r="G988" s="432"/>
      <c r="H988" s="432"/>
      <c r="I988" s="432"/>
      <c r="J988" s="432"/>
      <c r="K988" s="432"/>
      <c r="L988" s="432"/>
      <c r="M988" s="432"/>
      <c r="N988" s="432"/>
      <c r="O988" s="432"/>
      <c r="P988" s="432"/>
      <c r="Q988" s="432"/>
      <c r="R988" s="432"/>
      <c r="S988" s="432"/>
      <c r="T988" s="432"/>
      <c r="U988" s="432"/>
      <c r="V988" s="432"/>
      <c r="W988" s="432"/>
      <c r="X988" s="432"/>
      <c r="Y988" s="432"/>
      <c r="Z988" s="432"/>
      <c r="AA988" s="432"/>
      <c r="AB988" s="432"/>
    </row>
    <row r="989">
      <c r="A989" s="432"/>
      <c r="B989" s="432"/>
      <c r="C989" s="432"/>
      <c r="D989" s="432"/>
      <c r="E989" s="432"/>
      <c r="F989" s="432"/>
      <c r="G989" s="432"/>
      <c r="H989" s="432"/>
      <c r="I989" s="432"/>
      <c r="J989" s="432"/>
      <c r="K989" s="432"/>
      <c r="L989" s="432"/>
      <c r="M989" s="432"/>
      <c r="N989" s="432"/>
      <c r="O989" s="432"/>
      <c r="P989" s="432"/>
      <c r="Q989" s="432"/>
      <c r="R989" s="432"/>
      <c r="S989" s="432"/>
      <c r="T989" s="432"/>
      <c r="U989" s="432"/>
      <c r="V989" s="432"/>
      <c r="W989" s="432"/>
      <c r="X989" s="432"/>
      <c r="Y989" s="432"/>
      <c r="Z989" s="432"/>
      <c r="AA989" s="432"/>
      <c r="AB989" s="432"/>
    </row>
    <row r="990">
      <c r="A990" s="432"/>
      <c r="B990" s="432"/>
      <c r="C990" s="432"/>
      <c r="D990" s="432"/>
      <c r="E990" s="432"/>
      <c r="F990" s="432"/>
      <c r="G990" s="432"/>
      <c r="H990" s="432"/>
      <c r="I990" s="432"/>
      <c r="J990" s="432"/>
      <c r="K990" s="432"/>
      <c r="L990" s="432"/>
      <c r="M990" s="432"/>
      <c r="N990" s="432"/>
      <c r="O990" s="432"/>
      <c r="P990" s="432"/>
      <c r="Q990" s="432"/>
      <c r="R990" s="432"/>
      <c r="S990" s="432"/>
      <c r="T990" s="432"/>
      <c r="U990" s="432"/>
      <c r="V990" s="432"/>
      <c r="W990" s="432"/>
      <c r="X990" s="432"/>
      <c r="Y990" s="432"/>
      <c r="Z990" s="432"/>
      <c r="AA990" s="432"/>
      <c r="AB990" s="432"/>
    </row>
    <row r="991">
      <c r="A991" s="432"/>
      <c r="B991" s="432"/>
      <c r="C991" s="432"/>
      <c r="D991" s="432"/>
      <c r="E991" s="432"/>
      <c r="F991" s="432"/>
      <c r="G991" s="432"/>
      <c r="H991" s="432"/>
      <c r="I991" s="432"/>
      <c r="J991" s="432"/>
      <c r="K991" s="432"/>
      <c r="L991" s="432"/>
      <c r="M991" s="432"/>
      <c r="N991" s="432"/>
      <c r="O991" s="432"/>
      <c r="P991" s="432"/>
      <c r="Q991" s="432"/>
      <c r="R991" s="432"/>
      <c r="S991" s="432"/>
      <c r="T991" s="432"/>
      <c r="U991" s="432"/>
      <c r="V991" s="432"/>
      <c r="W991" s="432"/>
      <c r="X991" s="432"/>
      <c r="Y991" s="432"/>
      <c r="Z991" s="432"/>
      <c r="AA991" s="432"/>
      <c r="AB991" s="432"/>
    </row>
    <row r="992">
      <c r="A992" s="432"/>
      <c r="B992" s="432"/>
      <c r="C992" s="432"/>
      <c r="D992" s="432"/>
      <c r="E992" s="432"/>
      <c r="F992" s="432"/>
      <c r="G992" s="432"/>
      <c r="H992" s="432"/>
      <c r="I992" s="432"/>
      <c r="J992" s="432"/>
      <c r="K992" s="432"/>
      <c r="L992" s="432"/>
      <c r="M992" s="432"/>
      <c r="N992" s="432"/>
      <c r="O992" s="432"/>
      <c r="P992" s="432"/>
      <c r="Q992" s="432"/>
      <c r="R992" s="432"/>
      <c r="S992" s="432"/>
      <c r="T992" s="432"/>
      <c r="U992" s="432"/>
      <c r="V992" s="432"/>
      <c r="W992" s="432"/>
      <c r="X992" s="432"/>
      <c r="Y992" s="432"/>
      <c r="Z992" s="432"/>
      <c r="AA992" s="432"/>
      <c r="AB992" s="432"/>
    </row>
    <row r="993">
      <c r="A993" s="432"/>
      <c r="B993" s="432"/>
      <c r="C993" s="432"/>
      <c r="D993" s="432"/>
      <c r="E993" s="432"/>
      <c r="F993" s="432"/>
      <c r="G993" s="432"/>
      <c r="H993" s="432"/>
      <c r="I993" s="432"/>
      <c r="J993" s="432"/>
      <c r="K993" s="432"/>
      <c r="L993" s="432"/>
      <c r="M993" s="432"/>
      <c r="N993" s="432"/>
      <c r="O993" s="432"/>
      <c r="P993" s="432"/>
      <c r="Q993" s="432"/>
      <c r="R993" s="432"/>
      <c r="S993" s="432"/>
      <c r="T993" s="432"/>
      <c r="U993" s="432"/>
      <c r="V993" s="432"/>
      <c r="W993" s="432"/>
      <c r="X993" s="432"/>
      <c r="Y993" s="432"/>
      <c r="Z993" s="432"/>
      <c r="AA993" s="432"/>
      <c r="AB993" s="432"/>
    </row>
    <row r="994">
      <c r="A994" s="432"/>
      <c r="B994" s="432"/>
      <c r="C994" s="432"/>
      <c r="D994" s="432"/>
      <c r="E994" s="432"/>
      <c r="F994" s="432"/>
      <c r="G994" s="432"/>
      <c r="H994" s="432"/>
      <c r="I994" s="432"/>
      <c r="J994" s="432"/>
      <c r="K994" s="432"/>
      <c r="L994" s="432"/>
      <c r="M994" s="432"/>
      <c r="N994" s="432"/>
      <c r="O994" s="432"/>
      <c r="P994" s="432"/>
      <c r="Q994" s="432"/>
      <c r="R994" s="432"/>
      <c r="S994" s="432"/>
      <c r="T994" s="432"/>
      <c r="U994" s="432"/>
      <c r="V994" s="432"/>
      <c r="W994" s="432"/>
      <c r="X994" s="432"/>
      <c r="Y994" s="432"/>
      <c r="Z994" s="432"/>
      <c r="AA994" s="432"/>
      <c r="AB994" s="432"/>
    </row>
    <row r="995">
      <c r="A995" s="432"/>
      <c r="B995" s="432"/>
      <c r="C995" s="432"/>
      <c r="D995" s="432"/>
      <c r="E995" s="432"/>
      <c r="F995" s="432"/>
      <c r="G995" s="432"/>
      <c r="H995" s="432"/>
      <c r="I995" s="432"/>
      <c r="J995" s="432"/>
      <c r="K995" s="432"/>
      <c r="L995" s="432"/>
      <c r="M995" s="432"/>
      <c r="N995" s="432"/>
      <c r="O995" s="432"/>
      <c r="P995" s="432"/>
      <c r="Q995" s="432"/>
      <c r="R995" s="432"/>
      <c r="S995" s="432"/>
      <c r="T995" s="432"/>
      <c r="U995" s="432"/>
      <c r="V995" s="432"/>
      <c r="W995" s="432"/>
      <c r="X995" s="432"/>
      <c r="Y995" s="432"/>
      <c r="Z995" s="432"/>
      <c r="AA995" s="432"/>
      <c r="AB995" s="432"/>
    </row>
    <row r="996">
      <c r="A996" s="432"/>
      <c r="B996" s="432"/>
      <c r="C996" s="432"/>
      <c r="D996" s="432"/>
      <c r="E996" s="432"/>
      <c r="F996" s="432"/>
      <c r="G996" s="432"/>
      <c r="H996" s="432"/>
      <c r="I996" s="432"/>
      <c r="J996" s="432"/>
      <c r="K996" s="432"/>
      <c r="L996" s="432"/>
      <c r="M996" s="432"/>
      <c r="N996" s="432"/>
      <c r="O996" s="432"/>
      <c r="P996" s="432"/>
      <c r="Q996" s="432"/>
      <c r="R996" s="432"/>
      <c r="S996" s="432"/>
      <c r="T996" s="432"/>
      <c r="U996" s="432"/>
      <c r="V996" s="432"/>
      <c r="W996" s="432"/>
      <c r="X996" s="432"/>
      <c r="Y996" s="432"/>
      <c r="Z996" s="432"/>
      <c r="AA996" s="432"/>
      <c r="AB996" s="432"/>
    </row>
    <row r="997">
      <c r="A997" s="432"/>
      <c r="B997" s="432"/>
      <c r="C997" s="432"/>
      <c r="D997" s="432"/>
      <c r="E997" s="432"/>
      <c r="F997" s="432"/>
      <c r="G997" s="432"/>
      <c r="H997" s="432"/>
      <c r="I997" s="432"/>
      <c r="J997" s="432"/>
      <c r="K997" s="432"/>
      <c r="L997" s="432"/>
      <c r="M997" s="432"/>
      <c r="N997" s="432"/>
      <c r="O997" s="432"/>
      <c r="P997" s="432"/>
      <c r="Q997" s="432"/>
      <c r="R997" s="432"/>
      <c r="S997" s="432"/>
      <c r="T997" s="432"/>
      <c r="U997" s="432"/>
      <c r="V997" s="432"/>
      <c r="W997" s="432"/>
      <c r="X997" s="432"/>
      <c r="Y997" s="432"/>
      <c r="Z997" s="432"/>
      <c r="AA997" s="432"/>
      <c r="AB997" s="432"/>
    </row>
    <row r="998">
      <c r="A998" s="432"/>
      <c r="B998" s="432"/>
      <c r="C998" s="432"/>
      <c r="D998" s="432"/>
      <c r="E998" s="432"/>
      <c r="F998" s="432"/>
      <c r="G998" s="432"/>
      <c r="H998" s="432"/>
      <c r="I998" s="432"/>
      <c r="J998" s="432"/>
      <c r="K998" s="432"/>
      <c r="L998" s="432"/>
      <c r="M998" s="432"/>
      <c r="N998" s="432"/>
      <c r="O998" s="432"/>
      <c r="P998" s="432"/>
      <c r="Q998" s="432"/>
      <c r="R998" s="432"/>
      <c r="S998" s="432"/>
      <c r="T998" s="432"/>
      <c r="U998" s="432"/>
      <c r="V998" s="432"/>
      <c r="W998" s="432"/>
      <c r="X998" s="432"/>
      <c r="Y998" s="432"/>
      <c r="Z998" s="432"/>
      <c r="AA998" s="432"/>
      <c r="AB998" s="432"/>
    </row>
    <row r="999">
      <c r="A999" s="432"/>
      <c r="B999" s="432"/>
      <c r="C999" s="432"/>
      <c r="D999" s="432"/>
      <c r="E999" s="432"/>
      <c r="F999" s="432"/>
      <c r="G999" s="432"/>
      <c r="H999" s="432"/>
      <c r="I999" s="432"/>
      <c r="J999" s="432"/>
      <c r="K999" s="432"/>
      <c r="L999" s="432"/>
      <c r="M999" s="432"/>
      <c r="N999" s="432"/>
      <c r="O999" s="432"/>
      <c r="P999" s="432"/>
      <c r="Q999" s="432"/>
      <c r="R999" s="432"/>
      <c r="S999" s="432"/>
      <c r="T999" s="432"/>
      <c r="U999" s="432"/>
      <c r="V999" s="432"/>
      <c r="W999" s="432"/>
      <c r="X999" s="432"/>
      <c r="Y999" s="432"/>
      <c r="Z999" s="432"/>
      <c r="AA999" s="432"/>
      <c r="AB999" s="432"/>
    </row>
    <row r="1000">
      <c r="A1000" s="432"/>
      <c r="B1000" s="432"/>
      <c r="C1000" s="432"/>
      <c r="D1000" s="432"/>
      <c r="E1000" s="432"/>
      <c r="F1000" s="432"/>
      <c r="G1000" s="432"/>
      <c r="H1000" s="432"/>
      <c r="I1000" s="432"/>
      <c r="J1000" s="432"/>
      <c r="K1000" s="432"/>
      <c r="L1000" s="432"/>
      <c r="M1000" s="432"/>
      <c r="N1000" s="432"/>
      <c r="O1000" s="432"/>
      <c r="P1000" s="432"/>
      <c r="Q1000" s="432"/>
      <c r="R1000" s="432"/>
      <c r="S1000" s="432"/>
      <c r="T1000" s="432"/>
      <c r="U1000" s="432"/>
      <c r="V1000" s="432"/>
      <c r="W1000" s="432"/>
      <c r="X1000" s="432"/>
      <c r="Y1000" s="432"/>
      <c r="Z1000" s="432"/>
      <c r="AA1000" s="432"/>
      <c r="AB1000" s="432"/>
    </row>
  </sheetData>
  <hyperlinks>
    <hyperlink r:id="rId2" ref="C24"/>
    <hyperlink r:id="rId3" ref="A28"/>
    <hyperlink r:id="rId4" ref="G29"/>
    <hyperlink r:id="rId5" ref="G32"/>
  </hyperlinks>
  <drawing r:id="rId6"/>
  <legacyDrawing r:id="rId7"/>
</worksheet>
</file>